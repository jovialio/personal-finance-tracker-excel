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<sst xmlns="http://schemas.openxmlformats.org/spreadsheetml/2006/main" count="816" uniqueCount="573">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</sst>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P21" totalsRowShown="0">
  <autoFilter ref="A1:P21" xr:uid="{00000000-0009-0000-0100-000003000000}"/>
  <tableColumns count="16">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name="FX to SGD"/>
    <tableColumn id="15" name="Flow SGD"/>
    <tableColumn id="16" name="Dividend SG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1"/>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sample rows show the format. You can also paste a batch of rows in one go: the four helper columns J-M (Key, Signed Units, Buy Cost, Sell Proceeds) are pre-filled with formulas down to row 1000, so they will not be left blank by a paste.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45" customHeight="1" x14ac:dyDescent="0.15">
      <c r="B48" s="7" t="s">
        <v>38</v>
      </c>
    </row>
    <row r="49" spans="2:2" ht="13.5" customHeight="1" x14ac:dyDescent="0.15">
      <c r="B49" s="14" t="s">
        <v>39</v>
      </c>
    </row>
    <row r="50" spans="2:2" ht="13.5" customHeight="1" x14ac:dyDescent="0.15">
      <c r="B50" s="6"/>
    </row>
    <row r="51" spans="2:2" ht="12.75" customHeight="1" x14ac:dyDescent="0.2">
      <c r="B51" s="20" t="s">
        <v>40</v>
      </c>
    </row>
    <row r="52" spans="2:2" ht="12.75" customHeight="1" x14ac:dyDescent="0.15">
      <c r="B52" s="14" t="s">
        <v>41</v>
      </c>
    </row>
    <row r="53" spans="2:2" ht="12.75" customHeight="1" x14ac:dyDescent="0.15">
      <c r="B53" s="14" t="s">
        <v>42</v>
      </c>
    </row>
    <row r="54" spans="2:2" ht="12.75" customHeight="1" x14ac:dyDescent="0.15">
      <c r="B54" s="14" t="s">
        <v>43</v>
      </c>
    </row>
    <row r="55" spans="2:2" ht="12.75" customHeight="1" x14ac:dyDescent="0.15">
      <c r="B55" s="14" t="s">
        <v>44</v>
      </c>
    </row>
    <row r="56" spans="2:2" ht="12.75" customHeight="1" x14ac:dyDescent="0.15">
      <c r="B56" s="6" t="s">
        <v>45</v>
      </c>
    </row>
    <row r="57" spans="2:2" ht="12.75" customHeight="1" x14ac:dyDescent="0.15">
      <c r="B57" s="6" t="s">
        <v>46</v>
      </c>
    </row>
    <row r="58" spans="2:2" ht="12.75" customHeight="1" x14ac:dyDescent="0.15">
      <c r="B58" s="6" t="s">
        <v>542</v>
      </c>
    </row>
    <row r="59" spans="2:2" ht="12.75" customHeight="1" x14ac:dyDescent="0.2">
      <c r="B59" s="20" t="s">
        <v>47</v>
      </c>
    </row>
    <row r="60" spans="2:2" ht="12.75" customHeight="1" x14ac:dyDescent="0.15">
      <c r="B60" s="6" t="s">
        <v>48</v>
      </c>
    </row>
    <row r="61" spans="2:2" ht="13.5" customHeight="1" x14ac:dyDescent="0.15">
      <c r="B61" s="6" t="s">
        <v>49</v>
      </c>
    </row>
    <row r="62" spans="2:2" ht="12.75" customHeight="1" x14ac:dyDescent="0.15">
      <c r="B62" s="6" t="s">
        <v>50</v>
      </c>
    </row>
    <row r="63" spans="2:2" ht="12.75" customHeight="1" x14ac:dyDescent="0.15">
      <c r="B63" s="6" t="s">
        <v>51</v>
      </c>
    </row>
    <row r="64" spans="2:2" ht="12.75" customHeight="1" x14ac:dyDescent="0.15">
      <c r="B64" s="6"/>
    </row>
    <row r="65" spans="2:2" ht="16.5" customHeight="16.5" x14ac:dyDescent="0.15">
      <c r="B65" s="7" t="inlineStr">
        <is>
          <t xml:space="preserve">PRICES SHEET — HOW IT WORKS (updated in v1.3)</t>
        </is>
      </c>
    </row>
    <row r="66" spans="2:2" ht="12.75" customHeight="1" x14ac:dyDescent="0.15">
      <c r="B66"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67" spans="2:2" ht="13.5" customHeight="1" x14ac:dyDescent="0.15">
      <c r="B67" s="6" t="inlineStr">
        <is>
          <t xml:space="preserve">The TICKER SYNC panel (columns J–Q) reads your live holdings and flags what to change. It never edits your price rows — it only tells you what to do:</t>
        </is>
      </c>
    </row>
    <row r="68" spans="2:2" ht="12.75" customHeight="1" x14ac:dyDescent="0.15">
      <c r="B68" s="6" t="inlineStr">
        <is>
          <t xml:space="preserve">•  'Held now -&gt; in Prices?' lists every ticker you currently hold. Green 'OK - in Prices' means it is already on the price list. Red 'ADD TO PRICES' means you have bought something the price list is missing.</t>
        </is>
      </c>
    </row>
    <row r="69" spans="2:2" ht="12.75" customHeight="1" x14ac:dyDescent="0.15">
      <c r="B69"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70" spans="2:2" ht="13.5" customHeight="1" x14ac:dyDescent="0.15">
      <c r="B70" s="6" t="inlineStr">
        <is>
          <t xml:space="preserve">    Then type the Current Price (E) and your Notes (G) and Category (H). FX to SGD (F) is the only calculated column — it fills itself in when the row joins the table; if it ever comes up blank, copy cell F from the row above.</t>
        </is>
      </c>
    </row>
    <row r="71" spans="2:2" ht="13.5" customHeight="1" x14ac:dyDescent="0.15">
      <c r="B71" s="6" t="inlineStr">
        <is>
          <t xml:space="preserve">•  'Prices rows -&gt; still held?' checks each price row. Green 'held' means keep it. Red 'NOT HELD - review' means you have fully sold it — delete that whole row. Its realised P&amp;L and dividends stay in All Ticker P&amp;L.</t>
        </is>
      </c>
    </row>
    <row r="72" spans="2:2" ht="13.5" customHeight="1" x14ac:dyDescent="0.15">
      <c r="B72" s="6" t="inlineStr">
        <is>
          <t xml:space="preserve">•  The counters at the top — Missing and Stale — should both read 0 when your price list matches your holdings exactly.</t>
        </is>
      </c>
    </row>
    <row r="73" spans="2:2" ht="13.5" customHeight="1" x14ac:dyDescent="0.15">
      <c r="B73"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74" spans="2:2" ht="13.5" customHeight="1" x14ac:dyDescent="0.15">
      <c r="B74"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75" spans="2:2" ht="12.75" customHeight="1" x14ac:dyDescent="0.15">
      <c r="B75" s="6" t="inlineStr">
        <is>
          <t xml:space="preserve">v15 (this file, v1.3): added the Prices TICKER SYNC panel above, shaded every user-filled column faint yellow, and removed the stale sample tickers (NVDA, AMD) so the price list matches current holdings.</t>
        </is>
      </c>
    </row>
    <row r="76" spans="2:2" ht="12.75" customHeight="1" x14ac:dyDescent="0.15">
      <c r="B76" s="6" t="inlineStr">
        <is>
          <t xml:space="preserve">v16 (v1.4): the Transactions helper columns J-M are now pre-filled to row 1000. Previously they only existed for the 20 sample rows, so pasting a batch of transactions left Key blank on every pasted row — and with no Key, those transactions were invisible to All Ticker P&amp;L, Shares, the Stock Dashboard and the Prices TICKER SYNC panel. Blank rows now show nothing instead of 0.</t>
        </is>
      </c>
    </row>
    <row r="77" spans="2:2" ht="12.75" customHeight="1" x14ac:dyDescent="0.15">
      <c r="B77" s="6" t="inlineStr">
        <is>
          <t xml:space="preserve">v17 (v1.5): Portfolio Analysis now reads the ledger by position-independent INDEX formulas. Previously it pointed at Transactions row by row, so INSERTING rows into Transactions shifted those references and left the inserted rows out of the XIRR entirely. Adding rows any way you like - typing, pasting or inserting - is now safe.</t>
        </is>
      </c>
    </row>
    <row r="78" spans="2:2" ht="12.75" customHeight="1" x14ac:dyDescent="0.15">
      <c r="B78" s="6" t="inlineStr">
        <is>
          <t xml:space="preserve">v18 (v1.6): the cash-flow engine now lives inside the Transactions table itself (FX to SGD, Flow SGD, Dividend SGD). Table columns grow with your data, so dividends, net-invested and every SUMIFS are no longer capped at a fixed row. FX is now resolved from each transaction's own Currency instead of looking the ticker up in Prices - previously, deleting a sold-out ticker from Prices silently dropped the currency conversion on its past transactions and skewed XIRR. Cell R1 on Transactions shows remaining ledger capacity.</t>
        </is>
      </c>
    </row>
    <row r="79" spans="2:2" ht="12.75" customHeight="1" x14ac:dyDescent="0.15">
      <c r="B79" s="6"/>
    </row>
    <row r="80" spans="2:2" ht="12.75" customHeight="1" x14ac:dyDescent="0.15">
      <c r="B80" s="6"/>
    </row>
    <row r="81" spans="2:2" ht="12.75" customHeight="1" x14ac:dyDescent="0.15">
      <c r="B81" s="6"/>
    </row>
    <row r="82" spans="2:2" ht="12.75" customHeight="1" x14ac:dyDescent="0.15">
      <c r="B82" s="6"/>
    </row>
    <row r="83" spans="2:2" ht="12.75" customHeight="1" x14ac:dyDescent="0.15">
      <c r="B83" s="6"/>
    </row>
    <row r="84" spans="2:2" ht="12.75" customHeight="1" x14ac:dyDescent="0.15">
      <c r="B84" s="6"/>
    </row>
    <row r="85" spans="2:2" ht="12.75" customHeight="1" x14ac:dyDescent="0.15">
      <c r="B85" s="6"/>
    </row>
    <row r="86" spans="2:2" ht="12.75" customHeight="1" x14ac:dyDescent="0.15">
      <c r="B86" s="6"/>
    </row>
    <row r="87" spans="2:2" ht="12.75" customHeight="1" x14ac:dyDescent="0.15">
      <c r="B87" s="6"/>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R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8"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c r="N1" s="243" t="inlineStr">
        <is>
          <t>FX to SGD</t>
        </is>
      </c>
      <c r="O1" s="243" t="inlineStr">
        <is>
          <t>Flow SGD</t>
        </is>
      </c>
      <c r="P1" s="243" t="inlineStr">
        <is>
          <t>Dividend SGD</t>
        </is>
      </c>
      <c r="R1">
        <f>IF(SUMPRODUCT(--(Txn[Key]&lt;&gt;""))&gt;10000,"WARNING: over 10,000 transactions - the XIRR engine on Portfolio Analysis covers 10,000. Extend columns B and F there or XIRR will ignore the excess.","Ledger capacity OK ("&amp;TEXT(SUMPRODUCT(--(Txn[Key]&lt;&gt;"")),"#,##0")&amp;" of 10,000 transactions)")</f>
      </c>
    </row>
    <row r="2" spans="1:16"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c r="N2">
        <f>IF($E2="SGD",1,IF($E2="USD",Settings!$B$22,IF($E2="HKD",Settings!$B$23,1)))</f>
      </c>
      <c r="O2">
        <f>IF($J2="",0,($M2-$L2+IF($A2=2,$H2,0))*$N2)</f>
      </c>
      <c r="P2">
        <f>IF($J2="",0,IF($A2=2,$H2*$N2,0))</f>
      </c>
    </row>
    <row r="3" spans="1:16"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c r="N3">
        <f>IF($E3="SGD",1,IF($E3="USD",Settings!$B$22,IF($E3="HKD",Settings!$B$23,1)))</f>
      </c>
      <c r="O3">
        <f>IF($J3="",0,($M3-$L3+IF($A3=2,$H3,0))*$N3)</f>
      </c>
      <c r="P3">
        <f>IF($J3="",0,IF($A3=2,$H3*$N3,0))</f>
      </c>
    </row>
    <row r="4" spans="1:16"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c r="N4">
        <f>IF($E4="SGD",1,IF($E4="USD",Settings!$B$22,IF($E4="HKD",Settings!$B$23,1)))</f>
      </c>
      <c r="O4">
        <f>IF($J4="",0,($M4-$L4+IF($A4=2,$H4,0))*$N4)</f>
      </c>
      <c r="P4">
        <f>IF($J4="",0,IF($A4=2,$H4*$N4,0))</f>
      </c>
    </row>
    <row r="5" spans="1:16"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c r="N5">
        <f>IF($E5="SGD",1,IF($E5="USD",Settings!$B$22,IF($E5="HKD",Settings!$B$23,1)))</f>
      </c>
      <c r="O5">
        <f>IF($J5="",0,($M5-$L5+IF($A5=2,$H5,0))*$N5)</f>
      </c>
      <c r="P5">
        <f>IF($J5="",0,IF($A5=2,$H5*$N5,0))</f>
      </c>
    </row>
    <row r="6" spans="1:16"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c r="N6">
        <f>IF($E6="SGD",1,IF($E6="USD",Settings!$B$22,IF($E6="HKD",Settings!$B$23,1)))</f>
      </c>
      <c r="O6">
        <f>IF($J6="",0,($M6-$L6+IF($A6=2,$H6,0))*$N6)</f>
      </c>
      <c r="P6">
        <f>IF($J6="",0,IF($A6=2,$H6*$N6,0))</f>
      </c>
    </row>
    <row r="7" spans="1:16"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c r="N7">
        <f>IF($E7="SGD",1,IF($E7="USD",Settings!$B$22,IF($E7="HKD",Settings!$B$23,1)))</f>
      </c>
      <c r="O7">
        <f>IF($J7="",0,($M7-$L7+IF($A7=2,$H7,0))*$N7)</f>
      </c>
      <c r="P7">
        <f>IF($J7="",0,IF($A7=2,$H7*$N7,0))</f>
      </c>
    </row>
    <row r="8" spans="1:16"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c r="N8">
        <f>IF($E8="SGD",1,IF($E8="USD",Settings!$B$22,IF($E8="HKD",Settings!$B$23,1)))</f>
      </c>
      <c r="O8">
        <f>IF($J8="",0,($M8-$L8+IF($A8=2,$H8,0))*$N8)</f>
      </c>
      <c r="P8">
        <f>IF($J8="",0,IF($A8=2,$H8*$N8,0))</f>
      </c>
    </row>
    <row r="9" spans="1:16"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c r="N9">
        <f>IF($E9="SGD",1,IF($E9="USD",Settings!$B$22,IF($E9="HKD",Settings!$B$23,1)))</f>
      </c>
      <c r="O9">
        <f>IF($J9="",0,($M9-$L9+IF($A9=2,$H9,0))*$N9)</f>
      </c>
      <c r="P9">
        <f>IF($J9="",0,IF($A9=2,$H9*$N9,0))</f>
      </c>
    </row>
    <row r="10" spans="1:16"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c r="N10">
        <f>IF($E10="SGD",1,IF($E10="USD",Settings!$B$22,IF($E10="HKD",Settings!$B$23,1)))</f>
      </c>
      <c r="O10">
        <f>IF($J10="",0,($M10-$L10+IF($A10=2,$H10,0))*$N10)</f>
      </c>
      <c r="P10">
        <f>IF($J10="",0,IF($A10=2,$H10*$N10,0))</f>
      </c>
    </row>
    <row r="11" spans="1:16"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c r="N11">
        <f>IF($E11="SGD",1,IF($E11="USD",Settings!$B$22,IF($E11="HKD",Settings!$B$23,1)))</f>
      </c>
      <c r="O11">
        <f>IF($J11="",0,($M11-$L11+IF($A11=2,$H11,0))*$N11)</f>
      </c>
      <c r="P11">
        <f>IF($J11="",0,IF($A11=2,$H11*$N11,0))</f>
      </c>
    </row>
    <row r="12" spans="1:16"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c r="N12">
        <f>IF($E12="SGD",1,IF($E12="USD",Settings!$B$22,IF($E12="HKD",Settings!$B$23,1)))</f>
      </c>
      <c r="O12">
        <f>IF($J12="",0,($M12-$L12+IF($A12=2,$H12,0))*$N12)</f>
      </c>
      <c r="P12">
        <f>IF($J12="",0,IF($A12=2,$H12*$N12,0))</f>
      </c>
    </row>
    <row r="13" spans="1:16"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c r="N13">
        <f>IF($E13="SGD",1,IF($E13="USD",Settings!$B$22,IF($E13="HKD",Settings!$B$23,1)))</f>
      </c>
      <c r="O13">
        <f>IF($J13="",0,($M13-$L13+IF($A13=2,$H13,0))*$N13)</f>
      </c>
      <c r="P13">
        <f>IF($J13="",0,IF($A13=2,$H13*$N13,0))</f>
      </c>
    </row>
    <row r="14" spans="1:16"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c r="N14">
        <f>IF($E14="SGD",1,IF($E14="USD",Settings!$B$22,IF($E14="HKD",Settings!$B$23,1)))</f>
      </c>
      <c r="O14">
        <f>IF($J14="",0,($M14-$L14+IF($A14=2,$H14,0))*$N14)</f>
      </c>
      <c r="P14">
        <f>IF($J14="",0,IF($A14=2,$H14*$N14,0))</f>
      </c>
    </row>
    <row r="15" spans="1:16"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c r="N15">
        <f>IF($E15="SGD",1,IF($E15="USD",Settings!$B$22,IF($E15="HKD",Settings!$B$23,1)))</f>
      </c>
      <c r="O15">
        <f>IF($J15="",0,($M15-$L15+IF($A15=2,$H15,0))*$N15)</f>
      </c>
      <c r="P15">
        <f>IF($J15="",0,IF($A15=2,$H15*$N15,0))</f>
      </c>
    </row>
    <row r="16" spans="1:16"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c r="N16">
        <f>IF($E16="SGD",1,IF($E16="USD",Settings!$B$22,IF($E16="HKD",Settings!$B$23,1)))</f>
      </c>
      <c r="O16">
        <f>IF($J16="",0,($M16-$L16+IF($A16=2,$H16,0))*$N16)</f>
      </c>
      <c r="P16">
        <f>IF($J16="",0,IF($A16=2,$H16*$N16,0))</f>
      </c>
    </row>
    <row r="17" spans="1:16"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c r="N17">
        <f>IF($E17="SGD",1,IF($E17="USD",Settings!$B$22,IF($E17="HKD",Settings!$B$23,1)))</f>
      </c>
      <c r="O17">
        <f>IF($J17="",0,($M17-$L17+IF($A17=2,$H17,0))*$N17)</f>
      </c>
      <c r="P17">
        <f>IF($J17="",0,IF($A17=2,$H17*$N17,0))</f>
      </c>
    </row>
    <row r="18" spans="1:16"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c r="N18">
        <f>IF($E18="SGD",1,IF($E18="USD",Settings!$B$22,IF($E18="HKD",Settings!$B$23,1)))</f>
      </c>
      <c r="O18">
        <f>IF($J18="",0,($M18-$L18+IF($A18=2,$H18,0))*$N18)</f>
      </c>
      <c r="P18">
        <f>IF($J18="",0,IF($A18=2,$H18*$N18,0))</f>
      </c>
    </row>
    <row r="19" spans="1:16"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c r="N19">
        <f>IF($E19="SGD",1,IF($E19="USD",Settings!$B$22,IF($E19="HKD",Settings!$B$23,1)))</f>
      </c>
      <c r="O19">
        <f>IF($J19="",0,($M19-$L19+IF($A19=2,$H19,0))*$N19)</f>
      </c>
      <c r="P19">
        <f>IF($J19="",0,IF($A19=2,$H19*$N19,0))</f>
      </c>
    </row>
    <row r="20" spans="1:16"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c r="N20">
        <f>IF($E20="SGD",1,IF($E20="USD",Settings!$B$22,IF($E20="HKD",Settings!$B$23,1)))</f>
      </c>
      <c r="O20">
        <f>IF($J20="",0,($M20-$L20+IF($A20=2,$H20,0))*$N20)</f>
      </c>
      <c r="P20">
        <f>IF($J20="",0,IF($A20=2,$H20*$N20,0))</f>
      </c>
    </row>
    <row r="21" spans="1:16"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c r="N21">
        <f>IF($E21="SGD",1,IF($E21="USD",Settings!$B$22,IF($E21="HKD",Settings!$B$23,1)))</f>
      </c>
      <c r="O21">
        <f>IF($J21="",0,($M21-$L21+IF($A21=2,$H21,0))*$N21)</f>
      </c>
      <c r="P21">
        <f>IF($J21="",0,IF($A21=2,$H21*$N21,0))</f>
      </c>
    </row>
    <row r="22" spans="1:16"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c r="N22">
        <f>IF($E22="SGD",1,IF($E22="USD",Settings!$B$22,IF($E22="HKD",Settings!$B$23,1)))</f>
      </c>
      <c r="O22">
        <f>IF($J22="",0,($M22-$L22+IF($A22=2,$H22,0))*$N22)</f>
      </c>
      <c r="P22">
        <f>IF($J22="",0,IF($A22=2,$H22*$N22,0))</f>
      </c>
    </row>
    <row r="23" spans="1:16"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c r="N23">
        <f>IF($E23="SGD",1,IF($E23="USD",Settings!$B$22,IF($E23="HKD",Settings!$B$23,1)))</f>
      </c>
      <c r="O23">
        <f>IF($J23="",0,($M23-$L23+IF($A23=2,$H23,0))*$N23)</f>
      </c>
      <c r="P23">
        <f>IF($J23="",0,IF($A23=2,$H23*$N23,0))</f>
      </c>
    </row>
    <row r="24" spans="1:16"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c r="N24">
        <f>IF($E24="SGD",1,IF($E24="USD",Settings!$B$22,IF($E24="HKD",Settings!$B$23,1)))</f>
      </c>
      <c r="O24">
        <f>IF($J24="",0,($M24-$L24+IF($A24=2,$H24,0))*$N24)</f>
      </c>
      <c r="P24">
        <f>IF($J24="",0,IF($A24=2,$H24*$N24,0))</f>
      </c>
    </row>
    <row r="25" spans="1:16"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c r="N25">
        <f>IF($E25="SGD",1,IF($E25="USD",Settings!$B$22,IF($E25="HKD",Settings!$B$23,1)))</f>
      </c>
      <c r="O25">
        <f>IF($J25="",0,($M25-$L25+IF($A25=2,$H25,0))*$N25)</f>
      </c>
      <c r="P25">
        <f>IF($J25="",0,IF($A25=2,$H25*$N25,0))</f>
      </c>
    </row>
    <row r="26" spans="1:16"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c r="N26">
        <f>IF($E26="SGD",1,IF($E26="USD",Settings!$B$22,IF($E26="HKD",Settings!$B$23,1)))</f>
      </c>
      <c r="O26">
        <f>IF($J26="",0,($M26-$L26+IF($A26=2,$H26,0))*$N26)</f>
      </c>
      <c r="P26">
        <f>IF($J26="",0,IF($A26=2,$H26*$N26,0))</f>
      </c>
    </row>
    <row r="27" spans="1:16"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c r="N27">
        <f>IF($E27="SGD",1,IF($E27="USD",Settings!$B$22,IF($E27="HKD",Settings!$B$23,1)))</f>
      </c>
      <c r="O27">
        <f>IF($J27="",0,($M27-$L27+IF($A27=2,$H27,0))*$N27)</f>
      </c>
      <c r="P27">
        <f>IF($J27="",0,IF($A27=2,$H27*$N27,0))</f>
      </c>
    </row>
    <row r="28" spans="1:16"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c r="N28">
        <f>IF($E28="SGD",1,IF($E28="USD",Settings!$B$22,IF($E28="HKD",Settings!$B$23,1)))</f>
      </c>
      <c r="O28">
        <f>IF($J28="",0,($M28-$L28+IF($A28=2,$H28,0))*$N28)</f>
      </c>
      <c r="P28">
        <f>IF($J28="",0,IF($A28=2,$H28*$N28,0))</f>
      </c>
    </row>
    <row r="29" spans="1:16"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c r="N29">
        <f>IF($E29="SGD",1,IF($E29="USD",Settings!$B$22,IF($E29="HKD",Settings!$B$23,1)))</f>
      </c>
      <c r="O29">
        <f>IF($J29="",0,($M29-$L29+IF($A29=2,$H29,0))*$N29)</f>
      </c>
      <c r="P29">
        <f>IF($J29="",0,IF($A29=2,$H29*$N29,0))</f>
      </c>
    </row>
    <row r="30" spans="1:16"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c r="N30">
        <f>IF($E30="SGD",1,IF($E30="USD",Settings!$B$22,IF($E30="HKD",Settings!$B$23,1)))</f>
      </c>
      <c r="O30">
        <f>IF($J30="",0,($M30-$L30+IF($A30=2,$H30,0))*$N30)</f>
      </c>
      <c r="P30">
        <f>IF($J30="",0,IF($A30=2,$H30*$N30,0))</f>
      </c>
    </row>
    <row r="31" spans="1:16"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c r="N31">
        <f>IF($E31="SGD",1,IF($E31="USD",Settings!$B$22,IF($E31="HKD",Settings!$B$23,1)))</f>
      </c>
      <c r="O31">
        <f>IF($J31="",0,($M31-$L31+IF($A31=2,$H31,0))*$N31)</f>
      </c>
      <c r="P31">
        <f>IF($J31="",0,IF($A31=2,$H31*$N31,0))</f>
      </c>
    </row>
    <row r="32" spans="1:16"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c r="N32">
        <f>IF($E32="SGD",1,IF($E32="USD",Settings!$B$22,IF($E32="HKD",Settings!$B$23,1)))</f>
      </c>
      <c r="O32">
        <f>IF($J32="",0,($M32-$L32+IF($A32=2,$H32,0))*$N32)</f>
      </c>
      <c r="P32">
        <f>IF($J32="",0,IF($A32=2,$H32*$N32,0))</f>
      </c>
    </row>
    <row r="33" spans="1:16"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c r="N33">
        <f>IF($E33="SGD",1,IF($E33="USD",Settings!$B$22,IF($E33="HKD",Settings!$B$23,1)))</f>
      </c>
      <c r="O33">
        <f>IF($J33="",0,($M33-$L33+IF($A33=2,$H33,0))*$N33)</f>
      </c>
      <c r="P33">
        <f>IF($J33="",0,IF($A33=2,$H33*$N33,0))</f>
      </c>
    </row>
    <row r="34" spans="1:16"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c r="N34">
        <f>IF($E34="SGD",1,IF($E34="USD",Settings!$B$22,IF($E34="HKD",Settings!$B$23,1)))</f>
      </c>
      <c r="O34">
        <f>IF($J34="",0,($M34-$L34+IF($A34=2,$H34,0))*$N34)</f>
      </c>
      <c r="P34">
        <f>IF($J34="",0,IF($A34=2,$H34*$N34,0))</f>
      </c>
    </row>
    <row r="35" spans="1:16"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c r="N35">
        <f>IF($E35="SGD",1,IF($E35="USD",Settings!$B$22,IF($E35="HKD",Settings!$B$23,1)))</f>
      </c>
      <c r="O35">
        <f>IF($J35="",0,($M35-$L35+IF($A35=2,$H35,0))*$N35)</f>
      </c>
      <c r="P35">
        <f>IF($J35="",0,IF($A35=2,$H35*$N35,0))</f>
      </c>
    </row>
    <row r="36" spans="1:16"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c r="N36">
        <f>IF($E36="SGD",1,IF($E36="USD",Settings!$B$22,IF($E36="HKD",Settings!$B$23,1)))</f>
      </c>
      <c r="O36">
        <f>IF($J36="",0,($M36-$L36+IF($A36=2,$H36,0))*$N36)</f>
      </c>
      <c r="P36">
        <f>IF($J36="",0,IF($A36=2,$H36*$N36,0))</f>
      </c>
    </row>
    <row r="37" spans="1:16"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c r="N37">
        <f>IF($E37="SGD",1,IF($E37="USD",Settings!$B$22,IF($E37="HKD",Settings!$B$23,1)))</f>
      </c>
      <c r="O37">
        <f>IF($J37="",0,($M37-$L37+IF($A37=2,$H37,0))*$N37)</f>
      </c>
      <c r="P37">
        <f>IF($J37="",0,IF($A37=2,$H37*$N37,0))</f>
      </c>
    </row>
    <row r="38" spans="1:16"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c r="N38">
        <f>IF($E38="SGD",1,IF($E38="USD",Settings!$B$22,IF($E38="HKD",Settings!$B$23,1)))</f>
      </c>
      <c r="O38">
        <f>IF($J38="",0,($M38-$L38+IF($A38=2,$H38,0))*$N38)</f>
      </c>
      <c r="P38">
        <f>IF($J38="",0,IF($A38=2,$H38*$N38,0))</f>
      </c>
    </row>
    <row r="39" spans="1:16"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c r="N39">
        <f>IF($E39="SGD",1,IF($E39="USD",Settings!$B$22,IF($E39="HKD",Settings!$B$23,1)))</f>
      </c>
      <c r="O39">
        <f>IF($J39="",0,($M39-$L39+IF($A39=2,$H39,0))*$N39)</f>
      </c>
      <c r="P39">
        <f>IF($J39="",0,IF($A39=2,$H39*$N39,0))</f>
      </c>
    </row>
    <row r="40" spans="1:16"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c r="N40">
        <f>IF($E40="SGD",1,IF($E40="USD",Settings!$B$22,IF($E40="HKD",Settings!$B$23,1)))</f>
      </c>
      <c r="O40">
        <f>IF($J40="",0,($M40-$L40+IF($A40=2,$H40,0))*$N40)</f>
      </c>
      <c r="P40">
        <f>IF($J40="",0,IF($A40=2,$H40*$N40,0))</f>
      </c>
    </row>
    <row r="41" spans="1:16"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c r="N41">
        <f>IF($E41="SGD",1,IF($E41="USD",Settings!$B$22,IF($E41="HKD",Settings!$B$23,1)))</f>
      </c>
      <c r="O41">
        <f>IF($J41="",0,($M41-$L41+IF($A41=2,$H41,0))*$N41)</f>
      </c>
      <c r="P41">
        <f>IF($J41="",0,IF($A41=2,$H41*$N41,0))</f>
      </c>
    </row>
    <row r="42" spans="1:16"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c r="N42">
        <f>IF($E42="SGD",1,IF($E42="USD",Settings!$B$22,IF($E42="HKD",Settings!$B$23,1)))</f>
      </c>
      <c r="O42">
        <f>IF($J42="",0,($M42-$L42+IF($A42=2,$H42,0))*$N42)</f>
      </c>
      <c r="P42">
        <f>IF($J42="",0,IF($A42=2,$H42*$N42,0))</f>
      </c>
    </row>
    <row r="43" spans="1:16"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c r="N43">
        <f>IF($E43="SGD",1,IF($E43="USD",Settings!$B$22,IF($E43="HKD",Settings!$B$23,1)))</f>
      </c>
      <c r="O43">
        <f>IF($J43="",0,($M43-$L43+IF($A43=2,$H43,0))*$N43)</f>
      </c>
      <c r="P43">
        <f>IF($J43="",0,IF($A43=2,$H43*$N43,0))</f>
      </c>
    </row>
    <row r="44" spans="1:16"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c r="N44">
        <f>IF($E44="SGD",1,IF($E44="USD",Settings!$B$22,IF($E44="HKD",Settings!$B$23,1)))</f>
      </c>
      <c r="O44">
        <f>IF($J44="",0,($M44-$L44+IF($A44=2,$H44,0))*$N44)</f>
      </c>
      <c r="P44">
        <f>IF($J44="",0,IF($A44=2,$H44*$N44,0))</f>
      </c>
    </row>
    <row r="45" spans="1:16"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c r="N45">
        <f>IF($E45="SGD",1,IF($E45="USD",Settings!$B$22,IF($E45="HKD",Settings!$B$23,1)))</f>
      </c>
      <c r="O45">
        <f>IF($J45="",0,($M45-$L45+IF($A45=2,$H45,0))*$N45)</f>
      </c>
      <c r="P45">
        <f>IF($J45="",0,IF($A45=2,$H45*$N45,0))</f>
      </c>
    </row>
    <row r="46" spans="1:16"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c r="N46">
        <f>IF($E46="SGD",1,IF($E46="USD",Settings!$B$22,IF($E46="HKD",Settings!$B$23,1)))</f>
      </c>
      <c r="O46">
        <f>IF($J46="",0,($M46-$L46+IF($A46=2,$H46,0))*$N46)</f>
      </c>
      <c r="P46">
        <f>IF($J46="",0,IF($A46=2,$H46*$N46,0))</f>
      </c>
    </row>
    <row r="47" spans="1:16"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c r="N47">
        <f>IF($E47="SGD",1,IF($E47="USD",Settings!$B$22,IF($E47="HKD",Settings!$B$23,1)))</f>
      </c>
      <c r="O47">
        <f>IF($J47="",0,($M47-$L47+IF($A47=2,$H47,0))*$N47)</f>
      </c>
      <c r="P47">
        <f>IF($J47="",0,IF($A47=2,$H47*$N47,0))</f>
      </c>
    </row>
    <row r="48" spans="1:16"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c r="N48">
        <f>IF($E48="SGD",1,IF($E48="USD",Settings!$B$22,IF($E48="HKD",Settings!$B$23,1)))</f>
      </c>
      <c r="O48">
        <f>IF($J48="",0,($M48-$L48+IF($A48=2,$H48,0))*$N48)</f>
      </c>
      <c r="P48">
        <f>IF($J48="",0,IF($A48=2,$H48*$N48,0))</f>
      </c>
    </row>
    <row r="49" spans="1:16"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c r="N49">
        <f>IF($E49="SGD",1,IF($E49="USD",Settings!$B$22,IF($E49="HKD",Settings!$B$23,1)))</f>
      </c>
      <c r="O49">
        <f>IF($J49="",0,($M49-$L49+IF($A49=2,$H49,0))*$N49)</f>
      </c>
      <c r="P49">
        <f>IF($J49="",0,IF($A49=2,$H49*$N49,0))</f>
      </c>
    </row>
    <row r="50" spans="1:16"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c r="N50">
        <f>IF($E50="SGD",1,IF($E50="USD",Settings!$B$22,IF($E50="HKD",Settings!$B$23,1)))</f>
      </c>
      <c r="O50">
        <f>IF($J50="",0,($M50-$L50+IF($A50=2,$H50,0))*$N50)</f>
      </c>
      <c r="P50">
        <f>IF($J50="",0,IF($A50=2,$H50*$N50,0))</f>
      </c>
    </row>
    <row r="51" spans="1:16"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c r="N51">
        <f>IF($E51="SGD",1,IF($E51="USD",Settings!$B$22,IF($E51="HKD",Settings!$B$23,1)))</f>
      </c>
      <c r="O51">
        <f>IF($J51="",0,($M51-$L51+IF($A51=2,$H51,0))*$N51)</f>
      </c>
      <c r="P51">
        <f>IF($J51="",0,IF($A51=2,$H51*$N51,0))</f>
      </c>
    </row>
    <row r="52" spans="1:16"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c r="N52">
        <f>IF($E52="SGD",1,IF($E52="USD",Settings!$B$22,IF($E52="HKD",Settings!$B$23,1)))</f>
      </c>
      <c r="O52">
        <f>IF($J52="",0,($M52-$L52+IF($A52=2,$H52,0))*$N52)</f>
      </c>
      <c r="P52">
        <f>IF($J52="",0,IF($A52=2,$H52*$N52,0))</f>
      </c>
    </row>
    <row r="53" spans="1:16"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c r="N53">
        <f>IF($E53="SGD",1,IF($E53="USD",Settings!$B$22,IF($E53="HKD",Settings!$B$23,1)))</f>
      </c>
      <c r="O53">
        <f>IF($J53="",0,($M53-$L53+IF($A53=2,$H53,0))*$N53)</f>
      </c>
      <c r="P53">
        <f>IF($J53="",0,IF($A53=2,$H53*$N53,0))</f>
      </c>
    </row>
    <row r="54" spans="1:16"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c r="N54">
        <f>IF($E54="SGD",1,IF($E54="USD",Settings!$B$22,IF($E54="HKD",Settings!$B$23,1)))</f>
      </c>
      <c r="O54">
        <f>IF($J54="",0,($M54-$L54+IF($A54=2,$H54,0))*$N54)</f>
      </c>
      <c r="P54">
        <f>IF($J54="",0,IF($A54=2,$H54*$N54,0))</f>
      </c>
    </row>
    <row r="55" spans="1:16"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c r="N55">
        <f>IF($E55="SGD",1,IF($E55="USD",Settings!$B$22,IF($E55="HKD",Settings!$B$23,1)))</f>
      </c>
      <c r="O55">
        <f>IF($J55="",0,($M55-$L55+IF($A55=2,$H55,0))*$N55)</f>
      </c>
      <c r="P55">
        <f>IF($J55="",0,IF($A55=2,$H55*$N55,0))</f>
      </c>
    </row>
    <row r="56" spans="1:16"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c r="N56">
        <f>IF($E56="SGD",1,IF($E56="USD",Settings!$B$22,IF($E56="HKD",Settings!$B$23,1)))</f>
      </c>
      <c r="O56">
        <f>IF($J56="",0,($M56-$L56+IF($A56=2,$H56,0))*$N56)</f>
      </c>
      <c r="P56">
        <f>IF($J56="",0,IF($A56=2,$H56*$N56,0))</f>
      </c>
    </row>
    <row r="57" spans="1:16"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c r="N57">
        <f>IF($E57="SGD",1,IF($E57="USD",Settings!$B$22,IF($E57="HKD",Settings!$B$23,1)))</f>
      </c>
      <c r="O57">
        <f>IF($J57="",0,($M57-$L57+IF($A57=2,$H57,0))*$N57)</f>
      </c>
      <c r="P57">
        <f>IF($J57="",0,IF($A57=2,$H57*$N57,0))</f>
      </c>
    </row>
    <row r="58" spans="1:16"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c r="N58">
        <f>IF($E58="SGD",1,IF($E58="USD",Settings!$B$22,IF($E58="HKD",Settings!$B$23,1)))</f>
      </c>
      <c r="O58">
        <f>IF($J58="",0,($M58-$L58+IF($A58=2,$H58,0))*$N58)</f>
      </c>
      <c r="P58">
        <f>IF($J58="",0,IF($A58=2,$H58*$N58,0))</f>
      </c>
    </row>
    <row r="59" spans="1:16"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c r="N59">
        <f>IF($E59="SGD",1,IF($E59="USD",Settings!$B$22,IF($E59="HKD",Settings!$B$23,1)))</f>
      </c>
      <c r="O59">
        <f>IF($J59="",0,($M59-$L59+IF($A59=2,$H59,0))*$N59)</f>
      </c>
      <c r="P59">
        <f>IF($J59="",0,IF($A59=2,$H59*$N59,0))</f>
      </c>
    </row>
    <row r="60" spans="1:16"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c r="N60">
        <f>IF($E60="SGD",1,IF($E60="USD",Settings!$B$22,IF($E60="HKD",Settings!$B$23,1)))</f>
      </c>
      <c r="O60">
        <f>IF($J60="",0,($M60-$L60+IF($A60=2,$H60,0))*$N60)</f>
      </c>
      <c r="P60">
        <f>IF($J60="",0,IF($A60=2,$H60*$N60,0))</f>
      </c>
    </row>
    <row r="61" spans="1:16"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c r="N61">
        <f>IF($E61="SGD",1,IF($E61="USD",Settings!$B$22,IF($E61="HKD",Settings!$B$23,1)))</f>
      </c>
      <c r="O61">
        <f>IF($J61="",0,($M61-$L61+IF($A61=2,$H61,0))*$N61)</f>
      </c>
      <c r="P61">
        <f>IF($J61="",0,IF($A61=2,$H61*$N61,0))</f>
      </c>
    </row>
    <row r="62" spans="1:16"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c r="N62">
        <f>IF($E62="SGD",1,IF($E62="USD",Settings!$B$22,IF($E62="HKD",Settings!$B$23,1)))</f>
      </c>
      <c r="O62">
        <f>IF($J62="",0,($M62-$L62+IF($A62=2,$H62,0))*$N62)</f>
      </c>
      <c r="P62">
        <f>IF($J62="",0,IF($A62=2,$H62*$N62,0))</f>
      </c>
    </row>
    <row r="63" spans="1:16"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c r="N63">
        <f>IF($E63="SGD",1,IF($E63="USD",Settings!$B$22,IF($E63="HKD",Settings!$B$23,1)))</f>
      </c>
      <c r="O63">
        <f>IF($J63="",0,($M63-$L63+IF($A63=2,$H63,0))*$N63)</f>
      </c>
      <c r="P63">
        <f>IF($J63="",0,IF($A63=2,$H63*$N63,0))</f>
      </c>
    </row>
    <row r="64" spans="1:16"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c r="N64">
        <f>IF($E64="SGD",1,IF($E64="USD",Settings!$B$22,IF($E64="HKD",Settings!$B$23,1)))</f>
      </c>
      <c r="O64">
        <f>IF($J64="",0,($M64-$L64+IF($A64=2,$H64,0))*$N64)</f>
      </c>
      <c r="P64">
        <f>IF($J64="",0,IF($A64=2,$H64*$N64,0))</f>
      </c>
    </row>
    <row r="65" spans="1:16"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c r="N65">
        <f>IF($E65="SGD",1,IF($E65="USD",Settings!$B$22,IF($E65="HKD",Settings!$B$23,1)))</f>
      </c>
      <c r="O65">
        <f>IF($J65="",0,($M65-$L65+IF($A65=2,$H65,0))*$N65)</f>
      </c>
      <c r="P65">
        <f>IF($J65="",0,IF($A65=2,$H65*$N65,0))</f>
      </c>
    </row>
    <row r="66" spans="1:16"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c r="N66">
        <f>IF($E66="SGD",1,IF($E66="USD",Settings!$B$22,IF($E66="HKD",Settings!$B$23,1)))</f>
      </c>
      <c r="O66">
        <f>IF($J66="",0,($M66-$L66+IF($A66=2,$H66,0))*$N66)</f>
      </c>
      <c r="P66">
        <f>IF($J66="",0,IF($A66=2,$H66*$N66,0))</f>
      </c>
    </row>
    <row r="67" spans="1:16"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c r="N67">
        <f>IF($E67="SGD",1,IF($E67="USD",Settings!$B$22,IF($E67="HKD",Settings!$B$23,1)))</f>
      </c>
      <c r="O67">
        <f>IF($J67="",0,($M67-$L67+IF($A67=2,$H67,0))*$N67)</f>
      </c>
      <c r="P67">
        <f>IF($J67="",0,IF($A67=2,$H67*$N67,0))</f>
      </c>
    </row>
    <row r="68" spans="1:16"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c r="N68">
        <f>IF($E68="SGD",1,IF($E68="USD",Settings!$B$22,IF($E68="HKD",Settings!$B$23,1)))</f>
      </c>
      <c r="O68">
        <f>IF($J68="",0,($M68-$L68+IF($A68=2,$H68,0))*$N68)</f>
      </c>
      <c r="P68">
        <f>IF($J68="",0,IF($A68=2,$H68*$N68,0))</f>
      </c>
    </row>
    <row r="69" spans="1:16"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c r="N69">
        <f>IF($E69="SGD",1,IF($E69="USD",Settings!$B$22,IF($E69="HKD",Settings!$B$23,1)))</f>
      </c>
      <c r="O69">
        <f>IF($J69="",0,($M69-$L69+IF($A69=2,$H69,0))*$N69)</f>
      </c>
      <c r="P69">
        <f>IF($J69="",0,IF($A69=2,$H69*$N69,0))</f>
      </c>
    </row>
    <row r="70" spans="1:16"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c r="N70">
        <f>IF($E70="SGD",1,IF($E70="USD",Settings!$B$22,IF($E70="HKD",Settings!$B$23,1)))</f>
      </c>
      <c r="O70">
        <f>IF($J70="",0,($M70-$L70+IF($A70=2,$H70,0))*$N70)</f>
      </c>
      <c r="P70">
        <f>IF($J70="",0,IF($A70=2,$H70*$N70,0))</f>
      </c>
    </row>
    <row r="71" spans="1:16"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c r="N71">
        <f>IF($E71="SGD",1,IF($E71="USD",Settings!$B$22,IF($E71="HKD",Settings!$B$23,1)))</f>
      </c>
      <c r="O71">
        <f>IF($J71="",0,($M71-$L71+IF($A71=2,$H71,0))*$N71)</f>
      </c>
      <c r="P71">
        <f>IF($J71="",0,IF($A71=2,$H71*$N71,0))</f>
      </c>
    </row>
    <row r="72" spans="1:16"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c r="N72">
        <f>IF($E72="SGD",1,IF($E72="USD",Settings!$B$22,IF($E72="HKD",Settings!$B$23,1)))</f>
      </c>
      <c r="O72">
        <f>IF($J72="",0,($M72-$L72+IF($A72=2,$H72,0))*$N72)</f>
      </c>
      <c r="P72">
        <f>IF($J72="",0,IF($A72=2,$H72*$N72,0))</f>
      </c>
    </row>
    <row r="73" spans="1:16"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c r="N73">
        <f>IF($E73="SGD",1,IF($E73="USD",Settings!$B$22,IF($E73="HKD",Settings!$B$23,1)))</f>
      </c>
      <c r="O73">
        <f>IF($J73="",0,($M73-$L73+IF($A73=2,$H73,0))*$N73)</f>
      </c>
      <c r="P73">
        <f>IF($J73="",0,IF($A73=2,$H73*$N73,0))</f>
      </c>
    </row>
    <row r="74" spans="1:16"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c r="N74">
        <f>IF($E74="SGD",1,IF($E74="USD",Settings!$B$22,IF($E74="HKD",Settings!$B$23,1)))</f>
      </c>
      <c r="O74">
        <f>IF($J74="",0,($M74-$L74+IF($A74=2,$H74,0))*$N74)</f>
      </c>
      <c r="P74">
        <f>IF($J74="",0,IF($A74=2,$H74*$N74,0))</f>
      </c>
    </row>
    <row r="75" spans="1:16"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c r="N75">
        <f>IF($E75="SGD",1,IF($E75="USD",Settings!$B$22,IF($E75="HKD",Settings!$B$23,1)))</f>
      </c>
      <c r="O75">
        <f>IF($J75="",0,($M75-$L75+IF($A75=2,$H75,0))*$N75)</f>
      </c>
      <c r="P75">
        <f>IF($J75="",0,IF($A75=2,$H75*$N75,0))</f>
      </c>
    </row>
    <row r="76" spans="1:16"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c r="N76">
        <f>IF($E76="SGD",1,IF($E76="USD",Settings!$B$22,IF($E76="HKD",Settings!$B$23,1)))</f>
      </c>
      <c r="O76">
        <f>IF($J76="",0,($M76-$L76+IF($A76=2,$H76,0))*$N76)</f>
      </c>
      <c r="P76">
        <f>IF($J76="",0,IF($A76=2,$H76*$N76,0))</f>
      </c>
    </row>
    <row r="77" spans="1:16"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c r="N77">
        <f>IF($E77="SGD",1,IF($E77="USD",Settings!$B$22,IF($E77="HKD",Settings!$B$23,1)))</f>
      </c>
      <c r="O77">
        <f>IF($J77="",0,($M77-$L77+IF($A77=2,$H77,0))*$N77)</f>
      </c>
      <c r="P77">
        <f>IF($J77="",0,IF($A77=2,$H77*$N77,0))</f>
      </c>
    </row>
    <row r="78" spans="1:16"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c r="N78">
        <f>IF($E78="SGD",1,IF($E78="USD",Settings!$B$22,IF($E78="HKD",Settings!$B$23,1)))</f>
      </c>
      <c r="O78">
        <f>IF($J78="",0,($M78-$L78+IF($A78=2,$H78,0))*$N78)</f>
      </c>
      <c r="P78">
        <f>IF($J78="",0,IF($A78=2,$H78*$N78,0))</f>
      </c>
    </row>
    <row r="79" spans="1:16"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c r="N79">
        <f>IF($E79="SGD",1,IF($E79="USD",Settings!$B$22,IF($E79="HKD",Settings!$B$23,1)))</f>
      </c>
      <c r="O79">
        <f>IF($J79="",0,($M79-$L79+IF($A79=2,$H79,0))*$N79)</f>
      </c>
      <c r="P79">
        <f>IF($J79="",0,IF($A79=2,$H79*$N79,0))</f>
      </c>
    </row>
    <row r="80" spans="1:16"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c r="N80">
        <f>IF($E80="SGD",1,IF($E80="USD",Settings!$B$22,IF($E80="HKD",Settings!$B$23,1)))</f>
      </c>
      <c r="O80">
        <f>IF($J80="",0,($M80-$L80+IF($A80=2,$H80,0))*$N80)</f>
      </c>
      <c r="P80">
        <f>IF($J80="",0,IF($A80=2,$H80*$N80,0))</f>
      </c>
    </row>
    <row r="81" spans="1:16"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c r="N81">
        <f>IF($E81="SGD",1,IF($E81="USD",Settings!$B$22,IF($E81="HKD",Settings!$B$23,1)))</f>
      </c>
      <c r="O81">
        <f>IF($J81="",0,($M81-$L81+IF($A81=2,$H81,0))*$N81)</f>
      </c>
      <c r="P81">
        <f>IF($J81="",0,IF($A81=2,$H81*$N81,0))</f>
      </c>
    </row>
    <row r="82" spans="1:16"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c r="N82">
        <f>IF($E82="SGD",1,IF($E82="USD",Settings!$B$22,IF($E82="HKD",Settings!$B$23,1)))</f>
      </c>
      <c r="O82">
        <f>IF($J82="",0,($M82-$L82+IF($A82=2,$H82,0))*$N82)</f>
      </c>
      <c r="P82">
        <f>IF($J82="",0,IF($A82=2,$H82*$N82,0))</f>
      </c>
    </row>
    <row r="83" spans="1:16"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c r="N83">
        <f>IF($E83="SGD",1,IF($E83="USD",Settings!$B$22,IF($E83="HKD",Settings!$B$23,1)))</f>
      </c>
      <c r="O83">
        <f>IF($J83="",0,($M83-$L83+IF($A83=2,$H83,0))*$N83)</f>
      </c>
      <c r="P83">
        <f>IF($J83="",0,IF($A83=2,$H83*$N83,0))</f>
      </c>
    </row>
    <row r="84" spans="1:16"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c r="N84">
        <f>IF($E84="SGD",1,IF($E84="USD",Settings!$B$22,IF($E84="HKD",Settings!$B$23,1)))</f>
      </c>
      <c r="O84">
        <f>IF($J84="",0,($M84-$L84+IF($A84=2,$H84,0))*$N84)</f>
      </c>
      <c r="P84">
        <f>IF($J84="",0,IF($A84=2,$H84*$N84,0))</f>
      </c>
    </row>
    <row r="85" spans="1:16"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c r="N85">
        <f>IF($E85="SGD",1,IF($E85="USD",Settings!$B$22,IF($E85="HKD",Settings!$B$23,1)))</f>
      </c>
      <c r="O85">
        <f>IF($J85="",0,($M85-$L85+IF($A85=2,$H85,0))*$N85)</f>
      </c>
      <c r="P85">
        <f>IF($J85="",0,IF($A85=2,$H85*$N85,0))</f>
      </c>
    </row>
    <row r="86" spans="1:16"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c r="N86">
        <f>IF($E86="SGD",1,IF($E86="USD",Settings!$B$22,IF($E86="HKD",Settings!$B$23,1)))</f>
      </c>
      <c r="O86">
        <f>IF($J86="",0,($M86-$L86+IF($A86=2,$H86,0))*$N86)</f>
      </c>
      <c r="P86">
        <f>IF($J86="",0,IF($A86=2,$H86*$N86,0))</f>
      </c>
    </row>
    <row r="87" spans="1:16"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c r="N87">
        <f>IF($E87="SGD",1,IF($E87="USD",Settings!$B$22,IF($E87="HKD",Settings!$B$23,1)))</f>
      </c>
      <c r="O87">
        <f>IF($J87="",0,($M87-$L87+IF($A87=2,$H87,0))*$N87)</f>
      </c>
      <c r="P87">
        <f>IF($J87="",0,IF($A87=2,$H87*$N87,0))</f>
      </c>
    </row>
    <row r="88" spans="1:16"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c r="N88">
        <f>IF($E88="SGD",1,IF($E88="USD",Settings!$B$22,IF($E88="HKD",Settings!$B$23,1)))</f>
      </c>
      <c r="O88">
        <f>IF($J88="",0,($M88-$L88+IF($A88=2,$H88,0))*$N88)</f>
      </c>
      <c r="P88">
        <f>IF($J88="",0,IF($A88=2,$H88*$N88,0))</f>
      </c>
    </row>
    <row r="89" spans="1:16"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c r="N89">
        <f>IF($E89="SGD",1,IF($E89="USD",Settings!$B$22,IF($E89="HKD",Settings!$B$23,1)))</f>
      </c>
      <c r="O89">
        <f>IF($J89="",0,($M89-$L89+IF($A89=2,$H89,0))*$N89)</f>
      </c>
      <c r="P89">
        <f>IF($J89="",0,IF($A89=2,$H89*$N89,0))</f>
      </c>
    </row>
    <row r="90" spans="1:16"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c r="N90">
        <f>IF($E90="SGD",1,IF($E90="USD",Settings!$B$22,IF($E90="HKD",Settings!$B$23,1)))</f>
      </c>
      <c r="O90">
        <f>IF($J90="",0,($M90-$L90+IF($A90=2,$H90,0))*$N90)</f>
      </c>
      <c r="P90">
        <f>IF($J90="",0,IF($A90=2,$H90*$N90,0))</f>
      </c>
    </row>
    <row r="91" spans="1:16"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c r="N91">
        <f>IF($E91="SGD",1,IF($E91="USD",Settings!$B$22,IF($E91="HKD",Settings!$B$23,1)))</f>
      </c>
      <c r="O91">
        <f>IF($J91="",0,($M91-$L91+IF($A91=2,$H91,0))*$N91)</f>
      </c>
      <c r="P91">
        <f>IF($J91="",0,IF($A91=2,$H91*$N91,0))</f>
      </c>
    </row>
    <row r="92" spans="1:16"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c r="N92">
        <f>IF($E92="SGD",1,IF($E92="USD",Settings!$B$22,IF($E92="HKD",Settings!$B$23,1)))</f>
      </c>
      <c r="O92">
        <f>IF($J92="",0,($M92-$L92+IF($A92=2,$H92,0))*$N92)</f>
      </c>
      <c r="P92">
        <f>IF($J92="",0,IF($A92=2,$H92*$N92,0))</f>
      </c>
    </row>
    <row r="93" spans="1:16"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c r="N93">
        <f>IF($E93="SGD",1,IF($E93="USD",Settings!$B$22,IF($E93="HKD",Settings!$B$23,1)))</f>
      </c>
      <c r="O93">
        <f>IF($J93="",0,($M93-$L93+IF($A93=2,$H93,0))*$N93)</f>
      </c>
      <c r="P93">
        <f>IF($J93="",0,IF($A93=2,$H93*$N93,0))</f>
      </c>
    </row>
    <row r="94" spans="1:16"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c r="N94">
        <f>IF($E94="SGD",1,IF($E94="USD",Settings!$B$22,IF($E94="HKD",Settings!$B$23,1)))</f>
      </c>
      <c r="O94">
        <f>IF($J94="",0,($M94-$L94+IF($A94=2,$H94,0))*$N94)</f>
      </c>
      <c r="P94">
        <f>IF($J94="",0,IF($A94=2,$H94*$N94,0))</f>
      </c>
    </row>
    <row r="95" spans="1:16"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c r="N95">
        <f>IF($E95="SGD",1,IF($E95="USD",Settings!$B$22,IF($E95="HKD",Settings!$B$23,1)))</f>
      </c>
      <c r="O95">
        <f>IF($J95="",0,($M95-$L95+IF($A95=2,$H95,0))*$N95)</f>
      </c>
      <c r="P95">
        <f>IF($J95="",0,IF($A95=2,$H95*$N95,0))</f>
      </c>
    </row>
    <row r="96" spans="1:16"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c r="N96">
        <f>IF($E96="SGD",1,IF($E96="USD",Settings!$B$22,IF($E96="HKD",Settings!$B$23,1)))</f>
      </c>
      <c r="O96">
        <f>IF($J96="",0,($M96-$L96+IF($A96=2,$H96,0))*$N96)</f>
      </c>
      <c r="P96">
        <f>IF($J96="",0,IF($A96=2,$H96*$N96,0))</f>
      </c>
    </row>
    <row r="97" spans="1:16"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c r="N97">
        <f>IF($E97="SGD",1,IF($E97="USD",Settings!$B$22,IF($E97="HKD",Settings!$B$23,1)))</f>
      </c>
      <c r="O97">
        <f>IF($J97="",0,($M97-$L97+IF($A97=2,$H97,0))*$N97)</f>
      </c>
      <c r="P97">
        <f>IF($J97="",0,IF($A97=2,$H97*$N97,0))</f>
      </c>
    </row>
    <row r="98" spans="1:16"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c r="N98">
        <f>IF($E98="SGD",1,IF($E98="USD",Settings!$B$22,IF($E98="HKD",Settings!$B$23,1)))</f>
      </c>
      <c r="O98">
        <f>IF($J98="",0,($M98-$L98+IF($A98=2,$H98,0))*$N98)</f>
      </c>
      <c r="P98">
        <f>IF($J98="",0,IF($A98=2,$H98*$N98,0))</f>
      </c>
    </row>
    <row r="99" spans="1:16"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c r="N99">
        <f>IF($E99="SGD",1,IF($E99="USD",Settings!$B$22,IF($E99="HKD",Settings!$B$23,1)))</f>
      </c>
      <c r="O99">
        <f>IF($J99="",0,($M99-$L99+IF($A99=2,$H99,0))*$N99)</f>
      </c>
      <c r="P99">
        <f>IF($J99="",0,IF($A99=2,$H99*$N99,0))</f>
      </c>
    </row>
    <row r="100" spans="1:16"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c r="N100">
        <f>IF($E100="SGD",1,IF($E100="USD",Settings!$B$22,IF($E100="HKD",Settings!$B$23,1)))</f>
      </c>
      <c r="O100">
        <f>IF($J100="",0,($M100-$L100+IF($A100=2,$H100,0))*$N100)</f>
      </c>
      <c r="P100">
        <f>IF($J100="",0,IF($A100=2,$H100*$N100,0))</f>
      </c>
    </row>
    <row r="101" spans="1:16"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c r="N101">
        <f>IF($E101="SGD",1,IF($E101="USD",Settings!$B$22,IF($E101="HKD",Settings!$B$23,1)))</f>
      </c>
      <c r="O101">
        <f>IF($J101="",0,($M101-$L101+IF($A101=2,$H101,0))*$N101)</f>
      </c>
      <c r="P101">
        <f>IF($J101="",0,IF($A101=2,$H101*$N101,0))</f>
      </c>
    </row>
    <row r="102" spans="1:16"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c r="N102">
        <f>IF($E102="SGD",1,IF($E102="USD",Settings!$B$22,IF($E102="HKD",Settings!$B$23,1)))</f>
      </c>
      <c r="O102">
        <f>IF($J102="",0,($M102-$L102+IF($A102=2,$H102,0))*$N102)</f>
      </c>
      <c r="P102">
        <f>IF($J102="",0,IF($A102=2,$H102*$N102,0))</f>
      </c>
    </row>
    <row r="103" spans="1:16"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c r="N103">
        <f>IF($E103="SGD",1,IF($E103="USD",Settings!$B$22,IF($E103="HKD",Settings!$B$23,1)))</f>
      </c>
      <c r="O103">
        <f>IF($J103="",0,($M103-$L103+IF($A103=2,$H103,0))*$N103)</f>
      </c>
      <c r="P103">
        <f>IF($J103="",0,IF($A103=2,$H103*$N103,0))</f>
      </c>
    </row>
    <row r="104" spans="1:16"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c r="N104">
        <f>IF($E104="SGD",1,IF($E104="USD",Settings!$B$22,IF($E104="HKD",Settings!$B$23,1)))</f>
      </c>
      <c r="O104">
        <f>IF($J104="",0,($M104-$L104+IF($A104=2,$H104,0))*$N104)</f>
      </c>
      <c r="P104">
        <f>IF($J104="",0,IF($A104=2,$H104*$N104,0))</f>
      </c>
    </row>
    <row r="105" spans="1:16"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c r="N105">
        <f>IF($E105="SGD",1,IF($E105="USD",Settings!$B$22,IF($E105="HKD",Settings!$B$23,1)))</f>
      </c>
      <c r="O105">
        <f>IF($J105="",0,($M105-$L105+IF($A105=2,$H105,0))*$N105)</f>
      </c>
      <c r="P105">
        <f>IF($J105="",0,IF($A105=2,$H105*$N105,0))</f>
      </c>
    </row>
    <row r="106" spans="1:16"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c r="N106">
        <f>IF($E106="SGD",1,IF($E106="USD",Settings!$B$22,IF($E106="HKD",Settings!$B$23,1)))</f>
      </c>
      <c r="O106">
        <f>IF($J106="",0,($M106-$L106+IF($A106=2,$H106,0))*$N106)</f>
      </c>
      <c r="P106">
        <f>IF($J106="",0,IF($A106=2,$H106*$N106,0))</f>
      </c>
    </row>
    <row r="107" spans="1:16"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c r="N107">
        <f>IF($E107="SGD",1,IF($E107="USD",Settings!$B$22,IF($E107="HKD",Settings!$B$23,1)))</f>
      </c>
      <c r="O107">
        <f>IF($J107="",0,($M107-$L107+IF($A107=2,$H107,0))*$N107)</f>
      </c>
      <c r="P107">
        <f>IF($J107="",0,IF($A107=2,$H107*$N107,0))</f>
      </c>
    </row>
    <row r="108" spans="1:16"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c r="N108">
        <f>IF($E108="SGD",1,IF($E108="USD",Settings!$B$22,IF($E108="HKD",Settings!$B$23,1)))</f>
      </c>
      <c r="O108">
        <f>IF($J108="",0,($M108-$L108+IF($A108=2,$H108,0))*$N108)</f>
      </c>
      <c r="P108">
        <f>IF($J108="",0,IF($A108=2,$H108*$N108,0))</f>
      </c>
    </row>
    <row r="109" spans="1:16"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c r="N109">
        <f>IF($E109="SGD",1,IF($E109="USD",Settings!$B$22,IF($E109="HKD",Settings!$B$23,1)))</f>
      </c>
      <c r="O109">
        <f>IF($J109="",0,($M109-$L109+IF($A109=2,$H109,0))*$N109)</f>
      </c>
      <c r="P109">
        <f>IF($J109="",0,IF($A109=2,$H109*$N109,0))</f>
      </c>
    </row>
    <row r="110" spans="1:16"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c r="N110">
        <f>IF($E110="SGD",1,IF($E110="USD",Settings!$B$22,IF($E110="HKD",Settings!$B$23,1)))</f>
      </c>
      <c r="O110">
        <f>IF($J110="",0,($M110-$L110+IF($A110=2,$H110,0))*$N110)</f>
      </c>
      <c r="P110">
        <f>IF($J110="",0,IF($A110=2,$H110*$N110,0))</f>
      </c>
    </row>
    <row r="111" spans="1:16"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c r="N111">
        <f>IF($E111="SGD",1,IF($E111="USD",Settings!$B$22,IF($E111="HKD",Settings!$B$23,1)))</f>
      </c>
      <c r="O111">
        <f>IF($J111="",0,($M111-$L111+IF($A111=2,$H111,0))*$N111)</f>
      </c>
      <c r="P111">
        <f>IF($J111="",0,IF($A111=2,$H111*$N111,0))</f>
      </c>
    </row>
    <row r="112" spans="1:16"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c r="N112">
        <f>IF($E112="SGD",1,IF($E112="USD",Settings!$B$22,IF($E112="HKD",Settings!$B$23,1)))</f>
      </c>
      <c r="O112">
        <f>IF($J112="",0,($M112-$L112+IF($A112=2,$H112,0))*$N112)</f>
      </c>
      <c r="P112">
        <f>IF($J112="",0,IF($A112=2,$H112*$N112,0))</f>
      </c>
    </row>
    <row r="113" spans="1:16"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c r="N113">
        <f>IF($E113="SGD",1,IF($E113="USD",Settings!$B$22,IF($E113="HKD",Settings!$B$23,1)))</f>
      </c>
      <c r="O113">
        <f>IF($J113="",0,($M113-$L113+IF($A113=2,$H113,0))*$N113)</f>
      </c>
      <c r="P113">
        <f>IF($J113="",0,IF($A113=2,$H113*$N113,0))</f>
      </c>
    </row>
    <row r="114" spans="1:16"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c r="N114">
        <f>IF($E114="SGD",1,IF($E114="USD",Settings!$B$22,IF($E114="HKD",Settings!$B$23,1)))</f>
      </c>
      <c r="O114">
        <f>IF($J114="",0,($M114-$L114+IF($A114=2,$H114,0))*$N114)</f>
      </c>
      <c r="P114">
        <f>IF($J114="",0,IF($A114=2,$H114*$N114,0))</f>
      </c>
    </row>
    <row r="115" spans="1:16"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c r="N115">
        <f>IF($E115="SGD",1,IF($E115="USD",Settings!$B$22,IF($E115="HKD",Settings!$B$23,1)))</f>
      </c>
      <c r="O115">
        <f>IF($J115="",0,($M115-$L115+IF($A115=2,$H115,0))*$N115)</f>
      </c>
      <c r="P115">
        <f>IF($J115="",0,IF($A115=2,$H115*$N115,0))</f>
      </c>
    </row>
    <row r="116" spans="1:16"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c r="N116">
        <f>IF($E116="SGD",1,IF($E116="USD",Settings!$B$22,IF($E116="HKD",Settings!$B$23,1)))</f>
      </c>
      <c r="O116">
        <f>IF($J116="",0,($M116-$L116+IF($A116=2,$H116,0))*$N116)</f>
      </c>
      <c r="P116">
        <f>IF($J116="",0,IF($A116=2,$H116*$N116,0))</f>
      </c>
    </row>
    <row r="117" spans="1:16"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c r="N117">
        <f>IF($E117="SGD",1,IF($E117="USD",Settings!$B$22,IF($E117="HKD",Settings!$B$23,1)))</f>
      </c>
      <c r="O117">
        <f>IF($J117="",0,($M117-$L117+IF($A117=2,$H117,0))*$N117)</f>
      </c>
      <c r="P117">
        <f>IF($J117="",0,IF($A117=2,$H117*$N117,0))</f>
      </c>
    </row>
    <row r="118" spans="1:16"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c r="N118">
        <f>IF($E118="SGD",1,IF($E118="USD",Settings!$B$22,IF($E118="HKD",Settings!$B$23,1)))</f>
      </c>
      <c r="O118">
        <f>IF($J118="",0,($M118-$L118+IF($A118=2,$H118,0))*$N118)</f>
      </c>
      <c r="P118">
        <f>IF($J118="",0,IF($A118=2,$H118*$N118,0))</f>
      </c>
    </row>
    <row r="119" spans="1:16"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c r="N119">
        <f>IF($E119="SGD",1,IF($E119="USD",Settings!$B$22,IF($E119="HKD",Settings!$B$23,1)))</f>
      </c>
      <c r="O119">
        <f>IF($J119="",0,($M119-$L119+IF($A119=2,$H119,0))*$N119)</f>
      </c>
      <c r="P119">
        <f>IF($J119="",0,IF($A119=2,$H119*$N119,0))</f>
      </c>
    </row>
    <row r="120" spans="1:16"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c r="N120">
        <f>IF($E120="SGD",1,IF($E120="USD",Settings!$B$22,IF($E120="HKD",Settings!$B$23,1)))</f>
      </c>
      <c r="O120">
        <f>IF($J120="",0,($M120-$L120+IF($A120=2,$H120,0))*$N120)</f>
      </c>
      <c r="P120">
        <f>IF($J120="",0,IF($A120=2,$H120*$N120,0))</f>
      </c>
    </row>
    <row r="121" spans="1:16"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c r="N121">
        <f>IF($E121="SGD",1,IF($E121="USD",Settings!$B$22,IF($E121="HKD",Settings!$B$23,1)))</f>
      </c>
      <c r="O121">
        <f>IF($J121="",0,($M121-$L121+IF($A121=2,$H121,0))*$N121)</f>
      </c>
      <c r="P121">
        <f>IF($J121="",0,IF($A121=2,$H121*$N121,0))</f>
      </c>
    </row>
    <row r="122" spans="1:16"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c r="N122">
        <f>IF($E122="SGD",1,IF($E122="USD",Settings!$B$22,IF($E122="HKD",Settings!$B$23,1)))</f>
      </c>
      <c r="O122">
        <f>IF($J122="",0,($M122-$L122+IF($A122=2,$H122,0))*$N122)</f>
      </c>
      <c r="P122">
        <f>IF($J122="",0,IF($A122=2,$H122*$N122,0))</f>
      </c>
    </row>
    <row r="123" spans="1:16"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c r="N123">
        <f>IF($E123="SGD",1,IF($E123="USD",Settings!$B$22,IF($E123="HKD",Settings!$B$23,1)))</f>
      </c>
      <c r="O123">
        <f>IF($J123="",0,($M123-$L123+IF($A123=2,$H123,0))*$N123)</f>
      </c>
      <c r="P123">
        <f>IF($J123="",0,IF($A123=2,$H123*$N123,0))</f>
      </c>
    </row>
    <row r="124" spans="1:16"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c r="N124">
        <f>IF($E124="SGD",1,IF($E124="USD",Settings!$B$22,IF($E124="HKD",Settings!$B$23,1)))</f>
      </c>
      <c r="O124">
        <f>IF($J124="",0,($M124-$L124+IF($A124=2,$H124,0))*$N124)</f>
      </c>
      <c r="P124">
        <f>IF($J124="",0,IF($A124=2,$H124*$N124,0))</f>
      </c>
    </row>
    <row r="125" spans="1:16"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c r="N125">
        <f>IF($E125="SGD",1,IF($E125="USD",Settings!$B$22,IF($E125="HKD",Settings!$B$23,1)))</f>
      </c>
      <c r="O125">
        <f>IF($J125="",0,($M125-$L125+IF($A125=2,$H125,0))*$N125)</f>
      </c>
      <c r="P125">
        <f>IF($J125="",0,IF($A125=2,$H125*$N125,0))</f>
      </c>
    </row>
    <row r="126" spans="1:16"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c r="N126">
        <f>IF($E126="SGD",1,IF($E126="USD",Settings!$B$22,IF($E126="HKD",Settings!$B$23,1)))</f>
      </c>
      <c r="O126">
        <f>IF($J126="",0,($M126-$L126+IF($A126=2,$H126,0))*$N126)</f>
      </c>
      <c r="P126">
        <f>IF($J126="",0,IF($A126=2,$H126*$N126,0))</f>
      </c>
    </row>
    <row r="127" spans="1:16"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c r="N127">
        <f>IF($E127="SGD",1,IF($E127="USD",Settings!$B$22,IF($E127="HKD",Settings!$B$23,1)))</f>
      </c>
      <c r="O127">
        <f>IF($J127="",0,($M127-$L127+IF($A127=2,$H127,0))*$N127)</f>
      </c>
      <c r="P127">
        <f>IF($J127="",0,IF($A127=2,$H127*$N127,0))</f>
      </c>
    </row>
    <row r="128" spans="1:16"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c r="N128">
        <f>IF($E128="SGD",1,IF($E128="USD",Settings!$B$22,IF($E128="HKD",Settings!$B$23,1)))</f>
      </c>
      <c r="O128">
        <f>IF($J128="",0,($M128-$L128+IF($A128=2,$H128,0))*$N128)</f>
      </c>
      <c r="P128">
        <f>IF($J128="",0,IF($A128=2,$H128*$N128,0))</f>
      </c>
    </row>
    <row r="129" spans="1:16"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c r="N129">
        <f>IF($E129="SGD",1,IF($E129="USD",Settings!$B$22,IF($E129="HKD",Settings!$B$23,1)))</f>
      </c>
      <c r="O129">
        <f>IF($J129="",0,($M129-$L129+IF($A129=2,$H129,0))*$N129)</f>
      </c>
      <c r="P129">
        <f>IF($J129="",0,IF($A129=2,$H129*$N129,0))</f>
      </c>
    </row>
    <row r="130" spans="1:16"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c r="N130">
        <f>IF($E130="SGD",1,IF($E130="USD",Settings!$B$22,IF($E130="HKD",Settings!$B$23,1)))</f>
      </c>
      <c r="O130">
        <f>IF($J130="",0,($M130-$L130+IF($A130=2,$H130,0))*$N130)</f>
      </c>
      <c r="P130">
        <f>IF($J130="",0,IF($A130=2,$H130*$N130,0))</f>
      </c>
    </row>
    <row r="131" spans="1:16"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c r="N131">
        <f>IF($E131="SGD",1,IF($E131="USD",Settings!$B$22,IF($E131="HKD",Settings!$B$23,1)))</f>
      </c>
      <c r="O131">
        <f>IF($J131="",0,($M131-$L131+IF($A131=2,$H131,0))*$N131)</f>
      </c>
      <c r="P131">
        <f>IF($J131="",0,IF($A131=2,$H131*$N131,0))</f>
      </c>
    </row>
    <row r="132" spans="1:16"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c r="N132">
        <f>IF($E132="SGD",1,IF($E132="USD",Settings!$B$22,IF($E132="HKD",Settings!$B$23,1)))</f>
      </c>
      <c r="O132">
        <f>IF($J132="",0,($M132-$L132+IF($A132=2,$H132,0))*$N132)</f>
      </c>
      <c r="P132">
        <f>IF($J132="",0,IF($A132=2,$H132*$N132,0))</f>
      </c>
    </row>
    <row r="133" spans="1:16"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c r="N133">
        <f>IF($E133="SGD",1,IF($E133="USD",Settings!$B$22,IF($E133="HKD",Settings!$B$23,1)))</f>
      </c>
      <c r="O133">
        <f>IF($J133="",0,($M133-$L133+IF($A133=2,$H133,0))*$N133)</f>
      </c>
      <c r="P133">
        <f>IF($J133="",0,IF($A133=2,$H133*$N133,0))</f>
      </c>
    </row>
    <row r="134" spans="1:16"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c r="N134">
        <f>IF($E134="SGD",1,IF($E134="USD",Settings!$B$22,IF($E134="HKD",Settings!$B$23,1)))</f>
      </c>
      <c r="O134">
        <f>IF($J134="",0,($M134-$L134+IF($A134=2,$H134,0))*$N134)</f>
      </c>
      <c r="P134">
        <f>IF($J134="",0,IF($A134=2,$H134*$N134,0))</f>
      </c>
    </row>
    <row r="135" spans="1:16"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c r="N135">
        <f>IF($E135="SGD",1,IF($E135="USD",Settings!$B$22,IF($E135="HKD",Settings!$B$23,1)))</f>
      </c>
      <c r="O135">
        <f>IF($J135="",0,($M135-$L135+IF($A135=2,$H135,0))*$N135)</f>
      </c>
      <c r="P135">
        <f>IF($J135="",0,IF($A135=2,$H135*$N135,0))</f>
      </c>
    </row>
    <row r="136" spans="1:16"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c r="N136">
        <f>IF($E136="SGD",1,IF($E136="USD",Settings!$B$22,IF($E136="HKD",Settings!$B$23,1)))</f>
      </c>
      <c r="O136">
        <f>IF($J136="",0,($M136-$L136+IF($A136=2,$H136,0))*$N136)</f>
      </c>
      <c r="P136">
        <f>IF($J136="",0,IF($A136=2,$H136*$N136,0))</f>
      </c>
    </row>
    <row r="137" spans="1:16"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c r="N137">
        <f>IF($E137="SGD",1,IF($E137="USD",Settings!$B$22,IF($E137="HKD",Settings!$B$23,1)))</f>
      </c>
      <c r="O137">
        <f>IF($J137="",0,($M137-$L137+IF($A137=2,$H137,0))*$N137)</f>
      </c>
      <c r="P137">
        <f>IF($J137="",0,IF($A137=2,$H137*$N137,0))</f>
      </c>
    </row>
    <row r="138" spans="1:16"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c r="N138">
        <f>IF($E138="SGD",1,IF($E138="USD",Settings!$B$22,IF($E138="HKD",Settings!$B$23,1)))</f>
      </c>
      <c r="O138">
        <f>IF($J138="",0,($M138-$L138+IF($A138=2,$H138,0))*$N138)</f>
      </c>
      <c r="P138">
        <f>IF($J138="",0,IF($A138=2,$H138*$N138,0))</f>
      </c>
    </row>
    <row r="139" spans="1:16"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c r="N139">
        <f>IF($E139="SGD",1,IF($E139="USD",Settings!$B$22,IF($E139="HKD",Settings!$B$23,1)))</f>
      </c>
      <c r="O139">
        <f>IF($J139="",0,($M139-$L139+IF($A139=2,$H139,0))*$N139)</f>
      </c>
      <c r="P139">
        <f>IF($J139="",0,IF($A139=2,$H139*$N139,0))</f>
      </c>
    </row>
    <row r="140" spans="1:16"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c r="N140">
        <f>IF($E140="SGD",1,IF($E140="USD",Settings!$B$22,IF($E140="HKD",Settings!$B$23,1)))</f>
      </c>
      <c r="O140">
        <f>IF($J140="",0,($M140-$L140+IF($A140=2,$H140,0))*$N140)</f>
      </c>
      <c r="P140">
        <f>IF($J140="",0,IF($A140=2,$H140*$N140,0))</f>
      </c>
    </row>
    <row r="141" spans="1:16"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c r="N141">
        <f>IF($E141="SGD",1,IF($E141="USD",Settings!$B$22,IF($E141="HKD",Settings!$B$23,1)))</f>
      </c>
      <c r="O141">
        <f>IF($J141="",0,($M141-$L141+IF($A141=2,$H141,0))*$N141)</f>
      </c>
      <c r="P141">
        <f>IF($J141="",0,IF($A141=2,$H141*$N141,0))</f>
      </c>
    </row>
    <row r="142" spans="1:16"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c r="N142">
        <f>IF($E142="SGD",1,IF($E142="USD",Settings!$B$22,IF($E142="HKD",Settings!$B$23,1)))</f>
      </c>
      <c r="O142">
        <f>IF($J142="",0,($M142-$L142+IF($A142=2,$H142,0))*$N142)</f>
      </c>
      <c r="P142">
        <f>IF($J142="",0,IF($A142=2,$H142*$N142,0))</f>
      </c>
    </row>
    <row r="143" spans="1:16"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c r="N143">
        <f>IF($E143="SGD",1,IF($E143="USD",Settings!$B$22,IF($E143="HKD",Settings!$B$23,1)))</f>
      </c>
      <c r="O143">
        <f>IF($J143="",0,($M143-$L143+IF($A143=2,$H143,0))*$N143)</f>
      </c>
      <c r="P143">
        <f>IF($J143="",0,IF($A143=2,$H143*$N143,0))</f>
      </c>
    </row>
    <row r="144" spans="1:16"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c r="N144">
        <f>IF($E144="SGD",1,IF($E144="USD",Settings!$B$22,IF($E144="HKD",Settings!$B$23,1)))</f>
      </c>
      <c r="O144">
        <f>IF($J144="",0,($M144-$L144+IF($A144=2,$H144,0))*$N144)</f>
      </c>
      <c r="P144">
        <f>IF($J144="",0,IF($A144=2,$H144*$N144,0))</f>
      </c>
    </row>
    <row r="145" spans="1:16"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c r="N145">
        <f>IF($E145="SGD",1,IF($E145="USD",Settings!$B$22,IF($E145="HKD",Settings!$B$23,1)))</f>
      </c>
      <c r="O145">
        <f>IF($J145="",0,($M145-$L145+IF($A145=2,$H145,0))*$N145)</f>
      </c>
      <c r="P145">
        <f>IF($J145="",0,IF($A145=2,$H145*$N145,0))</f>
      </c>
    </row>
    <row r="146" spans="1:16"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c r="N146">
        <f>IF($E146="SGD",1,IF($E146="USD",Settings!$B$22,IF($E146="HKD",Settings!$B$23,1)))</f>
      </c>
      <c r="O146">
        <f>IF($J146="",0,($M146-$L146+IF($A146=2,$H146,0))*$N146)</f>
      </c>
      <c r="P146">
        <f>IF($J146="",0,IF($A146=2,$H146*$N146,0))</f>
      </c>
    </row>
    <row r="147" spans="1:16"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c r="N147">
        <f>IF($E147="SGD",1,IF($E147="USD",Settings!$B$22,IF($E147="HKD",Settings!$B$23,1)))</f>
      </c>
      <c r="O147">
        <f>IF($J147="",0,($M147-$L147+IF($A147=2,$H147,0))*$N147)</f>
      </c>
      <c r="P147">
        <f>IF($J147="",0,IF($A147=2,$H147*$N147,0))</f>
      </c>
    </row>
    <row r="148" spans="1:16"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c r="N148">
        <f>IF($E148="SGD",1,IF($E148="USD",Settings!$B$22,IF($E148="HKD",Settings!$B$23,1)))</f>
      </c>
      <c r="O148">
        <f>IF($J148="",0,($M148-$L148+IF($A148=2,$H148,0))*$N148)</f>
      </c>
      <c r="P148">
        <f>IF($J148="",0,IF($A148=2,$H148*$N148,0))</f>
      </c>
    </row>
    <row r="149" spans="1:16"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c r="N149">
        <f>IF($E149="SGD",1,IF($E149="USD",Settings!$B$22,IF($E149="HKD",Settings!$B$23,1)))</f>
      </c>
      <c r="O149">
        <f>IF($J149="",0,($M149-$L149+IF($A149=2,$H149,0))*$N149)</f>
      </c>
      <c r="P149">
        <f>IF($J149="",0,IF($A149=2,$H149*$N149,0))</f>
      </c>
    </row>
    <row r="150" spans="1:16"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c r="N150">
        <f>IF($E150="SGD",1,IF($E150="USD",Settings!$B$22,IF($E150="HKD",Settings!$B$23,1)))</f>
      </c>
      <c r="O150">
        <f>IF($J150="",0,($M150-$L150+IF($A150=2,$H150,0))*$N150)</f>
      </c>
      <c r="P150">
        <f>IF($J150="",0,IF($A150=2,$H150*$N150,0))</f>
      </c>
    </row>
    <row r="151" spans="1:16"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c r="N151">
        <f>IF($E151="SGD",1,IF($E151="USD",Settings!$B$22,IF($E151="HKD",Settings!$B$23,1)))</f>
      </c>
      <c r="O151">
        <f>IF($J151="",0,($M151-$L151+IF($A151=2,$H151,0))*$N151)</f>
      </c>
      <c r="P151">
        <f>IF($J151="",0,IF($A151=2,$H151*$N151,0))</f>
      </c>
    </row>
    <row r="152" spans="1:16"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c r="N152">
        <f>IF($E152="SGD",1,IF($E152="USD",Settings!$B$22,IF($E152="HKD",Settings!$B$23,1)))</f>
      </c>
      <c r="O152">
        <f>IF($J152="",0,($M152-$L152+IF($A152=2,$H152,0))*$N152)</f>
      </c>
      <c r="P152">
        <f>IF($J152="",0,IF($A152=2,$H152*$N152,0))</f>
      </c>
    </row>
    <row r="153" spans="1:16"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c r="N153">
        <f>IF($E153="SGD",1,IF($E153="USD",Settings!$B$22,IF($E153="HKD",Settings!$B$23,1)))</f>
      </c>
      <c r="O153">
        <f>IF($J153="",0,($M153-$L153+IF($A153=2,$H153,0))*$N153)</f>
      </c>
      <c r="P153">
        <f>IF($J153="",0,IF($A153=2,$H153*$N153,0))</f>
      </c>
    </row>
    <row r="154" spans="1:16"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c r="N154">
        <f>IF($E154="SGD",1,IF($E154="USD",Settings!$B$22,IF($E154="HKD",Settings!$B$23,1)))</f>
      </c>
      <c r="O154">
        <f>IF($J154="",0,($M154-$L154+IF($A154=2,$H154,0))*$N154)</f>
      </c>
      <c r="P154">
        <f>IF($J154="",0,IF($A154=2,$H154*$N154,0))</f>
      </c>
    </row>
    <row r="155" spans="1:16"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c r="N155">
        <f>IF($E155="SGD",1,IF($E155="USD",Settings!$B$22,IF($E155="HKD",Settings!$B$23,1)))</f>
      </c>
      <c r="O155">
        <f>IF($J155="",0,($M155-$L155+IF($A155=2,$H155,0))*$N155)</f>
      </c>
      <c r="P155">
        <f>IF($J155="",0,IF($A155=2,$H155*$N155,0))</f>
      </c>
    </row>
    <row r="156" spans="1:16"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c r="N156">
        <f>IF($E156="SGD",1,IF($E156="USD",Settings!$B$22,IF($E156="HKD",Settings!$B$23,1)))</f>
      </c>
      <c r="O156">
        <f>IF($J156="",0,($M156-$L156+IF($A156=2,$H156,0))*$N156)</f>
      </c>
      <c r="P156">
        <f>IF($J156="",0,IF($A156=2,$H156*$N156,0))</f>
      </c>
    </row>
    <row r="157" spans="1:16"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c r="N157">
        <f>IF($E157="SGD",1,IF($E157="USD",Settings!$B$22,IF($E157="HKD",Settings!$B$23,1)))</f>
      </c>
      <c r="O157">
        <f>IF($J157="",0,($M157-$L157+IF($A157=2,$H157,0))*$N157)</f>
      </c>
      <c r="P157">
        <f>IF($J157="",0,IF($A157=2,$H157*$N157,0))</f>
      </c>
    </row>
    <row r="158" spans="1:16"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c r="N158">
        <f>IF($E158="SGD",1,IF($E158="USD",Settings!$B$22,IF($E158="HKD",Settings!$B$23,1)))</f>
      </c>
      <c r="O158">
        <f>IF($J158="",0,($M158-$L158+IF($A158=2,$H158,0))*$N158)</f>
      </c>
      <c r="P158">
        <f>IF($J158="",0,IF($A158=2,$H158*$N158,0))</f>
      </c>
    </row>
    <row r="159" spans="1:16"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c r="N159">
        <f>IF($E159="SGD",1,IF($E159="USD",Settings!$B$22,IF($E159="HKD",Settings!$B$23,1)))</f>
      </c>
      <c r="O159">
        <f>IF($J159="",0,($M159-$L159+IF($A159=2,$H159,0))*$N159)</f>
      </c>
      <c r="P159">
        <f>IF($J159="",0,IF($A159=2,$H159*$N159,0))</f>
      </c>
    </row>
    <row r="160" spans="1:16"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c r="N160">
        <f>IF($E160="SGD",1,IF($E160="USD",Settings!$B$22,IF($E160="HKD",Settings!$B$23,1)))</f>
      </c>
      <c r="O160">
        <f>IF($J160="",0,($M160-$L160+IF($A160=2,$H160,0))*$N160)</f>
      </c>
      <c r="P160">
        <f>IF($J160="",0,IF($A160=2,$H160*$N160,0))</f>
      </c>
    </row>
    <row r="161" spans="1:16"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c r="N161">
        <f>IF($E161="SGD",1,IF($E161="USD",Settings!$B$22,IF($E161="HKD",Settings!$B$23,1)))</f>
      </c>
      <c r="O161">
        <f>IF($J161="",0,($M161-$L161+IF($A161=2,$H161,0))*$N161)</f>
      </c>
      <c r="P161">
        <f>IF($J161="",0,IF($A161=2,$H161*$N161,0))</f>
      </c>
    </row>
    <row r="162" spans="1:16"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c r="N162">
        <f>IF($E162="SGD",1,IF($E162="USD",Settings!$B$22,IF($E162="HKD",Settings!$B$23,1)))</f>
      </c>
      <c r="O162">
        <f>IF($J162="",0,($M162-$L162+IF($A162=2,$H162,0))*$N162)</f>
      </c>
      <c r="P162">
        <f>IF($J162="",0,IF($A162=2,$H162*$N162,0))</f>
      </c>
    </row>
    <row r="163" spans="1:16"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c r="N163">
        <f>IF($E163="SGD",1,IF($E163="USD",Settings!$B$22,IF($E163="HKD",Settings!$B$23,1)))</f>
      </c>
      <c r="O163">
        <f>IF($J163="",0,($M163-$L163+IF($A163=2,$H163,0))*$N163)</f>
      </c>
      <c r="P163">
        <f>IF($J163="",0,IF($A163=2,$H163*$N163,0))</f>
      </c>
    </row>
    <row r="164" spans="1:16"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c r="N164">
        <f>IF($E164="SGD",1,IF($E164="USD",Settings!$B$22,IF($E164="HKD",Settings!$B$23,1)))</f>
      </c>
      <c r="O164">
        <f>IF($J164="",0,($M164-$L164+IF($A164=2,$H164,0))*$N164)</f>
      </c>
      <c r="P164">
        <f>IF($J164="",0,IF($A164=2,$H164*$N164,0))</f>
      </c>
    </row>
    <row r="165" spans="1:16"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c r="N165">
        <f>IF($E165="SGD",1,IF($E165="USD",Settings!$B$22,IF($E165="HKD",Settings!$B$23,1)))</f>
      </c>
      <c r="O165">
        <f>IF($J165="",0,($M165-$L165+IF($A165=2,$H165,0))*$N165)</f>
      </c>
      <c r="P165">
        <f>IF($J165="",0,IF($A165=2,$H165*$N165,0))</f>
      </c>
    </row>
    <row r="166" spans="1:16"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c r="N166">
        <f>IF($E166="SGD",1,IF($E166="USD",Settings!$B$22,IF($E166="HKD",Settings!$B$23,1)))</f>
      </c>
      <c r="O166">
        <f>IF($J166="",0,($M166-$L166+IF($A166=2,$H166,0))*$N166)</f>
      </c>
      <c r="P166">
        <f>IF($J166="",0,IF($A166=2,$H166*$N166,0))</f>
      </c>
    </row>
    <row r="167" spans="1:16"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c r="N167">
        <f>IF($E167="SGD",1,IF($E167="USD",Settings!$B$22,IF($E167="HKD",Settings!$B$23,1)))</f>
      </c>
      <c r="O167">
        <f>IF($J167="",0,($M167-$L167+IF($A167=2,$H167,0))*$N167)</f>
      </c>
      <c r="P167">
        <f>IF($J167="",0,IF($A167=2,$H167*$N167,0))</f>
      </c>
    </row>
    <row r="168" spans="1:16"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c r="N168">
        <f>IF($E168="SGD",1,IF($E168="USD",Settings!$B$22,IF($E168="HKD",Settings!$B$23,1)))</f>
      </c>
      <c r="O168">
        <f>IF($J168="",0,($M168-$L168+IF($A168=2,$H168,0))*$N168)</f>
      </c>
      <c r="P168">
        <f>IF($J168="",0,IF($A168=2,$H168*$N168,0))</f>
      </c>
    </row>
    <row r="169" spans="1:16"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c r="N169">
        <f>IF($E169="SGD",1,IF($E169="USD",Settings!$B$22,IF($E169="HKD",Settings!$B$23,1)))</f>
      </c>
      <c r="O169">
        <f>IF($J169="",0,($M169-$L169+IF($A169=2,$H169,0))*$N169)</f>
      </c>
      <c r="P169">
        <f>IF($J169="",0,IF($A169=2,$H169*$N169,0))</f>
      </c>
    </row>
    <row r="170" spans="1:16"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c r="N170">
        <f>IF($E170="SGD",1,IF($E170="USD",Settings!$B$22,IF($E170="HKD",Settings!$B$23,1)))</f>
      </c>
      <c r="O170">
        <f>IF($J170="",0,($M170-$L170+IF($A170=2,$H170,0))*$N170)</f>
      </c>
      <c r="P170">
        <f>IF($J170="",0,IF($A170=2,$H170*$N170,0))</f>
      </c>
    </row>
    <row r="171" spans="1:16"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c r="N171">
        <f>IF($E171="SGD",1,IF($E171="USD",Settings!$B$22,IF($E171="HKD",Settings!$B$23,1)))</f>
      </c>
      <c r="O171">
        <f>IF($J171="",0,($M171-$L171+IF($A171=2,$H171,0))*$N171)</f>
      </c>
      <c r="P171">
        <f>IF($J171="",0,IF($A171=2,$H171*$N171,0))</f>
      </c>
    </row>
    <row r="172" spans="1:16"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c r="N172">
        <f>IF($E172="SGD",1,IF($E172="USD",Settings!$B$22,IF($E172="HKD",Settings!$B$23,1)))</f>
      </c>
      <c r="O172">
        <f>IF($J172="",0,($M172-$L172+IF($A172=2,$H172,0))*$N172)</f>
      </c>
      <c r="P172">
        <f>IF($J172="",0,IF($A172=2,$H172*$N172,0))</f>
      </c>
    </row>
    <row r="173" spans="1:16"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c r="N173">
        <f>IF($E173="SGD",1,IF($E173="USD",Settings!$B$22,IF($E173="HKD",Settings!$B$23,1)))</f>
      </c>
      <c r="O173">
        <f>IF($J173="",0,($M173-$L173+IF($A173=2,$H173,0))*$N173)</f>
      </c>
      <c r="P173">
        <f>IF($J173="",0,IF($A173=2,$H173*$N173,0))</f>
      </c>
    </row>
    <row r="174" spans="1:16"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c r="N174">
        <f>IF($E174="SGD",1,IF($E174="USD",Settings!$B$22,IF($E174="HKD",Settings!$B$23,1)))</f>
      </c>
      <c r="O174">
        <f>IF($J174="",0,($M174-$L174+IF($A174=2,$H174,0))*$N174)</f>
      </c>
      <c r="P174">
        <f>IF($J174="",0,IF($A174=2,$H174*$N174,0))</f>
      </c>
    </row>
    <row r="175" spans="1:16"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c r="N175">
        <f>IF($E175="SGD",1,IF($E175="USD",Settings!$B$22,IF($E175="HKD",Settings!$B$23,1)))</f>
      </c>
      <c r="O175">
        <f>IF($J175="",0,($M175-$L175+IF($A175=2,$H175,0))*$N175)</f>
      </c>
      <c r="P175">
        <f>IF($J175="",0,IF($A175=2,$H175*$N175,0))</f>
      </c>
    </row>
    <row r="176" spans="1:16"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c r="N176">
        <f>IF($E176="SGD",1,IF($E176="USD",Settings!$B$22,IF($E176="HKD",Settings!$B$23,1)))</f>
      </c>
      <c r="O176">
        <f>IF($J176="",0,($M176-$L176+IF($A176=2,$H176,0))*$N176)</f>
      </c>
      <c r="P176">
        <f>IF($J176="",0,IF($A176=2,$H176*$N176,0))</f>
      </c>
    </row>
    <row r="177" spans="1:16"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c r="N177">
        <f>IF($E177="SGD",1,IF($E177="USD",Settings!$B$22,IF($E177="HKD",Settings!$B$23,1)))</f>
      </c>
      <c r="O177">
        <f>IF($J177="",0,($M177-$L177+IF($A177=2,$H177,0))*$N177)</f>
      </c>
      <c r="P177">
        <f>IF($J177="",0,IF($A177=2,$H177*$N177,0))</f>
      </c>
    </row>
    <row r="178" spans="1:16"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c r="N178">
        <f>IF($E178="SGD",1,IF($E178="USD",Settings!$B$22,IF($E178="HKD",Settings!$B$23,1)))</f>
      </c>
      <c r="O178">
        <f>IF($J178="",0,($M178-$L178+IF($A178=2,$H178,0))*$N178)</f>
      </c>
      <c r="P178">
        <f>IF($J178="",0,IF($A178=2,$H178*$N178,0))</f>
      </c>
    </row>
    <row r="179" spans="1:16"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c r="N179">
        <f>IF($E179="SGD",1,IF($E179="USD",Settings!$B$22,IF($E179="HKD",Settings!$B$23,1)))</f>
      </c>
      <c r="O179">
        <f>IF($J179="",0,($M179-$L179+IF($A179=2,$H179,0))*$N179)</f>
      </c>
      <c r="P179">
        <f>IF($J179="",0,IF($A179=2,$H179*$N179,0))</f>
      </c>
    </row>
    <row r="180" spans="1:16"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c r="N180">
        <f>IF($E180="SGD",1,IF($E180="USD",Settings!$B$22,IF($E180="HKD",Settings!$B$23,1)))</f>
      </c>
      <c r="O180">
        <f>IF($J180="",0,($M180-$L180+IF($A180=2,$H180,0))*$N180)</f>
      </c>
      <c r="P180">
        <f>IF($J180="",0,IF($A180=2,$H180*$N180,0))</f>
      </c>
    </row>
    <row r="181" spans="1:16"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c r="N181">
        <f>IF($E181="SGD",1,IF($E181="USD",Settings!$B$22,IF($E181="HKD",Settings!$B$23,1)))</f>
      </c>
      <c r="O181">
        <f>IF($J181="",0,($M181-$L181+IF($A181=2,$H181,0))*$N181)</f>
      </c>
      <c r="P181">
        <f>IF($J181="",0,IF($A181=2,$H181*$N181,0))</f>
      </c>
    </row>
    <row r="182" spans="1:16"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c r="N182">
        <f>IF($E182="SGD",1,IF($E182="USD",Settings!$B$22,IF($E182="HKD",Settings!$B$23,1)))</f>
      </c>
      <c r="O182">
        <f>IF($J182="",0,($M182-$L182+IF($A182=2,$H182,0))*$N182)</f>
      </c>
      <c r="P182">
        <f>IF($J182="",0,IF($A182=2,$H182*$N182,0))</f>
      </c>
    </row>
    <row r="183" spans="1:16"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c r="N183">
        <f>IF($E183="SGD",1,IF($E183="USD",Settings!$B$22,IF($E183="HKD",Settings!$B$23,1)))</f>
      </c>
      <c r="O183">
        <f>IF($J183="",0,($M183-$L183+IF($A183=2,$H183,0))*$N183)</f>
      </c>
      <c r="P183">
        <f>IF($J183="",0,IF($A183=2,$H183*$N183,0))</f>
      </c>
    </row>
    <row r="184" spans="1:16"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c r="N184">
        <f>IF($E184="SGD",1,IF($E184="USD",Settings!$B$22,IF($E184="HKD",Settings!$B$23,1)))</f>
      </c>
      <c r="O184">
        <f>IF($J184="",0,($M184-$L184+IF($A184=2,$H184,0))*$N184)</f>
      </c>
      <c r="P184">
        <f>IF($J184="",0,IF($A184=2,$H184*$N184,0))</f>
      </c>
    </row>
    <row r="185" spans="1:16"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c r="N185">
        <f>IF($E185="SGD",1,IF($E185="USD",Settings!$B$22,IF($E185="HKD",Settings!$B$23,1)))</f>
      </c>
      <c r="O185">
        <f>IF($J185="",0,($M185-$L185+IF($A185=2,$H185,0))*$N185)</f>
      </c>
      <c r="P185">
        <f>IF($J185="",0,IF($A185=2,$H185*$N185,0))</f>
      </c>
    </row>
    <row r="186" spans="1:16"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c r="N186">
        <f>IF($E186="SGD",1,IF($E186="USD",Settings!$B$22,IF($E186="HKD",Settings!$B$23,1)))</f>
      </c>
      <c r="O186">
        <f>IF($J186="",0,($M186-$L186+IF($A186=2,$H186,0))*$N186)</f>
      </c>
      <c r="P186">
        <f>IF($J186="",0,IF($A186=2,$H186*$N186,0))</f>
      </c>
    </row>
    <row r="187" spans="1:16"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c r="N187">
        <f>IF($E187="SGD",1,IF($E187="USD",Settings!$B$22,IF($E187="HKD",Settings!$B$23,1)))</f>
      </c>
      <c r="O187">
        <f>IF($J187="",0,($M187-$L187+IF($A187=2,$H187,0))*$N187)</f>
      </c>
      <c r="P187">
        <f>IF($J187="",0,IF($A187=2,$H187*$N187,0))</f>
      </c>
    </row>
    <row r="188" spans="1:16"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c r="N188">
        <f>IF($E188="SGD",1,IF($E188="USD",Settings!$B$22,IF($E188="HKD",Settings!$B$23,1)))</f>
      </c>
      <c r="O188">
        <f>IF($J188="",0,($M188-$L188+IF($A188=2,$H188,0))*$N188)</f>
      </c>
      <c r="P188">
        <f>IF($J188="",0,IF($A188=2,$H188*$N188,0))</f>
      </c>
    </row>
    <row r="189" spans="1:16"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c r="N189">
        <f>IF($E189="SGD",1,IF($E189="USD",Settings!$B$22,IF($E189="HKD",Settings!$B$23,1)))</f>
      </c>
      <c r="O189">
        <f>IF($J189="",0,($M189-$L189+IF($A189=2,$H189,0))*$N189)</f>
      </c>
      <c r="P189">
        <f>IF($J189="",0,IF($A189=2,$H189*$N189,0))</f>
      </c>
    </row>
    <row r="190" spans="1:16"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c r="N190">
        <f>IF($E190="SGD",1,IF($E190="USD",Settings!$B$22,IF($E190="HKD",Settings!$B$23,1)))</f>
      </c>
      <c r="O190">
        <f>IF($J190="",0,($M190-$L190+IF($A190=2,$H190,0))*$N190)</f>
      </c>
      <c r="P190">
        <f>IF($J190="",0,IF($A190=2,$H190*$N190,0))</f>
      </c>
    </row>
    <row r="191" spans="1:16"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c r="N191">
        <f>IF($E191="SGD",1,IF($E191="USD",Settings!$B$22,IF($E191="HKD",Settings!$B$23,1)))</f>
      </c>
      <c r="O191">
        <f>IF($J191="",0,($M191-$L191+IF($A191=2,$H191,0))*$N191)</f>
      </c>
      <c r="P191">
        <f>IF($J191="",0,IF($A191=2,$H191*$N191,0))</f>
      </c>
    </row>
    <row r="192" spans="1:16"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c r="N192">
        <f>IF($E192="SGD",1,IF($E192="USD",Settings!$B$22,IF($E192="HKD",Settings!$B$23,1)))</f>
      </c>
      <c r="O192">
        <f>IF($J192="",0,($M192-$L192+IF($A192=2,$H192,0))*$N192)</f>
      </c>
      <c r="P192">
        <f>IF($J192="",0,IF($A192=2,$H192*$N192,0))</f>
      </c>
    </row>
    <row r="193" spans="1:16"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c r="N193">
        <f>IF($E193="SGD",1,IF($E193="USD",Settings!$B$22,IF($E193="HKD",Settings!$B$23,1)))</f>
      </c>
      <c r="O193">
        <f>IF($J193="",0,($M193-$L193+IF($A193=2,$H193,0))*$N193)</f>
      </c>
      <c r="P193">
        <f>IF($J193="",0,IF($A193=2,$H193*$N193,0))</f>
      </c>
    </row>
    <row r="194" spans="1:16"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c r="N194">
        <f>IF($E194="SGD",1,IF($E194="USD",Settings!$B$22,IF($E194="HKD",Settings!$B$23,1)))</f>
      </c>
      <c r="O194">
        <f>IF($J194="",0,($M194-$L194+IF($A194=2,$H194,0))*$N194)</f>
      </c>
      <c r="P194">
        <f>IF($J194="",0,IF($A194=2,$H194*$N194,0))</f>
      </c>
    </row>
    <row r="195" spans="1:16"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c r="N195">
        <f>IF($E195="SGD",1,IF($E195="USD",Settings!$B$22,IF($E195="HKD",Settings!$B$23,1)))</f>
      </c>
      <c r="O195">
        <f>IF($J195="",0,($M195-$L195+IF($A195=2,$H195,0))*$N195)</f>
      </c>
      <c r="P195">
        <f>IF($J195="",0,IF($A195=2,$H195*$N195,0))</f>
      </c>
    </row>
    <row r="196" spans="1:16"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c r="N196">
        <f>IF($E196="SGD",1,IF($E196="USD",Settings!$B$22,IF($E196="HKD",Settings!$B$23,1)))</f>
      </c>
      <c r="O196">
        <f>IF($J196="",0,($M196-$L196+IF($A196=2,$H196,0))*$N196)</f>
      </c>
      <c r="P196">
        <f>IF($J196="",0,IF($A196=2,$H196*$N196,0))</f>
      </c>
    </row>
    <row r="197" spans="1:16"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c r="N197">
        <f>IF($E197="SGD",1,IF($E197="USD",Settings!$B$22,IF($E197="HKD",Settings!$B$23,1)))</f>
      </c>
      <c r="O197">
        <f>IF($J197="",0,($M197-$L197+IF($A197=2,$H197,0))*$N197)</f>
      </c>
      <c r="P197">
        <f>IF($J197="",0,IF($A197=2,$H197*$N197,0))</f>
      </c>
    </row>
    <row r="198" spans="1:16"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c r="N198">
        <f>IF($E198="SGD",1,IF($E198="USD",Settings!$B$22,IF($E198="HKD",Settings!$B$23,1)))</f>
      </c>
      <c r="O198">
        <f>IF($J198="",0,($M198-$L198+IF($A198=2,$H198,0))*$N198)</f>
      </c>
      <c r="P198">
        <f>IF($J198="",0,IF($A198=2,$H198*$N198,0))</f>
      </c>
    </row>
    <row r="199" spans="1:16"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c r="N199">
        <f>IF($E199="SGD",1,IF($E199="USD",Settings!$B$22,IF($E199="HKD",Settings!$B$23,1)))</f>
      </c>
      <c r="O199">
        <f>IF($J199="",0,($M199-$L199+IF($A199=2,$H199,0))*$N199)</f>
      </c>
      <c r="P199">
        <f>IF($J199="",0,IF($A199=2,$H199*$N199,0))</f>
      </c>
    </row>
    <row r="200" spans="1:16"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c r="N200">
        <f>IF($E200="SGD",1,IF($E200="USD",Settings!$B$22,IF($E200="HKD",Settings!$B$23,1)))</f>
      </c>
      <c r="O200">
        <f>IF($J200="",0,($M200-$L200+IF($A200=2,$H200,0))*$N200)</f>
      </c>
      <c r="P200">
        <f>IF($J200="",0,IF($A200=2,$H200*$N200,0))</f>
      </c>
    </row>
    <row r="201" spans="1:16"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c r="N201">
        <f>IF($E201="SGD",1,IF($E201="USD",Settings!$B$22,IF($E201="HKD",Settings!$B$23,1)))</f>
      </c>
      <c r="O201">
        <f>IF($J201="",0,($M201-$L201+IF($A201=2,$H201,0))*$N201)</f>
      </c>
      <c r="P201">
        <f>IF($J201="",0,IF($A201=2,$H201*$N201,0))</f>
      </c>
    </row>
    <row r="202" spans="1:16"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c r="N202">
        <f>IF($E202="SGD",1,IF($E202="USD",Settings!$B$22,IF($E202="HKD",Settings!$B$23,1)))</f>
      </c>
      <c r="O202">
        <f>IF($J202="",0,($M202-$L202+IF($A202=2,$H202,0))*$N202)</f>
      </c>
      <c r="P202">
        <f>IF($J202="",0,IF($A202=2,$H202*$N202,0))</f>
      </c>
    </row>
    <row r="203" spans="1:16"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c r="N203">
        <f>IF($E203="SGD",1,IF($E203="USD",Settings!$B$22,IF($E203="HKD",Settings!$B$23,1)))</f>
      </c>
      <c r="O203">
        <f>IF($J203="",0,($M203-$L203+IF($A203=2,$H203,0))*$N203)</f>
      </c>
      <c r="P203">
        <f>IF($J203="",0,IF($A203=2,$H203*$N203,0))</f>
      </c>
    </row>
    <row r="204" spans="1:16"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c r="N204">
        <f>IF($E204="SGD",1,IF($E204="USD",Settings!$B$22,IF($E204="HKD",Settings!$B$23,1)))</f>
      </c>
      <c r="O204">
        <f>IF($J204="",0,($M204-$L204+IF($A204=2,$H204,0))*$N204)</f>
      </c>
      <c r="P204">
        <f>IF($J204="",0,IF($A204=2,$H204*$N204,0))</f>
      </c>
    </row>
    <row r="205" spans="1:16"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c r="N205">
        <f>IF($E205="SGD",1,IF($E205="USD",Settings!$B$22,IF($E205="HKD",Settings!$B$23,1)))</f>
      </c>
      <c r="O205">
        <f>IF($J205="",0,($M205-$L205+IF($A205=2,$H205,0))*$N205)</f>
      </c>
      <c r="P205">
        <f>IF($J205="",0,IF($A205=2,$H205*$N205,0))</f>
      </c>
    </row>
    <row r="206" spans="1:16"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c r="N206">
        <f>IF($E206="SGD",1,IF($E206="USD",Settings!$B$22,IF($E206="HKD",Settings!$B$23,1)))</f>
      </c>
      <c r="O206">
        <f>IF($J206="",0,($M206-$L206+IF($A206=2,$H206,0))*$N206)</f>
      </c>
      <c r="P206">
        <f>IF($J206="",0,IF($A206=2,$H206*$N206,0))</f>
      </c>
    </row>
    <row r="207" spans="1:16"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c r="N207">
        <f>IF($E207="SGD",1,IF($E207="USD",Settings!$B$22,IF($E207="HKD",Settings!$B$23,1)))</f>
      </c>
      <c r="O207">
        <f>IF($J207="",0,($M207-$L207+IF($A207=2,$H207,0))*$N207)</f>
      </c>
      <c r="P207">
        <f>IF($J207="",0,IF($A207=2,$H207*$N207,0))</f>
      </c>
    </row>
    <row r="208" spans="1:16"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c r="N208">
        <f>IF($E208="SGD",1,IF($E208="USD",Settings!$B$22,IF($E208="HKD",Settings!$B$23,1)))</f>
      </c>
      <c r="O208">
        <f>IF($J208="",0,($M208-$L208+IF($A208=2,$H208,0))*$N208)</f>
      </c>
      <c r="P208">
        <f>IF($J208="",0,IF($A208=2,$H208*$N208,0))</f>
      </c>
    </row>
    <row r="209" spans="1:16"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c r="N209">
        <f>IF($E209="SGD",1,IF($E209="USD",Settings!$B$22,IF($E209="HKD",Settings!$B$23,1)))</f>
      </c>
      <c r="O209">
        <f>IF($J209="",0,($M209-$L209+IF($A209=2,$H209,0))*$N209)</f>
      </c>
      <c r="P209">
        <f>IF($J209="",0,IF($A209=2,$H209*$N209,0))</f>
      </c>
    </row>
    <row r="210" spans="1:16"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c r="N210">
        <f>IF($E210="SGD",1,IF($E210="USD",Settings!$B$22,IF($E210="HKD",Settings!$B$23,1)))</f>
      </c>
      <c r="O210">
        <f>IF($J210="",0,($M210-$L210+IF($A210=2,$H210,0))*$N210)</f>
      </c>
      <c r="P210">
        <f>IF($J210="",0,IF($A210=2,$H210*$N210,0))</f>
      </c>
    </row>
    <row r="211" spans="1:16"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c r="N211">
        <f>IF($E211="SGD",1,IF($E211="USD",Settings!$B$22,IF($E211="HKD",Settings!$B$23,1)))</f>
      </c>
      <c r="O211">
        <f>IF($J211="",0,($M211-$L211+IF($A211=2,$H211,0))*$N211)</f>
      </c>
      <c r="P211">
        <f>IF($J211="",0,IF($A211=2,$H211*$N211,0))</f>
      </c>
    </row>
    <row r="212" spans="1:16"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c r="N212">
        <f>IF($E212="SGD",1,IF($E212="USD",Settings!$B$22,IF($E212="HKD",Settings!$B$23,1)))</f>
      </c>
      <c r="O212">
        <f>IF($J212="",0,($M212-$L212+IF($A212=2,$H212,0))*$N212)</f>
      </c>
      <c r="P212">
        <f>IF($J212="",0,IF($A212=2,$H212*$N212,0))</f>
      </c>
    </row>
    <row r="213" spans="1:16"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c r="N213">
        <f>IF($E213="SGD",1,IF($E213="USD",Settings!$B$22,IF($E213="HKD",Settings!$B$23,1)))</f>
      </c>
      <c r="O213">
        <f>IF($J213="",0,($M213-$L213+IF($A213=2,$H213,0))*$N213)</f>
      </c>
      <c r="P213">
        <f>IF($J213="",0,IF($A213=2,$H213*$N213,0))</f>
      </c>
    </row>
    <row r="214" spans="1:16"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c r="N214">
        <f>IF($E214="SGD",1,IF($E214="USD",Settings!$B$22,IF($E214="HKD",Settings!$B$23,1)))</f>
      </c>
      <c r="O214">
        <f>IF($J214="",0,($M214-$L214+IF($A214=2,$H214,0))*$N214)</f>
      </c>
      <c r="P214">
        <f>IF($J214="",0,IF($A214=2,$H214*$N214,0))</f>
      </c>
    </row>
    <row r="215" spans="1:16"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c r="N215">
        <f>IF($E215="SGD",1,IF($E215="USD",Settings!$B$22,IF($E215="HKD",Settings!$B$23,1)))</f>
      </c>
      <c r="O215">
        <f>IF($J215="",0,($M215-$L215+IF($A215=2,$H215,0))*$N215)</f>
      </c>
      <c r="P215">
        <f>IF($J215="",0,IF($A215=2,$H215*$N215,0))</f>
      </c>
    </row>
    <row r="216" spans="1:16"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c r="N216">
        <f>IF($E216="SGD",1,IF($E216="USD",Settings!$B$22,IF($E216="HKD",Settings!$B$23,1)))</f>
      </c>
      <c r="O216">
        <f>IF($J216="",0,($M216-$L216+IF($A216=2,$H216,0))*$N216)</f>
      </c>
      <c r="P216">
        <f>IF($J216="",0,IF($A216=2,$H216*$N216,0))</f>
      </c>
    </row>
    <row r="217" spans="1:16"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c r="N217">
        <f>IF($E217="SGD",1,IF($E217="USD",Settings!$B$22,IF($E217="HKD",Settings!$B$23,1)))</f>
      </c>
      <c r="O217">
        <f>IF($J217="",0,($M217-$L217+IF($A217=2,$H217,0))*$N217)</f>
      </c>
      <c r="P217">
        <f>IF($J217="",0,IF($A217=2,$H217*$N217,0))</f>
      </c>
    </row>
    <row r="218" spans="1:16"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c r="N218">
        <f>IF($E218="SGD",1,IF($E218="USD",Settings!$B$22,IF($E218="HKD",Settings!$B$23,1)))</f>
      </c>
      <c r="O218">
        <f>IF($J218="",0,($M218-$L218+IF($A218=2,$H218,0))*$N218)</f>
      </c>
      <c r="P218">
        <f>IF($J218="",0,IF($A218=2,$H218*$N218,0))</f>
      </c>
    </row>
    <row r="219" spans="1:16"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c r="N219">
        <f>IF($E219="SGD",1,IF($E219="USD",Settings!$B$22,IF($E219="HKD",Settings!$B$23,1)))</f>
      </c>
      <c r="O219">
        <f>IF($J219="",0,($M219-$L219+IF($A219=2,$H219,0))*$N219)</f>
      </c>
      <c r="P219">
        <f>IF($J219="",0,IF($A219=2,$H219*$N219,0))</f>
      </c>
    </row>
    <row r="220" spans="1:16"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c r="N220">
        <f>IF($E220="SGD",1,IF($E220="USD",Settings!$B$22,IF($E220="HKD",Settings!$B$23,1)))</f>
      </c>
      <c r="O220">
        <f>IF($J220="",0,($M220-$L220+IF($A220=2,$H220,0))*$N220)</f>
      </c>
      <c r="P220">
        <f>IF($J220="",0,IF($A220=2,$H220*$N220,0))</f>
      </c>
    </row>
    <row r="221" spans="1:16"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c r="N221">
        <f>IF($E221="SGD",1,IF($E221="USD",Settings!$B$22,IF($E221="HKD",Settings!$B$23,1)))</f>
      </c>
      <c r="O221">
        <f>IF($J221="",0,($M221-$L221+IF($A221=2,$H221,0))*$N221)</f>
      </c>
      <c r="P221">
        <f>IF($J221="",0,IF($A221=2,$H221*$N221,0))</f>
      </c>
    </row>
    <row r="222" spans="1:16"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c r="N222">
        <f>IF($E222="SGD",1,IF($E222="USD",Settings!$B$22,IF($E222="HKD",Settings!$B$23,1)))</f>
      </c>
      <c r="O222">
        <f>IF($J222="",0,($M222-$L222+IF($A222=2,$H222,0))*$N222)</f>
      </c>
      <c r="P222">
        <f>IF($J222="",0,IF($A222=2,$H222*$N222,0))</f>
      </c>
    </row>
    <row r="223" spans="1:16"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c r="N223">
        <f>IF($E223="SGD",1,IF($E223="USD",Settings!$B$22,IF($E223="HKD",Settings!$B$23,1)))</f>
      </c>
      <c r="O223">
        <f>IF($J223="",0,($M223-$L223+IF($A223=2,$H223,0))*$N223)</f>
      </c>
      <c r="P223">
        <f>IF($J223="",0,IF($A223=2,$H223*$N223,0))</f>
      </c>
    </row>
    <row r="224" spans="1:16"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c r="N224">
        <f>IF($E224="SGD",1,IF($E224="USD",Settings!$B$22,IF($E224="HKD",Settings!$B$23,1)))</f>
      </c>
      <c r="O224">
        <f>IF($J224="",0,($M224-$L224+IF($A224=2,$H224,0))*$N224)</f>
      </c>
      <c r="P224">
        <f>IF($J224="",0,IF($A224=2,$H224*$N224,0))</f>
      </c>
    </row>
    <row r="225" spans="1:16"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c r="N225">
        <f>IF($E225="SGD",1,IF($E225="USD",Settings!$B$22,IF($E225="HKD",Settings!$B$23,1)))</f>
      </c>
      <c r="O225">
        <f>IF($J225="",0,($M225-$L225+IF($A225=2,$H225,0))*$N225)</f>
      </c>
      <c r="P225">
        <f>IF($J225="",0,IF($A225=2,$H225*$N225,0))</f>
      </c>
    </row>
    <row r="226" spans="1:16"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c r="N226">
        <f>IF($E226="SGD",1,IF($E226="USD",Settings!$B$22,IF($E226="HKD",Settings!$B$23,1)))</f>
      </c>
      <c r="O226">
        <f>IF($J226="",0,($M226-$L226+IF($A226=2,$H226,0))*$N226)</f>
      </c>
      <c r="P226">
        <f>IF($J226="",0,IF($A226=2,$H226*$N226,0))</f>
      </c>
    </row>
    <row r="227" spans="1:16"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c r="N227">
        <f>IF($E227="SGD",1,IF($E227="USD",Settings!$B$22,IF($E227="HKD",Settings!$B$23,1)))</f>
      </c>
      <c r="O227">
        <f>IF($J227="",0,($M227-$L227+IF($A227=2,$H227,0))*$N227)</f>
      </c>
      <c r="P227">
        <f>IF($J227="",0,IF($A227=2,$H227*$N227,0))</f>
      </c>
    </row>
    <row r="228" spans="1:16"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c r="N228">
        <f>IF($E228="SGD",1,IF($E228="USD",Settings!$B$22,IF($E228="HKD",Settings!$B$23,1)))</f>
      </c>
      <c r="O228">
        <f>IF($J228="",0,($M228-$L228+IF($A228=2,$H228,0))*$N228)</f>
      </c>
      <c r="P228">
        <f>IF($J228="",0,IF($A228=2,$H228*$N228,0))</f>
      </c>
    </row>
    <row r="229" spans="1:16"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c r="N229">
        <f>IF($E229="SGD",1,IF($E229="USD",Settings!$B$22,IF($E229="HKD",Settings!$B$23,1)))</f>
      </c>
      <c r="O229">
        <f>IF($J229="",0,($M229-$L229+IF($A229=2,$H229,0))*$N229)</f>
      </c>
      <c r="P229">
        <f>IF($J229="",0,IF($A229=2,$H229*$N229,0))</f>
      </c>
    </row>
    <row r="230" spans="1:16"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c r="N230">
        <f>IF($E230="SGD",1,IF($E230="USD",Settings!$B$22,IF($E230="HKD",Settings!$B$23,1)))</f>
      </c>
      <c r="O230">
        <f>IF($J230="",0,($M230-$L230+IF($A230=2,$H230,0))*$N230)</f>
      </c>
      <c r="P230">
        <f>IF($J230="",0,IF($A230=2,$H230*$N230,0))</f>
      </c>
    </row>
    <row r="231" spans="1:16"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c r="N231">
        <f>IF($E231="SGD",1,IF($E231="USD",Settings!$B$22,IF($E231="HKD",Settings!$B$23,1)))</f>
      </c>
      <c r="O231">
        <f>IF($J231="",0,($M231-$L231+IF($A231=2,$H231,0))*$N231)</f>
      </c>
      <c r="P231">
        <f>IF($J231="",0,IF($A231=2,$H231*$N231,0))</f>
      </c>
    </row>
    <row r="232" spans="1:16"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c r="N232">
        <f>IF($E232="SGD",1,IF($E232="USD",Settings!$B$22,IF($E232="HKD",Settings!$B$23,1)))</f>
      </c>
      <c r="O232">
        <f>IF($J232="",0,($M232-$L232+IF($A232=2,$H232,0))*$N232)</f>
      </c>
      <c r="P232">
        <f>IF($J232="",0,IF($A232=2,$H232*$N232,0))</f>
      </c>
    </row>
    <row r="233" spans="1:16"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c r="N233">
        <f>IF($E233="SGD",1,IF($E233="USD",Settings!$B$22,IF($E233="HKD",Settings!$B$23,1)))</f>
      </c>
      <c r="O233">
        <f>IF($J233="",0,($M233-$L233+IF($A233=2,$H233,0))*$N233)</f>
      </c>
      <c r="P233">
        <f>IF($J233="",0,IF($A233=2,$H233*$N233,0))</f>
      </c>
    </row>
    <row r="234" spans="1:16"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c r="N234">
        <f>IF($E234="SGD",1,IF($E234="USD",Settings!$B$22,IF($E234="HKD",Settings!$B$23,1)))</f>
      </c>
      <c r="O234">
        <f>IF($J234="",0,($M234-$L234+IF($A234=2,$H234,0))*$N234)</f>
      </c>
      <c r="P234">
        <f>IF($J234="",0,IF($A234=2,$H234*$N234,0))</f>
      </c>
    </row>
    <row r="235" spans="1:16"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c r="N235">
        <f>IF($E235="SGD",1,IF($E235="USD",Settings!$B$22,IF($E235="HKD",Settings!$B$23,1)))</f>
      </c>
      <c r="O235">
        <f>IF($J235="",0,($M235-$L235+IF($A235=2,$H235,0))*$N235)</f>
      </c>
      <c r="P235">
        <f>IF($J235="",0,IF($A235=2,$H235*$N235,0))</f>
      </c>
    </row>
    <row r="236" spans="1:16"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c r="N236">
        <f>IF($E236="SGD",1,IF($E236="USD",Settings!$B$22,IF($E236="HKD",Settings!$B$23,1)))</f>
      </c>
      <c r="O236">
        <f>IF($J236="",0,($M236-$L236+IF($A236=2,$H236,0))*$N236)</f>
      </c>
      <c r="P236">
        <f>IF($J236="",0,IF($A236=2,$H236*$N236,0))</f>
      </c>
    </row>
    <row r="237" spans="1:16"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c r="N237">
        <f>IF($E237="SGD",1,IF($E237="USD",Settings!$B$22,IF($E237="HKD",Settings!$B$23,1)))</f>
      </c>
      <c r="O237">
        <f>IF($J237="",0,($M237-$L237+IF($A237=2,$H237,0))*$N237)</f>
      </c>
      <c r="P237">
        <f>IF($J237="",0,IF($A237=2,$H237*$N237,0))</f>
      </c>
    </row>
    <row r="238" spans="1:16"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c r="N238">
        <f>IF($E238="SGD",1,IF($E238="USD",Settings!$B$22,IF($E238="HKD",Settings!$B$23,1)))</f>
      </c>
      <c r="O238">
        <f>IF($J238="",0,($M238-$L238+IF($A238=2,$H238,0))*$N238)</f>
      </c>
      <c r="P238">
        <f>IF($J238="",0,IF($A238=2,$H238*$N238,0))</f>
      </c>
    </row>
    <row r="239" spans="1:16"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c r="N239">
        <f>IF($E239="SGD",1,IF($E239="USD",Settings!$B$22,IF($E239="HKD",Settings!$B$23,1)))</f>
      </c>
      <c r="O239">
        <f>IF($J239="",0,($M239-$L239+IF($A239=2,$H239,0))*$N239)</f>
      </c>
      <c r="P239">
        <f>IF($J239="",0,IF($A239=2,$H239*$N239,0))</f>
      </c>
    </row>
    <row r="240" spans="1:16"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c r="N240">
        <f>IF($E240="SGD",1,IF($E240="USD",Settings!$B$22,IF($E240="HKD",Settings!$B$23,1)))</f>
      </c>
      <c r="O240">
        <f>IF($J240="",0,($M240-$L240+IF($A240=2,$H240,0))*$N240)</f>
      </c>
      <c r="P240">
        <f>IF($J240="",0,IF($A240=2,$H240*$N240,0))</f>
      </c>
    </row>
    <row r="241" spans="1:16"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c r="N241">
        <f>IF($E241="SGD",1,IF($E241="USD",Settings!$B$22,IF($E241="HKD",Settings!$B$23,1)))</f>
      </c>
      <c r="O241">
        <f>IF($J241="",0,($M241-$L241+IF($A241=2,$H241,0))*$N241)</f>
      </c>
      <c r="P241">
        <f>IF($J241="",0,IF($A241=2,$H241*$N241,0))</f>
      </c>
    </row>
    <row r="242" spans="1:16"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c r="N242">
        <f>IF($E242="SGD",1,IF($E242="USD",Settings!$B$22,IF($E242="HKD",Settings!$B$23,1)))</f>
      </c>
      <c r="O242">
        <f>IF($J242="",0,($M242-$L242+IF($A242=2,$H242,0))*$N242)</f>
      </c>
      <c r="P242">
        <f>IF($J242="",0,IF($A242=2,$H242*$N242,0))</f>
      </c>
    </row>
    <row r="243" spans="1:16"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c r="N243">
        <f>IF($E243="SGD",1,IF($E243="USD",Settings!$B$22,IF($E243="HKD",Settings!$B$23,1)))</f>
      </c>
      <c r="O243">
        <f>IF($J243="",0,($M243-$L243+IF($A243=2,$H243,0))*$N243)</f>
      </c>
      <c r="P243">
        <f>IF($J243="",0,IF($A243=2,$H243*$N243,0))</f>
      </c>
    </row>
    <row r="244" spans="1:16"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c r="N244">
        <f>IF($E244="SGD",1,IF($E244="USD",Settings!$B$22,IF($E244="HKD",Settings!$B$23,1)))</f>
      </c>
      <c r="O244">
        <f>IF($J244="",0,($M244-$L244+IF($A244=2,$H244,0))*$N244)</f>
      </c>
      <c r="P244">
        <f>IF($J244="",0,IF($A244=2,$H244*$N244,0))</f>
      </c>
    </row>
    <row r="245" spans="1:16"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c r="N245">
        <f>IF($E245="SGD",1,IF($E245="USD",Settings!$B$22,IF($E245="HKD",Settings!$B$23,1)))</f>
      </c>
      <c r="O245">
        <f>IF($J245="",0,($M245-$L245+IF($A245=2,$H245,0))*$N245)</f>
      </c>
      <c r="P245">
        <f>IF($J245="",0,IF($A245=2,$H245*$N245,0))</f>
      </c>
    </row>
    <row r="246" spans="1:16"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c r="N246">
        <f>IF($E246="SGD",1,IF($E246="USD",Settings!$B$22,IF($E246="HKD",Settings!$B$23,1)))</f>
      </c>
      <c r="O246">
        <f>IF($J246="",0,($M246-$L246+IF($A246=2,$H246,0))*$N246)</f>
      </c>
      <c r="P246">
        <f>IF($J246="",0,IF($A246=2,$H246*$N246,0))</f>
      </c>
    </row>
    <row r="247" spans="1:16"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c r="N247">
        <f>IF($E247="SGD",1,IF($E247="USD",Settings!$B$22,IF($E247="HKD",Settings!$B$23,1)))</f>
      </c>
      <c r="O247">
        <f>IF($J247="",0,($M247-$L247+IF($A247=2,$H247,0))*$N247)</f>
      </c>
      <c r="P247">
        <f>IF($J247="",0,IF($A247=2,$H247*$N247,0))</f>
      </c>
    </row>
    <row r="248" spans="1:16"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c r="N248">
        <f>IF($E248="SGD",1,IF($E248="USD",Settings!$B$22,IF($E248="HKD",Settings!$B$23,1)))</f>
      </c>
      <c r="O248">
        <f>IF($J248="",0,($M248-$L248+IF($A248=2,$H248,0))*$N248)</f>
      </c>
      <c r="P248">
        <f>IF($J248="",0,IF($A248=2,$H248*$N248,0))</f>
      </c>
    </row>
    <row r="249" spans="1:16"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c r="N249">
        <f>IF($E249="SGD",1,IF($E249="USD",Settings!$B$22,IF($E249="HKD",Settings!$B$23,1)))</f>
      </c>
      <c r="O249">
        <f>IF($J249="",0,($M249-$L249+IF($A249=2,$H249,0))*$N249)</f>
      </c>
      <c r="P249">
        <f>IF($J249="",0,IF($A249=2,$H249*$N249,0))</f>
      </c>
    </row>
    <row r="250" spans="1:16"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c r="N250">
        <f>IF($E250="SGD",1,IF($E250="USD",Settings!$B$22,IF($E250="HKD",Settings!$B$23,1)))</f>
      </c>
      <c r="O250">
        <f>IF($J250="",0,($M250-$L250+IF($A250=2,$H250,0))*$N250)</f>
      </c>
      <c r="P250">
        <f>IF($J250="",0,IF($A250=2,$H250*$N250,0))</f>
      </c>
    </row>
    <row r="251" spans="1:16"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c r="N251">
        <f>IF($E251="SGD",1,IF($E251="USD",Settings!$B$22,IF($E251="HKD",Settings!$B$23,1)))</f>
      </c>
      <c r="O251">
        <f>IF($J251="",0,($M251-$L251+IF($A251=2,$H251,0))*$N251)</f>
      </c>
      <c r="P251">
        <f>IF($J251="",0,IF($A251=2,$H251*$N251,0))</f>
      </c>
    </row>
    <row r="252" spans="1:16"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c r="N252">
        <f>IF($E252="SGD",1,IF($E252="USD",Settings!$B$22,IF($E252="HKD",Settings!$B$23,1)))</f>
      </c>
      <c r="O252">
        <f>IF($J252="",0,($M252-$L252+IF($A252=2,$H252,0))*$N252)</f>
      </c>
      <c r="P252">
        <f>IF($J252="",0,IF($A252=2,$H252*$N252,0))</f>
      </c>
    </row>
    <row r="253" spans="1:16"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c r="N253">
        <f>IF($E253="SGD",1,IF($E253="USD",Settings!$B$22,IF($E253="HKD",Settings!$B$23,1)))</f>
      </c>
      <c r="O253">
        <f>IF($J253="",0,($M253-$L253+IF($A253=2,$H253,0))*$N253)</f>
      </c>
      <c r="P253">
        <f>IF($J253="",0,IF($A253=2,$H253*$N253,0))</f>
      </c>
    </row>
    <row r="254" spans="1:16"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c r="N254">
        <f>IF($E254="SGD",1,IF($E254="USD",Settings!$B$22,IF($E254="HKD",Settings!$B$23,1)))</f>
      </c>
      <c r="O254">
        <f>IF($J254="",0,($M254-$L254+IF($A254=2,$H254,0))*$N254)</f>
      </c>
      <c r="P254">
        <f>IF($J254="",0,IF($A254=2,$H254*$N254,0))</f>
      </c>
    </row>
    <row r="255" spans="1:16"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c r="N255">
        <f>IF($E255="SGD",1,IF($E255="USD",Settings!$B$22,IF($E255="HKD",Settings!$B$23,1)))</f>
      </c>
      <c r="O255">
        <f>IF($J255="",0,($M255-$L255+IF($A255=2,$H255,0))*$N255)</f>
      </c>
      <c r="P255">
        <f>IF($J255="",0,IF($A255=2,$H255*$N255,0))</f>
      </c>
    </row>
    <row r="256" spans="1:16"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c r="N256">
        <f>IF($E256="SGD",1,IF($E256="USD",Settings!$B$22,IF($E256="HKD",Settings!$B$23,1)))</f>
      </c>
      <c r="O256">
        <f>IF($J256="",0,($M256-$L256+IF($A256=2,$H256,0))*$N256)</f>
      </c>
      <c r="P256">
        <f>IF($J256="",0,IF($A256=2,$H256*$N256,0))</f>
      </c>
    </row>
    <row r="257" spans="1:16"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c r="N257">
        <f>IF($E257="SGD",1,IF($E257="USD",Settings!$B$22,IF($E257="HKD",Settings!$B$23,1)))</f>
      </c>
      <c r="O257">
        <f>IF($J257="",0,($M257-$L257+IF($A257=2,$H257,0))*$N257)</f>
      </c>
      <c r="P257">
        <f>IF($J257="",0,IF($A257=2,$H257*$N257,0))</f>
      </c>
    </row>
    <row r="258" spans="1:16"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c r="N258">
        <f>IF($E258="SGD",1,IF($E258="USD",Settings!$B$22,IF($E258="HKD",Settings!$B$23,1)))</f>
      </c>
      <c r="O258">
        <f>IF($J258="",0,($M258-$L258+IF($A258=2,$H258,0))*$N258)</f>
      </c>
      <c r="P258">
        <f>IF($J258="",0,IF($A258=2,$H258*$N258,0))</f>
      </c>
    </row>
    <row r="259" spans="1:16"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c r="N259">
        <f>IF($E259="SGD",1,IF($E259="USD",Settings!$B$22,IF($E259="HKD",Settings!$B$23,1)))</f>
      </c>
      <c r="O259">
        <f>IF($J259="",0,($M259-$L259+IF($A259=2,$H259,0))*$N259)</f>
      </c>
      <c r="P259">
        <f>IF($J259="",0,IF($A259=2,$H259*$N259,0))</f>
      </c>
    </row>
    <row r="260" spans="1:16"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c r="N260">
        <f>IF($E260="SGD",1,IF($E260="USD",Settings!$B$22,IF($E260="HKD",Settings!$B$23,1)))</f>
      </c>
      <c r="O260">
        <f>IF($J260="",0,($M260-$L260+IF($A260=2,$H260,0))*$N260)</f>
      </c>
      <c r="P260">
        <f>IF($J260="",0,IF($A260=2,$H260*$N260,0))</f>
      </c>
    </row>
    <row r="261" spans="1:16"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c r="N261">
        <f>IF($E261="SGD",1,IF($E261="USD",Settings!$B$22,IF($E261="HKD",Settings!$B$23,1)))</f>
      </c>
      <c r="O261">
        <f>IF($J261="",0,($M261-$L261+IF($A261=2,$H261,0))*$N261)</f>
      </c>
      <c r="P261">
        <f>IF($J261="",0,IF($A261=2,$H261*$N261,0))</f>
      </c>
    </row>
    <row r="262" spans="1:16"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c r="N262">
        <f>IF($E262="SGD",1,IF($E262="USD",Settings!$B$22,IF($E262="HKD",Settings!$B$23,1)))</f>
      </c>
      <c r="O262">
        <f>IF($J262="",0,($M262-$L262+IF($A262=2,$H262,0))*$N262)</f>
      </c>
      <c r="P262">
        <f>IF($J262="",0,IF($A262=2,$H262*$N262,0))</f>
      </c>
    </row>
    <row r="263" spans="1:16"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c r="N263">
        <f>IF($E263="SGD",1,IF($E263="USD",Settings!$B$22,IF($E263="HKD",Settings!$B$23,1)))</f>
      </c>
      <c r="O263">
        <f>IF($J263="",0,($M263-$L263+IF($A263=2,$H263,0))*$N263)</f>
      </c>
      <c r="P263">
        <f>IF($J263="",0,IF($A263=2,$H263*$N263,0))</f>
      </c>
    </row>
    <row r="264" spans="1:16"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c r="N264">
        <f>IF($E264="SGD",1,IF($E264="USD",Settings!$B$22,IF($E264="HKD",Settings!$B$23,1)))</f>
      </c>
      <c r="O264">
        <f>IF($J264="",0,($M264-$L264+IF($A264=2,$H264,0))*$N264)</f>
      </c>
      <c r="P264">
        <f>IF($J264="",0,IF($A264=2,$H264*$N264,0))</f>
      </c>
    </row>
    <row r="265" spans="1:16"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c r="N265">
        <f>IF($E265="SGD",1,IF($E265="USD",Settings!$B$22,IF($E265="HKD",Settings!$B$23,1)))</f>
      </c>
      <c r="O265">
        <f>IF($J265="",0,($M265-$L265+IF($A265=2,$H265,0))*$N265)</f>
      </c>
      <c r="P265">
        <f>IF($J265="",0,IF($A265=2,$H265*$N265,0))</f>
      </c>
    </row>
    <row r="266" spans="1:16"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c r="N266">
        <f>IF($E266="SGD",1,IF($E266="USD",Settings!$B$22,IF($E266="HKD",Settings!$B$23,1)))</f>
      </c>
      <c r="O266">
        <f>IF($J266="",0,($M266-$L266+IF($A266=2,$H266,0))*$N266)</f>
      </c>
      <c r="P266">
        <f>IF($J266="",0,IF($A266=2,$H266*$N266,0))</f>
      </c>
    </row>
    <row r="267" spans="1:16"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c r="N267">
        <f>IF($E267="SGD",1,IF($E267="USD",Settings!$B$22,IF($E267="HKD",Settings!$B$23,1)))</f>
      </c>
      <c r="O267">
        <f>IF($J267="",0,($M267-$L267+IF($A267=2,$H267,0))*$N267)</f>
      </c>
      <c r="P267">
        <f>IF($J267="",0,IF($A267=2,$H267*$N267,0))</f>
      </c>
    </row>
    <row r="268" spans="1:16"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c r="N268">
        <f>IF($E268="SGD",1,IF($E268="USD",Settings!$B$22,IF($E268="HKD",Settings!$B$23,1)))</f>
      </c>
      <c r="O268">
        <f>IF($J268="",0,($M268-$L268+IF($A268=2,$H268,0))*$N268)</f>
      </c>
      <c r="P268">
        <f>IF($J268="",0,IF($A268=2,$H268*$N268,0))</f>
      </c>
    </row>
    <row r="269" spans="1:16"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c r="N269">
        <f>IF($E269="SGD",1,IF($E269="USD",Settings!$B$22,IF($E269="HKD",Settings!$B$23,1)))</f>
      </c>
      <c r="O269">
        <f>IF($J269="",0,($M269-$L269+IF($A269=2,$H269,0))*$N269)</f>
      </c>
      <c r="P269">
        <f>IF($J269="",0,IF($A269=2,$H269*$N269,0))</f>
      </c>
    </row>
    <row r="270" spans="1:16"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c r="N270">
        <f>IF($E270="SGD",1,IF($E270="USD",Settings!$B$22,IF($E270="HKD",Settings!$B$23,1)))</f>
      </c>
      <c r="O270">
        <f>IF($J270="",0,($M270-$L270+IF($A270=2,$H270,0))*$N270)</f>
      </c>
      <c r="P270">
        <f>IF($J270="",0,IF($A270=2,$H270*$N270,0))</f>
      </c>
    </row>
    <row r="271" spans="1:16"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c r="N271">
        <f>IF($E271="SGD",1,IF($E271="USD",Settings!$B$22,IF($E271="HKD",Settings!$B$23,1)))</f>
      </c>
      <c r="O271">
        <f>IF($J271="",0,($M271-$L271+IF($A271=2,$H271,0))*$N271)</f>
      </c>
      <c r="P271">
        <f>IF($J271="",0,IF($A271=2,$H271*$N271,0))</f>
      </c>
    </row>
    <row r="272" spans="1:16"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c r="N272">
        <f>IF($E272="SGD",1,IF($E272="USD",Settings!$B$22,IF($E272="HKD",Settings!$B$23,1)))</f>
      </c>
      <c r="O272">
        <f>IF($J272="",0,($M272-$L272+IF($A272=2,$H272,0))*$N272)</f>
      </c>
      <c r="P272">
        <f>IF($J272="",0,IF($A272=2,$H272*$N272,0))</f>
      </c>
    </row>
    <row r="273" spans="1:16"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c r="N273">
        <f>IF($E273="SGD",1,IF($E273="USD",Settings!$B$22,IF($E273="HKD",Settings!$B$23,1)))</f>
      </c>
      <c r="O273">
        <f>IF($J273="",0,($M273-$L273+IF($A273=2,$H273,0))*$N273)</f>
      </c>
      <c r="P273">
        <f>IF($J273="",0,IF($A273=2,$H273*$N273,0))</f>
      </c>
    </row>
    <row r="274" spans="1:16"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c r="N274">
        <f>IF($E274="SGD",1,IF($E274="USD",Settings!$B$22,IF($E274="HKD",Settings!$B$23,1)))</f>
      </c>
      <c r="O274">
        <f>IF($J274="",0,($M274-$L274+IF($A274=2,$H274,0))*$N274)</f>
      </c>
      <c r="P274">
        <f>IF($J274="",0,IF($A274=2,$H274*$N274,0))</f>
      </c>
    </row>
    <row r="275" spans="1:16"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c r="N275">
        <f>IF($E275="SGD",1,IF($E275="USD",Settings!$B$22,IF($E275="HKD",Settings!$B$23,1)))</f>
      </c>
      <c r="O275">
        <f>IF($J275="",0,($M275-$L275+IF($A275=2,$H275,0))*$N275)</f>
      </c>
      <c r="P275">
        <f>IF($J275="",0,IF($A275=2,$H275*$N275,0))</f>
      </c>
    </row>
    <row r="276" spans="1:16"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c r="N276">
        <f>IF($E276="SGD",1,IF($E276="USD",Settings!$B$22,IF($E276="HKD",Settings!$B$23,1)))</f>
      </c>
      <c r="O276">
        <f>IF($J276="",0,($M276-$L276+IF($A276=2,$H276,0))*$N276)</f>
      </c>
      <c r="P276">
        <f>IF($J276="",0,IF($A276=2,$H276*$N276,0))</f>
      </c>
    </row>
    <row r="277" spans="1:16"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c r="N277">
        <f>IF($E277="SGD",1,IF($E277="USD",Settings!$B$22,IF($E277="HKD",Settings!$B$23,1)))</f>
      </c>
      <c r="O277">
        <f>IF($J277="",0,($M277-$L277+IF($A277=2,$H277,0))*$N277)</f>
      </c>
      <c r="P277">
        <f>IF($J277="",0,IF($A277=2,$H277*$N277,0))</f>
      </c>
    </row>
    <row r="278" spans="1:16"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c r="N278">
        <f>IF($E278="SGD",1,IF($E278="USD",Settings!$B$22,IF($E278="HKD",Settings!$B$23,1)))</f>
      </c>
      <c r="O278">
        <f>IF($J278="",0,($M278-$L278+IF($A278=2,$H278,0))*$N278)</f>
      </c>
      <c r="P278">
        <f>IF($J278="",0,IF($A278=2,$H278*$N278,0))</f>
      </c>
    </row>
    <row r="279" spans="1:16"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c r="N279">
        <f>IF($E279="SGD",1,IF($E279="USD",Settings!$B$22,IF($E279="HKD",Settings!$B$23,1)))</f>
      </c>
      <c r="O279">
        <f>IF($J279="",0,($M279-$L279+IF($A279=2,$H279,0))*$N279)</f>
      </c>
      <c r="P279">
        <f>IF($J279="",0,IF($A279=2,$H279*$N279,0))</f>
      </c>
    </row>
    <row r="280" spans="1:16"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c r="N280">
        <f>IF($E280="SGD",1,IF($E280="USD",Settings!$B$22,IF($E280="HKD",Settings!$B$23,1)))</f>
      </c>
      <c r="O280">
        <f>IF($J280="",0,($M280-$L280+IF($A280=2,$H280,0))*$N280)</f>
      </c>
      <c r="P280">
        <f>IF($J280="",0,IF($A280=2,$H280*$N280,0))</f>
      </c>
    </row>
    <row r="281" spans="1:16"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c r="N281">
        <f>IF($E281="SGD",1,IF($E281="USD",Settings!$B$22,IF($E281="HKD",Settings!$B$23,1)))</f>
      </c>
      <c r="O281">
        <f>IF($J281="",0,($M281-$L281+IF($A281=2,$H281,0))*$N281)</f>
      </c>
      <c r="P281">
        <f>IF($J281="",0,IF($A281=2,$H281*$N281,0))</f>
      </c>
    </row>
    <row r="282" spans="1:16"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c r="N282">
        <f>IF($E282="SGD",1,IF($E282="USD",Settings!$B$22,IF($E282="HKD",Settings!$B$23,1)))</f>
      </c>
      <c r="O282">
        <f>IF($J282="",0,($M282-$L282+IF($A282=2,$H282,0))*$N282)</f>
      </c>
      <c r="P282">
        <f>IF($J282="",0,IF($A282=2,$H282*$N282,0))</f>
      </c>
    </row>
    <row r="283" spans="1:16"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c r="N283">
        <f>IF($E283="SGD",1,IF($E283="USD",Settings!$B$22,IF($E283="HKD",Settings!$B$23,1)))</f>
      </c>
      <c r="O283">
        <f>IF($J283="",0,($M283-$L283+IF($A283=2,$H283,0))*$N283)</f>
      </c>
      <c r="P283">
        <f>IF($J283="",0,IF($A283=2,$H283*$N283,0))</f>
      </c>
    </row>
    <row r="284" spans="1:16"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c r="N284">
        <f>IF($E284="SGD",1,IF($E284="USD",Settings!$B$22,IF($E284="HKD",Settings!$B$23,1)))</f>
      </c>
      <c r="O284">
        <f>IF($J284="",0,($M284-$L284+IF($A284=2,$H284,0))*$N284)</f>
      </c>
      <c r="P284">
        <f>IF($J284="",0,IF($A284=2,$H284*$N284,0))</f>
      </c>
    </row>
    <row r="285" spans="1:16"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c r="N285">
        <f>IF($E285="SGD",1,IF($E285="USD",Settings!$B$22,IF($E285="HKD",Settings!$B$23,1)))</f>
      </c>
      <c r="O285">
        <f>IF($J285="",0,($M285-$L285+IF($A285=2,$H285,0))*$N285)</f>
      </c>
      <c r="P285">
        <f>IF($J285="",0,IF($A285=2,$H285*$N285,0))</f>
      </c>
    </row>
    <row r="286" spans="1:16"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c r="N286">
        <f>IF($E286="SGD",1,IF($E286="USD",Settings!$B$22,IF($E286="HKD",Settings!$B$23,1)))</f>
      </c>
      <c r="O286">
        <f>IF($J286="",0,($M286-$L286+IF($A286=2,$H286,0))*$N286)</f>
      </c>
      <c r="P286">
        <f>IF($J286="",0,IF($A286=2,$H286*$N286,0))</f>
      </c>
    </row>
    <row r="287" spans="1:16"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c r="N287">
        <f>IF($E287="SGD",1,IF($E287="USD",Settings!$B$22,IF($E287="HKD",Settings!$B$23,1)))</f>
      </c>
      <c r="O287">
        <f>IF($J287="",0,($M287-$L287+IF($A287=2,$H287,0))*$N287)</f>
      </c>
      <c r="P287">
        <f>IF($J287="",0,IF($A287=2,$H287*$N287,0))</f>
      </c>
    </row>
    <row r="288" spans="1:16"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c r="N288">
        <f>IF($E288="SGD",1,IF($E288="USD",Settings!$B$22,IF($E288="HKD",Settings!$B$23,1)))</f>
      </c>
      <c r="O288">
        <f>IF($J288="",0,($M288-$L288+IF($A288=2,$H288,0))*$N288)</f>
      </c>
      <c r="P288">
        <f>IF($J288="",0,IF($A288=2,$H288*$N288,0))</f>
      </c>
    </row>
    <row r="289" spans="1:16"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c r="N289">
        <f>IF($E289="SGD",1,IF($E289="USD",Settings!$B$22,IF($E289="HKD",Settings!$B$23,1)))</f>
      </c>
      <c r="O289">
        <f>IF($J289="",0,($M289-$L289+IF($A289=2,$H289,0))*$N289)</f>
      </c>
      <c r="P289">
        <f>IF($J289="",0,IF($A289=2,$H289*$N289,0))</f>
      </c>
    </row>
    <row r="290" spans="1:16"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c r="N290">
        <f>IF($E290="SGD",1,IF($E290="USD",Settings!$B$22,IF($E290="HKD",Settings!$B$23,1)))</f>
      </c>
      <c r="O290">
        <f>IF($J290="",0,($M290-$L290+IF($A290=2,$H290,0))*$N290)</f>
      </c>
      <c r="P290">
        <f>IF($J290="",0,IF($A290=2,$H290*$N290,0))</f>
      </c>
    </row>
    <row r="291" spans="1:16"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c r="N291">
        <f>IF($E291="SGD",1,IF($E291="USD",Settings!$B$22,IF($E291="HKD",Settings!$B$23,1)))</f>
      </c>
      <c r="O291">
        <f>IF($J291="",0,($M291-$L291+IF($A291=2,$H291,0))*$N291)</f>
      </c>
      <c r="P291">
        <f>IF($J291="",0,IF($A291=2,$H291*$N291,0))</f>
      </c>
    </row>
    <row r="292" spans="1:16"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c r="N292">
        <f>IF($E292="SGD",1,IF($E292="USD",Settings!$B$22,IF($E292="HKD",Settings!$B$23,1)))</f>
      </c>
      <c r="O292">
        <f>IF($J292="",0,($M292-$L292+IF($A292=2,$H292,0))*$N292)</f>
      </c>
      <c r="P292">
        <f>IF($J292="",0,IF($A292=2,$H292*$N292,0))</f>
      </c>
    </row>
    <row r="293" spans="1:16"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c r="N293">
        <f>IF($E293="SGD",1,IF($E293="USD",Settings!$B$22,IF($E293="HKD",Settings!$B$23,1)))</f>
      </c>
      <c r="O293">
        <f>IF($J293="",0,($M293-$L293+IF($A293=2,$H293,0))*$N293)</f>
      </c>
      <c r="P293">
        <f>IF($J293="",0,IF($A293=2,$H293*$N293,0))</f>
      </c>
    </row>
    <row r="294" spans="1:16"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c r="N294">
        <f>IF($E294="SGD",1,IF($E294="USD",Settings!$B$22,IF($E294="HKD",Settings!$B$23,1)))</f>
      </c>
      <c r="O294">
        <f>IF($J294="",0,($M294-$L294+IF($A294=2,$H294,0))*$N294)</f>
      </c>
      <c r="P294">
        <f>IF($J294="",0,IF($A294=2,$H294*$N294,0))</f>
      </c>
    </row>
    <row r="295" spans="1:16"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c r="N295">
        <f>IF($E295="SGD",1,IF($E295="USD",Settings!$B$22,IF($E295="HKD",Settings!$B$23,1)))</f>
      </c>
      <c r="O295">
        <f>IF($J295="",0,($M295-$L295+IF($A295=2,$H295,0))*$N295)</f>
      </c>
      <c r="P295">
        <f>IF($J295="",0,IF($A295=2,$H295*$N295,0))</f>
      </c>
    </row>
    <row r="296" spans="1:16"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c r="N296">
        <f>IF($E296="SGD",1,IF($E296="USD",Settings!$B$22,IF($E296="HKD",Settings!$B$23,1)))</f>
      </c>
      <c r="O296">
        <f>IF($J296="",0,($M296-$L296+IF($A296=2,$H296,0))*$N296)</f>
      </c>
      <c r="P296">
        <f>IF($J296="",0,IF($A296=2,$H296*$N296,0))</f>
      </c>
    </row>
    <row r="297" spans="1:16"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c r="N297">
        <f>IF($E297="SGD",1,IF($E297="USD",Settings!$B$22,IF($E297="HKD",Settings!$B$23,1)))</f>
      </c>
      <c r="O297">
        <f>IF($J297="",0,($M297-$L297+IF($A297=2,$H297,0))*$N297)</f>
      </c>
      <c r="P297">
        <f>IF($J297="",0,IF($A297=2,$H297*$N297,0))</f>
      </c>
    </row>
    <row r="298" spans="1:16"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c r="N298">
        <f>IF($E298="SGD",1,IF($E298="USD",Settings!$B$22,IF($E298="HKD",Settings!$B$23,1)))</f>
      </c>
      <c r="O298">
        <f>IF($J298="",0,($M298-$L298+IF($A298=2,$H298,0))*$N298)</f>
      </c>
      <c r="P298">
        <f>IF($J298="",0,IF($A298=2,$H298*$N298,0))</f>
      </c>
    </row>
    <row r="299" spans="1:16"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c r="N299">
        <f>IF($E299="SGD",1,IF($E299="USD",Settings!$B$22,IF($E299="HKD",Settings!$B$23,1)))</f>
      </c>
      <c r="O299">
        <f>IF($J299="",0,($M299-$L299+IF($A299=2,$H299,0))*$N299)</f>
      </c>
      <c r="P299">
        <f>IF($J299="",0,IF($A299=2,$H299*$N299,0))</f>
      </c>
    </row>
    <row r="300" spans="1:16"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c r="N300">
        <f>IF($E300="SGD",1,IF($E300="USD",Settings!$B$22,IF($E300="HKD",Settings!$B$23,1)))</f>
      </c>
      <c r="O300">
        <f>IF($J300="",0,($M300-$L300+IF($A300=2,$H300,0))*$N300)</f>
      </c>
      <c r="P300">
        <f>IF($J300="",0,IF($A300=2,$H300*$N300,0))</f>
      </c>
    </row>
    <row r="301" spans="1:16"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c r="N301">
        <f>IF($E301="SGD",1,IF($E301="USD",Settings!$B$22,IF($E301="HKD",Settings!$B$23,1)))</f>
      </c>
      <c r="O301">
        <f>IF($J301="",0,($M301-$L301+IF($A301=2,$H301,0))*$N301)</f>
      </c>
      <c r="P301">
        <f>IF($J301="",0,IF($A301=2,$H301*$N301,0))</f>
      </c>
    </row>
    <row r="302" spans="1:16"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c r="N302">
        <f>IF($E302="SGD",1,IF($E302="USD",Settings!$B$22,IF($E302="HKD",Settings!$B$23,1)))</f>
      </c>
      <c r="O302">
        <f>IF($J302="",0,($M302-$L302+IF($A302=2,$H302,0))*$N302)</f>
      </c>
      <c r="P302">
        <f>IF($J302="",0,IF($A302=2,$H302*$N302,0))</f>
      </c>
    </row>
    <row r="303" spans="1:16"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c r="N303">
        <f>IF($E303="SGD",1,IF($E303="USD",Settings!$B$22,IF($E303="HKD",Settings!$B$23,1)))</f>
      </c>
      <c r="O303">
        <f>IF($J303="",0,($M303-$L303+IF($A303=2,$H303,0))*$N303)</f>
      </c>
      <c r="P303">
        <f>IF($J303="",0,IF($A303=2,$H303*$N303,0))</f>
      </c>
    </row>
    <row r="304" spans="1:16"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c r="N304">
        <f>IF($E304="SGD",1,IF($E304="USD",Settings!$B$22,IF($E304="HKD",Settings!$B$23,1)))</f>
      </c>
      <c r="O304">
        <f>IF($J304="",0,($M304-$L304+IF($A304=2,$H304,0))*$N304)</f>
      </c>
      <c r="P304">
        <f>IF($J304="",0,IF($A304=2,$H304*$N304,0))</f>
      </c>
    </row>
    <row r="305" spans="1:16"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c r="N305">
        <f>IF($E305="SGD",1,IF($E305="USD",Settings!$B$22,IF($E305="HKD",Settings!$B$23,1)))</f>
      </c>
      <c r="O305">
        <f>IF($J305="",0,($M305-$L305+IF($A305=2,$H305,0))*$N305)</f>
      </c>
      <c r="P305">
        <f>IF($J305="",0,IF($A305=2,$H305*$N305,0))</f>
      </c>
    </row>
    <row r="306" spans="1:16"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c r="N306">
        <f>IF($E306="SGD",1,IF($E306="USD",Settings!$B$22,IF($E306="HKD",Settings!$B$23,1)))</f>
      </c>
      <c r="O306">
        <f>IF($J306="",0,($M306-$L306+IF($A306=2,$H306,0))*$N306)</f>
      </c>
      <c r="P306">
        <f>IF($J306="",0,IF($A306=2,$H306*$N306,0))</f>
      </c>
    </row>
    <row r="307" spans="1:16"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c r="N307">
        <f>IF($E307="SGD",1,IF($E307="USD",Settings!$B$22,IF($E307="HKD",Settings!$B$23,1)))</f>
      </c>
      <c r="O307">
        <f>IF($J307="",0,($M307-$L307+IF($A307=2,$H307,0))*$N307)</f>
      </c>
      <c r="P307">
        <f>IF($J307="",0,IF($A307=2,$H307*$N307,0))</f>
      </c>
    </row>
    <row r="308" spans="1:16"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c r="N308">
        <f>IF($E308="SGD",1,IF($E308="USD",Settings!$B$22,IF($E308="HKD",Settings!$B$23,1)))</f>
      </c>
      <c r="O308">
        <f>IF($J308="",0,($M308-$L308+IF($A308=2,$H308,0))*$N308)</f>
      </c>
      <c r="P308">
        <f>IF($J308="",0,IF($A308=2,$H308*$N308,0))</f>
      </c>
    </row>
    <row r="309" spans="1:16"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c r="N309">
        <f>IF($E309="SGD",1,IF($E309="USD",Settings!$B$22,IF($E309="HKD",Settings!$B$23,1)))</f>
      </c>
      <c r="O309">
        <f>IF($J309="",0,($M309-$L309+IF($A309=2,$H309,0))*$N309)</f>
      </c>
      <c r="P309">
        <f>IF($J309="",0,IF($A309=2,$H309*$N309,0))</f>
      </c>
    </row>
    <row r="310" spans="1:16"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c r="N310">
        <f>IF($E310="SGD",1,IF($E310="USD",Settings!$B$22,IF($E310="HKD",Settings!$B$23,1)))</f>
      </c>
      <c r="O310">
        <f>IF($J310="",0,($M310-$L310+IF($A310=2,$H310,0))*$N310)</f>
      </c>
      <c r="P310">
        <f>IF($J310="",0,IF($A310=2,$H310*$N310,0))</f>
      </c>
    </row>
    <row r="311" spans="1:16"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c r="N311">
        <f>IF($E311="SGD",1,IF($E311="USD",Settings!$B$22,IF($E311="HKD",Settings!$B$23,1)))</f>
      </c>
      <c r="O311">
        <f>IF($J311="",0,($M311-$L311+IF($A311=2,$H311,0))*$N311)</f>
      </c>
      <c r="P311">
        <f>IF($J311="",0,IF($A311=2,$H311*$N311,0))</f>
      </c>
    </row>
    <row r="312" spans="1:16"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c r="N312">
        <f>IF($E312="SGD",1,IF($E312="USD",Settings!$B$22,IF($E312="HKD",Settings!$B$23,1)))</f>
      </c>
      <c r="O312">
        <f>IF($J312="",0,($M312-$L312+IF($A312=2,$H312,0))*$N312)</f>
      </c>
      <c r="P312">
        <f>IF($J312="",0,IF($A312=2,$H312*$N312,0))</f>
      </c>
    </row>
    <row r="313" spans="1:16"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c r="N313">
        <f>IF($E313="SGD",1,IF($E313="USD",Settings!$B$22,IF($E313="HKD",Settings!$B$23,1)))</f>
      </c>
      <c r="O313">
        <f>IF($J313="",0,($M313-$L313+IF($A313=2,$H313,0))*$N313)</f>
      </c>
      <c r="P313">
        <f>IF($J313="",0,IF($A313=2,$H313*$N313,0))</f>
      </c>
    </row>
    <row r="314" spans="1:16"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c r="N314">
        <f>IF($E314="SGD",1,IF($E314="USD",Settings!$B$22,IF($E314="HKD",Settings!$B$23,1)))</f>
      </c>
      <c r="O314">
        <f>IF($J314="",0,($M314-$L314+IF($A314=2,$H314,0))*$N314)</f>
      </c>
      <c r="P314">
        <f>IF($J314="",0,IF($A314=2,$H314*$N314,0))</f>
      </c>
    </row>
    <row r="315" spans="1:16"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c r="N315">
        <f>IF($E315="SGD",1,IF($E315="USD",Settings!$B$22,IF($E315="HKD",Settings!$B$23,1)))</f>
      </c>
      <c r="O315">
        <f>IF($J315="",0,($M315-$L315+IF($A315=2,$H315,0))*$N315)</f>
      </c>
      <c r="P315">
        <f>IF($J315="",0,IF($A315=2,$H315*$N315,0))</f>
      </c>
    </row>
    <row r="316" spans="1:16"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c r="N316">
        <f>IF($E316="SGD",1,IF($E316="USD",Settings!$B$22,IF($E316="HKD",Settings!$B$23,1)))</f>
      </c>
      <c r="O316">
        <f>IF($J316="",0,($M316-$L316+IF($A316=2,$H316,0))*$N316)</f>
      </c>
      <c r="P316">
        <f>IF($J316="",0,IF($A316=2,$H316*$N316,0))</f>
      </c>
    </row>
    <row r="317" spans="1:16"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c r="N317">
        <f>IF($E317="SGD",1,IF($E317="USD",Settings!$B$22,IF($E317="HKD",Settings!$B$23,1)))</f>
      </c>
      <c r="O317">
        <f>IF($J317="",0,($M317-$L317+IF($A317=2,$H317,0))*$N317)</f>
      </c>
      <c r="P317">
        <f>IF($J317="",0,IF($A317=2,$H317*$N317,0))</f>
      </c>
    </row>
    <row r="318" spans="1:16"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c r="N318">
        <f>IF($E318="SGD",1,IF($E318="USD",Settings!$B$22,IF($E318="HKD",Settings!$B$23,1)))</f>
      </c>
      <c r="O318">
        <f>IF($J318="",0,($M318-$L318+IF($A318=2,$H318,0))*$N318)</f>
      </c>
      <c r="P318">
        <f>IF($J318="",0,IF($A318=2,$H318*$N318,0))</f>
      </c>
    </row>
    <row r="319" spans="1:16"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c r="N319">
        <f>IF($E319="SGD",1,IF($E319="USD",Settings!$B$22,IF($E319="HKD",Settings!$B$23,1)))</f>
      </c>
      <c r="O319">
        <f>IF($J319="",0,($M319-$L319+IF($A319=2,$H319,0))*$N319)</f>
      </c>
      <c r="P319">
        <f>IF($J319="",0,IF($A319=2,$H319*$N319,0))</f>
      </c>
    </row>
    <row r="320" spans="1:16"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c r="N320">
        <f>IF($E320="SGD",1,IF($E320="USD",Settings!$B$22,IF($E320="HKD",Settings!$B$23,1)))</f>
      </c>
      <c r="O320">
        <f>IF($J320="",0,($M320-$L320+IF($A320=2,$H320,0))*$N320)</f>
      </c>
      <c r="P320">
        <f>IF($J320="",0,IF($A320=2,$H320*$N320,0))</f>
      </c>
    </row>
    <row r="321" spans="1:16"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c r="N321">
        <f>IF($E321="SGD",1,IF($E321="USD",Settings!$B$22,IF($E321="HKD",Settings!$B$23,1)))</f>
      </c>
      <c r="O321">
        <f>IF($J321="",0,($M321-$L321+IF($A321=2,$H321,0))*$N321)</f>
      </c>
      <c r="P321">
        <f>IF($J321="",0,IF($A321=2,$H321*$N321,0))</f>
      </c>
    </row>
    <row r="322" spans="1:16"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c r="N322">
        <f>IF($E322="SGD",1,IF($E322="USD",Settings!$B$22,IF($E322="HKD",Settings!$B$23,1)))</f>
      </c>
      <c r="O322">
        <f>IF($J322="",0,($M322-$L322+IF($A322=2,$H322,0))*$N322)</f>
      </c>
      <c r="P322">
        <f>IF($J322="",0,IF($A322=2,$H322*$N322,0))</f>
      </c>
    </row>
    <row r="323" spans="1:16"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c r="N323">
        <f>IF($E323="SGD",1,IF($E323="USD",Settings!$B$22,IF($E323="HKD",Settings!$B$23,1)))</f>
      </c>
      <c r="O323">
        <f>IF($J323="",0,($M323-$L323+IF($A323=2,$H323,0))*$N323)</f>
      </c>
      <c r="P323">
        <f>IF($J323="",0,IF($A323=2,$H323*$N323,0))</f>
      </c>
    </row>
    <row r="324" spans="1:16"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c r="N324">
        <f>IF($E324="SGD",1,IF($E324="USD",Settings!$B$22,IF($E324="HKD",Settings!$B$23,1)))</f>
      </c>
      <c r="O324">
        <f>IF($J324="",0,($M324-$L324+IF($A324=2,$H324,0))*$N324)</f>
      </c>
      <c r="P324">
        <f>IF($J324="",0,IF($A324=2,$H324*$N324,0))</f>
      </c>
    </row>
    <row r="325" spans="1:16"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c r="N325">
        <f>IF($E325="SGD",1,IF($E325="USD",Settings!$B$22,IF($E325="HKD",Settings!$B$23,1)))</f>
      </c>
      <c r="O325">
        <f>IF($J325="",0,($M325-$L325+IF($A325=2,$H325,0))*$N325)</f>
      </c>
      <c r="P325">
        <f>IF($J325="",0,IF($A325=2,$H325*$N325,0))</f>
      </c>
    </row>
    <row r="326" spans="1:16"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c r="N326">
        <f>IF($E326="SGD",1,IF($E326="USD",Settings!$B$22,IF($E326="HKD",Settings!$B$23,1)))</f>
      </c>
      <c r="O326">
        <f>IF($J326="",0,($M326-$L326+IF($A326=2,$H326,0))*$N326)</f>
      </c>
      <c r="P326">
        <f>IF($J326="",0,IF($A326=2,$H326*$N326,0))</f>
      </c>
    </row>
    <row r="327" spans="1:16"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c r="N327">
        <f>IF($E327="SGD",1,IF($E327="USD",Settings!$B$22,IF($E327="HKD",Settings!$B$23,1)))</f>
      </c>
      <c r="O327">
        <f>IF($J327="",0,($M327-$L327+IF($A327=2,$H327,0))*$N327)</f>
      </c>
      <c r="P327">
        <f>IF($J327="",0,IF($A327=2,$H327*$N327,0))</f>
      </c>
    </row>
    <row r="328" spans="1:16"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c r="N328">
        <f>IF($E328="SGD",1,IF($E328="USD",Settings!$B$22,IF($E328="HKD",Settings!$B$23,1)))</f>
      </c>
      <c r="O328">
        <f>IF($J328="",0,($M328-$L328+IF($A328=2,$H328,0))*$N328)</f>
      </c>
      <c r="P328">
        <f>IF($J328="",0,IF($A328=2,$H328*$N328,0))</f>
      </c>
    </row>
    <row r="329" spans="1:16"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c r="N329">
        <f>IF($E329="SGD",1,IF($E329="USD",Settings!$B$22,IF($E329="HKD",Settings!$B$23,1)))</f>
      </c>
      <c r="O329">
        <f>IF($J329="",0,($M329-$L329+IF($A329=2,$H329,0))*$N329)</f>
      </c>
      <c r="P329">
        <f>IF($J329="",0,IF($A329=2,$H329*$N329,0))</f>
      </c>
    </row>
    <row r="330" spans="1:16"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c r="N330">
        <f>IF($E330="SGD",1,IF($E330="USD",Settings!$B$22,IF($E330="HKD",Settings!$B$23,1)))</f>
      </c>
      <c r="O330">
        <f>IF($J330="",0,($M330-$L330+IF($A330=2,$H330,0))*$N330)</f>
      </c>
      <c r="P330">
        <f>IF($J330="",0,IF($A330=2,$H330*$N330,0))</f>
      </c>
    </row>
    <row r="331" spans="1:16"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c r="N331">
        <f>IF($E331="SGD",1,IF($E331="USD",Settings!$B$22,IF($E331="HKD",Settings!$B$23,1)))</f>
      </c>
      <c r="O331">
        <f>IF($J331="",0,($M331-$L331+IF($A331=2,$H331,0))*$N331)</f>
      </c>
      <c r="P331">
        <f>IF($J331="",0,IF($A331=2,$H331*$N331,0))</f>
      </c>
    </row>
    <row r="332" spans="1:16"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c r="N332">
        <f>IF($E332="SGD",1,IF($E332="USD",Settings!$B$22,IF($E332="HKD",Settings!$B$23,1)))</f>
      </c>
      <c r="O332">
        <f>IF($J332="",0,($M332-$L332+IF($A332=2,$H332,0))*$N332)</f>
      </c>
      <c r="P332">
        <f>IF($J332="",0,IF($A332=2,$H332*$N332,0))</f>
      </c>
    </row>
    <row r="333" spans="1:16"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c r="N333">
        <f>IF($E333="SGD",1,IF($E333="USD",Settings!$B$22,IF($E333="HKD",Settings!$B$23,1)))</f>
      </c>
      <c r="O333">
        <f>IF($J333="",0,($M333-$L333+IF($A333=2,$H333,0))*$N333)</f>
      </c>
      <c r="P333">
        <f>IF($J333="",0,IF($A333=2,$H333*$N333,0))</f>
      </c>
    </row>
    <row r="334" spans="1:16"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c r="N334">
        <f>IF($E334="SGD",1,IF($E334="USD",Settings!$B$22,IF($E334="HKD",Settings!$B$23,1)))</f>
      </c>
      <c r="O334">
        <f>IF($J334="",0,($M334-$L334+IF($A334=2,$H334,0))*$N334)</f>
      </c>
      <c r="P334">
        <f>IF($J334="",0,IF($A334=2,$H334*$N334,0))</f>
      </c>
    </row>
    <row r="335" spans="1:16"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c r="N335">
        <f>IF($E335="SGD",1,IF($E335="USD",Settings!$B$22,IF($E335="HKD",Settings!$B$23,1)))</f>
      </c>
      <c r="O335">
        <f>IF($J335="",0,($M335-$L335+IF($A335=2,$H335,0))*$N335)</f>
      </c>
      <c r="P335">
        <f>IF($J335="",0,IF($A335=2,$H335*$N335,0))</f>
      </c>
    </row>
    <row r="336" spans="1:16"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c r="N336">
        <f>IF($E336="SGD",1,IF($E336="USD",Settings!$B$22,IF($E336="HKD",Settings!$B$23,1)))</f>
      </c>
      <c r="O336">
        <f>IF($J336="",0,($M336-$L336+IF($A336=2,$H336,0))*$N336)</f>
      </c>
      <c r="P336">
        <f>IF($J336="",0,IF($A336=2,$H336*$N336,0))</f>
      </c>
    </row>
    <row r="337" spans="1:16"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c r="N337">
        <f>IF($E337="SGD",1,IF($E337="USD",Settings!$B$22,IF($E337="HKD",Settings!$B$23,1)))</f>
      </c>
      <c r="O337">
        <f>IF($J337="",0,($M337-$L337+IF($A337=2,$H337,0))*$N337)</f>
      </c>
      <c r="P337">
        <f>IF($J337="",0,IF($A337=2,$H337*$N337,0))</f>
      </c>
    </row>
    <row r="338" spans="1:16"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c r="N338">
        <f>IF($E338="SGD",1,IF($E338="USD",Settings!$B$22,IF($E338="HKD",Settings!$B$23,1)))</f>
      </c>
      <c r="O338">
        <f>IF($J338="",0,($M338-$L338+IF($A338=2,$H338,0))*$N338)</f>
      </c>
      <c r="P338">
        <f>IF($J338="",0,IF($A338=2,$H338*$N338,0))</f>
      </c>
    </row>
    <row r="339" spans="1:16"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c r="N339">
        <f>IF($E339="SGD",1,IF($E339="USD",Settings!$B$22,IF($E339="HKD",Settings!$B$23,1)))</f>
      </c>
      <c r="O339">
        <f>IF($J339="",0,($M339-$L339+IF($A339=2,$H339,0))*$N339)</f>
      </c>
      <c r="P339">
        <f>IF($J339="",0,IF($A339=2,$H339*$N339,0))</f>
      </c>
    </row>
    <row r="340" spans="1:16"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c r="N340">
        <f>IF($E340="SGD",1,IF($E340="USD",Settings!$B$22,IF($E340="HKD",Settings!$B$23,1)))</f>
      </c>
      <c r="O340">
        <f>IF($J340="",0,($M340-$L340+IF($A340=2,$H340,0))*$N340)</f>
      </c>
      <c r="P340">
        <f>IF($J340="",0,IF($A340=2,$H340*$N340,0))</f>
      </c>
    </row>
    <row r="341" spans="1:16"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c r="N341">
        <f>IF($E341="SGD",1,IF($E341="USD",Settings!$B$22,IF($E341="HKD",Settings!$B$23,1)))</f>
      </c>
      <c r="O341">
        <f>IF($J341="",0,($M341-$L341+IF($A341=2,$H341,0))*$N341)</f>
      </c>
      <c r="P341">
        <f>IF($J341="",0,IF($A341=2,$H341*$N341,0))</f>
      </c>
    </row>
    <row r="342" spans="1:16"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c r="N342">
        <f>IF($E342="SGD",1,IF($E342="USD",Settings!$B$22,IF($E342="HKD",Settings!$B$23,1)))</f>
      </c>
      <c r="O342">
        <f>IF($J342="",0,($M342-$L342+IF($A342=2,$H342,0))*$N342)</f>
      </c>
      <c r="P342">
        <f>IF($J342="",0,IF($A342=2,$H342*$N342,0))</f>
      </c>
    </row>
    <row r="343" spans="1:16"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c r="N343">
        <f>IF($E343="SGD",1,IF($E343="USD",Settings!$B$22,IF($E343="HKD",Settings!$B$23,1)))</f>
      </c>
      <c r="O343">
        <f>IF($J343="",0,($M343-$L343+IF($A343=2,$H343,0))*$N343)</f>
      </c>
      <c r="P343">
        <f>IF($J343="",0,IF($A343=2,$H343*$N343,0))</f>
      </c>
    </row>
    <row r="344" spans="1:16"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c r="N344">
        <f>IF($E344="SGD",1,IF($E344="USD",Settings!$B$22,IF($E344="HKD",Settings!$B$23,1)))</f>
      </c>
      <c r="O344">
        <f>IF($J344="",0,($M344-$L344+IF($A344=2,$H344,0))*$N344)</f>
      </c>
      <c r="P344">
        <f>IF($J344="",0,IF($A344=2,$H344*$N344,0))</f>
      </c>
    </row>
    <row r="345" spans="1:16"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c r="N345">
        <f>IF($E345="SGD",1,IF($E345="USD",Settings!$B$22,IF($E345="HKD",Settings!$B$23,1)))</f>
      </c>
      <c r="O345">
        <f>IF($J345="",0,($M345-$L345+IF($A345=2,$H345,0))*$N345)</f>
      </c>
      <c r="P345">
        <f>IF($J345="",0,IF($A345=2,$H345*$N345,0))</f>
      </c>
    </row>
    <row r="346" spans="1:16"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c r="N346">
        <f>IF($E346="SGD",1,IF($E346="USD",Settings!$B$22,IF($E346="HKD",Settings!$B$23,1)))</f>
      </c>
      <c r="O346">
        <f>IF($J346="",0,($M346-$L346+IF($A346=2,$H346,0))*$N346)</f>
      </c>
      <c r="P346">
        <f>IF($J346="",0,IF($A346=2,$H346*$N346,0))</f>
      </c>
    </row>
    <row r="347" spans="1:16"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c r="N347">
        <f>IF($E347="SGD",1,IF($E347="USD",Settings!$B$22,IF($E347="HKD",Settings!$B$23,1)))</f>
      </c>
      <c r="O347">
        <f>IF($J347="",0,($M347-$L347+IF($A347=2,$H347,0))*$N347)</f>
      </c>
      <c r="P347">
        <f>IF($J347="",0,IF($A347=2,$H347*$N347,0))</f>
      </c>
    </row>
    <row r="348" spans="1:16"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c r="N348">
        <f>IF($E348="SGD",1,IF($E348="USD",Settings!$B$22,IF($E348="HKD",Settings!$B$23,1)))</f>
      </c>
      <c r="O348">
        <f>IF($J348="",0,($M348-$L348+IF($A348=2,$H348,0))*$N348)</f>
      </c>
      <c r="P348">
        <f>IF($J348="",0,IF($A348=2,$H348*$N348,0))</f>
      </c>
    </row>
    <row r="349" spans="1:16"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c r="N349">
        <f>IF($E349="SGD",1,IF($E349="USD",Settings!$B$22,IF($E349="HKD",Settings!$B$23,1)))</f>
      </c>
      <c r="O349">
        <f>IF($J349="",0,($M349-$L349+IF($A349=2,$H349,0))*$N349)</f>
      </c>
      <c r="P349">
        <f>IF($J349="",0,IF($A349=2,$H349*$N349,0))</f>
      </c>
    </row>
    <row r="350" spans="1:16"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c r="N350">
        <f>IF($E350="SGD",1,IF($E350="USD",Settings!$B$22,IF($E350="HKD",Settings!$B$23,1)))</f>
      </c>
      <c r="O350">
        <f>IF($J350="",0,($M350-$L350+IF($A350=2,$H350,0))*$N350)</f>
      </c>
      <c r="P350">
        <f>IF($J350="",0,IF($A350=2,$H350*$N350,0))</f>
      </c>
    </row>
    <row r="351" spans="1:16"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c r="N351">
        <f>IF($E351="SGD",1,IF($E351="USD",Settings!$B$22,IF($E351="HKD",Settings!$B$23,1)))</f>
      </c>
      <c r="O351">
        <f>IF($J351="",0,($M351-$L351+IF($A351=2,$H351,0))*$N351)</f>
      </c>
      <c r="P351">
        <f>IF($J351="",0,IF($A351=2,$H351*$N351,0))</f>
      </c>
    </row>
    <row r="352" spans="1:16"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c r="N352">
        <f>IF($E352="SGD",1,IF($E352="USD",Settings!$B$22,IF($E352="HKD",Settings!$B$23,1)))</f>
      </c>
      <c r="O352">
        <f>IF($J352="",0,($M352-$L352+IF($A352=2,$H352,0))*$N352)</f>
      </c>
      <c r="P352">
        <f>IF($J352="",0,IF($A352=2,$H352*$N352,0))</f>
      </c>
    </row>
    <row r="353" spans="1:16"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c r="N353">
        <f>IF($E353="SGD",1,IF($E353="USD",Settings!$B$22,IF($E353="HKD",Settings!$B$23,1)))</f>
      </c>
      <c r="O353">
        <f>IF($J353="",0,($M353-$L353+IF($A353=2,$H353,0))*$N353)</f>
      </c>
      <c r="P353">
        <f>IF($J353="",0,IF($A353=2,$H353*$N353,0))</f>
      </c>
    </row>
    <row r="354" spans="1:16"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c r="N354">
        <f>IF($E354="SGD",1,IF($E354="USD",Settings!$B$22,IF($E354="HKD",Settings!$B$23,1)))</f>
      </c>
      <c r="O354">
        <f>IF($J354="",0,($M354-$L354+IF($A354=2,$H354,0))*$N354)</f>
      </c>
      <c r="P354">
        <f>IF($J354="",0,IF($A354=2,$H354*$N354,0))</f>
      </c>
    </row>
    <row r="355" spans="1:16"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c r="N355">
        <f>IF($E355="SGD",1,IF($E355="USD",Settings!$B$22,IF($E355="HKD",Settings!$B$23,1)))</f>
      </c>
      <c r="O355">
        <f>IF($J355="",0,($M355-$L355+IF($A355=2,$H355,0))*$N355)</f>
      </c>
      <c r="P355">
        <f>IF($J355="",0,IF($A355=2,$H355*$N355,0))</f>
      </c>
    </row>
    <row r="356" spans="1:16"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c r="N356">
        <f>IF($E356="SGD",1,IF($E356="USD",Settings!$B$22,IF($E356="HKD",Settings!$B$23,1)))</f>
      </c>
      <c r="O356">
        <f>IF($J356="",0,($M356-$L356+IF($A356=2,$H356,0))*$N356)</f>
      </c>
      <c r="P356">
        <f>IF($J356="",0,IF($A356=2,$H356*$N356,0))</f>
      </c>
    </row>
    <row r="357" spans="1:16"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c r="N357">
        <f>IF($E357="SGD",1,IF($E357="USD",Settings!$B$22,IF($E357="HKD",Settings!$B$23,1)))</f>
      </c>
      <c r="O357">
        <f>IF($J357="",0,($M357-$L357+IF($A357=2,$H357,0))*$N357)</f>
      </c>
      <c r="P357">
        <f>IF($J357="",0,IF($A357=2,$H357*$N357,0))</f>
      </c>
    </row>
    <row r="358" spans="1:16"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c r="N358">
        <f>IF($E358="SGD",1,IF($E358="USD",Settings!$B$22,IF($E358="HKD",Settings!$B$23,1)))</f>
      </c>
      <c r="O358">
        <f>IF($J358="",0,($M358-$L358+IF($A358=2,$H358,0))*$N358)</f>
      </c>
      <c r="P358">
        <f>IF($J358="",0,IF($A358=2,$H358*$N358,0))</f>
      </c>
    </row>
    <row r="359" spans="1:16"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c r="N359">
        <f>IF($E359="SGD",1,IF($E359="USD",Settings!$B$22,IF($E359="HKD",Settings!$B$23,1)))</f>
      </c>
      <c r="O359">
        <f>IF($J359="",0,($M359-$L359+IF($A359=2,$H359,0))*$N359)</f>
      </c>
      <c r="P359">
        <f>IF($J359="",0,IF($A359=2,$H359*$N359,0))</f>
      </c>
    </row>
    <row r="360" spans="1:16"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c r="N360">
        <f>IF($E360="SGD",1,IF($E360="USD",Settings!$B$22,IF($E360="HKD",Settings!$B$23,1)))</f>
      </c>
      <c r="O360">
        <f>IF($J360="",0,($M360-$L360+IF($A360=2,$H360,0))*$N360)</f>
      </c>
      <c r="P360">
        <f>IF($J360="",0,IF($A360=2,$H360*$N360,0))</f>
      </c>
    </row>
    <row r="361" spans="1:16"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c r="N361">
        <f>IF($E361="SGD",1,IF($E361="USD",Settings!$B$22,IF($E361="HKD",Settings!$B$23,1)))</f>
      </c>
      <c r="O361">
        <f>IF($J361="",0,($M361-$L361+IF($A361=2,$H361,0))*$N361)</f>
      </c>
      <c r="P361">
        <f>IF($J361="",0,IF($A361=2,$H361*$N361,0))</f>
      </c>
    </row>
    <row r="362" spans="1:16"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c r="N362">
        <f>IF($E362="SGD",1,IF($E362="USD",Settings!$B$22,IF($E362="HKD",Settings!$B$23,1)))</f>
      </c>
      <c r="O362">
        <f>IF($J362="",0,($M362-$L362+IF($A362=2,$H362,0))*$N362)</f>
      </c>
      <c r="P362">
        <f>IF($J362="",0,IF($A362=2,$H362*$N362,0))</f>
      </c>
    </row>
    <row r="363" spans="1:16"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c r="N363">
        <f>IF($E363="SGD",1,IF($E363="USD",Settings!$B$22,IF($E363="HKD",Settings!$B$23,1)))</f>
      </c>
      <c r="O363">
        <f>IF($J363="",0,($M363-$L363+IF($A363=2,$H363,0))*$N363)</f>
      </c>
      <c r="P363">
        <f>IF($J363="",0,IF($A363=2,$H363*$N363,0))</f>
      </c>
    </row>
    <row r="364" spans="1:16"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c r="N364">
        <f>IF($E364="SGD",1,IF($E364="USD",Settings!$B$22,IF($E364="HKD",Settings!$B$23,1)))</f>
      </c>
      <c r="O364">
        <f>IF($J364="",0,($M364-$L364+IF($A364=2,$H364,0))*$N364)</f>
      </c>
      <c r="P364">
        <f>IF($J364="",0,IF($A364=2,$H364*$N364,0))</f>
      </c>
    </row>
    <row r="365" spans="1:16"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c r="N365">
        <f>IF($E365="SGD",1,IF($E365="USD",Settings!$B$22,IF($E365="HKD",Settings!$B$23,1)))</f>
      </c>
      <c r="O365">
        <f>IF($J365="",0,($M365-$L365+IF($A365=2,$H365,0))*$N365)</f>
      </c>
      <c r="P365">
        <f>IF($J365="",0,IF($A365=2,$H365*$N365,0))</f>
      </c>
    </row>
    <row r="366" spans="1:16"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c r="N366">
        <f>IF($E366="SGD",1,IF($E366="USD",Settings!$B$22,IF($E366="HKD",Settings!$B$23,1)))</f>
      </c>
      <c r="O366">
        <f>IF($J366="",0,($M366-$L366+IF($A366=2,$H366,0))*$N366)</f>
      </c>
      <c r="P366">
        <f>IF($J366="",0,IF($A366=2,$H366*$N366,0))</f>
      </c>
    </row>
    <row r="367" spans="1:16"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c r="N367">
        <f>IF($E367="SGD",1,IF($E367="USD",Settings!$B$22,IF($E367="HKD",Settings!$B$23,1)))</f>
      </c>
      <c r="O367">
        <f>IF($J367="",0,($M367-$L367+IF($A367=2,$H367,0))*$N367)</f>
      </c>
      <c r="P367">
        <f>IF($J367="",0,IF($A367=2,$H367*$N367,0))</f>
      </c>
    </row>
    <row r="368" spans="1:16"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c r="N368">
        <f>IF($E368="SGD",1,IF($E368="USD",Settings!$B$22,IF($E368="HKD",Settings!$B$23,1)))</f>
      </c>
      <c r="O368">
        <f>IF($J368="",0,($M368-$L368+IF($A368=2,$H368,0))*$N368)</f>
      </c>
      <c r="P368">
        <f>IF($J368="",0,IF($A368=2,$H368*$N368,0))</f>
      </c>
    </row>
    <row r="369" spans="1:16"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c r="N369">
        <f>IF($E369="SGD",1,IF($E369="USD",Settings!$B$22,IF($E369="HKD",Settings!$B$23,1)))</f>
      </c>
      <c r="O369">
        <f>IF($J369="",0,($M369-$L369+IF($A369=2,$H369,0))*$N369)</f>
      </c>
      <c r="P369">
        <f>IF($J369="",0,IF($A369=2,$H369*$N369,0))</f>
      </c>
    </row>
    <row r="370" spans="1:16"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c r="N370">
        <f>IF($E370="SGD",1,IF($E370="USD",Settings!$B$22,IF($E370="HKD",Settings!$B$23,1)))</f>
      </c>
      <c r="O370">
        <f>IF($J370="",0,($M370-$L370+IF($A370=2,$H370,0))*$N370)</f>
      </c>
      <c r="P370">
        <f>IF($J370="",0,IF($A370=2,$H370*$N370,0))</f>
      </c>
    </row>
    <row r="371" spans="1:16"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c r="N371">
        <f>IF($E371="SGD",1,IF($E371="USD",Settings!$B$22,IF($E371="HKD",Settings!$B$23,1)))</f>
      </c>
      <c r="O371">
        <f>IF($J371="",0,($M371-$L371+IF($A371=2,$H371,0))*$N371)</f>
      </c>
      <c r="P371">
        <f>IF($J371="",0,IF($A371=2,$H371*$N371,0))</f>
      </c>
    </row>
    <row r="372" spans="1:16"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c r="N372">
        <f>IF($E372="SGD",1,IF($E372="USD",Settings!$B$22,IF($E372="HKD",Settings!$B$23,1)))</f>
      </c>
      <c r="O372">
        <f>IF($J372="",0,($M372-$L372+IF($A372=2,$H372,0))*$N372)</f>
      </c>
      <c r="P372">
        <f>IF($J372="",0,IF($A372=2,$H372*$N372,0))</f>
      </c>
    </row>
    <row r="373" spans="1:16"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c r="N373">
        <f>IF($E373="SGD",1,IF($E373="USD",Settings!$B$22,IF($E373="HKD",Settings!$B$23,1)))</f>
      </c>
      <c r="O373">
        <f>IF($J373="",0,($M373-$L373+IF($A373=2,$H373,0))*$N373)</f>
      </c>
      <c r="P373">
        <f>IF($J373="",0,IF($A373=2,$H373*$N373,0))</f>
      </c>
    </row>
    <row r="374" spans="1:16"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c r="N374">
        <f>IF($E374="SGD",1,IF($E374="USD",Settings!$B$22,IF($E374="HKD",Settings!$B$23,1)))</f>
      </c>
      <c r="O374">
        <f>IF($J374="",0,($M374-$L374+IF($A374=2,$H374,0))*$N374)</f>
      </c>
      <c r="P374">
        <f>IF($J374="",0,IF($A374=2,$H374*$N374,0))</f>
      </c>
    </row>
    <row r="375" spans="1:16"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c r="N375">
        <f>IF($E375="SGD",1,IF($E375="USD",Settings!$B$22,IF($E375="HKD",Settings!$B$23,1)))</f>
      </c>
      <c r="O375">
        <f>IF($J375="",0,($M375-$L375+IF($A375=2,$H375,0))*$N375)</f>
      </c>
      <c r="P375">
        <f>IF($J375="",0,IF($A375=2,$H375*$N375,0))</f>
      </c>
    </row>
    <row r="376" spans="1:16"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c r="N376">
        <f>IF($E376="SGD",1,IF($E376="USD",Settings!$B$22,IF($E376="HKD",Settings!$B$23,1)))</f>
      </c>
      <c r="O376">
        <f>IF($J376="",0,($M376-$L376+IF($A376=2,$H376,0))*$N376)</f>
      </c>
      <c r="P376">
        <f>IF($J376="",0,IF($A376=2,$H376*$N376,0))</f>
      </c>
    </row>
    <row r="377" spans="1:16"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c r="N377">
        <f>IF($E377="SGD",1,IF($E377="USD",Settings!$B$22,IF($E377="HKD",Settings!$B$23,1)))</f>
      </c>
      <c r="O377">
        <f>IF($J377="",0,($M377-$L377+IF($A377=2,$H377,0))*$N377)</f>
      </c>
      <c r="P377">
        <f>IF($J377="",0,IF($A377=2,$H377*$N377,0))</f>
      </c>
    </row>
    <row r="378" spans="1:16"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c r="N378">
        <f>IF($E378="SGD",1,IF($E378="USD",Settings!$B$22,IF($E378="HKD",Settings!$B$23,1)))</f>
      </c>
      <c r="O378">
        <f>IF($J378="",0,($M378-$L378+IF($A378=2,$H378,0))*$N378)</f>
      </c>
      <c r="P378">
        <f>IF($J378="",0,IF($A378=2,$H378*$N378,0))</f>
      </c>
    </row>
    <row r="379" spans="1:16"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c r="N379">
        <f>IF($E379="SGD",1,IF($E379="USD",Settings!$B$22,IF($E379="HKD",Settings!$B$23,1)))</f>
      </c>
      <c r="O379">
        <f>IF($J379="",0,($M379-$L379+IF($A379=2,$H379,0))*$N379)</f>
      </c>
      <c r="P379">
        <f>IF($J379="",0,IF($A379=2,$H379*$N379,0))</f>
      </c>
    </row>
    <row r="380" spans="1:16"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c r="N380">
        <f>IF($E380="SGD",1,IF($E380="USD",Settings!$B$22,IF($E380="HKD",Settings!$B$23,1)))</f>
      </c>
      <c r="O380">
        <f>IF($J380="",0,($M380-$L380+IF($A380=2,$H380,0))*$N380)</f>
      </c>
      <c r="P380">
        <f>IF($J380="",0,IF($A380=2,$H380*$N380,0))</f>
      </c>
    </row>
    <row r="381" spans="1:16"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c r="N381">
        <f>IF($E381="SGD",1,IF($E381="USD",Settings!$B$22,IF($E381="HKD",Settings!$B$23,1)))</f>
      </c>
      <c r="O381">
        <f>IF($J381="",0,($M381-$L381+IF($A381=2,$H381,0))*$N381)</f>
      </c>
      <c r="P381">
        <f>IF($J381="",0,IF($A381=2,$H381*$N381,0))</f>
      </c>
    </row>
    <row r="382" spans="1:16"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c r="N382">
        <f>IF($E382="SGD",1,IF($E382="USD",Settings!$B$22,IF($E382="HKD",Settings!$B$23,1)))</f>
      </c>
      <c r="O382">
        <f>IF($J382="",0,($M382-$L382+IF($A382=2,$H382,0))*$N382)</f>
      </c>
      <c r="P382">
        <f>IF($J382="",0,IF($A382=2,$H382*$N382,0))</f>
      </c>
    </row>
    <row r="383" spans="1:16"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c r="N383">
        <f>IF($E383="SGD",1,IF($E383="USD",Settings!$B$22,IF($E383="HKD",Settings!$B$23,1)))</f>
      </c>
      <c r="O383">
        <f>IF($J383="",0,($M383-$L383+IF($A383=2,$H383,0))*$N383)</f>
      </c>
      <c r="P383">
        <f>IF($J383="",0,IF($A383=2,$H383*$N383,0))</f>
      </c>
    </row>
    <row r="384" spans="1:16"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c r="N384">
        <f>IF($E384="SGD",1,IF($E384="USD",Settings!$B$22,IF($E384="HKD",Settings!$B$23,1)))</f>
      </c>
      <c r="O384">
        <f>IF($J384="",0,($M384-$L384+IF($A384=2,$H384,0))*$N384)</f>
      </c>
      <c r="P384">
        <f>IF($J384="",0,IF($A384=2,$H384*$N384,0))</f>
      </c>
    </row>
    <row r="385" spans="1:16"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c r="N385">
        <f>IF($E385="SGD",1,IF($E385="USD",Settings!$B$22,IF($E385="HKD",Settings!$B$23,1)))</f>
      </c>
      <c r="O385">
        <f>IF($J385="",0,($M385-$L385+IF($A385=2,$H385,0))*$N385)</f>
      </c>
      <c r="P385">
        <f>IF($J385="",0,IF($A385=2,$H385*$N385,0))</f>
      </c>
    </row>
    <row r="386" spans="1:16"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c r="N386">
        <f>IF($E386="SGD",1,IF($E386="USD",Settings!$B$22,IF($E386="HKD",Settings!$B$23,1)))</f>
      </c>
      <c r="O386">
        <f>IF($J386="",0,($M386-$L386+IF($A386=2,$H386,0))*$N386)</f>
      </c>
      <c r="P386">
        <f>IF($J386="",0,IF($A386=2,$H386*$N386,0))</f>
      </c>
    </row>
    <row r="387" spans="1:16"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c r="N387">
        <f>IF($E387="SGD",1,IF($E387="USD",Settings!$B$22,IF($E387="HKD",Settings!$B$23,1)))</f>
      </c>
      <c r="O387">
        <f>IF($J387="",0,($M387-$L387+IF($A387=2,$H387,0))*$N387)</f>
      </c>
      <c r="P387">
        <f>IF($J387="",0,IF($A387=2,$H387*$N387,0))</f>
      </c>
    </row>
    <row r="388" spans="1:16"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c r="N388">
        <f>IF($E388="SGD",1,IF($E388="USD",Settings!$B$22,IF($E388="HKD",Settings!$B$23,1)))</f>
      </c>
      <c r="O388">
        <f>IF($J388="",0,($M388-$L388+IF($A388=2,$H388,0))*$N388)</f>
      </c>
      <c r="P388">
        <f>IF($J388="",0,IF($A388=2,$H388*$N388,0))</f>
      </c>
    </row>
    <row r="389" spans="1:16"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c r="N389">
        <f>IF($E389="SGD",1,IF($E389="USD",Settings!$B$22,IF($E389="HKD",Settings!$B$23,1)))</f>
      </c>
      <c r="O389">
        <f>IF($J389="",0,($M389-$L389+IF($A389=2,$H389,0))*$N389)</f>
      </c>
      <c r="P389">
        <f>IF($J389="",0,IF($A389=2,$H389*$N389,0))</f>
      </c>
    </row>
    <row r="390" spans="1:16"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c r="N390">
        <f>IF($E390="SGD",1,IF($E390="USD",Settings!$B$22,IF($E390="HKD",Settings!$B$23,1)))</f>
      </c>
      <c r="O390">
        <f>IF($J390="",0,($M390-$L390+IF($A390=2,$H390,0))*$N390)</f>
      </c>
      <c r="P390">
        <f>IF($J390="",0,IF($A390=2,$H390*$N390,0))</f>
      </c>
    </row>
    <row r="391" spans="1:16"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c r="N391">
        <f>IF($E391="SGD",1,IF($E391="USD",Settings!$B$22,IF($E391="HKD",Settings!$B$23,1)))</f>
      </c>
      <c r="O391">
        <f>IF($J391="",0,($M391-$L391+IF($A391=2,$H391,0))*$N391)</f>
      </c>
      <c r="P391">
        <f>IF($J391="",0,IF($A391=2,$H391*$N391,0))</f>
      </c>
    </row>
    <row r="392" spans="1:16"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c r="N392">
        <f>IF($E392="SGD",1,IF($E392="USD",Settings!$B$22,IF($E392="HKD",Settings!$B$23,1)))</f>
      </c>
      <c r="O392">
        <f>IF($J392="",0,($M392-$L392+IF($A392=2,$H392,0))*$N392)</f>
      </c>
      <c r="P392">
        <f>IF($J392="",0,IF($A392=2,$H392*$N392,0))</f>
      </c>
    </row>
    <row r="393" spans="1:16"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c r="N393">
        <f>IF($E393="SGD",1,IF($E393="USD",Settings!$B$22,IF($E393="HKD",Settings!$B$23,1)))</f>
      </c>
      <c r="O393">
        <f>IF($J393="",0,($M393-$L393+IF($A393=2,$H393,0))*$N393)</f>
      </c>
      <c r="P393">
        <f>IF($J393="",0,IF($A393=2,$H393*$N393,0))</f>
      </c>
    </row>
    <row r="394" spans="1:16"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c r="N394">
        <f>IF($E394="SGD",1,IF($E394="USD",Settings!$B$22,IF($E394="HKD",Settings!$B$23,1)))</f>
      </c>
      <c r="O394">
        <f>IF($J394="",0,($M394-$L394+IF($A394=2,$H394,0))*$N394)</f>
      </c>
      <c r="P394">
        <f>IF($J394="",0,IF($A394=2,$H394*$N394,0))</f>
      </c>
    </row>
    <row r="395" spans="1:16"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c r="N395">
        <f>IF($E395="SGD",1,IF($E395="USD",Settings!$B$22,IF($E395="HKD",Settings!$B$23,1)))</f>
      </c>
      <c r="O395">
        <f>IF($J395="",0,($M395-$L395+IF($A395=2,$H395,0))*$N395)</f>
      </c>
      <c r="P395">
        <f>IF($J395="",0,IF($A395=2,$H395*$N395,0))</f>
      </c>
    </row>
    <row r="396" spans="1:16"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c r="N396">
        <f>IF($E396="SGD",1,IF($E396="USD",Settings!$B$22,IF($E396="HKD",Settings!$B$23,1)))</f>
      </c>
      <c r="O396">
        <f>IF($J396="",0,($M396-$L396+IF($A396=2,$H396,0))*$N396)</f>
      </c>
      <c r="P396">
        <f>IF($J396="",0,IF($A396=2,$H396*$N396,0))</f>
      </c>
    </row>
    <row r="397" spans="1:16"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c r="N397">
        <f>IF($E397="SGD",1,IF($E397="USD",Settings!$B$22,IF($E397="HKD",Settings!$B$23,1)))</f>
      </c>
      <c r="O397">
        <f>IF($J397="",0,($M397-$L397+IF($A397=2,$H397,0))*$N397)</f>
      </c>
      <c r="P397">
        <f>IF($J397="",0,IF($A397=2,$H397*$N397,0))</f>
      </c>
    </row>
    <row r="398" spans="1:16"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c r="N398">
        <f>IF($E398="SGD",1,IF($E398="USD",Settings!$B$22,IF($E398="HKD",Settings!$B$23,1)))</f>
      </c>
      <c r="O398">
        <f>IF($J398="",0,($M398-$L398+IF($A398=2,$H398,0))*$N398)</f>
      </c>
      <c r="P398">
        <f>IF($J398="",0,IF($A398=2,$H398*$N398,0))</f>
      </c>
    </row>
    <row r="399" spans="1:16"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c r="N399">
        <f>IF($E399="SGD",1,IF($E399="USD",Settings!$B$22,IF($E399="HKD",Settings!$B$23,1)))</f>
      </c>
      <c r="O399">
        <f>IF($J399="",0,($M399-$L399+IF($A399=2,$H399,0))*$N399)</f>
      </c>
      <c r="P399">
        <f>IF($J399="",0,IF($A399=2,$H399*$N399,0))</f>
      </c>
    </row>
    <row r="400" spans="1:16"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c r="N400">
        <f>IF($E400="SGD",1,IF($E400="USD",Settings!$B$22,IF($E400="HKD",Settings!$B$23,1)))</f>
      </c>
      <c r="O400">
        <f>IF($J400="",0,($M400-$L400+IF($A400=2,$H400,0))*$N400)</f>
      </c>
      <c r="P400">
        <f>IF($J400="",0,IF($A400=2,$H400*$N400,0))</f>
      </c>
    </row>
    <row r="401" spans="1:16"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c r="N401">
        <f>IF($E401="SGD",1,IF($E401="USD",Settings!$B$22,IF($E401="HKD",Settings!$B$23,1)))</f>
      </c>
      <c r="O401">
        <f>IF($J401="",0,($M401-$L401+IF($A401=2,$H401,0))*$N401)</f>
      </c>
      <c r="P401">
        <f>IF($J401="",0,IF($A401=2,$H401*$N401,0))</f>
      </c>
    </row>
    <row r="402" spans="1:16"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c r="N402">
        <f>IF($E402="SGD",1,IF($E402="USD",Settings!$B$22,IF($E402="HKD",Settings!$B$23,1)))</f>
      </c>
      <c r="O402">
        <f>IF($J402="",0,($M402-$L402+IF($A402=2,$H402,0))*$N402)</f>
      </c>
      <c r="P402">
        <f>IF($J402="",0,IF($A402=2,$H402*$N402,0))</f>
      </c>
    </row>
    <row r="403" spans="1:16"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c r="N403">
        <f>IF($E403="SGD",1,IF($E403="USD",Settings!$B$22,IF($E403="HKD",Settings!$B$23,1)))</f>
      </c>
      <c r="O403">
        <f>IF($J403="",0,($M403-$L403+IF($A403=2,$H403,0))*$N403)</f>
      </c>
      <c r="P403">
        <f>IF($J403="",0,IF($A403=2,$H403*$N403,0))</f>
      </c>
    </row>
    <row r="404" spans="1:16"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c r="N404">
        <f>IF($E404="SGD",1,IF($E404="USD",Settings!$B$22,IF($E404="HKD",Settings!$B$23,1)))</f>
      </c>
      <c r="O404">
        <f>IF($J404="",0,($M404-$L404+IF($A404=2,$H404,0))*$N404)</f>
      </c>
      <c r="P404">
        <f>IF($J404="",0,IF($A404=2,$H404*$N404,0))</f>
      </c>
    </row>
    <row r="405" spans="1:16"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c r="N405">
        <f>IF($E405="SGD",1,IF($E405="USD",Settings!$B$22,IF($E405="HKD",Settings!$B$23,1)))</f>
      </c>
      <c r="O405">
        <f>IF($J405="",0,($M405-$L405+IF($A405=2,$H405,0))*$N405)</f>
      </c>
      <c r="P405">
        <f>IF($J405="",0,IF($A405=2,$H405*$N405,0))</f>
      </c>
    </row>
    <row r="406" spans="1:16"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c r="N406">
        <f>IF($E406="SGD",1,IF($E406="USD",Settings!$B$22,IF($E406="HKD",Settings!$B$23,1)))</f>
      </c>
      <c r="O406">
        <f>IF($J406="",0,($M406-$L406+IF($A406=2,$H406,0))*$N406)</f>
      </c>
      <c r="P406">
        <f>IF($J406="",0,IF($A406=2,$H406*$N406,0))</f>
      </c>
    </row>
    <row r="407" spans="1:16"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c r="N407">
        <f>IF($E407="SGD",1,IF($E407="USD",Settings!$B$22,IF($E407="HKD",Settings!$B$23,1)))</f>
      </c>
      <c r="O407">
        <f>IF($J407="",0,($M407-$L407+IF($A407=2,$H407,0))*$N407)</f>
      </c>
      <c r="P407">
        <f>IF($J407="",0,IF($A407=2,$H407*$N407,0))</f>
      </c>
    </row>
    <row r="408" spans="1:16"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c r="N408">
        <f>IF($E408="SGD",1,IF($E408="USD",Settings!$B$22,IF($E408="HKD",Settings!$B$23,1)))</f>
      </c>
      <c r="O408">
        <f>IF($J408="",0,($M408-$L408+IF($A408=2,$H408,0))*$N408)</f>
      </c>
      <c r="P408">
        <f>IF($J408="",0,IF($A408=2,$H408*$N408,0))</f>
      </c>
    </row>
    <row r="409" spans="1:16"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c r="N409">
        <f>IF($E409="SGD",1,IF($E409="USD",Settings!$B$22,IF($E409="HKD",Settings!$B$23,1)))</f>
      </c>
      <c r="O409">
        <f>IF($J409="",0,($M409-$L409+IF($A409=2,$H409,0))*$N409)</f>
      </c>
      <c r="P409">
        <f>IF($J409="",0,IF($A409=2,$H409*$N409,0))</f>
      </c>
    </row>
    <row r="410" spans="1:16"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c r="N410">
        <f>IF($E410="SGD",1,IF($E410="USD",Settings!$B$22,IF($E410="HKD",Settings!$B$23,1)))</f>
      </c>
      <c r="O410">
        <f>IF($J410="",0,($M410-$L410+IF($A410=2,$H410,0))*$N410)</f>
      </c>
      <c r="P410">
        <f>IF($J410="",0,IF($A410=2,$H410*$N410,0))</f>
      </c>
    </row>
    <row r="411" spans="1:16"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c r="N411">
        <f>IF($E411="SGD",1,IF($E411="USD",Settings!$B$22,IF($E411="HKD",Settings!$B$23,1)))</f>
      </c>
      <c r="O411">
        <f>IF($J411="",0,($M411-$L411+IF($A411=2,$H411,0))*$N411)</f>
      </c>
      <c r="P411">
        <f>IF($J411="",0,IF($A411=2,$H411*$N411,0))</f>
      </c>
    </row>
    <row r="412" spans="1:16"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c r="N412">
        <f>IF($E412="SGD",1,IF($E412="USD",Settings!$B$22,IF($E412="HKD",Settings!$B$23,1)))</f>
      </c>
      <c r="O412">
        <f>IF($J412="",0,($M412-$L412+IF($A412=2,$H412,0))*$N412)</f>
      </c>
      <c r="P412">
        <f>IF($J412="",0,IF($A412=2,$H412*$N412,0))</f>
      </c>
    </row>
    <row r="413" spans="1:16"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c r="N413">
        <f>IF($E413="SGD",1,IF($E413="USD",Settings!$B$22,IF($E413="HKD",Settings!$B$23,1)))</f>
      </c>
      <c r="O413">
        <f>IF($J413="",0,($M413-$L413+IF($A413=2,$H413,0))*$N413)</f>
      </c>
      <c r="P413">
        <f>IF($J413="",0,IF($A413=2,$H413*$N413,0))</f>
      </c>
    </row>
    <row r="414" spans="1:16"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c r="N414">
        <f>IF($E414="SGD",1,IF($E414="USD",Settings!$B$22,IF($E414="HKD",Settings!$B$23,1)))</f>
      </c>
      <c r="O414">
        <f>IF($J414="",0,($M414-$L414+IF($A414=2,$H414,0))*$N414)</f>
      </c>
      <c r="P414">
        <f>IF($J414="",0,IF($A414=2,$H414*$N414,0))</f>
      </c>
    </row>
    <row r="415" spans="1:16"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c r="N415">
        <f>IF($E415="SGD",1,IF($E415="USD",Settings!$B$22,IF($E415="HKD",Settings!$B$23,1)))</f>
      </c>
      <c r="O415">
        <f>IF($J415="",0,($M415-$L415+IF($A415=2,$H415,0))*$N415)</f>
      </c>
      <c r="P415">
        <f>IF($J415="",0,IF($A415=2,$H415*$N415,0))</f>
      </c>
    </row>
    <row r="416" spans="1:16"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c r="N416">
        <f>IF($E416="SGD",1,IF($E416="USD",Settings!$B$22,IF($E416="HKD",Settings!$B$23,1)))</f>
      </c>
      <c r="O416">
        <f>IF($J416="",0,($M416-$L416+IF($A416=2,$H416,0))*$N416)</f>
      </c>
      <c r="P416">
        <f>IF($J416="",0,IF($A416=2,$H416*$N416,0))</f>
      </c>
    </row>
    <row r="417" spans="1:16"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c r="N417">
        <f>IF($E417="SGD",1,IF($E417="USD",Settings!$B$22,IF($E417="HKD",Settings!$B$23,1)))</f>
      </c>
      <c r="O417">
        <f>IF($J417="",0,($M417-$L417+IF($A417=2,$H417,0))*$N417)</f>
      </c>
      <c r="P417">
        <f>IF($J417="",0,IF($A417=2,$H417*$N417,0))</f>
      </c>
    </row>
    <row r="418" spans="1:16"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c r="N418">
        <f>IF($E418="SGD",1,IF($E418="USD",Settings!$B$22,IF($E418="HKD",Settings!$B$23,1)))</f>
      </c>
      <c r="O418">
        <f>IF($J418="",0,($M418-$L418+IF($A418=2,$H418,0))*$N418)</f>
      </c>
      <c r="P418">
        <f>IF($J418="",0,IF($A418=2,$H418*$N418,0))</f>
      </c>
    </row>
    <row r="419" spans="1:16"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c r="N419">
        <f>IF($E419="SGD",1,IF($E419="USD",Settings!$B$22,IF($E419="HKD",Settings!$B$23,1)))</f>
      </c>
      <c r="O419">
        <f>IF($J419="",0,($M419-$L419+IF($A419=2,$H419,0))*$N419)</f>
      </c>
      <c r="P419">
        <f>IF($J419="",0,IF($A419=2,$H419*$N419,0))</f>
      </c>
    </row>
    <row r="420" spans="1:16"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c r="N420">
        <f>IF($E420="SGD",1,IF($E420="USD",Settings!$B$22,IF($E420="HKD",Settings!$B$23,1)))</f>
      </c>
      <c r="O420">
        <f>IF($J420="",0,($M420-$L420+IF($A420=2,$H420,0))*$N420)</f>
      </c>
      <c r="P420">
        <f>IF($J420="",0,IF($A420=2,$H420*$N420,0))</f>
      </c>
    </row>
    <row r="421" spans="1:16"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c r="N421">
        <f>IF($E421="SGD",1,IF($E421="USD",Settings!$B$22,IF($E421="HKD",Settings!$B$23,1)))</f>
      </c>
      <c r="O421">
        <f>IF($J421="",0,($M421-$L421+IF($A421=2,$H421,0))*$N421)</f>
      </c>
      <c r="P421">
        <f>IF($J421="",0,IF($A421=2,$H421*$N421,0))</f>
      </c>
    </row>
    <row r="422" spans="1:16"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c r="N422">
        <f>IF($E422="SGD",1,IF($E422="USD",Settings!$B$22,IF($E422="HKD",Settings!$B$23,1)))</f>
      </c>
      <c r="O422">
        <f>IF($J422="",0,($M422-$L422+IF($A422=2,$H422,0))*$N422)</f>
      </c>
      <c r="P422">
        <f>IF($J422="",0,IF($A422=2,$H422*$N422,0))</f>
      </c>
    </row>
    <row r="423" spans="1:16"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c r="N423">
        <f>IF($E423="SGD",1,IF($E423="USD",Settings!$B$22,IF($E423="HKD",Settings!$B$23,1)))</f>
      </c>
      <c r="O423">
        <f>IF($J423="",0,($M423-$L423+IF($A423=2,$H423,0))*$N423)</f>
      </c>
      <c r="P423">
        <f>IF($J423="",0,IF($A423=2,$H423*$N423,0))</f>
      </c>
    </row>
    <row r="424" spans="1:16"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c r="N424">
        <f>IF($E424="SGD",1,IF($E424="USD",Settings!$B$22,IF($E424="HKD",Settings!$B$23,1)))</f>
      </c>
      <c r="O424">
        <f>IF($J424="",0,($M424-$L424+IF($A424=2,$H424,0))*$N424)</f>
      </c>
      <c r="P424">
        <f>IF($J424="",0,IF($A424=2,$H424*$N424,0))</f>
      </c>
    </row>
    <row r="425" spans="1:16"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c r="N425">
        <f>IF($E425="SGD",1,IF($E425="USD",Settings!$B$22,IF($E425="HKD",Settings!$B$23,1)))</f>
      </c>
      <c r="O425">
        <f>IF($J425="",0,($M425-$L425+IF($A425=2,$H425,0))*$N425)</f>
      </c>
      <c r="P425">
        <f>IF($J425="",0,IF($A425=2,$H425*$N425,0))</f>
      </c>
    </row>
    <row r="426" spans="1:16"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c r="N426">
        <f>IF($E426="SGD",1,IF($E426="USD",Settings!$B$22,IF($E426="HKD",Settings!$B$23,1)))</f>
      </c>
      <c r="O426">
        <f>IF($J426="",0,($M426-$L426+IF($A426=2,$H426,0))*$N426)</f>
      </c>
      <c r="P426">
        <f>IF($J426="",0,IF($A426=2,$H426*$N426,0))</f>
      </c>
    </row>
    <row r="427" spans="1:16"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c r="N427">
        <f>IF($E427="SGD",1,IF($E427="USD",Settings!$B$22,IF($E427="HKD",Settings!$B$23,1)))</f>
      </c>
      <c r="O427">
        <f>IF($J427="",0,($M427-$L427+IF($A427=2,$H427,0))*$N427)</f>
      </c>
      <c r="P427">
        <f>IF($J427="",0,IF($A427=2,$H427*$N427,0))</f>
      </c>
    </row>
    <row r="428" spans="1:16"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c r="N428">
        <f>IF($E428="SGD",1,IF($E428="USD",Settings!$B$22,IF($E428="HKD",Settings!$B$23,1)))</f>
      </c>
      <c r="O428">
        <f>IF($J428="",0,($M428-$L428+IF($A428=2,$H428,0))*$N428)</f>
      </c>
      <c r="P428">
        <f>IF($J428="",0,IF($A428=2,$H428*$N428,0))</f>
      </c>
    </row>
    <row r="429" spans="1:16"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c r="N429">
        <f>IF($E429="SGD",1,IF($E429="USD",Settings!$B$22,IF($E429="HKD",Settings!$B$23,1)))</f>
      </c>
      <c r="O429">
        <f>IF($J429="",0,($M429-$L429+IF($A429=2,$H429,0))*$N429)</f>
      </c>
      <c r="P429">
        <f>IF($J429="",0,IF($A429=2,$H429*$N429,0))</f>
      </c>
    </row>
    <row r="430" spans="1:16"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c r="N430">
        <f>IF($E430="SGD",1,IF($E430="USD",Settings!$B$22,IF($E430="HKD",Settings!$B$23,1)))</f>
      </c>
      <c r="O430">
        <f>IF($J430="",0,($M430-$L430+IF($A430=2,$H430,0))*$N430)</f>
      </c>
      <c r="P430">
        <f>IF($J430="",0,IF($A430=2,$H430*$N430,0))</f>
      </c>
    </row>
    <row r="431" spans="1:16"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c r="N431">
        <f>IF($E431="SGD",1,IF($E431="USD",Settings!$B$22,IF($E431="HKD",Settings!$B$23,1)))</f>
      </c>
      <c r="O431">
        <f>IF($J431="",0,($M431-$L431+IF($A431=2,$H431,0))*$N431)</f>
      </c>
      <c r="P431">
        <f>IF($J431="",0,IF($A431=2,$H431*$N431,0))</f>
      </c>
    </row>
    <row r="432" spans="1:16"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c r="N432">
        <f>IF($E432="SGD",1,IF($E432="USD",Settings!$B$22,IF($E432="HKD",Settings!$B$23,1)))</f>
      </c>
      <c r="O432">
        <f>IF($J432="",0,($M432-$L432+IF($A432=2,$H432,0))*$N432)</f>
      </c>
      <c r="P432">
        <f>IF($J432="",0,IF($A432=2,$H432*$N432,0))</f>
      </c>
    </row>
    <row r="433" spans="1:16"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c r="N433">
        <f>IF($E433="SGD",1,IF($E433="USD",Settings!$B$22,IF($E433="HKD",Settings!$B$23,1)))</f>
      </c>
      <c r="O433">
        <f>IF($J433="",0,($M433-$L433+IF($A433=2,$H433,0))*$N433)</f>
      </c>
      <c r="P433">
        <f>IF($J433="",0,IF($A433=2,$H433*$N433,0))</f>
      </c>
    </row>
    <row r="434" spans="1:16"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c r="N434">
        <f>IF($E434="SGD",1,IF($E434="USD",Settings!$B$22,IF($E434="HKD",Settings!$B$23,1)))</f>
      </c>
      <c r="O434">
        <f>IF($J434="",0,($M434-$L434+IF($A434=2,$H434,0))*$N434)</f>
      </c>
      <c r="P434">
        <f>IF($J434="",0,IF($A434=2,$H434*$N434,0))</f>
      </c>
    </row>
    <row r="435" spans="1:16"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c r="N435">
        <f>IF($E435="SGD",1,IF($E435="USD",Settings!$B$22,IF($E435="HKD",Settings!$B$23,1)))</f>
      </c>
      <c r="O435">
        <f>IF($J435="",0,($M435-$L435+IF($A435=2,$H435,0))*$N435)</f>
      </c>
      <c r="P435">
        <f>IF($J435="",0,IF($A435=2,$H435*$N435,0))</f>
      </c>
    </row>
    <row r="436" spans="1:16"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c r="N436">
        <f>IF($E436="SGD",1,IF($E436="USD",Settings!$B$22,IF($E436="HKD",Settings!$B$23,1)))</f>
      </c>
      <c r="O436">
        <f>IF($J436="",0,($M436-$L436+IF($A436=2,$H436,0))*$N436)</f>
      </c>
      <c r="P436">
        <f>IF($J436="",0,IF($A436=2,$H436*$N436,0))</f>
      </c>
    </row>
    <row r="437" spans="1:16"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c r="N437">
        <f>IF($E437="SGD",1,IF($E437="USD",Settings!$B$22,IF($E437="HKD",Settings!$B$23,1)))</f>
      </c>
      <c r="O437">
        <f>IF($J437="",0,($M437-$L437+IF($A437=2,$H437,0))*$N437)</f>
      </c>
      <c r="P437">
        <f>IF($J437="",0,IF($A437=2,$H437*$N437,0))</f>
      </c>
    </row>
    <row r="438" spans="1:16"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c r="N438">
        <f>IF($E438="SGD",1,IF($E438="USD",Settings!$B$22,IF($E438="HKD",Settings!$B$23,1)))</f>
      </c>
      <c r="O438">
        <f>IF($J438="",0,($M438-$L438+IF($A438=2,$H438,0))*$N438)</f>
      </c>
      <c r="P438">
        <f>IF($J438="",0,IF($A438=2,$H438*$N438,0))</f>
      </c>
    </row>
    <row r="439" spans="1:16"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c r="N439">
        <f>IF($E439="SGD",1,IF($E439="USD",Settings!$B$22,IF($E439="HKD",Settings!$B$23,1)))</f>
      </c>
      <c r="O439">
        <f>IF($J439="",0,($M439-$L439+IF($A439=2,$H439,0))*$N439)</f>
      </c>
      <c r="P439">
        <f>IF($J439="",0,IF($A439=2,$H439*$N439,0))</f>
      </c>
    </row>
    <row r="440" spans="1:16"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c r="N440">
        <f>IF($E440="SGD",1,IF($E440="USD",Settings!$B$22,IF($E440="HKD",Settings!$B$23,1)))</f>
      </c>
      <c r="O440">
        <f>IF($J440="",0,($M440-$L440+IF($A440=2,$H440,0))*$N440)</f>
      </c>
      <c r="P440">
        <f>IF($J440="",0,IF($A440=2,$H440*$N440,0))</f>
      </c>
    </row>
    <row r="441" spans="1:16"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c r="N441">
        <f>IF($E441="SGD",1,IF($E441="USD",Settings!$B$22,IF($E441="HKD",Settings!$B$23,1)))</f>
      </c>
      <c r="O441">
        <f>IF($J441="",0,($M441-$L441+IF($A441=2,$H441,0))*$N441)</f>
      </c>
      <c r="P441">
        <f>IF($J441="",0,IF($A441=2,$H441*$N441,0))</f>
      </c>
    </row>
    <row r="442" spans="1:16"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c r="N442">
        <f>IF($E442="SGD",1,IF($E442="USD",Settings!$B$22,IF($E442="HKD",Settings!$B$23,1)))</f>
      </c>
      <c r="O442">
        <f>IF($J442="",0,($M442-$L442+IF($A442=2,$H442,0))*$N442)</f>
      </c>
      <c r="P442">
        <f>IF($J442="",0,IF($A442=2,$H442*$N442,0))</f>
      </c>
    </row>
    <row r="443" spans="1:16"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c r="N443">
        <f>IF($E443="SGD",1,IF($E443="USD",Settings!$B$22,IF($E443="HKD",Settings!$B$23,1)))</f>
      </c>
      <c r="O443">
        <f>IF($J443="",0,($M443-$L443+IF($A443=2,$H443,0))*$N443)</f>
      </c>
      <c r="P443">
        <f>IF($J443="",0,IF($A443=2,$H443*$N443,0))</f>
      </c>
    </row>
    <row r="444" spans="1:16"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c r="N444">
        <f>IF($E444="SGD",1,IF($E444="USD",Settings!$B$22,IF($E444="HKD",Settings!$B$23,1)))</f>
      </c>
      <c r="O444">
        <f>IF($J444="",0,($M444-$L444+IF($A444=2,$H444,0))*$N444)</f>
      </c>
      <c r="P444">
        <f>IF($J444="",0,IF($A444=2,$H444*$N444,0))</f>
      </c>
    </row>
    <row r="445" spans="1:16"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c r="N445">
        <f>IF($E445="SGD",1,IF($E445="USD",Settings!$B$22,IF($E445="HKD",Settings!$B$23,1)))</f>
      </c>
      <c r="O445">
        <f>IF($J445="",0,($M445-$L445+IF($A445=2,$H445,0))*$N445)</f>
      </c>
      <c r="P445">
        <f>IF($J445="",0,IF($A445=2,$H445*$N445,0))</f>
      </c>
    </row>
    <row r="446" spans="1:16"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c r="N446">
        <f>IF($E446="SGD",1,IF($E446="USD",Settings!$B$22,IF($E446="HKD",Settings!$B$23,1)))</f>
      </c>
      <c r="O446">
        <f>IF($J446="",0,($M446-$L446+IF($A446=2,$H446,0))*$N446)</f>
      </c>
      <c r="P446">
        <f>IF($J446="",0,IF($A446=2,$H446*$N446,0))</f>
      </c>
    </row>
    <row r="447" spans="1:16"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c r="N447">
        <f>IF($E447="SGD",1,IF($E447="USD",Settings!$B$22,IF($E447="HKD",Settings!$B$23,1)))</f>
      </c>
      <c r="O447">
        <f>IF($J447="",0,($M447-$L447+IF($A447=2,$H447,0))*$N447)</f>
      </c>
      <c r="P447">
        <f>IF($J447="",0,IF($A447=2,$H447*$N447,0))</f>
      </c>
    </row>
    <row r="448" spans="1:16"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c r="N448">
        <f>IF($E448="SGD",1,IF($E448="USD",Settings!$B$22,IF($E448="HKD",Settings!$B$23,1)))</f>
      </c>
      <c r="O448">
        <f>IF($J448="",0,($M448-$L448+IF($A448=2,$H448,0))*$N448)</f>
      </c>
      <c r="P448">
        <f>IF($J448="",0,IF($A448=2,$H448*$N448,0))</f>
      </c>
    </row>
    <row r="449" spans="1:16"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c r="N449">
        <f>IF($E449="SGD",1,IF($E449="USD",Settings!$B$22,IF($E449="HKD",Settings!$B$23,1)))</f>
      </c>
      <c r="O449">
        <f>IF($J449="",0,($M449-$L449+IF($A449=2,$H449,0))*$N449)</f>
      </c>
      <c r="P449">
        <f>IF($J449="",0,IF($A449=2,$H449*$N449,0))</f>
      </c>
    </row>
    <row r="450" spans="1:16"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c r="N450">
        <f>IF($E450="SGD",1,IF($E450="USD",Settings!$B$22,IF($E450="HKD",Settings!$B$23,1)))</f>
      </c>
      <c r="O450">
        <f>IF($J450="",0,($M450-$L450+IF($A450=2,$H450,0))*$N450)</f>
      </c>
      <c r="P450">
        <f>IF($J450="",0,IF($A450=2,$H450*$N450,0))</f>
      </c>
    </row>
    <row r="451" spans="1:16"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c r="N451">
        <f>IF($E451="SGD",1,IF($E451="USD",Settings!$B$22,IF($E451="HKD",Settings!$B$23,1)))</f>
      </c>
      <c r="O451">
        <f>IF($J451="",0,($M451-$L451+IF($A451=2,$H451,0))*$N451)</f>
      </c>
      <c r="P451">
        <f>IF($J451="",0,IF($A451=2,$H451*$N451,0))</f>
      </c>
    </row>
    <row r="452" spans="1:16"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c r="N452">
        <f>IF($E452="SGD",1,IF($E452="USD",Settings!$B$22,IF($E452="HKD",Settings!$B$23,1)))</f>
      </c>
      <c r="O452">
        <f>IF($J452="",0,($M452-$L452+IF($A452=2,$H452,0))*$N452)</f>
      </c>
      <c r="P452">
        <f>IF($J452="",0,IF($A452=2,$H452*$N452,0))</f>
      </c>
    </row>
    <row r="453" spans="1:16"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c r="N453">
        <f>IF($E453="SGD",1,IF($E453="USD",Settings!$B$22,IF($E453="HKD",Settings!$B$23,1)))</f>
      </c>
      <c r="O453">
        <f>IF($J453="",0,($M453-$L453+IF($A453=2,$H453,0))*$N453)</f>
      </c>
      <c r="P453">
        <f>IF($J453="",0,IF($A453=2,$H453*$N453,0))</f>
      </c>
    </row>
    <row r="454" spans="1:16"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c r="N454">
        <f>IF($E454="SGD",1,IF($E454="USD",Settings!$B$22,IF($E454="HKD",Settings!$B$23,1)))</f>
      </c>
      <c r="O454">
        <f>IF($J454="",0,($M454-$L454+IF($A454=2,$H454,0))*$N454)</f>
      </c>
      <c r="P454">
        <f>IF($J454="",0,IF($A454=2,$H454*$N454,0))</f>
      </c>
    </row>
    <row r="455" spans="1:16"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c r="N455">
        <f>IF($E455="SGD",1,IF($E455="USD",Settings!$B$22,IF($E455="HKD",Settings!$B$23,1)))</f>
      </c>
      <c r="O455">
        <f>IF($J455="",0,($M455-$L455+IF($A455=2,$H455,0))*$N455)</f>
      </c>
      <c r="P455">
        <f>IF($J455="",0,IF($A455=2,$H455*$N455,0))</f>
      </c>
    </row>
    <row r="456" spans="1:16"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c r="N456">
        <f>IF($E456="SGD",1,IF($E456="USD",Settings!$B$22,IF($E456="HKD",Settings!$B$23,1)))</f>
      </c>
      <c r="O456">
        <f>IF($J456="",0,($M456-$L456+IF($A456=2,$H456,0))*$N456)</f>
      </c>
      <c r="P456">
        <f>IF($J456="",0,IF($A456=2,$H456*$N456,0))</f>
      </c>
    </row>
    <row r="457" spans="1:16"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c r="N457">
        <f>IF($E457="SGD",1,IF($E457="USD",Settings!$B$22,IF($E457="HKD",Settings!$B$23,1)))</f>
      </c>
      <c r="O457">
        <f>IF($J457="",0,($M457-$L457+IF($A457=2,$H457,0))*$N457)</f>
      </c>
      <c r="P457">
        <f>IF($J457="",0,IF($A457=2,$H457*$N457,0))</f>
      </c>
    </row>
    <row r="458" spans="1:16"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c r="N458">
        <f>IF($E458="SGD",1,IF($E458="USD",Settings!$B$22,IF($E458="HKD",Settings!$B$23,1)))</f>
      </c>
      <c r="O458">
        <f>IF($J458="",0,($M458-$L458+IF($A458=2,$H458,0))*$N458)</f>
      </c>
      <c r="P458">
        <f>IF($J458="",0,IF($A458=2,$H458*$N458,0))</f>
      </c>
    </row>
    <row r="459" spans="1:16"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c r="N459">
        <f>IF($E459="SGD",1,IF($E459="USD",Settings!$B$22,IF($E459="HKD",Settings!$B$23,1)))</f>
      </c>
      <c r="O459">
        <f>IF($J459="",0,($M459-$L459+IF($A459=2,$H459,0))*$N459)</f>
      </c>
      <c r="P459">
        <f>IF($J459="",0,IF($A459=2,$H459*$N459,0))</f>
      </c>
    </row>
    <row r="460" spans="1:16"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c r="N460">
        <f>IF($E460="SGD",1,IF($E460="USD",Settings!$B$22,IF($E460="HKD",Settings!$B$23,1)))</f>
      </c>
      <c r="O460">
        <f>IF($J460="",0,($M460-$L460+IF($A460=2,$H460,0))*$N460)</f>
      </c>
      <c r="P460">
        <f>IF($J460="",0,IF($A460=2,$H460*$N460,0))</f>
      </c>
    </row>
    <row r="461" spans="1:16"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c r="N461">
        <f>IF($E461="SGD",1,IF($E461="USD",Settings!$B$22,IF($E461="HKD",Settings!$B$23,1)))</f>
      </c>
      <c r="O461">
        <f>IF($J461="",0,($M461-$L461+IF($A461=2,$H461,0))*$N461)</f>
      </c>
      <c r="P461">
        <f>IF($J461="",0,IF($A461=2,$H461*$N461,0))</f>
      </c>
    </row>
    <row r="462" spans="1:16"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c r="N462">
        <f>IF($E462="SGD",1,IF($E462="USD",Settings!$B$22,IF($E462="HKD",Settings!$B$23,1)))</f>
      </c>
      <c r="O462">
        <f>IF($J462="",0,($M462-$L462+IF($A462=2,$H462,0))*$N462)</f>
      </c>
      <c r="P462">
        <f>IF($J462="",0,IF($A462=2,$H462*$N462,0))</f>
      </c>
    </row>
    <row r="463" spans="1:16"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c r="N463">
        <f>IF($E463="SGD",1,IF($E463="USD",Settings!$B$22,IF($E463="HKD",Settings!$B$23,1)))</f>
      </c>
      <c r="O463">
        <f>IF($J463="",0,($M463-$L463+IF($A463=2,$H463,0))*$N463)</f>
      </c>
      <c r="P463">
        <f>IF($J463="",0,IF($A463=2,$H463*$N463,0))</f>
      </c>
    </row>
    <row r="464" spans="1:16"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c r="N464">
        <f>IF($E464="SGD",1,IF($E464="USD",Settings!$B$22,IF($E464="HKD",Settings!$B$23,1)))</f>
      </c>
      <c r="O464">
        <f>IF($J464="",0,($M464-$L464+IF($A464=2,$H464,0))*$N464)</f>
      </c>
      <c r="P464">
        <f>IF($J464="",0,IF($A464=2,$H464*$N464,0))</f>
      </c>
    </row>
    <row r="465" spans="1:16"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c r="N465">
        <f>IF($E465="SGD",1,IF($E465="USD",Settings!$B$22,IF($E465="HKD",Settings!$B$23,1)))</f>
      </c>
      <c r="O465">
        <f>IF($J465="",0,($M465-$L465+IF($A465=2,$H465,0))*$N465)</f>
      </c>
      <c r="P465">
        <f>IF($J465="",0,IF($A465=2,$H465*$N465,0))</f>
      </c>
    </row>
    <row r="466" spans="1:16"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c r="N466">
        <f>IF($E466="SGD",1,IF($E466="USD",Settings!$B$22,IF($E466="HKD",Settings!$B$23,1)))</f>
      </c>
      <c r="O466">
        <f>IF($J466="",0,($M466-$L466+IF($A466=2,$H466,0))*$N466)</f>
      </c>
      <c r="P466">
        <f>IF($J466="",0,IF($A466=2,$H466*$N466,0))</f>
      </c>
    </row>
    <row r="467" spans="1:16"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c r="N467">
        <f>IF($E467="SGD",1,IF($E467="USD",Settings!$B$22,IF($E467="HKD",Settings!$B$23,1)))</f>
      </c>
      <c r="O467">
        <f>IF($J467="",0,($M467-$L467+IF($A467=2,$H467,0))*$N467)</f>
      </c>
      <c r="P467">
        <f>IF($J467="",0,IF($A467=2,$H467*$N467,0))</f>
      </c>
    </row>
    <row r="468" spans="1:16"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c r="N468">
        <f>IF($E468="SGD",1,IF($E468="USD",Settings!$B$22,IF($E468="HKD",Settings!$B$23,1)))</f>
      </c>
      <c r="O468">
        <f>IF($J468="",0,($M468-$L468+IF($A468=2,$H468,0))*$N468)</f>
      </c>
      <c r="P468">
        <f>IF($J468="",0,IF($A468=2,$H468*$N468,0))</f>
      </c>
    </row>
    <row r="469" spans="1:16"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c r="N469">
        <f>IF($E469="SGD",1,IF($E469="USD",Settings!$B$22,IF($E469="HKD",Settings!$B$23,1)))</f>
      </c>
      <c r="O469">
        <f>IF($J469="",0,($M469-$L469+IF($A469=2,$H469,0))*$N469)</f>
      </c>
      <c r="P469">
        <f>IF($J469="",0,IF($A469=2,$H469*$N469,0))</f>
      </c>
    </row>
    <row r="470" spans="1:16"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c r="N470">
        <f>IF($E470="SGD",1,IF($E470="USD",Settings!$B$22,IF($E470="HKD",Settings!$B$23,1)))</f>
      </c>
      <c r="O470">
        <f>IF($J470="",0,($M470-$L470+IF($A470=2,$H470,0))*$N470)</f>
      </c>
      <c r="P470">
        <f>IF($J470="",0,IF($A470=2,$H470*$N470,0))</f>
      </c>
    </row>
    <row r="471" spans="1:16"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c r="N471">
        <f>IF($E471="SGD",1,IF($E471="USD",Settings!$B$22,IF($E471="HKD",Settings!$B$23,1)))</f>
      </c>
      <c r="O471">
        <f>IF($J471="",0,($M471-$L471+IF($A471=2,$H471,0))*$N471)</f>
      </c>
      <c r="P471">
        <f>IF($J471="",0,IF($A471=2,$H471*$N471,0))</f>
      </c>
    </row>
    <row r="472" spans="1:16"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c r="N472">
        <f>IF($E472="SGD",1,IF($E472="USD",Settings!$B$22,IF($E472="HKD",Settings!$B$23,1)))</f>
      </c>
      <c r="O472">
        <f>IF($J472="",0,($M472-$L472+IF($A472=2,$H472,0))*$N472)</f>
      </c>
      <c r="P472">
        <f>IF($J472="",0,IF($A472=2,$H472*$N472,0))</f>
      </c>
    </row>
    <row r="473" spans="1:16"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c r="N473">
        <f>IF($E473="SGD",1,IF($E473="USD",Settings!$B$22,IF($E473="HKD",Settings!$B$23,1)))</f>
      </c>
      <c r="O473">
        <f>IF($J473="",0,($M473-$L473+IF($A473=2,$H473,0))*$N473)</f>
      </c>
      <c r="P473">
        <f>IF($J473="",0,IF($A473=2,$H473*$N473,0))</f>
      </c>
    </row>
    <row r="474" spans="1:16"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c r="N474">
        <f>IF($E474="SGD",1,IF($E474="USD",Settings!$B$22,IF($E474="HKD",Settings!$B$23,1)))</f>
      </c>
      <c r="O474">
        <f>IF($J474="",0,($M474-$L474+IF($A474=2,$H474,0))*$N474)</f>
      </c>
      <c r="P474">
        <f>IF($J474="",0,IF($A474=2,$H474*$N474,0))</f>
      </c>
    </row>
    <row r="475" spans="1:16"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c r="N475">
        <f>IF($E475="SGD",1,IF($E475="USD",Settings!$B$22,IF($E475="HKD",Settings!$B$23,1)))</f>
      </c>
      <c r="O475">
        <f>IF($J475="",0,($M475-$L475+IF($A475=2,$H475,0))*$N475)</f>
      </c>
      <c r="P475">
        <f>IF($J475="",0,IF($A475=2,$H475*$N475,0))</f>
      </c>
    </row>
    <row r="476" spans="1:16"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c r="N476">
        <f>IF($E476="SGD",1,IF($E476="USD",Settings!$B$22,IF($E476="HKD",Settings!$B$23,1)))</f>
      </c>
      <c r="O476">
        <f>IF($J476="",0,($M476-$L476+IF($A476=2,$H476,0))*$N476)</f>
      </c>
      <c r="P476">
        <f>IF($J476="",0,IF($A476=2,$H476*$N476,0))</f>
      </c>
    </row>
    <row r="477" spans="1:16"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c r="N477">
        <f>IF($E477="SGD",1,IF($E477="USD",Settings!$B$22,IF($E477="HKD",Settings!$B$23,1)))</f>
      </c>
      <c r="O477">
        <f>IF($J477="",0,($M477-$L477+IF($A477=2,$H477,0))*$N477)</f>
      </c>
      <c r="P477">
        <f>IF($J477="",0,IF($A477=2,$H477*$N477,0))</f>
      </c>
    </row>
    <row r="478" spans="1:16"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c r="N478">
        <f>IF($E478="SGD",1,IF($E478="USD",Settings!$B$22,IF($E478="HKD",Settings!$B$23,1)))</f>
      </c>
      <c r="O478">
        <f>IF($J478="",0,($M478-$L478+IF($A478=2,$H478,0))*$N478)</f>
      </c>
      <c r="P478">
        <f>IF($J478="",0,IF($A478=2,$H478*$N478,0))</f>
      </c>
    </row>
    <row r="479" spans="1:16"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c r="N479">
        <f>IF($E479="SGD",1,IF($E479="USD",Settings!$B$22,IF($E479="HKD",Settings!$B$23,1)))</f>
      </c>
      <c r="O479">
        <f>IF($J479="",0,($M479-$L479+IF($A479=2,$H479,0))*$N479)</f>
      </c>
      <c r="P479">
        <f>IF($J479="",0,IF($A479=2,$H479*$N479,0))</f>
      </c>
    </row>
    <row r="480" spans="1:16"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c r="N480">
        <f>IF($E480="SGD",1,IF($E480="USD",Settings!$B$22,IF($E480="HKD",Settings!$B$23,1)))</f>
      </c>
      <c r="O480">
        <f>IF($J480="",0,($M480-$L480+IF($A480=2,$H480,0))*$N480)</f>
      </c>
      <c r="P480">
        <f>IF($J480="",0,IF($A480=2,$H480*$N480,0))</f>
      </c>
    </row>
    <row r="481" spans="1:16"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c r="N481">
        <f>IF($E481="SGD",1,IF($E481="USD",Settings!$B$22,IF($E481="HKD",Settings!$B$23,1)))</f>
      </c>
      <c r="O481">
        <f>IF($J481="",0,($M481-$L481+IF($A481=2,$H481,0))*$N481)</f>
      </c>
      <c r="P481">
        <f>IF($J481="",0,IF($A481=2,$H481*$N481,0))</f>
      </c>
    </row>
    <row r="482" spans="1:16"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c r="N482">
        <f>IF($E482="SGD",1,IF($E482="USD",Settings!$B$22,IF($E482="HKD",Settings!$B$23,1)))</f>
      </c>
      <c r="O482">
        <f>IF($J482="",0,($M482-$L482+IF($A482=2,$H482,0))*$N482)</f>
      </c>
      <c r="P482">
        <f>IF($J482="",0,IF($A482=2,$H482*$N482,0))</f>
      </c>
    </row>
    <row r="483" spans="1:16"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c r="N483">
        <f>IF($E483="SGD",1,IF($E483="USD",Settings!$B$22,IF($E483="HKD",Settings!$B$23,1)))</f>
      </c>
      <c r="O483">
        <f>IF($J483="",0,($M483-$L483+IF($A483=2,$H483,0))*$N483)</f>
      </c>
      <c r="P483">
        <f>IF($J483="",0,IF($A483=2,$H483*$N483,0))</f>
      </c>
    </row>
    <row r="484" spans="1:16"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c r="N484">
        <f>IF($E484="SGD",1,IF($E484="USD",Settings!$B$22,IF($E484="HKD",Settings!$B$23,1)))</f>
      </c>
      <c r="O484">
        <f>IF($J484="",0,($M484-$L484+IF($A484=2,$H484,0))*$N484)</f>
      </c>
      <c r="P484">
        <f>IF($J484="",0,IF($A484=2,$H484*$N484,0))</f>
      </c>
    </row>
    <row r="485" spans="1:16"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c r="N485">
        <f>IF($E485="SGD",1,IF($E485="USD",Settings!$B$22,IF($E485="HKD",Settings!$B$23,1)))</f>
      </c>
      <c r="O485">
        <f>IF($J485="",0,($M485-$L485+IF($A485=2,$H485,0))*$N485)</f>
      </c>
      <c r="P485">
        <f>IF($J485="",0,IF($A485=2,$H485*$N485,0))</f>
      </c>
    </row>
    <row r="486" spans="1:16"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c r="N486">
        <f>IF($E486="SGD",1,IF($E486="USD",Settings!$B$22,IF($E486="HKD",Settings!$B$23,1)))</f>
      </c>
      <c r="O486">
        <f>IF($J486="",0,($M486-$L486+IF($A486=2,$H486,0))*$N486)</f>
      </c>
      <c r="P486">
        <f>IF($J486="",0,IF($A486=2,$H486*$N486,0))</f>
      </c>
    </row>
    <row r="487" spans="1:16"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c r="N487">
        <f>IF($E487="SGD",1,IF($E487="USD",Settings!$B$22,IF($E487="HKD",Settings!$B$23,1)))</f>
      </c>
      <c r="O487">
        <f>IF($J487="",0,($M487-$L487+IF($A487=2,$H487,0))*$N487)</f>
      </c>
      <c r="P487">
        <f>IF($J487="",0,IF($A487=2,$H487*$N487,0))</f>
      </c>
    </row>
    <row r="488" spans="1:16"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c r="N488">
        <f>IF($E488="SGD",1,IF($E488="USD",Settings!$B$22,IF($E488="HKD",Settings!$B$23,1)))</f>
      </c>
      <c r="O488">
        <f>IF($J488="",0,($M488-$L488+IF($A488=2,$H488,0))*$N488)</f>
      </c>
      <c r="P488">
        <f>IF($J488="",0,IF($A488=2,$H488*$N488,0))</f>
      </c>
    </row>
    <row r="489" spans="1:16"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c r="N489">
        <f>IF($E489="SGD",1,IF($E489="USD",Settings!$B$22,IF($E489="HKD",Settings!$B$23,1)))</f>
      </c>
      <c r="O489">
        <f>IF($J489="",0,($M489-$L489+IF($A489=2,$H489,0))*$N489)</f>
      </c>
      <c r="P489">
        <f>IF($J489="",0,IF($A489=2,$H489*$N489,0))</f>
      </c>
    </row>
    <row r="490" spans="1:16"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c r="N490">
        <f>IF($E490="SGD",1,IF($E490="USD",Settings!$B$22,IF($E490="HKD",Settings!$B$23,1)))</f>
      </c>
      <c r="O490">
        <f>IF($J490="",0,($M490-$L490+IF($A490=2,$H490,0))*$N490)</f>
      </c>
      <c r="P490">
        <f>IF($J490="",0,IF($A490=2,$H490*$N490,0))</f>
      </c>
    </row>
    <row r="491" spans="1:16"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c r="N491">
        <f>IF($E491="SGD",1,IF($E491="USD",Settings!$B$22,IF($E491="HKD",Settings!$B$23,1)))</f>
      </c>
      <c r="O491">
        <f>IF($J491="",0,($M491-$L491+IF($A491=2,$H491,0))*$N491)</f>
      </c>
      <c r="P491">
        <f>IF($J491="",0,IF($A491=2,$H491*$N491,0))</f>
      </c>
    </row>
    <row r="492" spans="1:16"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c r="N492">
        <f>IF($E492="SGD",1,IF($E492="USD",Settings!$B$22,IF($E492="HKD",Settings!$B$23,1)))</f>
      </c>
      <c r="O492">
        <f>IF($J492="",0,($M492-$L492+IF($A492=2,$H492,0))*$N492)</f>
      </c>
      <c r="P492">
        <f>IF($J492="",0,IF($A492=2,$H492*$N492,0))</f>
      </c>
    </row>
    <row r="493" spans="1:16"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c r="N493">
        <f>IF($E493="SGD",1,IF($E493="USD",Settings!$B$22,IF($E493="HKD",Settings!$B$23,1)))</f>
      </c>
      <c r="O493">
        <f>IF($J493="",0,($M493-$L493+IF($A493=2,$H493,0))*$N493)</f>
      </c>
      <c r="P493">
        <f>IF($J493="",0,IF($A493=2,$H493*$N493,0))</f>
      </c>
    </row>
    <row r="494" spans="1:16"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c r="N494">
        <f>IF($E494="SGD",1,IF($E494="USD",Settings!$B$22,IF($E494="HKD",Settings!$B$23,1)))</f>
      </c>
      <c r="O494">
        <f>IF($J494="",0,($M494-$L494+IF($A494=2,$H494,0))*$N494)</f>
      </c>
      <c r="P494">
        <f>IF($J494="",0,IF($A494=2,$H494*$N494,0))</f>
      </c>
    </row>
    <row r="495" spans="1:16"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c r="N495">
        <f>IF($E495="SGD",1,IF($E495="USD",Settings!$B$22,IF($E495="HKD",Settings!$B$23,1)))</f>
      </c>
      <c r="O495">
        <f>IF($J495="",0,($M495-$L495+IF($A495=2,$H495,0))*$N495)</f>
      </c>
      <c r="P495">
        <f>IF($J495="",0,IF($A495=2,$H495*$N495,0))</f>
      </c>
    </row>
    <row r="496" spans="1:16"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c r="N496">
        <f>IF($E496="SGD",1,IF($E496="USD",Settings!$B$22,IF($E496="HKD",Settings!$B$23,1)))</f>
      </c>
      <c r="O496">
        <f>IF($J496="",0,($M496-$L496+IF($A496=2,$H496,0))*$N496)</f>
      </c>
      <c r="P496">
        <f>IF($J496="",0,IF($A496=2,$H496*$N496,0))</f>
      </c>
    </row>
    <row r="497" spans="1:16"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c r="N497">
        <f>IF($E497="SGD",1,IF($E497="USD",Settings!$B$22,IF($E497="HKD",Settings!$B$23,1)))</f>
      </c>
      <c r="O497">
        <f>IF($J497="",0,($M497-$L497+IF($A497=2,$H497,0))*$N497)</f>
      </c>
      <c r="P497">
        <f>IF($J497="",0,IF($A497=2,$H497*$N497,0))</f>
      </c>
    </row>
    <row r="498" spans="1:16"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c r="N498">
        <f>IF($E498="SGD",1,IF($E498="USD",Settings!$B$22,IF($E498="HKD",Settings!$B$23,1)))</f>
      </c>
      <c r="O498">
        <f>IF($J498="",0,($M498-$L498+IF($A498=2,$H498,0))*$N498)</f>
      </c>
      <c r="P498">
        <f>IF($J498="",0,IF($A498=2,$H498*$N498,0))</f>
      </c>
    </row>
    <row r="499" spans="1:16"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c r="N499">
        <f>IF($E499="SGD",1,IF($E499="USD",Settings!$B$22,IF($E499="HKD",Settings!$B$23,1)))</f>
      </c>
      <c r="O499">
        <f>IF($J499="",0,($M499-$L499+IF($A499=2,$H499,0))*$N499)</f>
      </c>
      <c r="P499">
        <f>IF($J499="",0,IF($A499=2,$H499*$N499,0))</f>
      </c>
    </row>
    <row r="500" spans="1:16"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c r="N500">
        <f>IF($E500="SGD",1,IF($E500="USD",Settings!$B$22,IF($E500="HKD",Settings!$B$23,1)))</f>
      </c>
      <c r="O500">
        <f>IF($J500="",0,($M500-$L500+IF($A500=2,$H500,0))*$N500)</f>
      </c>
      <c r="P500">
        <f>IF($J500="",0,IF($A500=2,$H500*$N500,0))</f>
      </c>
    </row>
    <row r="501" spans="1:16"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c r="N501">
        <f>IF($E501="SGD",1,IF($E501="USD",Settings!$B$22,IF($E501="HKD",Settings!$B$23,1)))</f>
      </c>
      <c r="O501">
        <f>IF($J501="",0,($M501-$L501+IF($A501=2,$H501,0))*$N501)</f>
      </c>
      <c r="P501">
        <f>IF($J501="",0,IF($A501=2,$H501*$N501,0))</f>
      </c>
    </row>
    <row r="502" spans="1:16"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c r="N502">
        <f>IF($E502="SGD",1,IF($E502="USD",Settings!$B$22,IF($E502="HKD",Settings!$B$23,1)))</f>
      </c>
      <c r="O502">
        <f>IF($J502="",0,($M502-$L502+IF($A502=2,$H502,0))*$N502)</f>
      </c>
      <c r="P502">
        <f>IF($J502="",0,IF($A502=2,$H502*$N502,0))</f>
      </c>
    </row>
    <row r="503" spans="1:16"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c r="N503">
        <f>IF($E503="SGD",1,IF($E503="USD",Settings!$B$22,IF($E503="HKD",Settings!$B$23,1)))</f>
      </c>
      <c r="O503">
        <f>IF($J503="",0,($M503-$L503+IF($A503=2,$H503,0))*$N503)</f>
      </c>
      <c r="P503">
        <f>IF($J503="",0,IF($A503=2,$H503*$N503,0))</f>
      </c>
    </row>
    <row r="504" spans="1:16"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c r="N504">
        <f>IF($E504="SGD",1,IF($E504="USD",Settings!$B$22,IF($E504="HKD",Settings!$B$23,1)))</f>
      </c>
      <c r="O504">
        <f>IF($J504="",0,($M504-$L504+IF($A504=2,$H504,0))*$N504)</f>
      </c>
      <c r="P504">
        <f>IF($J504="",0,IF($A504=2,$H504*$N504,0))</f>
      </c>
    </row>
    <row r="505" spans="1:16"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c r="N505">
        <f>IF($E505="SGD",1,IF($E505="USD",Settings!$B$22,IF($E505="HKD",Settings!$B$23,1)))</f>
      </c>
      <c r="O505">
        <f>IF($J505="",0,($M505-$L505+IF($A505=2,$H505,0))*$N505)</f>
      </c>
      <c r="P505">
        <f>IF($J505="",0,IF($A505=2,$H505*$N505,0))</f>
      </c>
    </row>
    <row r="506" spans="1:16"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c r="N506">
        <f>IF($E506="SGD",1,IF($E506="USD",Settings!$B$22,IF($E506="HKD",Settings!$B$23,1)))</f>
      </c>
      <c r="O506">
        <f>IF($J506="",0,($M506-$L506+IF($A506=2,$H506,0))*$N506)</f>
      </c>
      <c r="P506">
        <f>IF($J506="",0,IF($A506=2,$H506*$N506,0))</f>
      </c>
    </row>
    <row r="507" spans="1:16"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c r="N507">
        <f>IF($E507="SGD",1,IF($E507="USD",Settings!$B$22,IF($E507="HKD",Settings!$B$23,1)))</f>
      </c>
      <c r="O507">
        <f>IF($J507="",0,($M507-$L507+IF($A507=2,$H507,0))*$N507)</f>
      </c>
      <c r="P507">
        <f>IF($J507="",0,IF($A507=2,$H507*$N507,0))</f>
      </c>
    </row>
    <row r="508" spans="1:16"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c r="N508">
        <f>IF($E508="SGD",1,IF($E508="USD",Settings!$B$22,IF($E508="HKD",Settings!$B$23,1)))</f>
      </c>
      <c r="O508">
        <f>IF($J508="",0,($M508-$L508+IF($A508=2,$H508,0))*$N508)</f>
      </c>
      <c r="P508">
        <f>IF($J508="",0,IF($A508=2,$H508*$N508,0))</f>
      </c>
    </row>
    <row r="509" spans="1:16"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c r="N509">
        <f>IF($E509="SGD",1,IF($E509="USD",Settings!$B$22,IF($E509="HKD",Settings!$B$23,1)))</f>
      </c>
      <c r="O509">
        <f>IF($J509="",0,($M509-$L509+IF($A509=2,$H509,0))*$N509)</f>
      </c>
      <c r="P509">
        <f>IF($J509="",0,IF($A509=2,$H509*$N509,0))</f>
      </c>
    </row>
    <row r="510" spans="1:16"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c r="N510">
        <f>IF($E510="SGD",1,IF($E510="USD",Settings!$B$22,IF($E510="HKD",Settings!$B$23,1)))</f>
      </c>
      <c r="O510">
        <f>IF($J510="",0,($M510-$L510+IF($A510=2,$H510,0))*$N510)</f>
      </c>
      <c r="P510">
        <f>IF($J510="",0,IF($A510=2,$H510*$N510,0))</f>
      </c>
    </row>
    <row r="511" spans="1:16"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c r="N511">
        <f>IF($E511="SGD",1,IF($E511="USD",Settings!$B$22,IF($E511="HKD",Settings!$B$23,1)))</f>
      </c>
      <c r="O511">
        <f>IF($J511="",0,($M511-$L511+IF($A511=2,$H511,0))*$N511)</f>
      </c>
      <c r="P511">
        <f>IF($J511="",0,IF($A511=2,$H511*$N511,0))</f>
      </c>
    </row>
    <row r="512" spans="1:16"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c r="N512">
        <f>IF($E512="SGD",1,IF($E512="USD",Settings!$B$22,IF($E512="HKD",Settings!$B$23,1)))</f>
      </c>
      <c r="O512">
        <f>IF($J512="",0,($M512-$L512+IF($A512=2,$H512,0))*$N512)</f>
      </c>
      <c r="P512">
        <f>IF($J512="",0,IF($A512=2,$H512*$N512,0))</f>
      </c>
    </row>
    <row r="513" spans="1:16"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c r="N513">
        <f>IF($E513="SGD",1,IF($E513="USD",Settings!$B$22,IF($E513="HKD",Settings!$B$23,1)))</f>
      </c>
      <c r="O513">
        <f>IF($J513="",0,($M513-$L513+IF($A513=2,$H513,0))*$N513)</f>
      </c>
      <c r="P513">
        <f>IF($J513="",0,IF($A513=2,$H513*$N513,0))</f>
      </c>
    </row>
    <row r="514" spans="1:16"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c r="N514">
        <f>IF($E514="SGD",1,IF($E514="USD",Settings!$B$22,IF($E514="HKD",Settings!$B$23,1)))</f>
      </c>
      <c r="O514">
        <f>IF($J514="",0,($M514-$L514+IF($A514=2,$H514,0))*$N514)</f>
      </c>
      <c r="P514">
        <f>IF($J514="",0,IF($A514=2,$H514*$N514,0))</f>
      </c>
    </row>
    <row r="515" spans="1:16"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c r="N515">
        <f>IF($E515="SGD",1,IF($E515="USD",Settings!$B$22,IF($E515="HKD",Settings!$B$23,1)))</f>
      </c>
      <c r="O515">
        <f>IF($J515="",0,($M515-$L515+IF($A515=2,$H515,0))*$N515)</f>
      </c>
      <c r="P515">
        <f>IF($J515="",0,IF($A515=2,$H515*$N515,0))</f>
      </c>
    </row>
    <row r="516" spans="1:16"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c r="N516">
        <f>IF($E516="SGD",1,IF($E516="USD",Settings!$B$22,IF($E516="HKD",Settings!$B$23,1)))</f>
      </c>
      <c r="O516">
        <f>IF($J516="",0,($M516-$L516+IF($A516=2,$H516,0))*$N516)</f>
      </c>
      <c r="P516">
        <f>IF($J516="",0,IF($A516=2,$H516*$N516,0))</f>
      </c>
    </row>
    <row r="517" spans="1:16"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c r="N517">
        <f>IF($E517="SGD",1,IF($E517="USD",Settings!$B$22,IF($E517="HKD",Settings!$B$23,1)))</f>
      </c>
      <c r="O517">
        <f>IF($J517="",0,($M517-$L517+IF($A517=2,$H517,0))*$N517)</f>
      </c>
      <c r="P517">
        <f>IF($J517="",0,IF($A517=2,$H517*$N517,0))</f>
      </c>
    </row>
    <row r="518" spans="1:16"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c r="N518">
        <f>IF($E518="SGD",1,IF($E518="USD",Settings!$B$22,IF($E518="HKD",Settings!$B$23,1)))</f>
      </c>
      <c r="O518">
        <f>IF($J518="",0,($M518-$L518+IF($A518=2,$H518,0))*$N518)</f>
      </c>
      <c r="P518">
        <f>IF($J518="",0,IF($A518=2,$H518*$N518,0))</f>
      </c>
    </row>
    <row r="519" spans="1:16"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c r="N519">
        <f>IF($E519="SGD",1,IF($E519="USD",Settings!$B$22,IF($E519="HKD",Settings!$B$23,1)))</f>
      </c>
      <c r="O519">
        <f>IF($J519="",0,($M519-$L519+IF($A519=2,$H519,0))*$N519)</f>
      </c>
      <c r="P519">
        <f>IF($J519="",0,IF($A519=2,$H519*$N519,0))</f>
      </c>
    </row>
    <row r="520" spans="1:16"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c r="N520">
        <f>IF($E520="SGD",1,IF($E520="USD",Settings!$B$22,IF($E520="HKD",Settings!$B$23,1)))</f>
      </c>
      <c r="O520">
        <f>IF($J520="",0,($M520-$L520+IF($A520=2,$H520,0))*$N520)</f>
      </c>
      <c r="P520">
        <f>IF($J520="",0,IF($A520=2,$H520*$N520,0))</f>
      </c>
    </row>
    <row r="521" spans="1:16"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c r="N521">
        <f>IF($E521="SGD",1,IF($E521="USD",Settings!$B$22,IF($E521="HKD",Settings!$B$23,1)))</f>
      </c>
      <c r="O521">
        <f>IF($J521="",0,($M521-$L521+IF($A521=2,$H521,0))*$N521)</f>
      </c>
      <c r="P521">
        <f>IF($J521="",0,IF($A521=2,$H521*$N521,0))</f>
      </c>
    </row>
    <row r="522" spans="1:16"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c r="N522">
        <f>IF($E522="SGD",1,IF($E522="USD",Settings!$B$22,IF($E522="HKD",Settings!$B$23,1)))</f>
      </c>
      <c r="O522">
        <f>IF($J522="",0,($M522-$L522+IF($A522=2,$H522,0))*$N522)</f>
      </c>
      <c r="P522">
        <f>IF($J522="",0,IF($A522=2,$H522*$N522,0))</f>
      </c>
    </row>
    <row r="523" spans="1:16"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c r="N523">
        <f>IF($E523="SGD",1,IF($E523="USD",Settings!$B$22,IF($E523="HKD",Settings!$B$23,1)))</f>
      </c>
      <c r="O523">
        <f>IF($J523="",0,($M523-$L523+IF($A523=2,$H523,0))*$N523)</f>
      </c>
      <c r="P523">
        <f>IF($J523="",0,IF($A523=2,$H523*$N523,0))</f>
      </c>
    </row>
    <row r="524" spans="1:16"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c r="N524">
        <f>IF($E524="SGD",1,IF($E524="USD",Settings!$B$22,IF($E524="HKD",Settings!$B$23,1)))</f>
      </c>
      <c r="O524">
        <f>IF($J524="",0,($M524-$L524+IF($A524=2,$H524,0))*$N524)</f>
      </c>
      <c r="P524">
        <f>IF($J524="",0,IF($A524=2,$H524*$N524,0))</f>
      </c>
    </row>
    <row r="525" spans="1:16"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c r="N525">
        <f>IF($E525="SGD",1,IF($E525="USD",Settings!$B$22,IF($E525="HKD",Settings!$B$23,1)))</f>
      </c>
      <c r="O525">
        <f>IF($J525="",0,($M525-$L525+IF($A525=2,$H525,0))*$N525)</f>
      </c>
      <c r="P525">
        <f>IF($J525="",0,IF($A525=2,$H525*$N525,0))</f>
      </c>
    </row>
    <row r="526" spans="1:16"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c r="N526">
        <f>IF($E526="SGD",1,IF($E526="USD",Settings!$B$22,IF($E526="HKD",Settings!$B$23,1)))</f>
      </c>
      <c r="O526">
        <f>IF($J526="",0,($M526-$L526+IF($A526=2,$H526,0))*$N526)</f>
      </c>
      <c r="P526">
        <f>IF($J526="",0,IF($A526=2,$H526*$N526,0))</f>
      </c>
    </row>
    <row r="527" spans="1:16"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c r="N527">
        <f>IF($E527="SGD",1,IF($E527="USD",Settings!$B$22,IF($E527="HKD",Settings!$B$23,1)))</f>
      </c>
      <c r="O527">
        <f>IF($J527="",0,($M527-$L527+IF($A527=2,$H527,0))*$N527)</f>
      </c>
      <c r="P527">
        <f>IF($J527="",0,IF($A527=2,$H527*$N527,0))</f>
      </c>
    </row>
    <row r="528" spans="1:16"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c r="N528">
        <f>IF($E528="SGD",1,IF($E528="USD",Settings!$B$22,IF($E528="HKD",Settings!$B$23,1)))</f>
      </c>
      <c r="O528">
        <f>IF($J528="",0,($M528-$L528+IF($A528=2,$H528,0))*$N528)</f>
      </c>
      <c r="P528">
        <f>IF($J528="",0,IF($A528=2,$H528*$N528,0))</f>
      </c>
    </row>
    <row r="529" spans="1:16"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c r="N529">
        <f>IF($E529="SGD",1,IF($E529="USD",Settings!$B$22,IF($E529="HKD",Settings!$B$23,1)))</f>
      </c>
      <c r="O529">
        <f>IF($J529="",0,($M529-$L529+IF($A529=2,$H529,0))*$N529)</f>
      </c>
      <c r="P529">
        <f>IF($J529="",0,IF($A529=2,$H529*$N529,0))</f>
      </c>
    </row>
    <row r="530" spans="1:16"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c r="N530">
        <f>IF($E530="SGD",1,IF($E530="USD",Settings!$B$22,IF($E530="HKD",Settings!$B$23,1)))</f>
      </c>
      <c r="O530">
        <f>IF($J530="",0,($M530-$L530+IF($A530=2,$H530,0))*$N530)</f>
      </c>
      <c r="P530">
        <f>IF($J530="",0,IF($A530=2,$H530*$N530,0))</f>
      </c>
    </row>
    <row r="531" spans="1:16"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c r="N531">
        <f>IF($E531="SGD",1,IF($E531="USD",Settings!$B$22,IF($E531="HKD",Settings!$B$23,1)))</f>
      </c>
      <c r="O531">
        <f>IF($J531="",0,($M531-$L531+IF($A531=2,$H531,0))*$N531)</f>
      </c>
      <c r="P531">
        <f>IF($J531="",0,IF($A531=2,$H531*$N531,0))</f>
      </c>
    </row>
    <row r="532" spans="1:16"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c r="N532">
        <f>IF($E532="SGD",1,IF($E532="USD",Settings!$B$22,IF($E532="HKD",Settings!$B$23,1)))</f>
      </c>
      <c r="O532">
        <f>IF($J532="",0,($M532-$L532+IF($A532=2,$H532,0))*$N532)</f>
      </c>
      <c r="P532">
        <f>IF($J532="",0,IF($A532=2,$H532*$N532,0))</f>
      </c>
    </row>
    <row r="533" spans="1:16"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c r="N533">
        <f>IF($E533="SGD",1,IF($E533="USD",Settings!$B$22,IF($E533="HKD",Settings!$B$23,1)))</f>
      </c>
      <c r="O533">
        <f>IF($J533="",0,($M533-$L533+IF($A533=2,$H533,0))*$N533)</f>
      </c>
      <c r="P533">
        <f>IF($J533="",0,IF($A533=2,$H533*$N533,0))</f>
      </c>
    </row>
    <row r="534" spans="1:16"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c r="N534">
        <f>IF($E534="SGD",1,IF($E534="USD",Settings!$B$22,IF($E534="HKD",Settings!$B$23,1)))</f>
      </c>
      <c r="O534">
        <f>IF($J534="",0,($M534-$L534+IF($A534=2,$H534,0))*$N534)</f>
      </c>
      <c r="P534">
        <f>IF($J534="",0,IF($A534=2,$H534*$N534,0))</f>
      </c>
    </row>
    <row r="535" spans="1:16"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c r="N535">
        <f>IF($E535="SGD",1,IF($E535="USD",Settings!$B$22,IF($E535="HKD",Settings!$B$23,1)))</f>
      </c>
      <c r="O535">
        <f>IF($J535="",0,($M535-$L535+IF($A535=2,$H535,0))*$N535)</f>
      </c>
      <c r="P535">
        <f>IF($J535="",0,IF($A535=2,$H535*$N535,0))</f>
      </c>
    </row>
    <row r="536" spans="1:16"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c r="N536">
        <f>IF($E536="SGD",1,IF($E536="USD",Settings!$B$22,IF($E536="HKD",Settings!$B$23,1)))</f>
      </c>
      <c r="O536">
        <f>IF($J536="",0,($M536-$L536+IF($A536=2,$H536,0))*$N536)</f>
      </c>
      <c r="P536">
        <f>IF($J536="",0,IF($A536=2,$H536*$N536,0))</f>
      </c>
    </row>
    <row r="537" spans="1:16"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c r="N537">
        <f>IF($E537="SGD",1,IF($E537="USD",Settings!$B$22,IF($E537="HKD",Settings!$B$23,1)))</f>
      </c>
      <c r="O537">
        <f>IF($J537="",0,($M537-$L537+IF($A537=2,$H537,0))*$N537)</f>
      </c>
      <c r="P537">
        <f>IF($J537="",0,IF($A537=2,$H537*$N537,0))</f>
      </c>
    </row>
    <row r="538" spans="1:16"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c r="N538">
        <f>IF($E538="SGD",1,IF($E538="USD",Settings!$B$22,IF($E538="HKD",Settings!$B$23,1)))</f>
      </c>
      <c r="O538">
        <f>IF($J538="",0,($M538-$L538+IF($A538=2,$H538,0))*$N538)</f>
      </c>
      <c r="P538">
        <f>IF($J538="",0,IF($A538=2,$H538*$N538,0))</f>
      </c>
    </row>
    <row r="539" spans="1:16"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c r="N539">
        <f>IF($E539="SGD",1,IF($E539="USD",Settings!$B$22,IF($E539="HKD",Settings!$B$23,1)))</f>
      </c>
      <c r="O539">
        <f>IF($J539="",0,($M539-$L539+IF($A539=2,$H539,0))*$N539)</f>
      </c>
      <c r="P539">
        <f>IF($J539="",0,IF($A539=2,$H539*$N539,0))</f>
      </c>
    </row>
    <row r="540" spans="1:16"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c r="N540">
        <f>IF($E540="SGD",1,IF($E540="USD",Settings!$B$22,IF($E540="HKD",Settings!$B$23,1)))</f>
      </c>
      <c r="O540">
        <f>IF($J540="",0,($M540-$L540+IF($A540=2,$H540,0))*$N540)</f>
      </c>
      <c r="P540">
        <f>IF($J540="",0,IF($A540=2,$H540*$N540,0))</f>
      </c>
    </row>
    <row r="541" spans="1:16"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c r="N541">
        <f>IF($E541="SGD",1,IF($E541="USD",Settings!$B$22,IF($E541="HKD",Settings!$B$23,1)))</f>
      </c>
      <c r="O541">
        <f>IF($J541="",0,($M541-$L541+IF($A541=2,$H541,0))*$N541)</f>
      </c>
      <c r="P541">
        <f>IF($J541="",0,IF($A541=2,$H541*$N541,0))</f>
      </c>
    </row>
    <row r="542" spans="1:16"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c r="N542">
        <f>IF($E542="SGD",1,IF($E542="USD",Settings!$B$22,IF($E542="HKD",Settings!$B$23,1)))</f>
      </c>
      <c r="O542">
        <f>IF($J542="",0,($M542-$L542+IF($A542=2,$H542,0))*$N542)</f>
      </c>
      <c r="P542">
        <f>IF($J542="",0,IF($A542=2,$H542*$N542,0))</f>
      </c>
    </row>
    <row r="543" spans="1:16"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c r="N543">
        <f>IF($E543="SGD",1,IF($E543="USD",Settings!$B$22,IF($E543="HKD",Settings!$B$23,1)))</f>
      </c>
      <c r="O543">
        <f>IF($J543="",0,($M543-$L543+IF($A543=2,$H543,0))*$N543)</f>
      </c>
      <c r="P543">
        <f>IF($J543="",0,IF($A543=2,$H543*$N543,0))</f>
      </c>
    </row>
    <row r="544" spans="1:16"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c r="N544">
        <f>IF($E544="SGD",1,IF($E544="USD",Settings!$B$22,IF($E544="HKD",Settings!$B$23,1)))</f>
      </c>
      <c r="O544">
        <f>IF($J544="",0,($M544-$L544+IF($A544=2,$H544,0))*$N544)</f>
      </c>
      <c r="P544">
        <f>IF($J544="",0,IF($A544=2,$H544*$N544,0))</f>
      </c>
    </row>
    <row r="545" spans="1:16"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c r="N545">
        <f>IF($E545="SGD",1,IF($E545="USD",Settings!$B$22,IF($E545="HKD",Settings!$B$23,1)))</f>
      </c>
      <c r="O545">
        <f>IF($J545="",0,($M545-$L545+IF($A545=2,$H545,0))*$N545)</f>
      </c>
      <c r="P545">
        <f>IF($J545="",0,IF($A545=2,$H545*$N545,0))</f>
      </c>
    </row>
    <row r="546" spans="1:16"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c r="N546">
        <f>IF($E546="SGD",1,IF($E546="USD",Settings!$B$22,IF($E546="HKD",Settings!$B$23,1)))</f>
      </c>
      <c r="O546">
        <f>IF($J546="",0,($M546-$L546+IF($A546=2,$H546,0))*$N546)</f>
      </c>
      <c r="P546">
        <f>IF($J546="",0,IF($A546=2,$H546*$N546,0))</f>
      </c>
    </row>
    <row r="547" spans="1:16"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c r="N547">
        <f>IF($E547="SGD",1,IF($E547="USD",Settings!$B$22,IF($E547="HKD",Settings!$B$23,1)))</f>
      </c>
      <c r="O547">
        <f>IF($J547="",0,($M547-$L547+IF($A547=2,$H547,0))*$N547)</f>
      </c>
      <c r="P547">
        <f>IF($J547="",0,IF($A547=2,$H547*$N547,0))</f>
      </c>
    </row>
    <row r="548" spans="1:16"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c r="N548">
        <f>IF($E548="SGD",1,IF($E548="USD",Settings!$B$22,IF($E548="HKD",Settings!$B$23,1)))</f>
      </c>
      <c r="O548">
        <f>IF($J548="",0,($M548-$L548+IF($A548=2,$H548,0))*$N548)</f>
      </c>
      <c r="P548">
        <f>IF($J548="",0,IF($A548=2,$H548*$N548,0))</f>
      </c>
    </row>
    <row r="549" spans="1:16"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c r="N549">
        <f>IF($E549="SGD",1,IF($E549="USD",Settings!$B$22,IF($E549="HKD",Settings!$B$23,1)))</f>
      </c>
      <c r="O549">
        <f>IF($J549="",0,($M549-$L549+IF($A549=2,$H549,0))*$N549)</f>
      </c>
      <c r="P549">
        <f>IF($J549="",0,IF($A549=2,$H549*$N549,0))</f>
      </c>
    </row>
    <row r="550" spans="1:16"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c r="N550">
        <f>IF($E550="SGD",1,IF($E550="USD",Settings!$B$22,IF($E550="HKD",Settings!$B$23,1)))</f>
      </c>
      <c r="O550">
        <f>IF($J550="",0,($M550-$L550+IF($A550=2,$H550,0))*$N550)</f>
      </c>
      <c r="P550">
        <f>IF($J550="",0,IF($A550=2,$H550*$N550,0))</f>
      </c>
    </row>
    <row r="551" spans="1:16"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c r="N551">
        <f>IF($E551="SGD",1,IF($E551="USD",Settings!$B$22,IF($E551="HKD",Settings!$B$23,1)))</f>
      </c>
      <c r="O551">
        <f>IF($J551="",0,($M551-$L551+IF($A551=2,$H551,0))*$N551)</f>
      </c>
      <c r="P551">
        <f>IF($J551="",0,IF($A551=2,$H551*$N551,0))</f>
      </c>
    </row>
    <row r="552" spans="1:16"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c r="N552">
        <f>IF($E552="SGD",1,IF($E552="USD",Settings!$B$22,IF($E552="HKD",Settings!$B$23,1)))</f>
      </c>
      <c r="O552">
        <f>IF($J552="",0,($M552-$L552+IF($A552=2,$H552,0))*$N552)</f>
      </c>
      <c r="P552">
        <f>IF($J552="",0,IF($A552=2,$H552*$N552,0))</f>
      </c>
    </row>
    <row r="553" spans="1:16"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c r="N553">
        <f>IF($E553="SGD",1,IF($E553="USD",Settings!$B$22,IF($E553="HKD",Settings!$B$23,1)))</f>
      </c>
      <c r="O553">
        <f>IF($J553="",0,($M553-$L553+IF($A553=2,$H553,0))*$N553)</f>
      </c>
      <c r="P553">
        <f>IF($J553="",0,IF($A553=2,$H553*$N553,0))</f>
      </c>
    </row>
    <row r="554" spans="1:16"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c r="N554">
        <f>IF($E554="SGD",1,IF($E554="USD",Settings!$B$22,IF($E554="HKD",Settings!$B$23,1)))</f>
      </c>
      <c r="O554">
        <f>IF($J554="",0,($M554-$L554+IF($A554=2,$H554,0))*$N554)</f>
      </c>
      <c r="P554">
        <f>IF($J554="",0,IF($A554=2,$H554*$N554,0))</f>
      </c>
    </row>
    <row r="555" spans="1:16"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c r="N555">
        <f>IF($E555="SGD",1,IF($E555="USD",Settings!$B$22,IF($E555="HKD",Settings!$B$23,1)))</f>
      </c>
      <c r="O555">
        <f>IF($J555="",0,($M555-$L555+IF($A555=2,$H555,0))*$N555)</f>
      </c>
      <c r="P555">
        <f>IF($J555="",0,IF($A555=2,$H555*$N555,0))</f>
      </c>
    </row>
    <row r="556" spans="1:16"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c r="N556">
        <f>IF($E556="SGD",1,IF($E556="USD",Settings!$B$22,IF($E556="HKD",Settings!$B$23,1)))</f>
      </c>
      <c r="O556">
        <f>IF($J556="",0,($M556-$L556+IF($A556=2,$H556,0))*$N556)</f>
      </c>
      <c r="P556">
        <f>IF($J556="",0,IF($A556=2,$H556*$N556,0))</f>
      </c>
    </row>
    <row r="557" spans="1:16"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c r="N557">
        <f>IF($E557="SGD",1,IF($E557="USD",Settings!$B$22,IF($E557="HKD",Settings!$B$23,1)))</f>
      </c>
      <c r="O557">
        <f>IF($J557="",0,($M557-$L557+IF($A557=2,$H557,0))*$N557)</f>
      </c>
      <c r="P557">
        <f>IF($J557="",0,IF($A557=2,$H557*$N557,0))</f>
      </c>
    </row>
    <row r="558" spans="1:16"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c r="N558">
        <f>IF($E558="SGD",1,IF($E558="USD",Settings!$B$22,IF($E558="HKD",Settings!$B$23,1)))</f>
      </c>
      <c r="O558">
        <f>IF($J558="",0,($M558-$L558+IF($A558=2,$H558,0))*$N558)</f>
      </c>
      <c r="P558">
        <f>IF($J558="",0,IF($A558=2,$H558*$N558,0))</f>
      </c>
    </row>
    <row r="559" spans="1:16"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c r="N559">
        <f>IF($E559="SGD",1,IF($E559="USD",Settings!$B$22,IF($E559="HKD",Settings!$B$23,1)))</f>
      </c>
      <c r="O559">
        <f>IF($J559="",0,($M559-$L559+IF($A559=2,$H559,0))*$N559)</f>
      </c>
      <c r="P559">
        <f>IF($J559="",0,IF($A559=2,$H559*$N559,0))</f>
      </c>
    </row>
    <row r="560" spans="1:16"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c r="N560">
        <f>IF($E560="SGD",1,IF($E560="USD",Settings!$B$22,IF($E560="HKD",Settings!$B$23,1)))</f>
      </c>
      <c r="O560">
        <f>IF($J560="",0,($M560-$L560+IF($A560=2,$H560,0))*$N560)</f>
      </c>
      <c r="P560">
        <f>IF($J560="",0,IF($A560=2,$H560*$N560,0))</f>
      </c>
    </row>
    <row r="561" spans="1:16"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c r="N561">
        <f>IF($E561="SGD",1,IF($E561="USD",Settings!$B$22,IF($E561="HKD",Settings!$B$23,1)))</f>
      </c>
      <c r="O561">
        <f>IF($J561="",0,($M561-$L561+IF($A561=2,$H561,0))*$N561)</f>
      </c>
      <c r="P561">
        <f>IF($J561="",0,IF($A561=2,$H561*$N561,0))</f>
      </c>
    </row>
    <row r="562" spans="1:16"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c r="N562">
        <f>IF($E562="SGD",1,IF($E562="USD",Settings!$B$22,IF($E562="HKD",Settings!$B$23,1)))</f>
      </c>
      <c r="O562">
        <f>IF($J562="",0,($M562-$L562+IF($A562=2,$H562,0))*$N562)</f>
      </c>
      <c r="P562">
        <f>IF($J562="",0,IF($A562=2,$H562*$N562,0))</f>
      </c>
    </row>
    <row r="563" spans="1:16"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c r="N563">
        <f>IF($E563="SGD",1,IF($E563="USD",Settings!$B$22,IF($E563="HKD",Settings!$B$23,1)))</f>
      </c>
      <c r="O563">
        <f>IF($J563="",0,($M563-$L563+IF($A563=2,$H563,0))*$N563)</f>
      </c>
      <c r="P563">
        <f>IF($J563="",0,IF($A563=2,$H563*$N563,0))</f>
      </c>
    </row>
    <row r="564" spans="1:16"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c r="N564">
        <f>IF($E564="SGD",1,IF($E564="USD",Settings!$B$22,IF($E564="HKD",Settings!$B$23,1)))</f>
      </c>
      <c r="O564">
        <f>IF($J564="",0,($M564-$L564+IF($A564=2,$H564,0))*$N564)</f>
      </c>
      <c r="P564">
        <f>IF($J564="",0,IF($A564=2,$H564*$N564,0))</f>
      </c>
    </row>
    <row r="565" spans="1:16"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c r="N565">
        <f>IF($E565="SGD",1,IF($E565="USD",Settings!$B$22,IF($E565="HKD",Settings!$B$23,1)))</f>
      </c>
      <c r="O565">
        <f>IF($J565="",0,($M565-$L565+IF($A565=2,$H565,0))*$N565)</f>
      </c>
      <c r="P565">
        <f>IF($J565="",0,IF($A565=2,$H565*$N565,0))</f>
      </c>
    </row>
    <row r="566" spans="1:16"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c r="N566">
        <f>IF($E566="SGD",1,IF($E566="USD",Settings!$B$22,IF($E566="HKD",Settings!$B$23,1)))</f>
      </c>
      <c r="O566">
        <f>IF($J566="",0,($M566-$L566+IF($A566=2,$H566,0))*$N566)</f>
      </c>
      <c r="P566">
        <f>IF($J566="",0,IF($A566=2,$H566*$N566,0))</f>
      </c>
    </row>
    <row r="567" spans="1:16"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c r="N567">
        <f>IF($E567="SGD",1,IF($E567="USD",Settings!$B$22,IF($E567="HKD",Settings!$B$23,1)))</f>
      </c>
      <c r="O567">
        <f>IF($J567="",0,($M567-$L567+IF($A567=2,$H567,0))*$N567)</f>
      </c>
      <c r="P567">
        <f>IF($J567="",0,IF($A567=2,$H567*$N567,0))</f>
      </c>
    </row>
    <row r="568" spans="1:16"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c r="N568">
        <f>IF($E568="SGD",1,IF($E568="USD",Settings!$B$22,IF($E568="HKD",Settings!$B$23,1)))</f>
      </c>
      <c r="O568">
        <f>IF($J568="",0,($M568-$L568+IF($A568=2,$H568,0))*$N568)</f>
      </c>
      <c r="P568">
        <f>IF($J568="",0,IF($A568=2,$H568*$N568,0))</f>
      </c>
    </row>
    <row r="569" spans="1:16"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c r="N569">
        <f>IF($E569="SGD",1,IF($E569="USD",Settings!$B$22,IF($E569="HKD",Settings!$B$23,1)))</f>
      </c>
      <c r="O569">
        <f>IF($J569="",0,($M569-$L569+IF($A569=2,$H569,0))*$N569)</f>
      </c>
      <c r="P569">
        <f>IF($J569="",0,IF($A569=2,$H569*$N569,0))</f>
      </c>
    </row>
    <row r="570" spans="1:16"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c r="N570">
        <f>IF($E570="SGD",1,IF($E570="USD",Settings!$B$22,IF($E570="HKD",Settings!$B$23,1)))</f>
      </c>
      <c r="O570">
        <f>IF($J570="",0,($M570-$L570+IF($A570=2,$H570,0))*$N570)</f>
      </c>
      <c r="P570">
        <f>IF($J570="",0,IF($A570=2,$H570*$N570,0))</f>
      </c>
    </row>
    <row r="571" spans="1:16"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c r="N571">
        <f>IF($E571="SGD",1,IF($E571="USD",Settings!$B$22,IF($E571="HKD",Settings!$B$23,1)))</f>
      </c>
      <c r="O571">
        <f>IF($J571="",0,($M571-$L571+IF($A571=2,$H571,0))*$N571)</f>
      </c>
      <c r="P571">
        <f>IF($J571="",0,IF($A571=2,$H571*$N571,0))</f>
      </c>
    </row>
    <row r="572" spans="1:16"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c r="N572">
        <f>IF($E572="SGD",1,IF($E572="USD",Settings!$B$22,IF($E572="HKD",Settings!$B$23,1)))</f>
      </c>
      <c r="O572">
        <f>IF($J572="",0,($M572-$L572+IF($A572=2,$H572,0))*$N572)</f>
      </c>
      <c r="P572">
        <f>IF($J572="",0,IF($A572=2,$H572*$N572,0))</f>
      </c>
    </row>
    <row r="573" spans="1:16"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c r="N573">
        <f>IF($E573="SGD",1,IF($E573="USD",Settings!$B$22,IF($E573="HKD",Settings!$B$23,1)))</f>
      </c>
      <c r="O573">
        <f>IF($J573="",0,($M573-$L573+IF($A573=2,$H573,0))*$N573)</f>
      </c>
      <c r="P573">
        <f>IF($J573="",0,IF($A573=2,$H573*$N573,0))</f>
      </c>
    </row>
    <row r="574" spans="1:16"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c r="N574">
        <f>IF($E574="SGD",1,IF($E574="USD",Settings!$B$22,IF($E574="HKD",Settings!$B$23,1)))</f>
      </c>
      <c r="O574">
        <f>IF($J574="",0,($M574-$L574+IF($A574=2,$H574,0))*$N574)</f>
      </c>
      <c r="P574">
        <f>IF($J574="",0,IF($A574=2,$H574*$N574,0))</f>
      </c>
    </row>
    <row r="575" spans="1:16"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c r="N575">
        <f>IF($E575="SGD",1,IF($E575="USD",Settings!$B$22,IF($E575="HKD",Settings!$B$23,1)))</f>
      </c>
      <c r="O575">
        <f>IF($J575="",0,($M575-$L575+IF($A575=2,$H575,0))*$N575)</f>
      </c>
      <c r="P575">
        <f>IF($J575="",0,IF($A575=2,$H575*$N575,0))</f>
      </c>
    </row>
    <row r="576" spans="1:16"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c r="N576">
        <f>IF($E576="SGD",1,IF($E576="USD",Settings!$B$22,IF($E576="HKD",Settings!$B$23,1)))</f>
      </c>
      <c r="O576">
        <f>IF($J576="",0,($M576-$L576+IF($A576=2,$H576,0))*$N576)</f>
      </c>
      <c r="P576">
        <f>IF($J576="",0,IF($A576=2,$H576*$N576,0))</f>
      </c>
    </row>
    <row r="577" spans="1:16"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c r="N577">
        <f>IF($E577="SGD",1,IF($E577="USD",Settings!$B$22,IF($E577="HKD",Settings!$B$23,1)))</f>
      </c>
      <c r="O577">
        <f>IF($J577="",0,($M577-$L577+IF($A577=2,$H577,0))*$N577)</f>
      </c>
      <c r="P577">
        <f>IF($J577="",0,IF($A577=2,$H577*$N577,0))</f>
      </c>
    </row>
    <row r="578" spans="1:16"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c r="N578">
        <f>IF($E578="SGD",1,IF($E578="USD",Settings!$B$22,IF($E578="HKD",Settings!$B$23,1)))</f>
      </c>
      <c r="O578">
        <f>IF($J578="",0,($M578-$L578+IF($A578=2,$H578,0))*$N578)</f>
      </c>
      <c r="P578">
        <f>IF($J578="",0,IF($A578=2,$H578*$N578,0))</f>
      </c>
    </row>
    <row r="579" spans="1:16"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c r="N579">
        <f>IF($E579="SGD",1,IF($E579="USD",Settings!$B$22,IF($E579="HKD",Settings!$B$23,1)))</f>
      </c>
      <c r="O579">
        <f>IF($J579="",0,($M579-$L579+IF($A579=2,$H579,0))*$N579)</f>
      </c>
      <c r="P579">
        <f>IF($J579="",0,IF($A579=2,$H579*$N579,0))</f>
      </c>
    </row>
    <row r="580" spans="1:16"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c r="N580">
        <f>IF($E580="SGD",1,IF($E580="USD",Settings!$B$22,IF($E580="HKD",Settings!$B$23,1)))</f>
      </c>
      <c r="O580">
        <f>IF($J580="",0,($M580-$L580+IF($A580=2,$H580,0))*$N580)</f>
      </c>
      <c r="P580">
        <f>IF($J580="",0,IF($A580=2,$H580*$N580,0))</f>
      </c>
    </row>
    <row r="581" spans="1:16"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c r="N581">
        <f>IF($E581="SGD",1,IF($E581="USD",Settings!$B$22,IF($E581="HKD",Settings!$B$23,1)))</f>
      </c>
      <c r="O581">
        <f>IF($J581="",0,($M581-$L581+IF($A581=2,$H581,0))*$N581)</f>
      </c>
      <c r="P581">
        <f>IF($J581="",0,IF($A581=2,$H581*$N581,0))</f>
      </c>
    </row>
    <row r="582" spans="1:16"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c r="N582">
        <f>IF($E582="SGD",1,IF($E582="USD",Settings!$B$22,IF($E582="HKD",Settings!$B$23,1)))</f>
      </c>
      <c r="O582">
        <f>IF($J582="",0,($M582-$L582+IF($A582=2,$H582,0))*$N582)</f>
      </c>
      <c r="P582">
        <f>IF($J582="",0,IF($A582=2,$H582*$N582,0))</f>
      </c>
    </row>
    <row r="583" spans="1:16"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c r="N583">
        <f>IF($E583="SGD",1,IF($E583="USD",Settings!$B$22,IF($E583="HKD",Settings!$B$23,1)))</f>
      </c>
      <c r="O583">
        <f>IF($J583="",0,($M583-$L583+IF($A583=2,$H583,0))*$N583)</f>
      </c>
      <c r="P583">
        <f>IF($J583="",0,IF($A583=2,$H583*$N583,0))</f>
      </c>
    </row>
    <row r="584" spans="1:16"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c r="N584">
        <f>IF($E584="SGD",1,IF($E584="USD",Settings!$B$22,IF($E584="HKD",Settings!$B$23,1)))</f>
      </c>
      <c r="O584">
        <f>IF($J584="",0,($M584-$L584+IF($A584=2,$H584,0))*$N584)</f>
      </c>
      <c r="P584">
        <f>IF($J584="",0,IF($A584=2,$H584*$N584,0))</f>
      </c>
    </row>
    <row r="585" spans="1:16"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c r="N585">
        <f>IF($E585="SGD",1,IF($E585="USD",Settings!$B$22,IF($E585="HKD",Settings!$B$23,1)))</f>
      </c>
      <c r="O585">
        <f>IF($J585="",0,($M585-$L585+IF($A585=2,$H585,0))*$N585)</f>
      </c>
      <c r="P585">
        <f>IF($J585="",0,IF($A585=2,$H585*$N585,0))</f>
      </c>
    </row>
    <row r="586" spans="1:16"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c r="N586">
        <f>IF($E586="SGD",1,IF($E586="USD",Settings!$B$22,IF($E586="HKD",Settings!$B$23,1)))</f>
      </c>
      <c r="O586">
        <f>IF($J586="",0,($M586-$L586+IF($A586=2,$H586,0))*$N586)</f>
      </c>
      <c r="P586">
        <f>IF($J586="",0,IF($A586=2,$H586*$N586,0))</f>
      </c>
    </row>
    <row r="587" spans="1:16"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c r="N587">
        <f>IF($E587="SGD",1,IF($E587="USD",Settings!$B$22,IF($E587="HKD",Settings!$B$23,1)))</f>
      </c>
      <c r="O587">
        <f>IF($J587="",0,($M587-$L587+IF($A587=2,$H587,0))*$N587)</f>
      </c>
      <c r="P587">
        <f>IF($J587="",0,IF($A587=2,$H587*$N587,0))</f>
      </c>
    </row>
    <row r="588" spans="1:16"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c r="N588">
        <f>IF($E588="SGD",1,IF($E588="USD",Settings!$B$22,IF($E588="HKD",Settings!$B$23,1)))</f>
      </c>
      <c r="O588">
        <f>IF($J588="",0,($M588-$L588+IF($A588=2,$H588,0))*$N588)</f>
      </c>
      <c r="P588">
        <f>IF($J588="",0,IF($A588=2,$H588*$N588,0))</f>
      </c>
    </row>
    <row r="589" spans="1:16"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c r="N589">
        <f>IF($E589="SGD",1,IF($E589="USD",Settings!$B$22,IF($E589="HKD",Settings!$B$23,1)))</f>
      </c>
      <c r="O589">
        <f>IF($J589="",0,($M589-$L589+IF($A589=2,$H589,0))*$N589)</f>
      </c>
      <c r="P589">
        <f>IF($J589="",0,IF($A589=2,$H589*$N589,0))</f>
      </c>
    </row>
    <row r="590" spans="1:16"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c r="N590">
        <f>IF($E590="SGD",1,IF($E590="USD",Settings!$B$22,IF($E590="HKD",Settings!$B$23,1)))</f>
      </c>
      <c r="O590">
        <f>IF($J590="",0,($M590-$L590+IF($A590=2,$H590,0))*$N590)</f>
      </c>
      <c r="P590">
        <f>IF($J590="",0,IF($A590=2,$H590*$N590,0))</f>
      </c>
    </row>
    <row r="591" spans="1:16"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c r="N591">
        <f>IF($E591="SGD",1,IF($E591="USD",Settings!$B$22,IF($E591="HKD",Settings!$B$23,1)))</f>
      </c>
      <c r="O591">
        <f>IF($J591="",0,($M591-$L591+IF($A591=2,$H591,0))*$N591)</f>
      </c>
      <c r="P591">
        <f>IF($J591="",0,IF($A591=2,$H591*$N591,0))</f>
      </c>
    </row>
    <row r="592" spans="1:16"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c r="N592">
        <f>IF($E592="SGD",1,IF($E592="USD",Settings!$B$22,IF($E592="HKD",Settings!$B$23,1)))</f>
      </c>
      <c r="O592">
        <f>IF($J592="",0,($M592-$L592+IF($A592=2,$H592,0))*$N592)</f>
      </c>
      <c r="P592">
        <f>IF($J592="",0,IF($A592=2,$H592*$N592,0))</f>
      </c>
    </row>
    <row r="593" spans="1:16"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c r="N593">
        <f>IF($E593="SGD",1,IF($E593="USD",Settings!$B$22,IF($E593="HKD",Settings!$B$23,1)))</f>
      </c>
      <c r="O593">
        <f>IF($J593="",0,($M593-$L593+IF($A593=2,$H593,0))*$N593)</f>
      </c>
      <c r="P593">
        <f>IF($J593="",0,IF($A593=2,$H593*$N593,0))</f>
      </c>
    </row>
    <row r="594" spans="1:16"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c r="N594">
        <f>IF($E594="SGD",1,IF($E594="USD",Settings!$B$22,IF($E594="HKD",Settings!$B$23,1)))</f>
      </c>
      <c r="O594">
        <f>IF($J594="",0,($M594-$L594+IF($A594=2,$H594,0))*$N594)</f>
      </c>
      <c r="P594">
        <f>IF($J594="",0,IF($A594=2,$H594*$N594,0))</f>
      </c>
    </row>
    <row r="595" spans="1:16"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c r="N595">
        <f>IF($E595="SGD",1,IF($E595="USD",Settings!$B$22,IF($E595="HKD",Settings!$B$23,1)))</f>
      </c>
      <c r="O595">
        <f>IF($J595="",0,($M595-$L595+IF($A595=2,$H595,0))*$N595)</f>
      </c>
      <c r="P595">
        <f>IF($J595="",0,IF($A595=2,$H595*$N595,0))</f>
      </c>
    </row>
    <row r="596" spans="1:16"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c r="N596">
        <f>IF($E596="SGD",1,IF($E596="USD",Settings!$B$22,IF($E596="HKD",Settings!$B$23,1)))</f>
      </c>
      <c r="O596">
        <f>IF($J596="",0,($M596-$L596+IF($A596=2,$H596,0))*$N596)</f>
      </c>
      <c r="P596">
        <f>IF($J596="",0,IF($A596=2,$H596*$N596,0))</f>
      </c>
    </row>
    <row r="597" spans="1:16"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c r="N597">
        <f>IF($E597="SGD",1,IF($E597="USD",Settings!$B$22,IF($E597="HKD",Settings!$B$23,1)))</f>
      </c>
      <c r="O597">
        <f>IF($J597="",0,($M597-$L597+IF($A597=2,$H597,0))*$N597)</f>
      </c>
      <c r="P597">
        <f>IF($J597="",0,IF($A597=2,$H597*$N597,0))</f>
      </c>
    </row>
    <row r="598" spans="1:16"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c r="N598">
        <f>IF($E598="SGD",1,IF($E598="USD",Settings!$B$22,IF($E598="HKD",Settings!$B$23,1)))</f>
      </c>
      <c r="O598">
        <f>IF($J598="",0,($M598-$L598+IF($A598=2,$H598,0))*$N598)</f>
      </c>
      <c r="P598">
        <f>IF($J598="",0,IF($A598=2,$H598*$N598,0))</f>
      </c>
    </row>
    <row r="599" spans="1:16"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c r="N599">
        <f>IF($E599="SGD",1,IF($E599="USD",Settings!$B$22,IF($E599="HKD",Settings!$B$23,1)))</f>
      </c>
      <c r="O599">
        <f>IF($J599="",0,($M599-$L599+IF($A599=2,$H599,0))*$N599)</f>
      </c>
      <c r="P599">
        <f>IF($J599="",0,IF($A599=2,$H599*$N599,0))</f>
      </c>
    </row>
    <row r="600" spans="1:16"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c r="N600">
        <f>IF($E600="SGD",1,IF($E600="USD",Settings!$B$22,IF($E600="HKD",Settings!$B$23,1)))</f>
      </c>
      <c r="O600">
        <f>IF($J600="",0,($M600-$L600+IF($A600=2,$H600,0))*$N600)</f>
      </c>
      <c r="P600">
        <f>IF($J600="",0,IF($A600=2,$H600*$N600,0))</f>
      </c>
    </row>
    <row r="601" spans="1:16"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c r="N601">
        <f>IF($E601="SGD",1,IF($E601="USD",Settings!$B$22,IF($E601="HKD",Settings!$B$23,1)))</f>
      </c>
      <c r="O601">
        <f>IF($J601="",0,($M601-$L601+IF($A601=2,$H601,0))*$N601)</f>
      </c>
      <c r="P601">
        <f>IF($J601="",0,IF($A601=2,$H601*$N601,0))</f>
      </c>
    </row>
    <row r="602" spans="1:16"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c r="N602">
        <f>IF($E602="SGD",1,IF($E602="USD",Settings!$B$22,IF($E602="HKD",Settings!$B$23,1)))</f>
      </c>
      <c r="O602">
        <f>IF($J602="",0,($M602-$L602+IF($A602=2,$H602,0))*$N602)</f>
      </c>
      <c r="P602">
        <f>IF($J602="",0,IF($A602=2,$H602*$N602,0))</f>
      </c>
    </row>
    <row r="603" spans="1:16"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c r="N603">
        <f>IF($E603="SGD",1,IF($E603="USD",Settings!$B$22,IF($E603="HKD",Settings!$B$23,1)))</f>
      </c>
      <c r="O603">
        <f>IF($J603="",0,($M603-$L603+IF($A603=2,$H603,0))*$N603)</f>
      </c>
      <c r="P603">
        <f>IF($J603="",0,IF($A603=2,$H603*$N603,0))</f>
      </c>
    </row>
    <row r="604" spans="1:16"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c r="N604">
        <f>IF($E604="SGD",1,IF($E604="USD",Settings!$B$22,IF($E604="HKD",Settings!$B$23,1)))</f>
      </c>
      <c r="O604">
        <f>IF($J604="",0,($M604-$L604+IF($A604=2,$H604,0))*$N604)</f>
      </c>
      <c r="P604">
        <f>IF($J604="",0,IF($A604=2,$H604*$N604,0))</f>
      </c>
    </row>
    <row r="605" spans="1:16"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c r="N605">
        <f>IF($E605="SGD",1,IF($E605="USD",Settings!$B$22,IF($E605="HKD",Settings!$B$23,1)))</f>
      </c>
      <c r="O605">
        <f>IF($J605="",0,($M605-$L605+IF($A605=2,$H605,0))*$N605)</f>
      </c>
      <c r="P605">
        <f>IF($J605="",0,IF($A605=2,$H605*$N605,0))</f>
      </c>
    </row>
    <row r="606" spans="1:16"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c r="N606">
        <f>IF($E606="SGD",1,IF($E606="USD",Settings!$B$22,IF($E606="HKD",Settings!$B$23,1)))</f>
      </c>
      <c r="O606">
        <f>IF($J606="",0,($M606-$L606+IF($A606=2,$H606,0))*$N606)</f>
      </c>
      <c r="P606">
        <f>IF($J606="",0,IF($A606=2,$H606*$N606,0))</f>
      </c>
    </row>
    <row r="607" spans="1:16"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c r="N607">
        <f>IF($E607="SGD",1,IF($E607="USD",Settings!$B$22,IF($E607="HKD",Settings!$B$23,1)))</f>
      </c>
      <c r="O607">
        <f>IF($J607="",0,($M607-$L607+IF($A607=2,$H607,0))*$N607)</f>
      </c>
      <c r="P607">
        <f>IF($J607="",0,IF($A607=2,$H607*$N607,0))</f>
      </c>
    </row>
    <row r="608" spans="1:16"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c r="N608">
        <f>IF($E608="SGD",1,IF($E608="USD",Settings!$B$22,IF($E608="HKD",Settings!$B$23,1)))</f>
      </c>
      <c r="O608">
        <f>IF($J608="",0,($M608-$L608+IF($A608=2,$H608,0))*$N608)</f>
      </c>
      <c r="P608">
        <f>IF($J608="",0,IF($A608=2,$H608*$N608,0))</f>
      </c>
    </row>
    <row r="609" spans="1:16"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c r="N609">
        <f>IF($E609="SGD",1,IF($E609="USD",Settings!$B$22,IF($E609="HKD",Settings!$B$23,1)))</f>
      </c>
      <c r="O609">
        <f>IF($J609="",0,($M609-$L609+IF($A609=2,$H609,0))*$N609)</f>
      </c>
      <c r="P609">
        <f>IF($J609="",0,IF($A609=2,$H609*$N609,0))</f>
      </c>
    </row>
    <row r="610" spans="1:16"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c r="N610">
        <f>IF($E610="SGD",1,IF($E610="USD",Settings!$B$22,IF($E610="HKD",Settings!$B$23,1)))</f>
      </c>
      <c r="O610">
        <f>IF($J610="",0,($M610-$L610+IF($A610=2,$H610,0))*$N610)</f>
      </c>
      <c r="P610">
        <f>IF($J610="",0,IF($A610=2,$H610*$N610,0))</f>
      </c>
    </row>
    <row r="611" spans="1:16"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c r="N611">
        <f>IF($E611="SGD",1,IF($E611="USD",Settings!$B$22,IF($E611="HKD",Settings!$B$23,1)))</f>
      </c>
      <c r="O611">
        <f>IF($J611="",0,($M611-$L611+IF($A611=2,$H611,0))*$N611)</f>
      </c>
      <c r="P611">
        <f>IF($J611="",0,IF($A611=2,$H611*$N611,0))</f>
      </c>
    </row>
    <row r="612" spans="1:16"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c r="N612">
        <f>IF($E612="SGD",1,IF($E612="USD",Settings!$B$22,IF($E612="HKD",Settings!$B$23,1)))</f>
      </c>
      <c r="O612">
        <f>IF($J612="",0,($M612-$L612+IF($A612=2,$H612,0))*$N612)</f>
      </c>
      <c r="P612">
        <f>IF($J612="",0,IF($A612=2,$H612*$N612,0))</f>
      </c>
    </row>
    <row r="613" spans="1:16"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c r="N613">
        <f>IF($E613="SGD",1,IF($E613="USD",Settings!$B$22,IF($E613="HKD",Settings!$B$23,1)))</f>
      </c>
      <c r="O613">
        <f>IF($J613="",0,($M613-$L613+IF($A613=2,$H613,0))*$N613)</f>
      </c>
      <c r="P613">
        <f>IF($J613="",0,IF($A613=2,$H613*$N613,0))</f>
      </c>
    </row>
    <row r="614" spans="1:16"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c r="N614">
        <f>IF($E614="SGD",1,IF($E614="USD",Settings!$B$22,IF($E614="HKD",Settings!$B$23,1)))</f>
      </c>
      <c r="O614">
        <f>IF($J614="",0,($M614-$L614+IF($A614=2,$H614,0))*$N614)</f>
      </c>
      <c r="P614">
        <f>IF($J614="",0,IF($A614=2,$H614*$N614,0))</f>
      </c>
    </row>
    <row r="615" spans="1:16"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c r="N615">
        <f>IF($E615="SGD",1,IF($E615="USD",Settings!$B$22,IF($E615="HKD",Settings!$B$23,1)))</f>
      </c>
      <c r="O615">
        <f>IF($J615="",0,($M615-$L615+IF($A615=2,$H615,0))*$N615)</f>
      </c>
      <c r="P615">
        <f>IF($J615="",0,IF($A615=2,$H615*$N615,0))</f>
      </c>
    </row>
    <row r="616" spans="1:16"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c r="N616">
        <f>IF($E616="SGD",1,IF($E616="USD",Settings!$B$22,IF($E616="HKD",Settings!$B$23,1)))</f>
      </c>
      <c r="O616">
        <f>IF($J616="",0,($M616-$L616+IF($A616=2,$H616,0))*$N616)</f>
      </c>
      <c r="P616">
        <f>IF($J616="",0,IF($A616=2,$H616*$N616,0))</f>
      </c>
    </row>
    <row r="617" spans="1:16"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c r="N617">
        <f>IF($E617="SGD",1,IF($E617="USD",Settings!$B$22,IF($E617="HKD",Settings!$B$23,1)))</f>
      </c>
      <c r="O617">
        <f>IF($J617="",0,($M617-$L617+IF($A617=2,$H617,0))*$N617)</f>
      </c>
      <c r="P617">
        <f>IF($J617="",0,IF($A617=2,$H617*$N617,0))</f>
      </c>
    </row>
    <row r="618" spans="1:16"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c r="N618">
        <f>IF($E618="SGD",1,IF($E618="USD",Settings!$B$22,IF($E618="HKD",Settings!$B$23,1)))</f>
      </c>
      <c r="O618">
        <f>IF($J618="",0,($M618-$L618+IF($A618=2,$H618,0))*$N618)</f>
      </c>
      <c r="P618">
        <f>IF($J618="",0,IF($A618=2,$H618*$N618,0))</f>
      </c>
    </row>
    <row r="619" spans="1:16"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c r="N619">
        <f>IF($E619="SGD",1,IF($E619="USD",Settings!$B$22,IF($E619="HKD",Settings!$B$23,1)))</f>
      </c>
      <c r="O619">
        <f>IF($J619="",0,($M619-$L619+IF($A619=2,$H619,0))*$N619)</f>
      </c>
      <c r="P619">
        <f>IF($J619="",0,IF($A619=2,$H619*$N619,0))</f>
      </c>
    </row>
    <row r="620" spans="1:16"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c r="N620">
        <f>IF($E620="SGD",1,IF($E620="USD",Settings!$B$22,IF($E620="HKD",Settings!$B$23,1)))</f>
      </c>
      <c r="O620">
        <f>IF($J620="",0,($M620-$L620+IF($A620=2,$H620,0))*$N620)</f>
      </c>
      <c r="P620">
        <f>IF($J620="",0,IF($A620=2,$H620*$N620,0))</f>
      </c>
    </row>
    <row r="621" spans="1:16"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c r="N621">
        <f>IF($E621="SGD",1,IF($E621="USD",Settings!$B$22,IF($E621="HKD",Settings!$B$23,1)))</f>
      </c>
      <c r="O621">
        <f>IF($J621="",0,($M621-$L621+IF($A621=2,$H621,0))*$N621)</f>
      </c>
      <c r="P621">
        <f>IF($J621="",0,IF($A621=2,$H621*$N621,0))</f>
      </c>
    </row>
    <row r="622" spans="1:16"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c r="N622">
        <f>IF($E622="SGD",1,IF($E622="USD",Settings!$B$22,IF($E622="HKD",Settings!$B$23,1)))</f>
      </c>
      <c r="O622">
        <f>IF($J622="",0,($M622-$L622+IF($A622=2,$H622,0))*$N622)</f>
      </c>
      <c r="P622">
        <f>IF($J622="",0,IF($A622=2,$H622*$N622,0))</f>
      </c>
    </row>
    <row r="623" spans="1:16"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c r="N623">
        <f>IF($E623="SGD",1,IF($E623="USD",Settings!$B$22,IF($E623="HKD",Settings!$B$23,1)))</f>
      </c>
      <c r="O623">
        <f>IF($J623="",0,($M623-$L623+IF($A623=2,$H623,0))*$N623)</f>
      </c>
      <c r="P623">
        <f>IF($J623="",0,IF($A623=2,$H623*$N623,0))</f>
      </c>
    </row>
    <row r="624" spans="1:16"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c r="N624">
        <f>IF($E624="SGD",1,IF($E624="USD",Settings!$B$22,IF($E624="HKD",Settings!$B$23,1)))</f>
      </c>
      <c r="O624">
        <f>IF($J624="",0,($M624-$L624+IF($A624=2,$H624,0))*$N624)</f>
      </c>
      <c r="P624">
        <f>IF($J624="",0,IF($A624=2,$H624*$N624,0))</f>
      </c>
    </row>
    <row r="625" spans="1:16"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c r="N625">
        <f>IF($E625="SGD",1,IF($E625="USD",Settings!$B$22,IF($E625="HKD",Settings!$B$23,1)))</f>
      </c>
      <c r="O625">
        <f>IF($J625="",0,($M625-$L625+IF($A625=2,$H625,0))*$N625)</f>
      </c>
      <c r="P625">
        <f>IF($J625="",0,IF($A625=2,$H625*$N625,0))</f>
      </c>
    </row>
    <row r="626" spans="1:16"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c r="N626">
        <f>IF($E626="SGD",1,IF($E626="USD",Settings!$B$22,IF($E626="HKD",Settings!$B$23,1)))</f>
      </c>
      <c r="O626">
        <f>IF($J626="",0,($M626-$L626+IF($A626=2,$H626,0))*$N626)</f>
      </c>
      <c r="P626">
        <f>IF($J626="",0,IF($A626=2,$H626*$N626,0))</f>
      </c>
    </row>
    <row r="627" spans="1:16"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c r="N627">
        <f>IF($E627="SGD",1,IF($E627="USD",Settings!$B$22,IF($E627="HKD",Settings!$B$23,1)))</f>
      </c>
      <c r="O627">
        <f>IF($J627="",0,($M627-$L627+IF($A627=2,$H627,0))*$N627)</f>
      </c>
      <c r="P627">
        <f>IF($J627="",0,IF($A627=2,$H627*$N627,0))</f>
      </c>
    </row>
    <row r="628" spans="1:16"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c r="N628">
        <f>IF($E628="SGD",1,IF($E628="USD",Settings!$B$22,IF($E628="HKD",Settings!$B$23,1)))</f>
      </c>
      <c r="O628">
        <f>IF($J628="",0,($M628-$L628+IF($A628=2,$H628,0))*$N628)</f>
      </c>
      <c r="P628">
        <f>IF($J628="",0,IF($A628=2,$H628*$N628,0))</f>
      </c>
    </row>
    <row r="629" spans="1:16"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c r="N629">
        <f>IF($E629="SGD",1,IF($E629="USD",Settings!$B$22,IF($E629="HKD",Settings!$B$23,1)))</f>
      </c>
      <c r="O629">
        <f>IF($J629="",0,($M629-$L629+IF($A629=2,$H629,0))*$N629)</f>
      </c>
      <c r="P629">
        <f>IF($J629="",0,IF($A629=2,$H629*$N629,0))</f>
      </c>
    </row>
    <row r="630" spans="1:16"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c r="N630">
        <f>IF($E630="SGD",1,IF($E630="USD",Settings!$B$22,IF($E630="HKD",Settings!$B$23,1)))</f>
      </c>
      <c r="O630">
        <f>IF($J630="",0,($M630-$L630+IF($A630=2,$H630,0))*$N630)</f>
      </c>
      <c r="P630">
        <f>IF($J630="",0,IF($A630=2,$H630*$N630,0))</f>
      </c>
    </row>
    <row r="631" spans="1:16"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c r="N631">
        <f>IF($E631="SGD",1,IF($E631="USD",Settings!$B$22,IF($E631="HKD",Settings!$B$23,1)))</f>
      </c>
      <c r="O631">
        <f>IF($J631="",0,($M631-$L631+IF($A631=2,$H631,0))*$N631)</f>
      </c>
      <c r="P631">
        <f>IF($J631="",0,IF($A631=2,$H631*$N631,0))</f>
      </c>
    </row>
    <row r="632" spans="1:16"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c r="N632">
        <f>IF($E632="SGD",1,IF($E632="USD",Settings!$B$22,IF($E632="HKD",Settings!$B$23,1)))</f>
      </c>
      <c r="O632">
        <f>IF($J632="",0,($M632-$L632+IF($A632=2,$H632,0))*$N632)</f>
      </c>
      <c r="P632">
        <f>IF($J632="",0,IF($A632=2,$H632*$N632,0))</f>
      </c>
    </row>
    <row r="633" spans="1:16"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c r="N633">
        <f>IF($E633="SGD",1,IF($E633="USD",Settings!$B$22,IF($E633="HKD",Settings!$B$23,1)))</f>
      </c>
      <c r="O633">
        <f>IF($J633="",0,($M633-$L633+IF($A633=2,$H633,0))*$N633)</f>
      </c>
      <c r="P633">
        <f>IF($J633="",0,IF($A633=2,$H633*$N633,0))</f>
      </c>
    </row>
    <row r="634" spans="1:16"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c r="N634">
        <f>IF($E634="SGD",1,IF($E634="USD",Settings!$B$22,IF($E634="HKD",Settings!$B$23,1)))</f>
      </c>
      <c r="O634">
        <f>IF($J634="",0,($M634-$L634+IF($A634=2,$H634,0))*$N634)</f>
      </c>
      <c r="P634">
        <f>IF($J634="",0,IF($A634=2,$H634*$N634,0))</f>
      </c>
    </row>
    <row r="635" spans="1:16"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c r="N635">
        <f>IF($E635="SGD",1,IF($E635="USD",Settings!$B$22,IF($E635="HKD",Settings!$B$23,1)))</f>
      </c>
      <c r="O635">
        <f>IF($J635="",0,($M635-$L635+IF($A635=2,$H635,0))*$N635)</f>
      </c>
      <c r="P635">
        <f>IF($J635="",0,IF($A635=2,$H635*$N635,0))</f>
      </c>
    </row>
    <row r="636" spans="1:16"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c r="N636">
        <f>IF($E636="SGD",1,IF($E636="USD",Settings!$B$22,IF($E636="HKD",Settings!$B$23,1)))</f>
      </c>
      <c r="O636">
        <f>IF($J636="",0,($M636-$L636+IF($A636=2,$H636,0))*$N636)</f>
      </c>
      <c r="P636">
        <f>IF($J636="",0,IF($A636=2,$H636*$N636,0))</f>
      </c>
    </row>
    <row r="637" spans="1:16"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c r="N637">
        <f>IF($E637="SGD",1,IF($E637="USD",Settings!$B$22,IF($E637="HKD",Settings!$B$23,1)))</f>
      </c>
      <c r="O637">
        <f>IF($J637="",0,($M637-$L637+IF($A637=2,$H637,0))*$N637)</f>
      </c>
      <c r="P637">
        <f>IF($J637="",0,IF($A637=2,$H637*$N637,0))</f>
      </c>
    </row>
    <row r="638" spans="1:16"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c r="N638">
        <f>IF($E638="SGD",1,IF($E638="USD",Settings!$B$22,IF($E638="HKD",Settings!$B$23,1)))</f>
      </c>
      <c r="O638">
        <f>IF($J638="",0,($M638-$L638+IF($A638=2,$H638,0))*$N638)</f>
      </c>
      <c r="P638">
        <f>IF($J638="",0,IF($A638=2,$H638*$N638,0))</f>
      </c>
    </row>
    <row r="639" spans="1:16"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c r="N639">
        <f>IF($E639="SGD",1,IF($E639="USD",Settings!$B$22,IF($E639="HKD",Settings!$B$23,1)))</f>
      </c>
      <c r="O639">
        <f>IF($J639="",0,($M639-$L639+IF($A639=2,$H639,0))*$N639)</f>
      </c>
      <c r="P639">
        <f>IF($J639="",0,IF($A639=2,$H639*$N639,0))</f>
      </c>
    </row>
    <row r="640" spans="1:16"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c r="N640">
        <f>IF($E640="SGD",1,IF($E640="USD",Settings!$B$22,IF($E640="HKD",Settings!$B$23,1)))</f>
      </c>
      <c r="O640">
        <f>IF($J640="",0,($M640-$L640+IF($A640=2,$H640,0))*$N640)</f>
      </c>
      <c r="P640">
        <f>IF($J640="",0,IF($A640=2,$H640*$N640,0))</f>
      </c>
    </row>
    <row r="641" spans="1:16"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c r="N641">
        <f>IF($E641="SGD",1,IF($E641="USD",Settings!$B$22,IF($E641="HKD",Settings!$B$23,1)))</f>
      </c>
      <c r="O641">
        <f>IF($J641="",0,($M641-$L641+IF($A641=2,$H641,0))*$N641)</f>
      </c>
      <c r="P641">
        <f>IF($J641="",0,IF($A641=2,$H641*$N641,0))</f>
      </c>
    </row>
    <row r="642" spans="1:16"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c r="N642">
        <f>IF($E642="SGD",1,IF($E642="USD",Settings!$B$22,IF($E642="HKD",Settings!$B$23,1)))</f>
      </c>
      <c r="O642">
        <f>IF($J642="",0,($M642-$L642+IF($A642=2,$H642,0))*$N642)</f>
      </c>
      <c r="P642">
        <f>IF($J642="",0,IF($A642=2,$H642*$N642,0))</f>
      </c>
    </row>
    <row r="643" spans="1:16"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c r="N643">
        <f>IF($E643="SGD",1,IF($E643="USD",Settings!$B$22,IF($E643="HKD",Settings!$B$23,1)))</f>
      </c>
      <c r="O643">
        <f>IF($J643="",0,($M643-$L643+IF($A643=2,$H643,0))*$N643)</f>
      </c>
      <c r="P643">
        <f>IF($J643="",0,IF($A643=2,$H643*$N643,0))</f>
      </c>
    </row>
    <row r="644" spans="1:16"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c r="N644">
        <f>IF($E644="SGD",1,IF($E644="USD",Settings!$B$22,IF($E644="HKD",Settings!$B$23,1)))</f>
      </c>
      <c r="O644">
        <f>IF($J644="",0,($M644-$L644+IF($A644=2,$H644,0))*$N644)</f>
      </c>
      <c r="P644">
        <f>IF($J644="",0,IF($A644=2,$H644*$N644,0))</f>
      </c>
    </row>
    <row r="645" spans="1:16"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c r="N645">
        <f>IF($E645="SGD",1,IF($E645="USD",Settings!$B$22,IF($E645="HKD",Settings!$B$23,1)))</f>
      </c>
      <c r="O645">
        <f>IF($J645="",0,($M645-$L645+IF($A645=2,$H645,0))*$N645)</f>
      </c>
      <c r="P645">
        <f>IF($J645="",0,IF($A645=2,$H645*$N645,0))</f>
      </c>
    </row>
    <row r="646" spans="1:16"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c r="N646">
        <f>IF($E646="SGD",1,IF($E646="USD",Settings!$B$22,IF($E646="HKD",Settings!$B$23,1)))</f>
      </c>
      <c r="O646">
        <f>IF($J646="",0,($M646-$L646+IF($A646=2,$H646,0))*$N646)</f>
      </c>
      <c r="P646">
        <f>IF($J646="",0,IF($A646=2,$H646*$N646,0))</f>
      </c>
    </row>
    <row r="647" spans="1:16"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c r="N647">
        <f>IF($E647="SGD",1,IF($E647="USD",Settings!$B$22,IF($E647="HKD",Settings!$B$23,1)))</f>
      </c>
      <c r="O647">
        <f>IF($J647="",0,($M647-$L647+IF($A647=2,$H647,0))*$N647)</f>
      </c>
      <c r="P647">
        <f>IF($J647="",0,IF($A647=2,$H647*$N647,0))</f>
      </c>
    </row>
    <row r="648" spans="1:16"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c r="N648">
        <f>IF($E648="SGD",1,IF($E648="USD",Settings!$B$22,IF($E648="HKD",Settings!$B$23,1)))</f>
      </c>
      <c r="O648">
        <f>IF($J648="",0,($M648-$L648+IF($A648=2,$H648,0))*$N648)</f>
      </c>
      <c r="P648">
        <f>IF($J648="",0,IF($A648=2,$H648*$N648,0))</f>
      </c>
    </row>
    <row r="649" spans="1:16"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c r="N649">
        <f>IF($E649="SGD",1,IF($E649="USD",Settings!$B$22,IF($E649="HKD",Settings!$B$23,1)))</f>
      </c>
      <c r="O649">
        <f>IF($J649="",0,($M649-$L649+IF($A649=2,$H649,0))*$N649)</f>
      </c>
      <c r="P649">
        <f>IF($J649="",0,IF($A649=2,$H649*$N649,0))</f>
      </c>
    </row>
    <row r="650" spans="1:16"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c r="N650">
        <f>IF($E650="SGD",1,IF($E650="USD",Settings!$B$22,IF($E650="HKD",Settings!$B$23,1)))</f>
      </c>
      <c r="O650">
        <f>IF($J650="",0,($M650-$L650+IF($A650=2,$H650,0))*$N650)</f>
      </c>
      <c r="P650">
        <f>IF($J650="",0,IF($A650=2,$H650*$N650,0))</f>
      </c>
    </row>
    <row r="651" spans="1:16"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c r="N651">
        <f>IF($E651="SGD",1,IF($E651="USD",Settings!$B$22,IF($E651="HKD",Settings!$B$23,1)))</f>
      </c>
      <c r="O651">
        <f>IF($J651="",0,($M651-$L651+IF($A651=2,$H651,0))*$N651)</f>
      </c>
      <c r="P651">
        <f>IF($J651="",0,IF($A651=2,$H651*$N651,0))</f>
      </c>
    </row>
    <row r="652" spans="1:16"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c r="N652">
        <f>IF($E652="SGD",1,IF($E652="USD",Settings!$B$22,IF($E652="HKD",Settings!$B$23,1)))</f>
      </c>
      <c r="O652">
        <f>IF($J652="",0,($M652-$L652+IF($A652=2,$H652,0))*$N652)</f>
      </c>
      <c r="P652">
        <f>IF($J652="",0,IF($A652=2,$H652*$N652,0))</f>
      </c>
    </row>
    <row r="653" spans="1:16"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c r="N653">
        <f>IF($E653="SGD",1,IF($E653="USD",Settings!$B$22,IF($E653="HKD",Settings!$B$23,1)))</f>
      </c>
      <c r="O653">
        <f>IF($J653="",0,($M653-$L653+IF($A653=2,$H653,0))*$N653)</f>
      </c>
      <c r="P653">
        <f>IF($J653="",0,IF($A653=2,$H653*$N653,0))</f>
      </c>
    </row>
    <row r="654" spans="1:16"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c r="N654">
        <f>IF($E654="SGD",1,IF($E654="USD",Settings!$B$22,IF($E654="HKD",Settings!$B$23,1)))</f>
      </c>
      <c r="O654">
        <f>IF($J654="",0,($M654-$L654+IF($A654=2,$H654,0))*$N654)</f>
      </c>
      <c r="P654">
        <f>IF($J654="",0,IF($A654=2,$H654*$N654,0))</f>
      </c>
    </row>
    <row r="655" spans="1:16"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c r="N655">
        <f>IF($E655="SGD",1,IF($E655="USD",Settings!$B$22,IF($E655="HKD",Settings!$B$23,1)))</f>
      </c>
      <c r="O655">
        <f>IF($J655="",0,($M655-$L655+IF($A655=2,$H655,0))*$N655)</f>
      </c>
      <c r="P655">
        <f>IF($J655="",0,IF($A655=2,$H655*$N655,0))</f>
      </c>
    </row>
    <row r="656" spans="1:16"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c r="N656">
        <f>IF($E656="SGD",1,IF($E656="USD",Settings!$B$22,IF($E656="HKD",Settings!$B$23,1)))</f>
      </c>
      <c r="O656">
        <f>IF($J656="",0,($M656-$L656+IF($A656=2,$H656,0))*$N656)</f>
      </c>
      <c r="P656">
        <f>IF($J656="",0,IF($A656=2,$H656*$N656,0))</f>
      </c>
    </row>
    <row r="657" spans="1:16"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c r="N657">
        <f>IF($E657="SGD",1,IF($E657="USD",Settings!$B$22,IF($E657="HKD",Settings!$B$23,1)))</f>
      </c>
      <c r="O657">
        <f>IF($J657="",0,($M657-$L657+IF($A657=2,$H657,0))*$N657)</f>
      </c>
      <c r="P657">
        <f>IF($J657="",0,IF($A657=2,$H657*$N657,0))</f>
      </c>
    </row>
    <row r="658" spans="1:16"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c r="N658">
        <f>IF($E658="SGD",1,IF($E658="USD",Settings!$B$22,IF($E658="HKD",Settings!$B$23,1)))</f>
      </c>
      <c r="O658">
        <f>IF($J658="",0,($M658-$L658+IF($A658=2,$H658,0))*$N658)</f>
      </c>
      <c r="P658">
        <f>IF($J658="",0,IF($A658=2,$H658*$N658,0))</f>
      </c>
    </row>
    <row r="659" spans="1:16"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c r="N659">
        <f>IF($E659="SGD",1,IF($E659="USD",Settings!$B$22,IF($E659="HKD",Settings!$B$23,1)))</f>
      </c>
      <c r="O659">
        <f>IF($J659="",0,($M659-$L659+IF($A659=2,$H659,0))*$N659)</f>
      </c>
      <c r="P659">
        <f>IF($J659="",0,IF($A659=2,$H659*$N659,0))</f>
      </c>
    </row>
    <row r="660" spans="1:16"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c r="N660">
        <f>IF($E660="SGD",1,IF($E660="USD",Settings!$B$22,IF($E660="HKD",Settings!$B$23,1)))</f>
      </c>
      <c r="O660">
        <f>IF($J660="",0,($M660-$L660+IF($A660=2,$H660,0))*$N660)</f>
      </c>
      <c r="P660">
        <f>IF($J660="",0,IF($A660=2,$H660*$N660,0))</f>
      </c>
    </row>
    <row r="661" spans="1:16"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c r="N661">
        <f>IF($E661="SGD",1,IF($E661="USD",Settings!$B$22,IF($E661="HKD",Settings!$B$23,1)))</f>
      </c>
      <c r="O661">
        <f>IF($J661="",0,($M661-$L661+IF($A661=2,$H661,0))*$N661)</f>
      </c>
      <c r="P661">
        <f>IF($J661="",0,IF($A661=2,$H661*$N661,0))</f>
      </c>
    </row>
    <row r="662" spans="1:16"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c r="N662">
        <f>IF($E662="SGD",1,IF($E662="USD",Settings!$B$22,IF($E662="HKD",Settings!$B$23,1)))</f>
      </c>
      <c r="O662">
        <f>IF($J662="",0,($M662-$L662+IF($A662=2,$H662,0))*$N662)</f>
      </c>
      <c r="P662">
        <f>IF($J662="",0,IF($A662=2,$H662*$N662,0))</f>
      </c>
    </row>
    <row r="663" spans="1:16"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c r="N663">
        <f>IF($E663="SGD",1,IF($E663="USD",Settings!$B$22,IF($E663="HKD",Settings!$B$23,1)))</f>
      </c>
      <c r="O663">
        <f>IF($J663="",0,($M663-$L663+IF($A663=2,$H663,0))*$N663)</f>
      </c>
      <c r="P663">
        <f>IF($J663="",0,IF($A663=2,$H663*$N663,0))</f>
      </c>
    </row>
    <row r="664" spans="1:16"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c r="N664">
        <f>IF($E664="SGD",1,IF($E664="USD",Settings!$B$22,IF($E664="HKD",Settings!$B$23,1)))</f>
      </c>
      <c r="O664">
        <f>IF($J664="",0,($M664-$L664+IF($A664=2,$H664,0))*$N664)</f>
      </c>
      <c r="P664">
        <f>IF($J664="",0,IF($A664=2,$H664*$N664,0))</f>
      </c>
    </row>
    <row r="665" spans="1:16"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c r="N665">
        <f>IF($E665="SGD",1,IF($E665="USD",Settings!$B$22,IF($E665="HKD",Settings!$B$23,1)))</f>
      </c>
      <c r="O665">
        <f>IF($J665="",0,($M665-$L665+IF($A665=2,$H665,0))*$N665)</f>
      </c>
      <c r="P665">
        <f>IF($J665="",0,IF($A665=2,$H665*$N665,0))</f>
      </c>
    </row>
    <row r="666" spans="1:16"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c r="N666">
        <f>IF($E666="SGD",1,IF($E666="USD",Settings!$B$22,IF($E666="HKD",Settings!$B$23,1)))</f>
      </c>
      <c r="O666">
        <f>IF($J666="",0,($M666-$L666+IF($A666=2,$H666,0))*$N666)</f>
      </c>
      <c r="P666">
        <f>IF($J666="",0,IF($A666=2,$H666*$N666,0))</f>
      </c>
    </row>
    <row r="667" spans="1:16"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c r="N667">
        <f>IF($E667="SGD",1,IF($E667="USD",Settings!$B$22,IF($E667="HKD",Settings!$B$23,1)))</f>
      </c>
      <c r="O667">
        <f>IF($J667="",0,($M667-$L667+IF($A667=2,$H667,0))*$N667)</f>
      </c>
      <c r="P667">
        <f>IF($J667="",0,IF($A667=2,$H667*$N667,0))</f>
      </c>
    </row>
    <row r="668" spans="1:16"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c r="N668">
        <f>IF($E668="SGD",1,IF($E668="USD",Settings!$B$22,IF($E668="HKD",Settings!$B$23,1)))</f>
      </c>
      <c r="O668">
        <f>IF($J668="",0,($M668-$L668+IF($A668=2,$H668,0))*$N668)</f>
      </c>
      <c r="P668">
        <f>IF($J668="",0,IF($A668=2,$H668*$N668,0))</f>
      </c>
    </row>
    <row r="669" spans="1:16"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c r="N669">
        <f>IF($E669="SGD",1,IF($E669="USD",Settings!$B$22,IF($E669="HKD",Settings!$B$23,1)))</f>
      </c>
      <c r="O669">
        <f>IF($J669="",0,($M669-$L669+IF($A669=2,$H669,0))*$N669)</f>
      </c>
      <c r="P669">
        <f>IF($J669="",0,IF($A669=2,$H669*$N669,0))</f>
      </c>
    </row>
    <row r="670" spans="1:16"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c r="N670">
        <f>IF($E670="SGD",1,IF($E670="USD",Settings!$B$22,IF($E670="HKD",Settings!$B$23,1)))</f>
      </c>
      <c r="O670">
        <f>IF($J670="",0,($M670-$L670+IF($A670=2,$H670,0))*$N670)</f>
      </c>
      <c r="P670">
        <f>IF($J670="",0,IF($A670=2,$H670*$N670,0))</f>
      </c>
    </row>
    <row r="671" spans="1:16"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c r="N671">
        <f>IF($E671="SGD",1,IF($E671="USD",Settings!$B$22,IF($E671="HKD",Settings!$B$23,1)))</f>
      </c>
      <c r="O671">
        <f>IF($J671="",0,($M671-$L671+IF($A671=2,$H671,0))*$N671)</f>
      </c>
      <c r="P671">
        <f>IF($J671="",0,IF($A671=2,$H671*$N671,0))</f>
      </c>
    </row>
    <row r="672" spans="1:16"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c r="N672">
        <f>IF($E672="SGD",1,IF($E672="USD",Settings!$B$22,IF($E672="HKD",Settings!$B$23,1)))</f>
      </c>
      <c r="O672">
        <f>IF($J672="",0,($M672-$L672+IF($A672=2,$H672,0))*$N672)</f>
      </c>
      <c r="P672">
        <f>IF($J672="",0,IF($A672=2,$H672*$N672,0))</f>
      </c>
    </row>
    <row r="673" spans="1:16"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c r="N673">
        <f>IF($E673="SGD",1,IF($E673="USD",Settings!$B$22,IF($E673="HKD",Settings!$B$23,1)))</f>
      </c>
      <c r="O673">
        <f>IF($J673="",0,($M673-$L673+IF($A673=2,$H673,0))*$N673)</f>
      </c>
      <c r="P673">
        <f>IF($J673="",0,IF($A673=2,$H673*$N673,0))</f>
      </c>
    </row>
    <row r="674" spans="1:16"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c r="N674">
        <f>IF($E674="SGD",1,IF($E674="USD",Settings!$B$22,IF($E674="HKD",Settings!$B$23,1)))</f>
      </c>
      <c r="O674">
        <f>IF($J674="",0,($M674-$L674+IF($A674=2,$H674,0))*$N674)</f>
      </c>
      <c r="P674">
        <f>IF($J674="",0,IF($A674=2,$H674*$N674,0))</f>
      </c>
    </row>
    <row r="675" spans="1:16"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c r="N675">
        <f>IF($E675="SGD",1,IF($E675="USD",Settings!$B$22,IF($E675="HKD",Settings!$B$23,1)))</f>
      </c>
      <c r="O675">
        <f>IF($J675="",0,($M675-$L675+IF($A675=2,$H675,0))*$N675)</f>
      </c>
      <c r="P675">
        <f>IF($J675="",0,IF($A675=2,$H675*$N675,0))</f>
      </c>
    </row>
    <row r="676" spans="1:16"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c r="N676">
        <f>IF($E676="SGD",1,IF($E676="USD",Settings!$B$22,IF($E676="HKD",Settings!$B$23,1)))</f>
      </c>
      <c r="O676">
        <f>IF($J676="",0,($M676-$L676+IF($A676=2,$H676,0))*$N676)</f>
      </c>
      <c r="P676">
        <f>IF($J676="",0,IF($A676=2,$H676*$N676,0))</f>
      </c>
    </row>
    <row r="677" spans="1:16"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c r="N677">
        <f>IF($E677="SGD",1,IF($E677="USD",Settings!$B$22,IF($E677="HKD",Settings!$B$23,1)))</f>
      </c>
      <c r="O677">
        <f>IF($J677="",0,($M677-$L677+IF($A677=2,$H677,0))*$N677)</f>
      </c>
      <c r="P677">
        <f>IF($J677="",0,IF($A677=2,$H677*$N677,0))</f>
      </c>
    </row>
    <row r="678" spans="1:16"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c r="N678">
        <f>IF($E678="SGD",1,IF($E678="USD",Settings!$B$22,IF($E678="HKD",Settings!$B$23,1)))</f>
      </c>
      <c r="O678">
        <f>IF($J678="",0,($M678-$L678+IF($A678=2,$H678,0))*$N678)</f>
      </c>
      <c r="P678">
        <f>IF($J678="",0,IF($A678=2,$H678*$N678,0))</f>
      </c>
    </row>
    <row r="679" spans="1:16"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c r="N679">
        <f>IF($E679="SGD",1,IF($E679="USD",Settings!$B$22,IF($E679="HKD",Settings!$B$23,1)))</f>
      </c>
      <c r="O679">
        <f>IF($J679="",0,($M679-$L679+IF($A679=2,$H679,0))*$N679)</f>
      </c>
      <c r="P679">
        <f>IF($J679="",0,IF($A679=2,$H679*$N679,0))</f>
      </c>
    </row>
    <row r="680" spans="1:16"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c r="N680">
        <f>IF($E680="SGD",1,IF($E680="USD",Settings!$B$22,IF($E680="HKD",Settings!$B$23,1)))</f>
      </c>
      <c r="O680">
        <f>IF($J680="",0,($M680-$L680+IF($A680=2,$H680,0))*$N680)</f>
      </c>
      <c r="P680">
        <f>IF($J680="",0,IF($A680=2,$H680*$N680,0))</f>
      </c>
    </row>
    <row r="681" spans="1:16"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c r="N681">
        <f>IF($E681="SGD",1,IF($E681="USD",Settings!$B$22,IF($E681="HKD",Settings!$B$23,1)))</f>
      </c>
      <c r="O681">
        <f>IF($J681="",0,($M681-$L681+IF($A681=2,$H681,0))*$N681)</f>
      </c>
      <c r="P681">
        <f>IF($J681="",0,IF($A681=2,$H681*$N681,0))</f>
      </c>
    </row>
    <row r="682" spans="1:16"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c r="N682">
        <f>IF($E682="SGD",1,IF($E682="USD",Settings!$B$22,IF($E682="HKD",Settings!$B$23,1)))</f>
      </c>
      <c r="O682">
        <f>IF($J682="",0,($M682-$L682+IF($A682=2,$H682,0))*$N682)</f>
      </c>
      <c r="P682">
        <f>IF($J682="",0,IF($A682=2,$H682*$N682,0))</f>
      </c>
    </row>
    <row r="683" spans="1:16"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c r="N683">
        <f>IF($E683="SGD",1,IF($E683="USD",Settings!$B$22,IF($E683="HKD",Settings!$B$23,1)))</f>
      </c>
      <c r="O683">
        <f>IF($J683="",0,($M683-$L683+IF($A683=2,$H683,0))*$N683)</f>
      </c>
      <c r="P683">
        <f>IF($J683="",0,IF($A683=2,$H683*$N683,0))</f>
      </c>
    </row>
    <row r="684" spans="1:16"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c r="N684">
        <f>IF($E684="SGD",1,IF($E684="USD",Settings!$B$22,IF($E684="HKD",Settings!$B$23,1)))</f>
      </c>
      <c r="O684">
        <f>IF($J684="",0,($M684-$L684+IF($A684=2,$H684,0))*$N684)</f>
      </c>
      <c r="P684">
        <f>IF($J684="",0,IF($A684=2,$H684*$N684,0))</f>
      </c>
    </row>
    <row r="685" spans="1:16"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c r="N685">
        <f>IF($E685="SGD",1,IF($E685="USD",Settings!$B$22,IF($E685="HKD",Settings!$B$23,1)))</f>
      </c>
      <c r="O685">
        <f>IF($J685="",0,($M685-$L685+IF($A685=2,$H685,0))*$N685)</f>
      </c>
      <c r="P685">
        <f>IF($J685="",0,IF($A685=2,$H685*$N685,0))</f>
      </c>
    </row>
    <row r="686" spans="1:16"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c r="N686">
        <f>IF($E686="SGD",1,IF($E686="USD",Settings!$B$22,IF($E686="HKD",Settings!$B$23,1)))</f>
      </c>
      <c r="O686">
        <f>IF($J686="",0,($M686-$L686+IF($A686=2,$H686,0))*$N686)</f>
      </c>
      <c r="P686">
        <f>IF($J686="",0,IF($A686=2,$H686*$N686,0))</f>
      </c>
    </row>
    <row r="687" spans="1:16"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c r="N687">
        <f>IF($E687="SGD",1,IF($E687="USD",Settings!$B$22,IF($E687="HKD",Settings!$B$23,1)))</f>
      </c>
      <c r="O687">
        <f>IF($J687="",0,($M687-$L687+IF($A687=2,$H687,0))*$N687)</f>
      </c>
      <c r="P687">
        <f>IF($J687="",0,IF($A687=2,$H687*$N687,0))</f>
      </c>
    </row>
    <row r="688" spans="1:16"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c r="N688">
        <f>IF($E688="SGD",1,IF($E688="USD",Settings!$B$22,IF($E688="HKD",Settings!$B$23,1)))</f>
      </c>
      <c r="O688">
        <f>IF($J688="",0,($M688-$L688+IF($A688=2,$H688,0))*$N688)</f>
      </c>
      <c r="P688">
        <f>IF($J688="",0,IF($A688=2,$H688*$N688,0))</f>
      </c>
    </row>
    <row r="689" spans="1:16"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c r="N689">
        <f>IF($E689="SGD",1,IF($E689="USD",Settings!$B$22,IF($E689="HKD",Settings!$B$23,1)))</f>
      </c>
      <c r="O689">
        <f>IF($J689="",0,($M689-$L689+IF($A689=2,$H689,0))*$N689)</f>
      </c>
      <c r="P689">
        <f>IF($J689="",0,IF($A689=2,$H689*$N689,0))</f>
      </c>
    </row>
    <row r="690" spans="1:16"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c r="N690">
        <f>IF($E690="SGD",1,IF($E690="USD",Settings!$B$22,IF($E690="HKD",Settings!$B$23,1)))</f>
      </c>
      <c r="O690">
        <f>IF($J690="",0,($M690-$L690+IF($A690=2,$H690,0))*$N690)</f>
      </c>
      <c r="P690">
        <f>IF($J690="",0,IF($A690=2,$H690*$N690,0))</f>
      </c>
    </row>
    <row r="691" spans="1:16"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c r="N691">
        <f>IF($E691="SGD",1,IF($E691="USD",Settings!$B$22,IF($E691="HKD",Settings!$B$23,1)))</f>
      </c>
      <c r="O691">
        <f>IF($J691="",0,($M691-$L691+IF($A691=2,$H691,0))*$N691)</f>
      </c>
      <c r="P691">
        <f>IF($J691="",0,IF($A691=2,$H691*$N691,0))</f>
      </c>
    </row>
    <row r="692" spans="1:16"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c r="N692">
        <f>IF($E692="SGD",1,IF($E692="USD",Settings!$B$22,IF($E692="HKD",Settings!$B$23,1)))</f>
      </c>
      <c r="O692">
        <f>IF($J692="",0,($M692-$L692+IF($A692=2,$H692,0))*$N692)</f>
      </c>
      <c r="P692">
        <f>IF($J692="",0,IF($A692=2,$H692*$N692,0))</f>
      </c>
    </row>
    <row r="693" spans="1:16"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c r="N693">
        <f>IF($E693="SGD",1,IF($E693="USD",Settings!$B$22,IF($E693="HKD",Settings!$B$23,1)))</f>
      </c>
      <c r="O693">
        <f>IF($J693="",0,($M693-$L693+IF($A693=2,$H693,0))*$N693)</f>
      </c>
      <c r="P693">
        <f>IF($J693="",0,IF($A693=2,$H693*$N693,0))</f>
      </c>
    </row>
    <row r="694" spans="1:16"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c r="N694">
        <f>IF($E694="SGD",1,IF($E694="USD",Settings!$B$22,IF($E694="HKD",Settings!$B$23,1)))</f>
      </c>
      <c r="O694">
        <f>IF($J694="",0,($M694-$L694+IF($A694=2,$H694,0))*$N694)</f>
      </c>
      <c r="P694">
        <f>IF($J694="",0,IF($A694=2,$H694*$N694,0))</f>
      </c>
    </row>
    <row r="695" spans="1:16"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c r="N695">
        <f>IF($E695="SGD",1,IF($E695="USD",Settings!$B$22,IF($E695="HKD",Settings!$B$23,1)))</f>
      </c>
      <c r="O695">
        <f>IF($J695="",0,($M695-$L695+IF($A695=2,$H695,0))*$N695)</f>
      </c>
      <c r="P695">
        <f>IF($J695="",0,IF($A695=2,$H695*$N695,0))</f>
      </c>
    </row>
    <row r="696" spans="1:16"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c r="N696">
        <f>IF($E696="SGD",1,IF($E696="USD",Settings!$B$22,IF($E696="HKD",Settings!$B$23,1)))</f>
      </c>
      <c r="O696">
        <f>IF($J696="",0,($M696-$L696+IF($A696=2,$H696,0))*$N696)</f>
      </c>
      <c r="P696">
        <f>IF($J696="",0,IF($A696=2,$H696*$N696,0))</f>
      </c>
    </row>
    <row r="697" spans="1:16"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c r="N697">
        <f>IF($E697="SGD",1,IF($E697="USD",Settings!$B$22,IF($E697="HKD",Settings!$B$23,1)))</f>
      </c>
      <c r="O697">
        <f>IF($J697="",0,($M697-$L697+IF($A697=2,$H697,0))*$N697)</f>
      </c>
      <c r="P697">
        <f>IF($J697="",0,IF($A697=2,$H697*$N697,0))</f>
      </c>
    </row>
    <row r="698" spans="1:16"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c r="N698">
        <f>IF($E698="SGD",1,IF($E698="USD",Settings!$B$22,IF($E698="HKD",Settings!$B$23,1)))</f>
      </c>
      <c r="O698">
        <f>IF($J698="",0,($M698-$L698+IF($A698=2,$H698,0))*$N698)</f>
      </c>
      <c r="P698">
        <f>IF($J698="",0,IF($A698=2,$H698*$N698,0))</f>
      </c>
    </row>
    <row r="699" spans="1:16"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c r="N699">
        <f>IF($E699="SGD",1,IF($E699="USD",Settings!$B$22,IF($E699="HKD",Settings!$B$23,1)))</f>
      </c>
      <c r="O699">
        <f>IF($J699="",0,($M699-$L699+IF($A699=2,$H699,0))*$N699)</f>
      </c>
      <c r="P699">
        <f>IF($J699="",0,IF($A699=2,$H699*$N699,0))</f>
      </c>
    </row>
    <row r="700" spans="1:16"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c r="N700">
        <f>IF($E700="SGD",1,IF($E700="USD",Settings!$B$22,IF($E700="HKD",Settings!$B$23,1)))</f>
      </c>
      <c r="O700">
        <f>IF($J700="",0,($M700-$L700+IF($A700=2,$H700,0))*$N700)</f>
      </c>
      <c r="P700">
        <f>IF($J700="",0,IF($A700=2,$H700*$N700,0))</f>
      </c>
    </row>
    <row r="701" spans="1:16"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c r="N701">
        <f>IF($E701="SGD",1,IF($E701="USD",Settings!$B$22,IF($E701="HKD",Settings!$B$23,1)))</f>
      </c>
      <c r="O701">
        <f>IF($J701="",0,($M701-$L701+IF($A701=2,$H701,0))*$N701)</f>
      </c>
      <c r="P701">
        <f>IF($J701="",0,IF($A701=2,$H701*$N701,0))</f>
      </c>
    </row>
    <row r="702" spans="1:16"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c r="N702">
        <f>IF($E702="SGD",1,IF($E702="USD",Settings!$B$22,IF($E702="HKD",Settings!$B$23,1)))</f>
      </c>
      <c r="O702">
        <f>IF($J702="",0,($M702-$L702+IF($A702=2,$H702,0))*$N702)</f>
      </c>
      <c r="P702">
        <f>IF($J702="",0,IF($A702=2,$H702*$N702,0))</f>
      </c>
    </row>
    <row r="703" spans="1:16"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c r="N703">
        <f>IF($E703="SGD",1,IF($E703="USD",Settings!$B$22,IF($E703="HKD",Settings!$B$23,1)))</f>
      </c>
      <c r="O703">
        <f>IF($J703="",0,($M703-$L703+IF($A703=2,$H703,0))*$N703)</f>
      </c>
      <c r="P703">
        <f>IF($J703="",0,IF($A703=2,$H703*$N703,0))</f>
      </c>
    </row>
    <row r="704" spans="1:16"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c r="N704">
        <f>IF($E704="SGD",1,IF($E704="USD",Settings!$B$22,IF($E704="HKD",Settings!$B$23,1)))</f>
      </c>
      <c r="O704">
        <f>IF($J704="",0,($M704-$L704+IF($A704=2,$H704,0))*$N704)</f>
      </c>
      <c r="P704">
        <f>IF($J704="",0,IF($A704=2,$H704*$N704,0))</f>
      </c>
    </row>
    <row r="705" spans="1:16"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c r="N705">
        <f>IF($E705="SGD",1,IF($E705="USD",Settings!$B$22,IF($E705="HKD",Settings!$B$23,1)))</f>
      </c>
      <c r="O705">
        <f>IF($J705="",0,($M705-$L705+IF($A705=2,$H705,0))*$N705)</f>
      </c>
      <c r="P705">
        <f>IF($J705="",0,IF($A705=2,$H705*$N705,0))</f>
      </c>
    </row>
    <row r="706" spans="1:16"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c r="N706">
        <f>IF($E706="SGD",1,IF($E706="USD",Settings!$B$22,IF($E706="HKD",Settings!$B$23,1)))</f>
      </c>
      <c r="O706">
        <f>IF($J706="",0,($M706-$L706+IF($A706=2,$H706,0))*$N706)</f>
      </c>
      <c r="P706">
        <f>IF($J706="",0,IF($A706=2,$H706*$N706,0))</f>
      </c>
    </row>
    <row r="707" spans="1:16"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c r="N707">
        <f>IF($E707="SGD",1,IF($E707="USD",Settings!$B$22,IF($E707="HKD",Settings!$B$23,1)))</f>
      </c>
      <c r="O707">
        <f>IF($J707="",0,($M707-$L707+IF($A707=2,$H707,0))*$N707)</f>
      </c>
      <c r="P707">
        <f>IF($J707="",0,IF($A707=2,$H707*$N707,0))</f>
      </c>
    </row>
    <row r="708" spans="1:16"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c r="N708">
        <f>IF($E708="SGD",1,IF($E708="USD",Settings!$B$22,IF($E708="HKD",Settings!$B$23,1)))</f>
      </c>
      <c r="O708">
        <f>IF($J708="",0,($M708-$L708+IF($A708=2,$H708,0))*$N708)</f>
      </c>
      <c r="P708">
        <f>IF($J708="",0,IF($A708=2,$H708*$N708,0))</f>
      </c>
    </row>
    <row r="709" spans="1:16"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c r="N709">
        <f>IF($E709="SGD",1,IF($E709="USD",Settings!$B$22,IF($E709="HKD",Settings!$B$23,1)))</f>
      </c>
      <c r="O709">
        <f>IF($J709="",0,($M709-$L709+IF($A709=2,$H709,0))*$N709)</f>
      </c>
      <c r="P709">
        <f>IF($J709="",0,IF($A709=2,$H709*$N709,0))</f>
      </c>
    </row>
    <row r="710" spans="1:16"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c r="N710">
        <f>IF($E710="SGD",1,IF($E710="USD",Settings!$B$22,IF($E710="HKD",Settings!$B$23,1)))</f>
      </c>
      <c r="O710">
        <f>IF($J710="",0,($M710-$L710+IF($A710=2,$H710,0))*$N710)</f>
      </c>
      <c r="P710">
        <f>IF($J710="",0,IF($A710=2,$H710*$N710,0))</f>
      </c>
    </row>
    <row r="711" spans="1:16"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c r="N711">
        <f>IF($E711="SGD",1,IF($E711="USD",Settings!$B$22,IF($E711="HKD",Settings!$B$23,1)))</f>
      </c>
      <c r="O711">
        <f>IF($J711="",0,($M711-$L711+IF($A711=2,$H711,0))*$N711)</f>
      </c>
      <c r="P711">
        <f>IF($J711="",0,IF($A711=2,$H711*$N711,0))</f>
      </c>
    </row>
    <row r="712" spans="1:16"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c r="N712">
        <f>IF($E712="SGD",1,IF($E712="USD",Settings!$B$22,IF($E712="HKD",Settings!$B$23,1)))</f>
      </c>
      <c r="O712">
        <f>IF($J712="",0,($M712-$L712+IF($A712=2,$H712,0))*$N712)</f>
      </c>
      <c r="P712">
        <f>IF($J712="",0,IF($A712=2,$H712*$N712,0))</f>
      </c>
    </row>
    <row r="713" spans="1:16"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c r="N713">
        <f>IF($E713="SGD",1,IF($E713="USD",Settings!$B$22,IF($E713="HKD",Settings!$B$23,1)))</f>
      </c>
      <c r="O713">
        <f>IF($J713="",0,($M713-$L713+IF($A713=2,$H713,0))*$N713)</f>
      </c>
      <c r="P713">
        <f>IF($J713="",0,IF($A713=2,$H713*$N713,0))</f>
      </c>
    </row>
    <row r="714" spans="1:16"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c r="N714">
        <f>IF($E714="SGD",1,IF($E714="USD",Settings!$B$22,IF($E714="HKD",Settings!$B$23,1)))</f>
      </c>
      <c r="O714">
        <f>IF($J714="",0,($M714-$L714+IF($A714=2,$H714,0))*$N714)</f>
      </c>
      <c r="P714">
        <f>IF($J714="",0,IF($A714=2,$H714*$N714,0))</f>
      </c>
    </row>
    <row r="715" spans="1:16"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c r="N715">
        <f>IF($E715="SGD",1,IF($E715="USD",Settings!$B$22,IF($E715="HKD",Settings!$B$23,1)))</f>
      </c>
      <c r="O715">
        <f>IF($J715="",0,($M715-$L715+IF($A715=2,$H715,0))*$N715)</f>
      </c>
      <c r="P715">
        <f>IF($J715="",0,IF($A715=2,$H715*$N715,0))</f>
      </c>
    </row>
    <row r="716" spans="1:16"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c r="N716">
        <f>IF($E716="SGD",1,IF($E716="USD",Settings!$B$22,IF($E716="HKD",Settings!$B$23,1)))</f>
      </c>
      <c r="O716">
        <f>IF($J716="",0,($M716-$L716+IF($A716=2,$H716,0))*$N716)</f>
      </c>
      <c r="P716">
        <f>IF($J716="",0,IF($A716=2,$H716*$N716,0))</f>
      </c>
    </row>
    <row r="717" spans="1:16"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c r="N717">
        <f>IF($E717="SGD",1,IF($E717="USD",Settings!$B$22,IF($E717="HKD",Settings!$B$23,1)))</f>
      </c>
      <c r="O717">
        <f>IF($J717="",0,($M717-$L717+IF($A717=2,$H717,0))*$N717)</f>
      </c>
      <c r="P717">
        <f>IF($J717="",0,IF($A717=2,$H717*$N717,0))</f>
      </c>
    </row>
    <row r="718" spans="1:16"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c r="N718">
        <f>IF($E718="SGD",1,IF($E718="USD",Settings!$B$22,IF($E718="HKD",Settings!$B$23,1)))</f>
      </c>
      <c r="O718">
        <f>IF($J718="",0,($M718-$L718+IF($A718=2,$H718,0))*$N718)</f>
      </c>
      <c r="P718">
        <f>IF($J718="",0,IF($A718=2,$H718*$N718,0))</f>
      </c>
    </row>
    <row r="719" spans="1:16"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c r="N719">
        <f>IF($E719="SGD",1,IF($E719="USD",Settings!$B$22,IF($E719="HKD",Settings!$B$23,1)))</f>
      </c>
      <c r="O719">
        <f>IF($J719="",0,($M719-$L719+IF($A719=2,$H719,0))*$N719)</f>
      </c>
      <c r="P719">
        <f>IF($J719="",0,IF($A719=2,$H719*$N719,0))</f>
      </c>
    </row>
    <row r="720" spans="1:16"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c r="N720">
        <f>IF($E720="SGD",1,IF($E720="USD",Settings!$B$22,IF($E720="HKD",Settings!$B$23,1)))</f>
      </c>
      <c r="O720">
        <f>IF($J720="",0,($M720-$L720+IF($A720=2,$H720,0))*$N720)</f>
      </c>
      <c r="P720">
        <f>IF($J720="",0,IF($A720=2,$H720*$N720,0))</f>
      </c>
    </row>
    <row r="721" spans="1:16"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c r="N721">
        <f>IF($E721="SGD",1,IF($E721="USD",Settings!$B$22,IF($E721="HKD",Settings!$B$23,1)))</f>
      </c>
      <c r="O721">
        <f>IF($J721="",0,($M721-$L721+IF($A721=2,$H721,0))*$N721)</f>
      </c>
      <c r="P721">
        <f>IF($J721="",0,IF($A721=2,$H721*$N721,0))</f>
      </c>
    </row>
    <row r="722" spans="1:16"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c r="N722">
        <f>IF($E722="SGD",1,IF($E722="USD",Settings!$B$22,IF($E722="HKD",Settings!$B$23,1)))</f>
      </c>
      <c r="O722">
        <f>IF($J722="",0,($M722-$L722+IF($A722=2,$H722,0))*$N722)</f>
      </c>
      <c r="P722">
        <f>IF($J722="",0,IF($A722=2,$H722*$N722,0))</f>
      </c>
    </row>
    <row r="723" spans="1:16"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c r="N723">
        <f>IF($E723="SGD",1,IF($E723="USD",Settings!$B$22,IF($E723="HKD",Settings!$B$23,1)))</f>
      </c>
      <c r="O723">
        <f>IF($J723="",0,($M723-$L723+IF($A723=2,$H723,0))*$N723)</f>
      </c>
      <c r="P723">
        <f>IF($J723="",0,IF($A723=2,$H723*$N723,0))</f>
      </c>
    </row>
    <row r="724" spans="1:16"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c r="N724">
        <f>IF($E724="SGD",1,IF($E724="USD",Settings!$B$22,IF($E724="HKD",Settings!$B$23,1)))</f>
      </c>
      <c r="O724">
        <f>IF($J724="",0,($M724-$L724+IF($A724=2,$H724,0))*$N724)</f>
      </c>
      <c r="P724">
        <f>IF($J724="",0,IF($A724=2,$H724*$N724,0))</f>
      </c>
    </row>
    <row r="725" spans="1:16"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c r="N725">
        <f>IF($E725="SGD",1,IF($E725="USD",Settings!$B$22,IF($E725="HKD",Settings!$B$23,1)))</f>
      </c>
      <c r="O725">
        <f>IF($J725="",0,($M725-$L725+IF($A725=2,$H725,0))*$N725)</f>
      </c>
      <c r="P725">
        <f>IF($J725="",0,IF($A725=2,$H725*$N725,0))</f>
      </c>
    </row>
    <row r="726" spans="1:16"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c r="N726">
        <f>IF($E726="SGD",1,IF($E726="USD",Settings!$B$22,IF($E726="HKD",Settings!$B$23,1)))</f>
      </c>
      <c r="O726">
        <f>IF($J726="",0,($M726-$L726+IF($A726=2,$H726,0))*$N726)</f>
      </c>
      <c r="P726">
        <f>IF($J726="",0,IF($A726=2,$H726*$N726,0))</f>
      </c>
    </row>
    <row r="727" spans="1:16"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c r="N727">
        <f>IF($E727="SGD",1,IF($E727="USD",Settings!$B$22,IF($E727="HKD",Settings!$B$23,1)))</f>
      </c>
      <c r="O727">
        <f>IF($J727="",0,($M727-$L727+IF($A727=2,$H727,0))*$N727)</f>
      </c>
      <c r="P727">
        <f>IF($J727="",0,IF($A727=2,$H727*$N727,0))</f>
      </c>
    </row>
    <row r="728" spans="1:16"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c r="N728">
        <f>IF($E728="SGD",1,IF($E728="USD",Settings!$B$22,IF($E728="HKD",Settings!$B$23,1)))</f>
      </c>
      <c r="O728">
        <f>IF($J728="",0,($M728-$L728+IF($A728=2,$H728,0))*$N728)</f>
      </c>
      <c r="P728">
        <f>IF($J728="",0,IF($A728=2,$H728*$N728,0))</f>
      </c>
    </row>
    <row r="729" spans="1:16"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c r="N729">
        <f>IF($E729="SGD",1,IF($E729="USD",Settings!$B$22,IF($E729="HKD",Settings!$B$23,1)))</f>
      </c>
      <c r="O729">
        <f>IF($J729="",0,($M729-$L729+IF($A729=2,$H729,0))*$N729)</f>
      </c>
      <c r="P729">
        <f>IF($J729="",0,IF($A729=2,$H729*$N729,0))</f>
      </c>
    </row>
    <row r="730" spans="1:16"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c r="N730">
        <f>IF($E730="SGD",1,IF($E730="USD",Settings!$B$22,IF($E730="HKD",Settings!$B$23,1)))</f>
      </c>
      <c r="O730">
        <f>IF($J730="",0,($M730-$L730+IF($A730=2,$H730,0))*$N730)</f>
      </c>
      <c r="P730">
        <f>IF($J730="",0,IF($A730=2,$H730*$N730,0))</f>
      </c>
    </row>
    <row r="731" spans="1:16"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c r="N731">
        <f>IF($E731="SGD",1,IF($E731="USD",Settings!$B$22,IF($E731="HKD",Settings!$B$23,1)))</f>
      </c>
      <c r="O731">
        <f>IF($J731="",0,($M731-$L731+IF($A731=2,$H731,0))*$N731)</f>
      </c>
      <c r="P731">
        <f>IF($J731="",0,IF($A731=2,$H731*$N731,0))</f>
      </c>
    </row>
    <row r="732" spans="1:16"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c r="N732">
        <f>IF($E732="SGD",1,IF($E732="USD",Settings!$B$22,IF($E732="HKD",Settings!$B$23,1)))</f>
      </c>
      <c r="O732">
        <f>IF($J732="",0,($M732-$L732+IF($A732=2,$H732,0))*$N732)</f>
      </c>
      <c r="P732">
        <f>IF($J732="",0,IF($A732=2,$H732*$N732,0))</f>
      </c>
    </row>
    <row r="733" spans="1:16"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c r="N733">
        <f>IF($E733="SGD",1,IF($E733="USD",Settings!$B$22,IF($E733="HKD",Settings!$B$23,1)))</f>
      </c>
      <c r="O733">
        <f>IF($J733="",0,($M733-$L733+IF($A733=2,$H733,0))*$N733)</f>
      </c>
      <c r="P733">
        <f>IF($J733="",0,IF($A733=2,$H733*$N733,0))</f>
      </c>
    </row>
    <row r="734" spans="1:16"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c r="N734">
        <f>IF($E734="SGD",1,IF($E734="USD",Settings!$B$22,IF($E734="HKD",Settings!$B$23,1)))</f>
      </c>
      <c r="O734">
        <f>IF($J734="",0,($M734-$L734+IF($A734=2,$H734,0))*$N734)</f>
      </c>
      <c r="P734">
        <f>IF($J734="",0,IF($A734=2,$H734*$N734,0))</f>
      </c>
    </row>
    <row r="735" spans="1:16"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c r="N735">
        <f>IF($E735="SGD",1,IF($E735="USD",Settings!$B$22,IF($E735="HKD",Settings!$B$23,1)))</f>
      </c>
      <c r="O735">
        <f>IF($J735="",0,($M735-$L735+IF($A735=2,$H735,0))*$N735)</f>
      </c>
      <c r="P735">
        <f>IF($J735="",0,IF($A735=2,$H735*$N735,0))</f>
      </c>
    </row>
    <row r="736" spans="1:16"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c r="N736">
        <f>IF($E736="SGD",1,IF($E736="USD",Settings!$B$22,IF($E736="HKD",Settings!$B$23,1)))</f>
      </c>
      <c r="O736">
        <f>IF($J736="",0,($M736-$L736+IF($A736=2,$H736,0))*$N736)</f>
      </c>
      <c r="P736">
        <f>IF($J736="",0,IF($A736=2,$H736*$N736,0))</f>
      </c>
    </row>
    <row r="737" spans="1:16"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c r="N737">
        <f>IF($E737="SGD",1,IF($E737="USD",Settings!$B$22,IF($E737="HKD",Settings!$B$23,1)))</f>
      </c>
      <c r="O737">
        <f>IF($J737="",0,($M737-$L737+IF($A737=2,$H737,0))*$N737)</f>
      </c>
      <c r="P737">
        <f>IF($J737="",0,IF($A737=2,$H737*$N737,0))</f>
      </c>
    </row>
    <row r="738" spans="1:16"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c r="N738">
        <f>IF($E738="SGD",1,IF($E738="USD",Settings!$B$22,IF($E738="HKD",Settings!$B$23,1)))</f>
      </c>
      <c r="O738">
        <f>IF($J738="",0,($M738-$L738+IF($A738=2,$H738,0))*$N738)</f>
      </c>
      <c r="P738">
        <f>IF($J738="",0,IF($A738=2,$H738*$N738,0))</f>
      </c>
    </row>
    <row r="739" spans="1:16"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c r="N739">
        <f>IF($E739="SGD",1,IF($E739="USD",Settings!$B$22,IF($E739="HKD",Settings!$B$23,1)))</f>
      </c>
      <c r="O739">
        <f>IF($J739="",0,($M739-$L739+IF($A739=2,$H739,0))*$N739)</f>
      </c>
      <c r="P739">
        <f>IF($J739="",0,IF($A739=2,$H739*$N739,0))</f>
      </c>
    </row>
    <row r="740" spans="1:16"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c r="N740">
        <f>IF($E740="SGD",1,IF($E740="USD",Settings!$B$22,IF($E740="HKD",Settings!$B$23,1)))</f>
      </c>
      <c r="O740">
        <f>IF($J740="",0,($M740-$L740+IF($A740=2,$H740,0))*$N740)</f>
      </c>
      <c r="P740">
        <f>IF($J740="",0,IF($A740=2,$H740*$N740,0))</f>
      </c>
    </row>
    <row r="741" spans="1:16"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c r="N741">
        <f>IF($E741="SGD",1,IF($E741="USD",Settings!$B$22,IF($E741="HKD",Settings!$B$23,1)))</f>
      </c>
      <c r="O741">
        <f>IF($J741="",0,($M741-$L741+IF($A741=2,$H741,0))*$N741)</f>
      </c>
      <c r="P741">
        <f>IF($J741="",0,IF($A741=2,$H741*$N741,0))</f>
      </c>
    </row>
    <row r="742" spans="1:16"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c r="N742">
        <f>IF($E742="SGD",1,IF($E742="USD",Settings!$B$22,IF($E742="HKD",Settings!$B$23,1)))</f>
      </c>
      <c r="O742">
        <f>IF($J742="",0,($M742-$L742+IF($A742=2,$H742,0))*$N742)</f>
      </c>
      <c r="P742">
        <f>IF($J742="",0,IF($A742=2,$H742*$N742,0))</f>
      </c>
    </row>
    <row r="743" spans="1:16"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c r="N743">
        <f>IF($E743="SGD",1,IF($E743="USD",Settings!$B$22,IF($E743="HKD",Settings!$B$23,1)))</f>
      </c>
      <c r="O743">
        <f>IF($J743="",0,($M743-$L743+IF($A743=2,$H743,0))*$N743)</f>
      </c>
      <c r="P743">
        <f>IF($J743="",0,IF($A743=2,$H743*$N743,0))</f>
      </c>
    </row>
    <row r="744" spans="1:16"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c r="N744">
        <f>IF($E744="SGD",1,IF($E744="USD",Settings!$B$22,IF($E744="HKD",Settings!$B$23,1)))</f>
      </c>
      <c r="O744">
        <f>IF($J744="",0,($M744-$L744+IF($A744=2,$H744,0))*$N744)</f>
      </c>
      <c r="P744">
        <f>IF($J744="",0,IF($A744=2,$H744*$N744,0))</f>
      </c>
    </row>
    <row r="745" spans="1:16"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c r="N745">
        <f>IF($E745="SGD",1,IF($E745="USD",Settings!$B$22,IF($E745="HKD",Settings!$B$23,1)))</f>
      </c>
      <c r="O745">
        <f>IF($J745="",0,($M745-$L745+IF($A745=2,$H745,0))*$N745)</f>
      </c>
      <c r="P745">
        <f>IF($J745="",0,IF($A745=2,$H745*$N745,0))</f>
      </c>
    </row>
    <row r="746" spans="1:16"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c r="N746">
        <f>IF($E746="SGD",1,IF($E746="USD",Settings!$B$22,IF($E746="HKD",Settings!$B$23,1)))</f>
      </c>
      <c r="O746">
        <f>IF($J746="",0,($M746-$L746+IF($A746=2,$H746,0))*$N746)</f>
      </c>
      <c r="P746">
        <f>IF($J746="",0,IF($A746=2,$H746*$N746,0))</f>
      </c>
    </row>
    <row r="747" spans="1:16"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c r="N747">
        <f>IF($E747="SGD",1,IF($E747="USD",Settings!$B$22,IF($E747="HKD",Settings!$B$23,1)))</f>
      </c>
      <c r="O747">
        <f>IF($J747="",0,($M747-$L747+IF($A747=2,$H747,0))*$N747)</f>
      </c>
      <c r="P747">
        <f>IF($J747="",0,IF($A747=2,$H747*$N747,0))</f>
      </c>
    </row>
    <row r="748" spans="1:16"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c r="N748">
        <f>IF($E748="SGD",1,IF($E748="USD",Settings!$B$22,IF($E748="HKD",Settings!$B$23,1)))</f>
      </c>
      <c r="O748">
        <f>IF($J748="",0,($M748-$L748+IF($A748=2,$H748,0))*$N748)</f>
      </c>
      <c r="P748">
        <f>IF($J748="",0,IF($A748=2,$H748*$N748,0))</f>
      </c>
    </row>
    <row r="749" spans="1:16"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c r="N749">
        <f>IF($E749="SGD",1,IF($E749="USD",Settings!$B$22,IF($E749="HKD",Settings!$B$23,1)))</f>
      </c>
      <c r="O749">
        <f>IF($J749="",0,($M749-$L749+IF($A749=2,$H749,0))*$N749)</f>
      </c>
      <c r="P749">
        <f>IF($J749="",0,IF($A749=2,$H749*$N749,0))</f>
      </c>
    </row>
    <row r="750" spans="1:16"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c r="N750">
        <f>IF($E750="SGD",1,IF($E750="USD",Settings!$B$22,IF($E750="HKD",Settings!$B$23,1)))</f>
      </c>
      <c r="O750">
        <f>IF($J750="",0,($M750-$L750+IF($A750=2,$H750,0))*$N750)</f>
      </c>
      <c r="P750">
        <f>IF($J750="",0,IF($A750=2,$H750*$N750,0))</f>
      </c>
    </row>
    <row r="751" spans="1:16"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c r="N751">
        <f>IF($E751="SGD",1,IF($E751="USD",Settings!$B$22,IF($E751="HKD",Settings!$B$23,1)))</f>
      </c>
      <c r="O751">
        <f>IF($J751="",0,($M751-$L751+IF($A751=2,$H751,0))*$N751)</f>
      </c>
      <c r="P751">
        <f>IF($J751="",0,IF($A751=2,$H751*$N751,0))</f>
      </c>
    </row>
    <row r="752" spans="1:16"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c r="N752">
        <f>IF($E752="SGD",1,IF($E752="USD",Settings!$B$22,IF($E752="HKD",Settings!$B$23,1)))</f>
      </c>
      <c r="O752">
        <f>IF($J752="",0,($M752-$L752+IF($A752=2,$H752,0))*$N752)</f>
      </c>
      <c r="P752">
        <f>IF($J752="",0,IF($A752=2,$H752*$N752,0))</f>
      </c>
    </row>
    <row r="753" spans="1:16"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c r="N753">
        <f>IF($E753="SGD",1,IF($E753="USD",Settings!$B$22,IF($E753="HKD",Settings!$B$23,1)))</f>
      </c>
      <c r="O753">
        <f>IF($J753="",0,($M753-$L753+IF($A753=2,$H753,0))*$N753)</f>
      </c>
      <c r="P753">
        <f>IF($J753="",0,IF($A753=2,$H753*$N753,0))</f>
      </c>
    </row>
    <row r="754" spans="1:16"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c r="N754">
        <f>IF($E754="SGD",1,IF($E754="USD",Settings!$B$22,IF($E754="HKD",Settings!$B$23,1)))</f>
      </c>
      <c r="O754">
        <f>IF($J754="",0,($M754-$L754+IF($A754=2,$H754,0))*$N754)</f>
      </c>
      <c r="P754">
        <f>IF($J754="",0,IF($A754=2,$H754*$N754,0))</f>
      </c>
    </row>
    <row r="755" spans="1:16"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c r="N755">
        <f>IF($E755="SGD",1,IF($E755="USD",Settings!$B$22,IF($E755="HKD",Settings!$B$23,1)))</f>
      </c>
      <c r="O755">
        <f>IF($J755="",0,($M755-$L755+IF($A755=2,$H755,0))*$N755)</f>
      </c>
      <c r="P755">
        <f>IF($J755="",0,IF($A755=2,$H755*$N755,0))</f>
      </c>
    </row>
    <row r="756" spans="1:16"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c r="N756">
        <f>IF($E756="SGD",1,IF($E756="USD",Settings!$B$22,IF($E756="HKD",Settings!$B$23,1)))</f>
      </c>
      <c r="O756">
        <f>IF($J756="",0,($M756-$L756+IF($A756=2,$H756,0))*$N756)</f>
      </c>
      <c r="P756">
        <f>IF($J756="",0,IF($A756=2,$H756*$N756,0))</f>
      </c>
    </row>
    <row r="757" spans="1:16"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c r="N757">
        <f>IF($E757="SGD",1,IF($E757="USD",Settings!$B$22,IF($E757="HKD",Settings!$B$23,1)))</f>
      </c>
      <c r="O757">
        <f>IF($J757="",0,($M757-$L757+IF($A757=2,$H757,0))*$N757)</f>
      </c>
      <c r="P757">
        <f>IF($J757="",0,IF($A757=2,$H757*$N757,0))</f>
      </c>
    </row>
    <row r="758" spans="1:16"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c r="N758">
        <f>IF($E758="SGD",1,IF($E758="USD",Settings!$B$22,IF($E758="HKD",Settings!$B$23,1)))</f>
      </c>
      <c r="O758">
        <f>IF($J758="",0,($M758-$L758+IF($A758=2,$H758,0))*$N758)</f>
      </c>
      <c r="P758">
        <f>IF($J758="",0,IF($A758=2,$H758*$N758,0))</f>
      </c>
    </row>
    <row r="759" spans="1:16"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c r="N759">
        <f>IF($E759="SGD",1,IF($E759="USD",Settings!$B$22,IF($E759="HKD",Settings!$B$23,1)))</f>
      </c>
      <c r="O759">
        <f>IF($J759="",0,($M759-$L759+IF($A759=2,$H759,0))*$N759)</f>
      </c>
      <c r="P759">
        <f>IF($J759="",0,IF($A759=2,$H759*$N759,0))</f>
      </c>
    </row>
    <row r="760" spans="1:16"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c r="N760">
        <f>IF($E760="SGD",1,IF($E760="USD",Settings!$B$22,IF($E760="HKD",Settings!$B$23,1)))</f>
      </c>
      <c r="O760">
        <f>IF($J760="",0,($M760-$L760+IF($A760=2,$H760,0))*$N760)</f>
      </c>
      <c r="P760">
        <f>IF($J760="",0,IF($A760=2,$H760*$N760,0))</f>
      </c>
    </row>
    <row r="761" spans="1:16"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c r="N761">
        <f>IF($E761="SGD",1,IF($E761="USD",Settings!$B$22,IF($E761="HKD",Settings!$B$23,1)))</f>
      </c>
      <c r="O761">
        <f>IF($J761="",0,($M761-$L761+IF($A761=2,$H761,0))*$N761)</f>
      </c>
      <c r="P761">
        <f>IF($J761="",0,IF($A761=2,$H761*$N761,0))</f>
      </c>
    </row>
    <row r="762" spans="1:16"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c r="N762">
        <f>IF($E762="SGD",1,IF($E762="USD",Settings!$B$22,IF($E762="HKD",Settings!$B$23,1)))</f>
      </c>
      <c r="O762">
        <f>IF($J762="",0,($M762-$L762+IF($A762=2,$H762,0))*$N762)</f>
      </c>
      <c r="P762">
        <f>IF($J762="",0,IF($A762=2,$H762*$N762,0))</f>
      </c>
    </row>
    <row r="763" spans="1:16"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c r="N763">
        <f>IF($E763="SGD",1,IF($E763="USD",Settings!$B$22,IF($E763="HKD",Settings!$B$23,1)))</f>
      </c>
      <c r="O763">
        <f>IF($J763="",0,($M763-$L763+IF($A763=2,$H763,0))*$N763)</f>
      </c>
      <c r="P763">
        <f>IF($J763="",0,IF($A763=2,$H763*$N763,0))</f>
      </c>
    </row>
    <row r="764" spans="1:16"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c r="N764">
        <f>IF($E764="SGD",1,IF($E764="USD",Settings!$B$22,IF($E764="HKD",Settings!$B$23,1)))</f>
      </c>
      <c r="O764">
        <f>IF($J764="",0,($M764-$L764+IF($A764=2,$H764,0))*$N764)</f>
      </c>
      <c r="P764">
        <f>IF($J764="",0,IF($A764=2,$H764*$N764,0))</f>
      </c>
    </row>
    <row r="765" spans="1:16"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c r="N765">
        <f>IF($E765="SGD",1,IF($E765="USD",Settings!$B$22,IF($E765="HKD",Settings!$B$23,1)))</f>
      </c>
      <c r="O765">
        <f>IF($J765="",0,($M765-$L765+IF($A765=2,$H765,0))*$N765)</f>
      </c>
      <c r="P765">
        <f>IF($J765="",0,IF($A765=2,$H765*$N765,0))</f>
      </c>
    </row>
    <row r="766" spans="1:16"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c r="N766">
        <f>IF($E766="SGD",1,IF($E766="USD",Settings!$B$22,IF($E766="HKD",Settings!$B$23,1)))</f>
      </c>
      <c r="O766">
        <f>IF($J766="",0,($M766-$L766+IF($A766=2,$H766,0))*$N766)</f>
      </c>
      <c r="P766">
        <f>IF($J766="",0,IF($A766=2,$H766*$N766,0))</f>
      </c>
    </row>
    <row r="767" spans="1:16"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c r="N767">
        <f>IF($E767="SGD",1,IF($E767="USD",Settings!$B$22,IF($E767="HKD",Settings!$B$23,1)))</f>
      </c>
      <c r="O767">
        <f>IF($J767="",0,($M767-$L767+IF($A767=2,$H767,0))*$N767)</f>
      </c>
      <c r="P767">
        <f>IF($J767="",0,IF($A767=2,$H767*$N767,0))</f>
      </c>
    </row>
    <row r="768" spans="1:16"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c r="N768">
        <f>IF($E768="SGD",1,IF($E768="USD",Settings!$B$22,IF($E768="HKD",Settings!$B$23,1)))</f>
      </c>
      <c r="O768">
        <f>IF($J768="",0,($M768-$L768+IF($A768=2,$H768,0))*$N768)</f>
      </c>
      <c r="P768">
        <f>IF($J768="",0,IF($A768=2,$H768*$N768,0))</f>
      </c>
    </row>
    <row r="769" spans="1:16"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c r="N769">
        <f>IF($E769="SGD",1,IF($E769="USD",Settings!$B$22,IF($E769="HKD",Settings!$B$23,1)))</f>
      </c>
      <c r="O769">
        <f>IF($J769="",0,($M769-$L769+IF($A769=2,$H769,0))*$N769)</f>
      </c>
      <c r="P769">
        <f>IF($J769="",0,IF($A769=2,$H769*$N769,0))</f>
      </c>
    </row>
    <row r="770" spans="1:16"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c r="N770">
        <f>IF($E770="SGD",1,IF($E770="USD",Settings!$B$22,IF($E770="HKD",Settings!$B$23,1)))</f>
      </c>
      <c r="O770">
        <f>IF($J770="",0,($M770-$L770+IF($A770=2,$H770,0))*$N770)</f>
      </c>
      <c r="P770">
        <f>IF($J770="",0,IF($A770=2,$H770*$N770,0))</f>
      </c>
    </row>
    <row r="771" spans="1:16"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c r="N771">
        <f>IF($E771="SGD",1,IF($E771="USD",Settings!$B$22,IF($E771="HKD",Settings!$B$23,1)))</f>
      </c>
      <c r="O771">
        <f>IF($J771="",0,($M771-$L771+IF($A771=2,$H771,0))*$N771)</f>
      </c>
      <c r="P771">
        <f>IF($J771="",0,IF($A771=2,$H771*$N771,0))</f>
      </c>
    </row>
    <row r="772" spans="1:16"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c r="N772">
        <f>IF($E772="SGD",1,IF($E772="USD",Settings!$B$22,IF($E772="HKD",Settings!$B$23,1)))</f>
      </c>
      <c r="O772">
        <f>IF($J772="",0,($M772-$L772+IF($A772=2,$H772,0))*$N772)</f>
      </c>
      <c r="P772">
        <f>IF($J772="",0,IF($A772=2,$H772*$N772,0))</f>
      </c>
    </row>
    <row r="773" spans="1:16"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c r="N773">
        <f>IF($E773="SGD",1,IF($E773="USD",Settings!$B$22,IF($E773="HKD",Settings!$B$23,1)))</f>
      </c>
      <c r="O773">
        <f>IF($J773="",0,($M773-$L773+IF($A773=2,$H773,0))*$N773)</f>
      </c>
      <c r="P773">
        <f>IF($J773="",0,IF($A773=2,$H773*$N773,0))</f>
      </c>
    </row>
    <row r="774" spans="1:16"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c r="N774">
        <f>IF($E774="SGD",1,IF($E774="USD",Settings!$B$22,IF($E774="HKD",Settings!$B$23,1)))</f>
      </c>
      <c r="O774">
        <f>IF($J774="",0,($M774-$L774+IF($A774=2,$H774,0))*$N774)</f>
      </c>
      <c r="P774">
        <f>IF($J774="",0,IF($A774=2,$H774*$N774,0))</f>
      </c>
    </row>
    <row r="775" spans="1:16"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c r="N775">
        <f>IF($E775="SGD",1,IF($E775="USD",Settings!$B$22,IF($E775="HKD",Settings!$B$23,1)))</f>
      </c>
      <c r="O775">
        <f>IF($J775="",0,($M775-$L775+IF($A775=2,$H775,0))*$N775)</f>
      </c>
      <c r="P775">
        <f>IF($J775="",0,IF($A775=2,$H775*$N775,0))</f>
      </c>
    </row>
    <row r="776" spans="1:16"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c r="N776">
        <f>IF($E776="SGD",1,IF($E776="USD",Settings!$B$22,IF($E776="HKD",Settings!$B$23,1)))</f>
      </c>
      <c r="O776">
        <f>IF($J776="",0,($M776-$L776+IF($A776=2,$H776,0))*$N776)</f>
      </c>
      <c r="P776">
        <f>IF($J776="",0,IF($A776=2,$H776*$N776,0))</f>
      </c>
    </row>
    <row r="777" spans="1:16"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c r="N777">
        <f>IF($E777="SGD",1,IF($E777="USD",Settings!$B$22,IF($E777="HKD",Settings!$B$23,1)))</f>
      </c>
      <c r="O777">
        <f>IF($J777="",0,($M777-$L777+IF($A777=2,$H777,0))*$N777)</f>
      </c>
      <c r="P777">
        <f>IF($J777="",0,IF($A777=2,$H777*$N777,0))</f>
      </c>
    </row>
    <row r="778" spans="1:16"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c r="N778">
        <f>IF($E778="SGD",1,IF($E778="USD",Settings!$B$22,IF($E778="HKD",Settings!$B$23,1)))</f>
      </c>
      <c r="O778">
        <f>IF($J778="",0,($M778-$L778+IF($A778=2,$H778,0))*$N778)</f>
      </c>
      <c r="P778">
        <f>IF($J778="",0,IF($A778=2,$H778*$N778,0))</f>
      </c>
    </row>
    <row r="779" spans="1:16"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c r="N779">
        <f>IF($E779="SGD",1,IF($E779="USD",Settings!$B$22,IF($E779="HKD",Settings!$B$23,1)))</f>
      </c>
      <c r="O779">
        <f>IF($J779="",0,($M779-$L779+IF($A779=2,$H779,0))*$N779)</f>
      </c>
      <c r="P779">
        <f>IF($J779="",0,IF($A779=2,$H779*$N779,0))</f>
      </c>
    </row>
    <row r="780" spans="1:16"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c r="N780">
        <f>IF($E780="SGD",1,IF($E780="USD",Settings!$B$22,IF($E780="HKD",Settings!$B$23,1)))</f>
      </c>
      <c r="O780">
        <f>IF($J780="",0,($M780-$L780+IF($A780=2,$H780,0))*$N780)</f>
      </c>
      <c r="P780">
        <f>IF($J780="",0,IF($A780=2,$H780*$N780,0))</f>
      </c>
    </row>
    <row r="781" spans="1:16"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c r="N781">
        <f>IF($E781="SGD",1,IF($E781="USD",Settings!$B$22,IF($E781="HKD",Settings!$B$23,1)))</f>
      </c>
      <c r="O781">
        <f>IF($J781="",0,($M781-$L781+IF($A781=2,$H781,0))*$N781)</f>
      </c>
      <c r="P781">
        <f>IF($J781="",0,IF($A781=2,$H781*$N781,0))</f>
      </c>
    </row>
    <row r="782" spans="1:16"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c r="N782">
        <f>IF($E782="SGD",1,IF($E782="USD",Settings!$B$22,IF($E782="HKD",Settings!$B$23,1)))</f>
      </c>
      <c r="O782">
        <f>IF($J782="",0,($M782-$L782+IF($A782=2,$H782,0))*$N782)</f>
      </c>
      <c r="P782">
        <f>IF($J782="",0,IF($A782=2,$H782*$N782,0))</f>
      </c>
    </row>
    <row r="783" spans="1:16"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c r="N783">
        <f>IF($E783="SGD",1,IF($E783="USD",Settings!$B$22,IF($E783="HKD",Settings!$B$23,1)))</f>
      </c>
      <c r="O783">
        <f>IF($J783="",0,($M783-$L783+IF($A783=2,$H783,0))*$N783)</f>
      </c>
      <c r="P783">
        <f>IF($J783="",0,IF($A783=2,$H783*$N783,0))</f>
      </c>
    </row>
    <row r="784" spans="1:16"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c r="N784">
        <f>IF($E784="SGD",1,IF($E784="USD",Settings!$B$22,IF($E784="HKD",Settings!$B$23,1)))</f>
      </c>
      <c r="O784">
        <f>IF($J784="",0,($M784-$L784+IF($A784=2,$H784,0))*$N784)</f>
      </c>
      <c r="P784">
        <f>IF($J784="",0,IF($A784=2,$H784*$N784,0))</f>
      </c>
    </row>
    <row r="785" spans="1:16"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c r="N785">
        <f>IF($E785="SGD",1,IF($E785="USD",Settings!$B$22,IF($E785="HKD",Settings!$B$23,1)))</f>
      </c>
      <c r="O785">
        <f>IF($J785="",0,($M785-$L785+IF($A785=2,$H785,0))*$N785)</f>
      </c>
      <c r="P785">
        <f>IF($J785="",0,IF($A785=2,$H785*$N785,0))</f>
      </c>
    </row>
    <row r="786" spans="1:16"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c r="N786">
        <f>IF($E786="SGD",1,IF($E786="USD",Settings!$B$22,IF($E786="HKD",Settings!$B$23,1)))</f>
      </c>
      <c r="O786">
        <f>IF($J786="",0,($M786-$L786+IF($A786=2,$H786,0))*$N786)</f>
      </c>
      <c r="P786">
        <f>IF($J786="",0,IF($A786=2,$H786*$N786,0))</f>
      </c>
    </row>
    <row r="787" spans="1:16"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c r="N787">
        <f>IF($E787="SGD",1,IF($E787="USD",Settings!$B$22,IF($E787="HKD",Settings!$B$23,1)))</f>
      </c>
      <c r="O787">
        <f>IF($J787="",0,($M787-$L787+IF($A787=2,$H787,0))*$N787)</f>
      </c>
      <c r="P787">
        <f>IF($J787="",0,IF($A787=2,$H787*$N787,0))</f>
      </c>
    </row>
    <row r="788" spans="1:16"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c r="N788">
        <f>IF($E788="SGD",1,IF($E788="USD",Settings!$B$22,IF($E788="HKD",Settings!$B$23,1)))</f>
      </c>
      <c r="O788">
        <f>IF($J788="",0,($M788-$L788+IF($A788=2,$H788,0))*$N788)</f>
      </c>
      <c r="P788">
        <f>IF($J788="",0,IF($A788=2,$H788*$N788,0))</f>
      </c>
    </row>
    <row r="789" spans="1:16"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c r="N789">
        <f>IF($E789="SGD",1,IF($E789="USD",Settings!$B$22,IF($E789="HKD",Settings!$B$23,1)))</f>
      </c>
      <c r="O789">
        <f>IF($J789="",0,($M789-$L789+IF($A789=2,$H789,0))*$N789)</f>
      </c>
      <c r="P789">
        <f>IF($J789="",0,IF($A789=2,$H789*$N789,0))</f>
      </c>
    </row>
    <row r="790" spans="1:16"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c r="N790">
        <f>IF($E790="SGD",1,IF($E790="USD",Settings!$B$22,IF($E790="HKD",Settings!$B$23,1)))</f>
      </c>
      <c r="O790">
        <f>IF($J790="",0,($M790-$L790+IF($A790=2,$H790,0))*$N790)</f>
      </c>
      <c r="P790">
        <f>IF($J790="",0,IF($A790=2,$H790*$N790,0))</f>
      </c>
    </row>
    <row r="791" spans="1:16"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c r="N791">
        <f>IF($E791="SGD",1,IF($E791="USD",Settings!$B$22,IF($E791="HKD",Settings!$B$23,1)))</f>
      </c>
      <c r="O791">
        <f>IF($J791="",0,($M791-$L791+IF($A791=2,$H791,0))*$N791)</f>
      </c>
      <c r="P791">
        <f>IF($J791="",0,IF($A791=2,$H791*$N791,0))</f>
      </c>
    </row>
    <row r="792" spans="1:16"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c r="N792">
        <f>IF($E792="SGD",1,IF($E792="USD",Settings!$B$22,IF($E792="HKD",Settings!$B$23,1)))</f>
      </c>
      <c r="O792">
        <f>IF($J792="",0,($M792-$L792+IF($A792=2,$H792,0))*$N792)</f>
      </c>
      <c r="P792">
        <f>IF($J792="",0,IF($A792=2,$H792*$N792,0))</f>
      </c>
    </row>
    <row r="793" spans="1:16"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c r="N793">
        <f>IF($E793="SGD",1,IF($E793="USD",Settings!$B$22,IF($E793="HKD",Settings!$B$23,1)))</f>
      </c>
      <c r="O793">
        <f>IF($J793="",0,($M793-$L793+IF($A793=2,$H793,0))*$N793)</f>
      </c>
      <c r="P793">
        <f>IF($J793="",0,IF($A793=2,$H793*$N793,0))</f>
      </c>
    </row>
    <row r="794" spans="1:16"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c r="N794">
        <f>IF($E794="SGD",1,IF($E794="USD",Settings!$B$22,IF($E794="HKD",Settings!$B$23,1)))</f>
      </c>
      <c r="O794">
        <f>IF($J794="",0,($M794-$L794+IF($A794=2,$H794,0))*$N794)</f>
      </c>
      <c r="P794">
        <f>IF($J794="",0,IF($A794=2,$H794*$N794,0))</f>
      </c>
    </row>
    <row r="795" spans="1:16"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c r="N795">
        <f>IF($E795="SGD",1,IF($E795="USD",Settings!$B$22,IF($E795="HKD",Settings!$B$23,1)))</f>
      </c>
      <c r="O795">
        <f>IF($J795="",0,($M795-$L795+IF($A795=2,$H795,0))*$N795)</f>
      </c>
      <c r="P795">
        <f>IF($J795="",0,IF($A795=2,$H795*$N795,0))</f>
      </c>
    </row>
    <row r="796" spans="1:16"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c r="N796">
        <f>IF($E796="SGD",1,IF($E796="USD",Settings!$B$22,IF($E796="HKD",Settings!$B$23,1)))</f>
      </c>
      <c r="O796">
        <f>IF($J796="",0,($M796-$L796+IF($A796=2,$H796,0))*$N796)</f>
      </c>
      <c r="P796">
        <f>IF($J796="",0,IF($A796=2,$H796*$N796,0))</f>
      </c>
    </row>
    <row r="797" spans="1:16"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c r="N797">
        <f>IF($E797="SGD",1,IF($E797="USD",Settings!$B$22,IF($E797="HKD",Settings!$B$23,1)))</f>
      </c>
      <c r="O797">
        <f>IF($J797="",0,($M797-$L797+IF($A797=2,$H797,0))*$N797)</f>
      </c>
      <c r="P797">
        <f>IF($J797="",0,IF($A797=2,$H797*$N797,0))</f>
      </c>
    </row>
    <row r="798" spans="1:16"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c r="N798">
        <f>IF($E798="SGD",1,IF($E798="USD",Settings!$B$22,IF($E798="HKD",Settings!$B$23,1)))</f>
      </c>
      <c r="O798">
        <f>IF($J798="",0,($M798-$L798+IF($A798=2,$H798,0))*$N798)</f>
      </c>
      <c r="P798">
        <f>IF($J798="",0,IF($A798=2,$H798*$N798,0))</f>
      </c>
    </row>
    <row r="799" spans="1:16"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c r="N799">
        <f>IF($E799="SGD",1,IF($E799="USD",Settings!$B$22,IF($E799="HKD",Settings!$B$23,1)))</f>
      </c>
      <c r="O799">
        <f>IF($J799="",0,($M799-$L799+IF($A799=2,$H799,0))*$N799)</f>
      </c>
      <c r="P799">
        <f>IF($J799="",0,IF($A799=2,$H799*$N799,0))</f>
      </c>
    </row>
    <row r="800" spans="1:16"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c r="N800">
        <f>IF($E800="SGD",1,IF($E800="USD",Settings!$B$22,IF($E800="HKD",Settings!$B$23,1)))</f>
      </c>
      <c r="O800">
        <f>IF($J800="",0,($M800-$L800+IF($A800=2,$H800,0))*$N800)</f>
      </c>
      <c r="P800">
        <f>IF($J800="",0,IF($A800=2,$H800*$N800,0))</f>
      </c>
    </row>
    <row r="801" spans="1:16"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c r="N801">
        <f>IF($E801="SGD",1,IF($E801="USD",Settings!$B$22,IF($E801="HKD",Settings!$B$23,1)))</f>
      </c>
      <c r="O801">
        <f>IF($J801="",0,($M801-$L801+IF($A801=2,$H801,0))*$N801)</f>
      </c>
      <c r="P801">
        <f>IF($J801="",0,IF($A801=2,$H801*$N801,0))</f>
      </c>
    </row>
    <row r="802" spans="1:16"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c r="N802">
        <f>IF($E802="SGD",1,IF($E802="USD",Settings!$B$22,IF($E802="HKD",Settings!$B$23,1)))</f>
      </c>
      <c r="O802">
        <f>IF($J802="",0,($M802-$L802+IF($A802=2,$H802,0))*$N802)</f>
      </c>
      <c r="P802">
        <f>IF($J802="",0,IF($A802=2,$H802*$N802,0))</f>
      </c>
    </row>
    <row r="803" spans="1:16"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c r="N803">
        <f>IF($E803="SGD",1,IF($E803="USD",Settings!$B$22,IF($E803="HKD",Settings!$B$23,1)))</f>
      </c>
      <c r="O803">
        <f>IF($J803="",0,($M803-$L803+IF($A803=2,$H803,0))*$N803)</f>
      </c>
      <c r="P803">
        <f>IF($J803="",0,IF($A803=2,$H803*$N803,0))</f>
      </c>
    </row>
    <row r="804" spans="1:16"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c r="N804">
        <f>IF($E804="SGD",1,IF($E804="USD",Settings!$B$22,IF($E804="HKD",Settings!$B$23,1)))</f>
      </c>
      <c r="O804">
        <f>IF($J804="",0,($M804-$L804+IF($A804=2,$H804,0))*$N804)</f>
      </c>
      <c r="P804">
        <f>IF($J804="",0,IF($A804=2,$H804*$N804,0))</f>
      </c>
    </row>
    <row r="805" spans="1:16"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c r="N805">
        <f>IF($E805="SGD",1,IF($E805="USD",Settings!$B$22,IF($E805="HKD",Settings!$B$23,1)))</f>
      </c>
      <c r="O805">
        <f>IF($J805="",0,($M805-$L805+IF($A805=2,$H805,0))*$N805)</f>
      </c>
      <c r="P805">
        <f>IF($J805="",0,IF($A805=2,$H805*$N805,0))</f>
      </c>
    </row>
    <row r="806" spans="1:16"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c r="N806">
        <f>IF($E806="SGD",1,IF($E806="USD",Settings!$B$22,IF($E806="HKD",Settings!$B$23,1)))</f>
      </c>
      <c r="O806">
        <f>IF($J806="",0,($M806-$L806+IF($A806=2,$H806,0))*$N806)</f>
      </c>
      <c r="P806">
        <f>IF($J806="",0,IF($A806=2,$H806*$N806,0))</f>
      </c>
    </row>
    <row r="807" spans="1:16"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c r="N807">
        <f>IF($E807="SGD",1,IF($E807="USD",Settings!$B$22,IF($E807="HKD",Settings!$B$23,1)))</f>
      </c>
      <c r="O807">
        <f>IF($J807="",0,($M807-$L807+IF($A807=2,$H807,0))*$N807)</f>
      </c>
      <c r="P807">
        <f>IF($J807="",0,IF($A807=2,$H807*$N807,0))</f>
      </c>
    </row>
    <row r="808" spans="1:16"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c r="N808">
        <f>IF($E808="SGD",1,IF($E808="USD",Settings!$B$22,IF($E808="HKD",Settings!$B$23,1)))</f>
      </c>
      <c r="O808">
        <f>IF($J808="",0,($M808-$L808+IF($A808=2,$H808,0))*$N808)</f>
      </c>
      <c r="P808">
        <f>IF($J808="",0,IF($A808=2,$H808*$N808,0))</f>
      </c>
    </row>
    <row r="809" spans="1:16"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c r="N809">
        <f>IF($E809="SGD",1,IF($E809="USD",Settings!$B$22,IF($E809="HKD",Settings!$B$23,1)))</f>
      </c>
      <c r="O809">
        <f>IF($J809="",0,($M809-$L809+IF($A809=2,$H809,0))*$N809)</f>
      </c>
      <c r="P809">
        <f>IF($J809="",0,IF($A809=2,$H809*$N809,0))</f>
      </c>
    </row>
    <row r="810" spans="1:16"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c r="N810">
        <f>IF($E810="SGD",1,IF($E810="USD",Settings!$B$22,IF($E810="HKD",Settings!$B$23,1)))</f>
      </c>
      <c r="O810">
        <f>IF($J810="",0,($M810-$L810+IF($A810=2,$H810,0))*$N810)</f>
      </c>
      <c r="P810">
        <f>IF($J810="",0,IF($A810=2,$H810*$N810,0))</f>
      </c>
    </row>
    <row r="811" spans="1:16"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c r="N811">
        <f>IF($E811="SGD",1,IF($E811="USD",Settings!$B$22,IF($E811="HKD",Settings!$B$23,1)))</f>
      </c>
      <c r="O811">
        <f>IF($J811="",0,($M811-$L811+IF($A811=2,$H811,0))*$N811)</f>
      </c>
      <c r="P811">
        <f>IF($J811="",0,IF($A811=2,$H811*$N811,0))</f>
      </c>
    </row>
    <row r="812" spans="1:16"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c r="N812">
        <f>IF($E812="SGD",1,IF($E812="USD",Settings!$B$22,IF($E812="HKD",Settings!$B$23,1)))</f>
      </c>
      <c r="O812">
        <f>IF($J812="",0,($M812-$L812+IF($A812=2,$H812,0))*$N812)</f>
      </c>
      <c r="P812">
        <f>IF($J812="",0,IF($A812=2,$H812*$N812,0))</f>
      </c>
    </row>
    <row r="813" spans="1:16"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c r="N813">
        <f>IF($E813="SGD",1,IF($E813="USD",Settings!$B$22,IF($E813="HKD",Settings!$B$23,1)))</f>
      </c>
      <c r="O813">
        <f>IF($J813="",0,($M813-$L813+IF($A813=2,$H813,0))*$N813)</f>
      </c>
      <c r="P813">
        <f>IF($J813="",0,IF($A813=2,$H813*$N813,0))</f>
      </c>
    </row>
    <row r="814" spans="1:16"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c r="N814">
        <f>IF($E814="SGD",1,IF($E814="USD",Settings!$B$22,IF($E814="HKD",Settings!$B$23,1)))</f>
      </c>
      <c r="O814">
        <f>IF($J814="",0,($M814-$L814+IF($A814=2,$H814,0))*$N814)</f>
      </c>
      <c r="P814">
        <f>IF($J814="",0,IF($A814=2,$H814*$N814,0))</f>
      </c>
    </row>
    <row r="815" spans="1:16"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c r="N815">
        <f>IF($E815="SGD",1,IF($E815="USD",Settings!$B$22,IF($E815="HKD",Settings!$B$23,1)))</f>
      </c>
      <c r="O815">
        <f>IF($J815="",0,($M815-$L815+IF($A815=2,$H815,0))*$N815)</f>
      </c>
      <c r="P815">
        <f>IF($J815="",0,IF($A815=2,$H815*$N815,0))</f>
      </c>
    </row>
    <row r="816" spans="1:16"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c r="N816">
        <f>IF($E816="SGD",1,IF($E816="USD",Settings!$B$22,IF($E816="HKD",Settings!$B$23,1)))</f>
      </c>
      <c r="O816">
        <f>IF($J816="",0,($M816-$L816+IF($A816=2,$H816,0))*$N816)</f>
      </c>
      <c r="P816">
        <f>IF($J816="",0,IF($A816=2,$H816*$N816,0))</f>
      </c>
    </row>
    <row r="817" spans="1:16"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c r="N817">
        <f>IF($E817="SGD",1,IF($E817="USD",Settings!$B$22,IF($E817="HKD",Settings!$B$23,1)))</f>
      </c>
      <c r="O817">
        <f>IF($J817="",0,($M817-$L817+IF($A817=2,$H817,0))*$N817)</f>
      </c>
      <c r="P817">
        <f>IF($J817="",0,IF($A817=2,$H817*$N817,0))</f>
      </c>
    </row>
    <row r="818" spans="1:16"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c r="N818">
        <f>IF($E818="SGD",1,IF($E818="USD",Settings!$B$22,IF($E818="HKD",Settings!$B$23,1)))</f>
      </c>
      <c r="O818">
        <f>IF($J818="",0,($M818-$L818+IF($A818=2,$H818,0))*$N818)</f>
      </c>
      <c r="P818">
        <f>IF($J818="",0,IF($A818=2,$H818*$N818,0))</f>
      </c>
    </row>
    <row r="819" spans="1:16"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c r="N819">
        <f>IF($E819="SGD",1,IF($E819="USD",Settings!$B$22,IF($E819="HKD",Settings!$B$23,1)))</f>
      </c>
      <c r="O819">
        <f>IF($J819="",0,($M819-$L819+IF($A819=2,$H819,0))*$N819)</f>
      </c>
      <c r="P819">
        <f>IF($J819="",0,IF($A819=2,$H819*$N819,0))</f>
      </c>
    </row>
    <row r="820" spans="1:16"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c r="N820">
        <f>IF($E820="SGD",1,IF($E820="USD",Settings!$B$22,IF($E820="HKD",Settings!$B$23,1)))</f>
      </c>
      <c r="O820">
        <f>IF($J820="",0,($M820-$L820+IF($A820=2,$H820,0))*$N820)</f>
      </c>
      <c r="P820">
        <f>IF($J820="",0,IF($A820=2,$H820*$N820,0))</f>
      </c>
    </row>
    <row r="821" spans="1:16"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c r="N821">
        <f>IF($E821="SGD",1,IF($E821="USD",Settings!$B$22,IF($E821="HKD",Settings!$B$23,1)))</f>
      </c>
      <c r="O821">
        <f>IF($J821="",0,($M821-$L821+IF($A821=2,$H821,0))*$N821)</f>
      </c>
      <c r="P821">
        <f>IF($J821="",0,IF($A821=2,$H821*$N821,0))</f>
      </c>
    </row>
    <row r="822" spans="1:16"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c r="N822">
        <f>IF($E822="SGD",1,IF($E822="USD",Settings!$B$22,IF($E822="HKD",Settings!$B$23,1)))</f>
      </c>
      <c r="O822">
        <f>IF($J822="",0,($M822-$L822+IF($A822=2,$H822,0))*$N822)</f>
      </c>
      <c r="P822">
        <f>IF($J822="",0,IF($A822=2,$H822*$N822,0))</f>
      </c>
    </row>
    <row r="823" spans="1:16"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c r="N823">
        <f>IF($E823="SGD",1,IF($E823="USD",Settings!$B$22,IF($E823="HKD",Settings!$B$23,1)))</f>
      </c>
      <c r="O823">
        <f>IF($J823="",0,($M823-$L823+IF($A823=2,$H823,0))*$N823)</f>
      </c>
      <c r="P823">
        <f>IF($J823="",0,IF($A823=2,$H823*$N823,0))</f>
      </c>
    </row>
    <row r="824" spans="1:16"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c r="N824">
        <f>IF($E824="SGD",1,IF($E824="USD",Settings!$B$22,IF($E824="HKD",Settings!$B$23,1)))</f>
      </c>
      <c r="O824">
        <f>IF($J824="",0,($M824-$L824+IF($A824=2,$H824,0))*$N824)</f>
      </c>
      <c r="P824">
        <f>IF($J824="",0,IF($A824=2,$H824*$N824,0))</f>
      </c>
    </row>
    <row r="825" spans="1:16"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c r="N825">
        <f>IF($E825="SGD",1,IF($E825="USD",Settings!$B$22,IF($E825="HKD",Settings!$B$23,1)))</f>
      </c>
      <c r="O825">
        <f>IF($J825="",0,($M825-$L825+IF($A825=2,$H825,0))*$N825)</f>
      </c>
      <c r="P825">
        <f>IF($J825="",0,IF($A825=2,$H825*$N825,0))</f>
      </c>
    </row>
    <row r="826" spans="1:16"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c r="N826">
        <f>IF($E826="SGD",1,IF($E826="USD",Settings!$B$22,IF($E826="HKD",Settings!$B$23,1)))</f>
      </c>
      <c r="O826">
        <f>IF($J826="",0,($M826-$L826+IF($A826=2,$H826,0))*$N826)</f>
      </c>
      <c r="P826">
        <f>IF($J826="",0,IF($A826=2,$H826*$N826,0))</f>
      </c>
    </row>
    <row r="827" spans="1:16"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c r="N827">
        <f>IF($E827="SGD",1,IF($E827="USD",Settings!$B$22,IF($E827="HKD",Settings!$B$23,1)))</f>
      </c>
      <c r="O827">
        <f>IF($J827="",0,($M827-$L827+IF($A827=2,$H827,0))*$N827)</f>
      </c>
      <c r="P827">
        <f>IF($J827="",0,IF($A827=2,$H827*$N827,0))</f>
      </c>
    </row>
    <row r="828" spans="1:16"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c r="N828">
        <f>IF($E828="SGD",1,IF($E828="USD",Settings!$B$22,IF($E828="HKD",Settings!$B$23,1)))</f>
      </c>
      <c r="O828">
        <f>IF($J828="",0,($M828-$L828+IF($A828=2,$H828,0))*$N828)</f>
      </c>
      <c r="P828">
        <f>IF($J828="",0,IF($A828=2,$H828*$N828,0))</f>
      </c>
    </row>
    <row r="829" spans="1:16"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c r="N829">
        <f>IF($E829="SGD",1,IF($E829="USD",Settings!$B$22,IF($E829="HKD",Settings!$B$23,1)))</f>
      </c>
      <c r="O829">
        <f>IF($J829="",0,($M829-$L829+IF($A829=2,$H829,0))*$N829)</f>
      </c>
      <c r="P829">
        <f>IF($J829="",0,IF($A829=2,$H829*$N829,0))</f>
      </c>
    </row>
    <row r="830" spans="1:16"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c r="N830">
        <f>IF($E830="SGD",1,IF($E830="USD",Settings!$B$22,IF($E830="HKD",Settings!$B$23,1)))</f>
      </c>
      <c r="O830">
        <f>IF($J830="",0,($M830-$L830+IF($A830=2,$H830,0))*$N830)</f>
      </c>
      <c r="P830">
        <f>IF($J830="",0,IF($A830=2,$H830*$N830,0))</f>
      </c>
    </row>
    <row r="831" spans="1:16"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c r="N831">
        <f>IF($E831="SGD",1,IF($E831="USD",Settings!$B$22,IF($E831="HKD",Settings!$B$23,1)))</f>
      </c>
      <c r="O831">
        <f>IF($J831="",0,($M831-$L831+IF($A831=2,$H831,0))*$N831)</f>
      </c>
      <c r="P831">
        <f>IF($J831="",0,IF($A831=2,$H831*$N831,0))</f>
      </c>
    </row>
    <row r="832" spans="1:16"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c r="N832">
        <f>IF($E832="SGD",1,IF($E832="USD",Settings!$B$22,IF($E832="HKD",Settings!$B$23,1)))</f>
      </c>
      <c r="O832">
        <f>IF($J832="",0,($M832-$L832+IF($A832=2,$H832,0))*$N832)</f>
      </c>
      <c r="P832">
        <f>IF($J832="",0,IF($A832=2,$H832*$N832,0))</f>
      </c>
    </row>
    <row r="833" spans="1:16"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c r="N833">
        <f>IF($E833="SGD",1,IF($E833="USD",Settings!$B$22,IF($E833="HKD",Settings!$B$23,1)))</f>
      </c>
      <c r="O833">
        <f>IF($J833="",0,($M833-$L833+IF($A833=2,$H833,0))*$N833)</f>
      </c>
      <c r="P833">
        <f>IF($J833="",0,IF($A833=2,$H833*$N833,0))</f>
      </c>
    </row>
    <row r="834" spans="1:16"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c r="N834">
        <f>IF($E834="SGD",1,IF($E834="USD",Settings!$B$22,IF($E834="HKD",Settings!$B$23,1)))</f>
      </c>
      <c r="O834">
        <f>IF($J834="",0,($M834-$L834+IF($A834=2,$H834,0))*$N834)</f>
      </c>
      <c r="P834">
        <f>IF($J834="",0,IF($A834=2,$H834*$N834,0))</f>
      </c>
    </row>
    <row r="835" spans="1:16"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c r="N835">
        <f>IF($E835="SGD",1,IF($E835="USD",Settings!$B$22,IF($E835="HKD",Settings!$B$23,1)))</f>
      </c>
      <c r="O835">
        <f>IF($J835="",0,($M835-$L835+IF($A835=2,$H835,0))*$N835)</f>
      </c>
      <c r="P835">
        <f>IF($J835="",0,IF($A835=2,$H835*$N835,0))</f>
      </c>
    </row>
    <row r="836" spans="1:16"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c r="N836">
        <f>IF($E836="SGD",1,IF($E836="USD",Settings!$B$22,IF($E836="HKD",Settings!$B$23,1)))</f>
      </c>
      <c r="O836">
        <f>IF($J836="",0,($M836-$L836+IF($A836=2,$H836,0))*$N836)</f>
      </c>
      <c r="P836">
        <f>IF($J836="",0,IF($A836=2,$H836*$N836,0))</f>
      </c>
    </row>
    <row r="837" spans="1:16"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c r="N837">
        <f>IF($E837="SGD",1,IF($E837="USD",Settings!$B$22,IF($E837="HKD",Settings!$B$23,1)))</f>
      </c>
      <c r="O837">
        <f>IF($J837="",0,($M837-$L837+IF($A837=2,$H837,0))*$N837)</f>
      </c>
      <c r="P837">
        <f>IF($J837="",0,IF($A837=2,$H837*$N837,0))</f>
      </c>
    </row>
    <row r="838" spans="1:16"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c r="N838">
        <f>IF($E838="SGD",1,IF($E838="USD",Settings!$B$22,IF($E838="HKD",Settings!$B$23,1)))</f>
      </c>
      <c r="O838">
        <f>IF($J838="",0,($M838-$L838+IF($A838=2,$H838,0))*$N838)</f>
      </c>
      <c r="P838">
        <f>IF($J838="",0,IF($A838=2,$H838*$N838,0))</f>
      </c>
    </row>
    <row r="839" spans="1:16"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c r="N839">
        <f>IF($E839="SGD",1,IF($E839="USD",Settings!$B$22,IF($E839="HKD",Settings!$B$23,1)))</f>
      </c>
      <c r="O839">
        <f>IF($J839="",0,($M839-$L839+IF($A839=2,$H839,0))*$N839)</f>
      </c>
      <c r="P839">
        <f>IF($J839="",0,IF($A839=2,$H839*$N839,0))</f>
      </c>
    </row>
    <row r="840" spans="1:16"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c r="N840">
        <f>IF($E840="SGD",1,IF($E840="USD",Settings!$B$22,IF($E840="HKD",Settings!$B$23,1)))</f>
      </c>
      <c r="O840">
        <f>IF($J840="",0,($M840-$L840+IF($A840=2,$H840,0))*$N840)</f>
      </c>
      <c r="P840">
        <f>IF($J840="",0,IF($A840=2,$H840*$N840,0))</f>
      </c>
    </row>
    <row r="841" spans="1:16"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c r="N841">
        <f>IF($E841="SGD",1,IF($E841="USD",Settings!$B$22,IF($E841="HKD",Settings!$B$23,1)))</f>
      </c>
      <c r="O841">
        <f>IF($J841="",0,($M841-$L841+IF($A841=2,$H841,0))*$N841)</f>
      </c>
      <c r="P841">
        <f>IF($J841="",0,IF($A841=2,$H841*$N841,0))</f>
      </c>
    </row>
    <row r="842" spans="1:16"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c r="N842">
        <f>IF($E842="SGD",1,IF($E842="USD",Settings!$B$22,IF($E842="HKD",Settings!$B$23,1)))</f>
      </c>
      <c r="O842">
        <f>IF($J842="",0,($M842-$L842+IF($A842=2,$H842,0))*$N842)</f>
      </c>
      <c r="P842">
        <f>IF($J842="",0,IF($A842=2,$H842*$N842,0))</f>
      </c>
    </row>
    <row r="843" spans="1:16"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c r="N843">
        <f>IF($E843="SGD",1,IF($E843="USD",Settings!$B$22,IF($E843="HKD",Settings!$B$23,1)))</f>
      </c>
      <c r="O843">
        <f>IF($J843="",0,($M843-$L843+IF($A843=2,$H843,0))*$N843)</f>
      </c>
      <c r="P843">
        <f>IF($J843="",0,IF($A843=2,$H843*$N843,0))</f>
      </c>
    </row>
    <row r="844" spans="1:16"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c r="N844">
        <f>IF($E844="SGD",1,IF($E844="USD",Settings!$B$22,IF($E844="HKD",Settings!$B$23,1)))</f>
      </c>
      <c r="O844">
        <f>IF($J844="",0,($M844-$L844+IF($A844=2,$H844,0))*$N844)</f>
      </c>
      <c r="P844">
        <f>IF($J844="",0,IF($A844=2,$H844*$N844,0))</f>
      </c>
    </row>
    <row r="845" spans="1:16"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c r="N845">
        <f>IF($E845="SGD",1,IF($E845="USD",Settings!$B$22,IF($E845="HKD",Settings!$B$23,1)))</f>
      </c>
      <c r="O845">
        <f>IF($J845="",0,($M845-$L845+IF($A845=2,$H845,0))*$N845)</f>
      </c>
      <c r="P845">
        <f>IF($J845="",0,IF($A845=2,$H845*$N845,0))</f>
      </c>
    </row>
    <row r="846" spans="1:16"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c r="N846">
        <f>IF($E846="SGD",1,IF($E846="USD",Settings!$B$22,IF($E846="HKD",Settings!$B$23,1)))</f>
      </c>
      <c r="O846">
        <f>IF($J846="",0,($M846-$L846+IF($A846=2,$H846,0))*$N846)</f>
      </c>
      <c r="P846">
        <f>IF($J846="",0,IF($A846=2,$H846*$N846,0))</f>
      </c>
    </row>
    <row r="847" spans="1:16"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c r="N847">
        <f>IF($E847="SGD",1,IF($E847="USD",Settings!$B$22,IF($E847="HKD",Settings!$B$23,1)))</f>
      </c>
      <c r="O847">
        <f>IF($J847="",0,($M847-$L847+IF($A847=2,$H847,0))*$N847)</f>
      </c>
      <c r="P847">
        <f>IF($J847="",0,IF($A847=2,$H847*$N847,0))</f>
      </c>
    </row>
    <row r="848" spans="1:16"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c r="N848">
        <f>IF($E848="SGD",1,IF($E848="USD",Settings!$B$22,IF($E848="HKD",Settings!$B$23,1)))</f>
      </c>
      <c r="O848">
        <f>IF($J848="",0,($M848-$L848+IF($A848=2,$H848,0))*$N848)</f>
      </c>
      <c r="P848">
        <f>IF($J848="",0,IF($A848=2,$H848*$N848,0))</f>
      </c>
    </row>
    <row r="849" spans="1:16"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c r="N849">
        <f>IF($E849="SGD",1,IF($E849="USD",Settings!$B$22,IF($E849="HKD",Settings!$B$23,1)))</f>
      </c>
      <c r="O849">
        <f>IF($J849="",0,($M849-$L849+IF($A849=2,$H849,0))*$N849)</f>
      </c>
      <c r="P849">
        <f>IF($J849="",0,IF($A849=2,$H849*$N849,0))</f>
      </c>
    </row>
    <row r="850" spans="1:16"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c r="N850">
        <f>IF($E850="SGD",1,IF($E850="USD",Settings!$B$22,IF($E850="HKD",Settings!$B$23,1)))</f>
      </c>
      <c r="O850">
        <f>IF($J850="",0,($M850-$L850+IF($A850=2,$H850,0))*$N850)</f>
      </c>
      <c r="P850">
        <f>IF($J850="",0,IF($A850=2,$H850*$N850,0))</f>
      </c>
    </row>
    <row r="851" spans="1:16"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c r="N851">
        <f>IF($E851="SGD",1,IF($E851="USD",Settings!$B$22,IF($E851="HKD",Settings!$B$23,1)))</f>
      </c>
      <c r="O851">
        <f>IF($J851="",0,($M851-$L851+IF($A851=2,$H851,0))*$N851)</f>
      </c>
      <c r="P851">
        <f>IF($J851="",0,IF($A851=2,$H851*$N851,0))</f>
      </c>
    </row>
    <row r="852" spans="1:16"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c r="N852">
        <f>IF($E852="SGD",1,IF($E852="USD",Settings!$B$22,IF($E852="HKD",Settings!$B$23,1)))</f>
      </c>
      <c r="O852">
        <f>IF($J852="",0,($M852-$L852+IF($A852=2,$H852,0))*$N852)</f>
      </c>
      <c r="P852">
        <f>IF($J852="",0,IF($A852=2,$H852*$N852,0))</f>
      </c>
    </row>
    <row r="853" spans="1:16"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c r="N853">
        <f>IF($E853="SGD",1,IF($E853="USD",Settings!$B$22,IF($E853="HKD",Settings!$B$23,1)))</f>
      </c>
      <c r="O853">
        <f>IF($J853="",0,($M853-$L853+IF($A853=2,$H853,0))*$N853)</f>
      </c>
      <c r="P853">
        <f>IF($J853="",0,IF($A853=2,$H853*$N853,0))</f>
      </c>
    </row>
    <row r="854" spans="1:16"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c r="N854">
        <f>IF($E854="SGD",1,IF($E854="USD",Settings!$B$22,IF($E854="HKD",Settings!$B$23,1)))</f>
      </c>
      <c r="O854">
        <f>IF($J854="",0,($M854-$L854+IF($A854=2,$H854,0))*$N854)</f>
      </c>
      <c r="P854">
        <f>IF($J854="",0,IF($A854=2,$H854*$N854,0))</f>
      </c>
    </row>
    <row r="855" spans="1:16"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c r="N855">
        <f>IF($E855="SGD",1,IF($E855="USD",Settings!$B$22,IF($E855="HKD",Settings!$B$23,1)))</f>
      </c>
      <c r="O855">
        <f>IF($J855="",0,($M855-$L855+IF($A855=2,$H855,0))*$N855)</f>
      </c>
      <c r="P855">
        <f>IF($J855="",0,IF($A855=2,$H855*$N855,0))</f>
      </c>
    </row>
    <row r="856" spans="1:16"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c r="N856">
        <f>IF($E856="SGD",1,IF($E856="USD",Settings!$B$22,IF($E856="HKD",Settings!$B$23,1)))</f>
      </c>
      <c r="O856">
        <f>IF($J856="",0,($M856-$L856+IF($A856=2,$H856,0))*$N856)</f>
      </c>
      <c r="P856">
        <f>IF($J856="",0,IF($A856=2,$H856*$N856,0))</f>
      </c>
    </row>
    <row r="857" spans="1:16"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c r="N857">
        <f>IF($E857="SGD",1,IF($E857="USD",Settings!$B$22,IF($E857="HKD",Settings!$B$23,1)))</f>
      </c>
      <c r="O857">
        <f>IF($J857="",0,($M857-$L857+IF($A857=2,$H857,0))*$N857)</f>
      </c>
      <c r="P857">
        <f>IF($J857="",0,IF($A857=2,$H857*$N857,0))</f>
      </c>
    </row>
    <row r="858" spans="1:16"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c r="N858">
        <f>IF($E858="SGD",1,IF($E858="USD",Settings!$B$22,IF($E858="HKD",Settings!$B$23,1)))</f>
      </c>
      <c r="O858">
        <f>IF($J858="",0,($M858-$L858+IF($A858=2,$H858,0))*$N858)</f>
      </c>
      <c r="P858">
        <f>IF($J858="",0,IF($A858=2,$H858*$N858,0))</f>
      </c>
    </row>
    <row r="859" spans="1:16"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c r="N859">
        <f>IF($E859="SGD",1,IF($E859="USD",Settings!$B$22,IF($E859="HKD",Settings!$B$23,1)))</f>
      </c>
      <c r="O859">
        <f>IF($J859="",0,($M859-$L859+IF($A859=2,$H859,0))*$N859)</f>
      </c>
      <c r="P859">
        <f>IF($J859="",0,IF($A859=2,$H859*$N859,0))</f>
      </c>
    </row>
    <row r="860" spans="1:16"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c r="N860">
        <f>IF($E860="SGD",1,IF($E860="USD",Settings!$B$22,IF($E860="HKD",Settings!$B$23,1)))</f>
      </c>
      <c r="O860">
        <f>IF($J860="",0,($M860-$L860+IF($A860=2,$H860,0))*$N860)</f>
      </c>
      <c r="P860">
        <f>IF($J860="",0,IF($A860=2,$H860*$N860,0))</f>
      </c>
    </row>
    <row r="861" spans="1:16"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c r="N861">
        <f>IF($E861="SGD",1,IF($E861="USD",Settings!$B$22,IF($E861="HKD",Settings!$B$23,1)))</f>
      </c>
      <c r="O861">
        <f>IF($J861="",0,($M861-$L861+IF($A861=2,$H861,0))*$N861)</f>
      </c>
      <c r="P861">
        <f>IF($J861="",0,IF($A861=2,$H861*$N861,0))</f>
      </c>
    </row>
    <row r="862" spans="1:16"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c r="N862">
        <f>IF($E862="SGD",1,IF($E862="USD",Settings!$B$22,IF($E862="HKD",Settings!$B$23,1)))</f>
      </c>
      <c r="O862">
        <f>IF($J862="",0,($M862-$L862+IF($A862=2,$H862,0))*$N862)</f>
      </c>
      <c r="P862">
        <f>IF($J862="",0,IF($A862=2,$H862*$N862,0))</f>
      </c>
    </row>
    <row r="863" spans="1:16"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c r="N863">
        <f>IF($E863="SGD",1,IF($E863="USD",Settings!$B$22,IF($E863="HKD",Settings!$B$23,1)))</f>
      </c>
      <c r="O863">
        <f>IF($J863="",0,($M863-$L863+IF($A863=2,$H863,0))*$N863)</f>
      </c>
      <c r="P863">
        <f>IF($J863="",0,IF($A863=2,$H863*$N863,0))</f>
      </c>
    </row>
    <row r="864" spans="1:16"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c r="N864">
        <f>IF($E864="SGD",1,IF($E864="USD",Settings!$B$22,IF($E864="HKD",Settings!$B$23,1)))</f>
      </c>
      <c r="O864">
        <f>IF($J864="",0,($M864-$L864+IF($A864=2,$H864,0))*$N864)</f>
      </c>
      <c r="P864">
        <f>IF($J864="",0,IF($A864=2,$H864*$N864,0))</f>
      </c>
    </row>
    <row r="865" spans="1:16"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c r="N865">
        <f>IF($E865="SGD",1,IF($E865="USD",Settings!$B$22,IF($E865="HKD",Settings!$B$23,1)))</f>
      </c>
      <c r="O865">
        <f>IF($J865="",0,($M865-$L865+IF($A865=2,$H865,0))*$N865)</f>
      </c>
      <c r="P865">
        <f>IF($J865="",0,IF($A865=2,$H865*$N865,0))</f>
      </c>
    </row>
    <row r="866" spans="1:16"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c r="N866">
        <f>IF($E866="SGD",1,IF($E866="USD",Settings!$B$22,IF($E866="HKD",Settings!$B$23,1)))</f>
      </c>
      <c r="O866">
        <f>IF($J866="",0,($M866-$L866+IF($A866=2,$H866,0))*$N866)</f>
      </c>
      <c r="P866">
        <f>IF($J866="",0,IF($A866=2,$H866*$N866,0))</f>
      </c>
    </row>
    <row r="867" spans="1:16"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c r="N867">
        <f>IF($E867="SGD",1,IF($E867="USD",Settings!$B$22,IF($E867="HKD",Settings!$B$23,1)))</f>
      </c>
      <c r="O867">
        <f>IF($J867="",0,($M867-$L867+IF($A867=2,$H867,0))*$N867)</f>
      </c>
      <c r="P867">
        <f>IF($J867="",0,IF($A867=2,$H867*$N867,0))</f>
      </c>
    </row>
    <row r="868" spans="1:16"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c r="N868">
        <f>IF($E868="SGD",1,IF($E868="USD",Settings!$B$22,IF($E868="HKD",Settings!$B$23,1)))</f>
      </c>
      <c r="O868">
        <f>IF($J868="",0,($M868-$L868+IF($A868=2,$H868,0))*$N868)</f>
      </c>
      <c r="P868">
        <f>IF($J868="",0,IF($A868=2,$H868*$N868,0))</f>
      </c>
    </row>
    <row r="869" spans="1:16"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c r="N869">
        <f>IF($E869="SGD",1,IF($E869="USD",Settings!$B$22,IF($E869="HKD",Settings!$B$23,1)))</f>
      </c>
      <c r="O869">
        <f>IF($J869="",0,($M869-$L869+IF($A869=2,$H869,0))*$N869)</f>
      </c>
      <c r="P869">
        <f>IF($J869="",0,IF($A869=2,$H869*$N869,0))</f>
      </c>
    </row>
    <row r="870" spans="1:16"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c r="N870">
        <f>IF($E870="SGD",1,IF($E870="USD",Settings!$B$22,IF($E870="HKD",Settings!$B$23,1)))</f>
      </c>
      <c r="O870">
        <f>IF($J870="",0,($M870-$L870+IF($A870=2,$H870,0))*$N870)</f>
      </c>
      <c r="P870">
        <f>IF($J870="",0,IF($A870=2,$H870*$N870,0))</f>
      </c>
    </row>
    <row r="871" spans="1:16"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c r="N871">
        <f>IF($E871="SGD",1,IF($E871="USD",Settings!$B$22,IF($E871="HKD",Settings!$B$23,1)))</f>
      </c>
      <c r="O871">
        <f>IF($J871="",0,($M871-$L871+IF($A871=2,$H871,0))*$N871)</f>
      </c>
      <c r="P871">
        <f>IF($J871="",0,IF($A871=2,$H871*$N871,0))</f>
      </c>
    </row>
    <row r="872" spans="1:16"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c r="N872">
        <f>IF($E872="SGD",1,IF($E872="USD",Settings!$B$22,IF($E872="HKD",Settings!$B$23,1)))</f>
      </c>
      <c r="O872">
        <f>IF($J872="",0,($M872-$L872+IF($A872=2,$H872,0))*$N872)</f>
      </c>
      <c r="P872">
        <f>IF($J872="",0,IF($A872=2,$H872*$N872,0))</f>
      </c>
    </row>
    <row r="873" spans="1:16"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c r="N873">
        <f>IF($E873="SGD",1,IF($E873="USD",Settings!$B$22,IF($E873="HKD",Settings!$B$23,1)))</f>
      </c>
      <c r="O873">
        <f>IF($J873="",0,($M873-$L873+IF($A873=2,$H873,0))*$N873)</f>
      </c>
      <c r="P873">
        <f>IF($J873="",0,IF($A873=2,$H873*$N873,0))</f>
      </c>
    </row>
    <row r="874" spans="1:16"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c r="N874">
        <f>IF($E874="SGD",1,IF($E874="USD",Settings!$B$22,IF($E874="HKD",Settings!$B$23,1)))</f>
      </c>
      <c r="O874">
        <f>IF($J874="",0,($M874-$L874+IF($A874=2,$H874,0))*$N874)</f>
      </c>
      <c r="P874">
        <f>IF($J874="",0,IF($A874=2,$H874*$N874,0))</f>
      </c>
    </row>
    <row r="875" spans="1:16"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c r="N875">
        <f>IF($E875="SGD",1,IF($E875="USD",Settings!$B$22,IF($E875="HKD",Settings!$B$23,1)))</f>
      </c>
      <c r="O875">
        <f>IF($J875="",0,($M875-$L875+IF($A875=2,$H875,0))*$N875)</f>
      </c>
      <c r="P875">
        <f>IF($J875="",0,IF($A875=2,$H875*$N875,0))</f>
      </c>
    </row>
    <row r="876" spans="1:16"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c r="N876">
        <f>IF($E876="SGD",1,IF($E876="USD",Settings!$B$22,IF($E876="HKD",Settings!$B$23,1)))</f>
      </c>
      <c r="O876">
        <f>IF($J876="",0,($M876-$L876+IF($A876=2,$H876,0))*$N876)</f>
      </c>
      <c r="P876">
        <f>IF($J876="",0,IF($A876=2,$H876*$N876,0))</f>
      </c>
    </row>
    <row r="877" spans="1:16"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c r="N877">
        <f>IF($E877="SGD",1,IF($E877="USD",Settings!$B$22,IF($E877="HKD",Settings!$B$23,1)))</f>
      </c>
      <c r="O877">
        <f>IF($J877="",0,($M877-$L877+IF($A877=2,$H877,0))*$N877)</f>
      </c>
      <c r="P877">
        <f>IF($J877="",0,IF($A877=2,$H877*$N877,0))</f>
      </c>
    </row>
    <row r="878" spans="1:16"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c r="N878">
        <f>IF($E878="SGD",1,IF($E878="USD",Settings!$B$22,IF($E878="HKD",Settings!$B$23,1)))</f>
      </c>
      <c r="O878">
        <f>IF($J878="",0,($M878-$L878+IF($A878=2,$H878,0))*$N878)</f>
      </c>
      <c r="P878">
        <f>IF($J878="",0,IF($A878=2,$H878*$N878,0))</f>
      </c>
    </row>
    <row r="879" spans="1:16"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c r="N879">
        <f>IF($E879="SGD",1,IF($E879="USD",Settings!$B$22,IF($E879="HKD",Settings!$B$23,1)))</f>
      </c>
      <c r="O879">
        <f>IF($J879="",0,($M879-$L879+IF($A879=2,$H879,0))*$N879)</f>
      </c>
      <c r="P879">
        <f>IF($J879="",0,IF($A879=2,$H879*$N879,0))</f>
      </c>
    </row>
    <row r="880" spans="1:16"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c r="N880">
        <f>IF($E880="SGD",1,IF($E880="USD",Settings!$B$22,IF($E880="HKD",Settings!$B$23,1)))</f>
      </c>
      <c r="O880">
        <f>IF($J880="",0,($M880-$L880+IF($A880=2,$H880,0))*$N880)</f>
      </c>
      <c r="P880">
        <f>IF($J880="",0,IF($A880=2,$H880*$N880,0))</f>
      </c>
    </row>
    <row r="881" spans="1:16"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c r="N881">
        <f>IF($E881="SGD",1,IF($E881="USD",Settings!$B$22,IF($E881="HKD",Settings!$B$23,1)))</f>
      </c>
      <c r="O881">
        <f>IF($J881="",0,($M881-$L881+IF($A881=2,$H881,0))*$N881)</f>
      </c>
      <c r="P881">
        <f>IF($J881="",0,IF($A881=2,$H881*$N881,0))</f>
      </c>
    </row>
    <row r="882" spans="1:16"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c r="N882">
        <f>IF($E882="SGD",1,IF($E882="USD",Settings!$B$22,IF($E882="HKD",Settings!$B$23,1)))</f>
      </c>
      <c r="O882">
        <f>IF($J882="",0,($M882-$L882+IF($A882=2,$H882,0))*$N882)</f>
      </c>
      <c r="P882">
        <f>IF($J882="",0,IF($A882=2,$H882*$N882,0))</f>
      </c>
    </row>
    <row r="883" spans="1:16"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c r="N883">
        <f>IF($E883="SGD",1,IF($E883="USD",Settings!$B$22,IF($E883="HKD",Settings!$B$23,1)))</f>
      </c>
      <c r="O883">
        <f>IF($J883="",0,($M883-$L883+IF($A883=2,$H883,0))*$N883)</f>
      </c>
      <c r="P883">
        <f>IF($J883="",0,IF($A883=2,$H883*$N883,0))</f>
      </c>
    </row>
    <row r="884" spans="1:16"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c r="N884">
        <f>IF($E884="SGD",1,IF($E884="USD",Settings!$B$22,IF($E884="HKD",Settings!$B$23,1)))</f>
      </c>
      <c r="O884">
        <f>IF($J884="",0,($M884-$L884+IF($A884=2,$H884,0))*$N884)</f>
      </c>
      <c r="P884">
        <f>IF($J884="",0,IF($A884=2,$H884*$N884,0))</f>
      </c>
    </row>
    <row r="885" spans="1:16"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c r="N885">
        <f>IF($E885="SGD",1,IF($E885="USD",Settings!$B$22,IF($E885="HKD",Settings!$B$23,1)))</f>
      </c>
      <c r="O885">
        <f>IF($J885="",0,($M885-$L885+IF($A885=2,$H885,0))*$N885)</f>
      </c>
      <c r="P885">
        <f>IF($J885="",0,IF($A885=2,$H885*$N885,0))</f>
      </c>
    </row>
    <row r="886" spans="1:16"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c r="N886">
        <f>IF($E886="SGD",1,IF($E886="USD",Settings!$B$22,IF($E886="HKD",Settings!$B$23,1)))</f>
      </c>
      <c r="O886">
        <f>IF($J886="",0,($M886-$L886+IF($A886=2,$H886,0))*$N886)</f>
      </c>
      <c r="P886">
        <f>IF($J886="",0,IF($A886=2,$H886*$N886,0))</f>
      </c>
    </row>
    <row r="887" spans="1:16"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c r="N887">
        <f>IF($E887="SGD",1,IF($E887="USD",Settings!$B$22,IF($E887="HKD",Settings!$B$23,1)))</f>
      </c>
      <c r="O887">
        <f>IF($J887="",0,($M887-$L887+IF($A887=2,$H887,0))*$N887)</f>
      </c>
      <c r="P887">
        <f>IF($J887="",0,IF($A887=2,$H887*$N887,0))</f>
      </c>
    </row>
    <row r="888" spans="1:16"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c r="N888">
        <f>IF($E888="SGD",1,IF($E888="USD",Settings!$B$22,IF($E888="HKD",Settings!$B$23,1)))</f>
      </c>
      <c r="O888">
        <f>IF($J888="",0,($M888-$L888+IF($A888=2,$H888,0))*$N888)</f>
      </c>
      <c r="P888">
        <f>IF($J888="",0,IF($A888=2,$H888*$N888,0))</f>
      </c>
    </row>
    <row r="889" spans="1:16"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c r="N889">
        <f>IF($E889="SGD",1,IF($E889="USD",Settings!$B$22,IF($E889="HKD",Settings!$B$23,1)))</f>
      </c>
      <c r="O889">
        <f>IF($J889="",0,($M889-$L889+IF($A889=2,$H889,0))*$N889)</f>
      </c>
      <c r="P889">
        <f>IF($J889="",0,IF($A889=2,$H889*$N889,0))</f>
      </c>
    </row>
    <row r="890" spans="1:16"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c r="N890">
        <f>IF($E890="SGD",1,IF($E890="USD",Settings!$B$22,IF($E890="HKD",Settings!$B$23,1)))</f>
      </c>
      <c r="O890">
        <f>IF($J890="",0,($M890-$L890+IF($A890=2,$H890,0))*$N890)</f>
      </c>
      <c r="P890">
        <f>IF($J890="",0,IF($A890=2,$H890*$N890,0))</f>
      </c>
    </row>
    <row r="891" spans="1:16"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c r="N891">
        <f>IF($E891="SGD",1,IF($E891="USD",Settings!$B$22,IF($E891="HKD",Settings!$B$23,1)))</f>
      </c>
      <c r="O891">
        <f>IF($J891="",0,($M891-$L891+IF($A891=2,$H891,0))*$N891)</f>
      </c>
      <c r="P891">
        <f>IF($J891="",0,IF($A891=2,$H891*$N891,0))</f>
      </c>
    </row>
    <row r="892" spans="1:16"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c r="N892">
        <f>IF($E892="SGD",1,IF($E892="USD",Settings!$B$22,IF($E892="HKD",Settings!$B$23,1)))</f>
      </c>
      <c r="O892">
        <f>IF($J892="",0,($M892-$L892+IF($A892=2,$H892,0))*$N892)</f>
      </c>
      <c r="P892">
        <f>IF($J892="",0,IF($A892=2,$H892*$N892,0))</f>
      </c>
    </row>
    <row r="893" spans="1:16"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c r="N893">
        <f>IF($E893="SGD",1,IF($E893="USD",Settings!$B$22,IF($E893="HKD",Settings!$B$23,1)))</f>
      </c>
      <c r="O893">
        <f>IF($J893="",0,($M893-$L893+IF($A893=2,$H893,0))*$N893)</f>
      </c>
      <c r="P893">
        <f>IF($J893="",0,IF($A893=2,$H893*$N893,0))</f>
      </c>
    </row>
    <row r="894" spans="1:16"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c r="N894">
        <f>IF($E894="SGD",1,IF($E894="USD",Settings!$B$22,IF($E894="HKD",Settings!$B$23,1)))</f>
      </c>
      <c r="O894">
        <f>IF($J894="",0,($M894-$L894+IF($A894=2,$H894,0))*$N894)</f>
      </c>
      <c r="P894">
        <f>IF($J894="",0,IF($A894=2,$H894*$N894,0))</f>
      </c>
    </row>
    <row r="895" spans="1:16"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c r="N895">
        <f>IF($E895="SGD",1,IF($E895="USD",Settings!$B$22,IF($E895="HKD",Settings!$B$23,1)))</f>
      </c>
      <c r="O895">
        <f>IF($J895="",0,($M895-$L895+IF($A895=2,$H895,0))*$N895)</f>
      </c>
      <c r="P895">
        <f>IF($J895="",0,IF($A895=2,$H895*$N895,0))</f>
      </c>
    </row>
    <row r="896" spans="1:16"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c r="N896">
        <f>IF($E896="SGD",1,IF($E896="USD",Settings!$B$22,IF($E896="HKD",Settings!$B$23,1)))</f>
      </c>
      <c r="O896">
        <f>IF($J896="",0,($M896-$L896+IF($A896=2,$H896,0))*$N896)</f>
      </c>
      <c r="P896">
        <f>IF($J896="",0,IF($A896=2,$H896*$N896,0))</f>
      </c>
    </row>
    <row r="897" spans="1:16"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c r="N897">
        <f>IF($E897="SGD",1,IF($E897="USD",Settings!$B$22,IF($E897="HKD",Settings!$B$23,1)))</f>
      </c>
      <c r="O897">
        <f>IF($J897="",0,($M897-$L897+IF($A897=2,$H897,0))*$N897)</f>
      </c>
      <c r="P897">
        <f>IF($J897="",0,IF($A897=2,$H897*$N897,0))</f>
      </c>
    </row>
    <row r="898" spans="1:16"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c r="N898">
        <f>IF($E898="SGD",1,IF($E898="USD",Settings!$B$22,IF($E898="HKD",Settings!$B$23,1)))</f>
      </c>
      <c r="O898">
        <f>IF($J898="",0,($M898-$L898+IF($A898=2,$H898,0))*$N898)</f>
      </c>
      <c r="P898">
        <f>IF($J898="",0,IF($A898=2,$H898*$N898,0))</f>
      </c>
    </row>
    <row r="899" spans="1:16"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c r="N899">
        <f>IF($E899="SGD",1,IF($E899="USD",Settings!$B$22,IF($E899="HKD",Settings!$B$23,1)))</f>
      </c>
      <c r="O899">
        <f>IF($J899="",0,($M899-$L899+IF($A899=2,$H899,0))*$N899)</f>
      </c>
      <c r="P899">
        <f>IF($J899="",0,IF($A899=2,$H899*$N899,0))</f>
      </c>
    </row>
    <row r="900" spans="1:16"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c r="N900">
        <f>IF($E900="SGD",1,IF($E900="USD",Settings!$B$22,IF($E900="HKD",Settings!$B$23,1)))</f>
      </c>
      <c r="O900">
        <f>IF($J900="",0,($M900-$L900+IF($A900=2,$H900,0))*$N900)</f>
      </c>
      <c r="P900">
        <f>IF($J900="",0,IF($A900=2,$H900*$N900,0))</f>
      </c>
    </row>
    <row r="901" spans="1:16"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c r="N901">
        <f>IF($E901="SGD",1,IF($E901="USD",Settings!$B$22,IF($E901="HKD",Settings!$B$23,1)))</f>
      </c>
      <c r="O901">
        <f>IF($J901="",0,($M901-$L901+IF($A901=2,$H901,0))*$N901)</f>
      </c>
      <c r="P901">
        <f>IF($J901="",0,IF($A901=2,$H901*$N901,0))</f>
      </c>
    </row>
    <row r="902" spans="1:16"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c r="N902">
        <f>IF($E902="SGD",1,IF($E902="USD",Settings!$B$22,IF($E902="HKD",Settings!$B$23,1)))</f>
      </c>
      <c r="O902">
        <f>IF($J902="",0,($M902-$L902+IF($A902=2,$H902,0))*$N902)</f>
      </c>
      <c r="P902">
        <f>IF($J902="",0,IF($A902=2,$H902*$N902,0))</f>
      </c>
    </row>
    <row r="903" spans="1:16"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c r="N903">
        <f>IF($E903="SGD",1,IF($E903="USD",Settings!$B$22,IF($E903="HKD",Settings!$B$23,1)))</f>
      </c>
      <c r="O903">
        <f>IF($J903="",0,($M903-$L903+IF($A903=2,$H903,0))*$N903)</f>
      </c>
      <c r="P903">
        <f>IF($J903="",0,IF($A903=2,$H903*$N903,0))</f>
      </c>
    </row>
    <row r="904" spans="1:16"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c r="N904">
        <f>IF($E904="SGD",1,IF($E904="USD",Settings!$B$22,IF($E904="HKD",Settings!$B$23,1)))</f>
      </c>
      <c r="O904">
        <f>IF($J904="",0,($M904-$L904+IF($A904=2,$H904,0))*$N904)</f>
      </c>
      <c r="P904">
        <f>IF($J904="",0,IF($A904=2,$H904*$N904,0))</f>
      </c>
    </row>
    <row r="905" spans="1:16"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c r="N905">
        <f>IF($E905="SGD",1,IF($E905="USD",Settings!$B$22,IF($E905="HKD",Settings!$B$23,1)))</f>
      </c>
      <c r="O905">
        <f>IF($J905="",0,($M905-$L905+IF($A905=2,$H905,0))*$N905)</f>
      </c>
      <c r="P905">
        <f>IF($J905="",0,IF($A905=2,$H905*$N905,0))</f>
      </c>
    </row>
    <row r="906" spans="1:16"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c r="N906">
        <f>IF($E906="SGD",1,IF($E906="USD",Settings!$B$22,IF($E906="HKD",Settings!$B$23,1)))</f>
      </c>
      <c r="O906">
        <f>IF($J906="",0,($M906-$L906+IF($A906=2,$H906,0))*$N906)</f>
      </c>
      <c r="P906">
        <f>IF($J906="",0,IF($A906=2,$H906*$N906,0))</f>
      </c>
    </row>
    <row r="907" spans="1:16"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c r="N907">
        <f>IF($E907="SGD",1,IF($E907="USD",Settings!$B$22,IF($E907="HKD",Settings!$B$23,1)))</f>
      </c>
      <c r="O907">
        <f>IF($J907="",0,($M907-$L907+IF($A907=2,$H907,0))*$N907)</f>
      </c>
      <c r="P907">
        <f>IF($J907="",0,IF($A907=2,$H907*$N907,0))</f>
      </c>
    </row>
    <row r="908" spans="1:16"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c r="N908">
        <f>IF($E908="SGD",1,IF($E908="USD",Settings!$B$22,IF($E908="HKD",Settings!$B$23,1)))</f>
      </c>
      <c r="O908">
        <f>IF($J908="",0,($M908-$L908+IF($A908=2,$H908,0))*$N908)</f>
      </c>
      <c r="P908">
        <f>IF($J908="",0,IF($A908=2,$H908*$N908,0))</f>
      </c>
    </row>
    <row r="909" spans="1:16"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c r="N909">
        <f>IF($E909="SGD",1,IF($E909="USD",Settings!$B$22,IF($E909="HKD",Settings!$B$23,1)))</f>
      </c>
      <c r="O909">
        <f>IF($J909="",0,($M909-$L909+IF($A909=2,$H909,0))*$N909)</f>
      </c>
      <c r="P909">
        <f>IF($J909="",0,IF($A909=2,$H909*$N909,0))</f>
      </c>
    </row>
    <row r="910" spans="1:16"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c r="N910">
        <f>IF($E910="SGD",1,IF($E910="USD",Settings!$B$22,IF($E910="HKD",Settings!$B$23,1)))</f>
      </c>
      <c r="O910">
        <f>IF($J910="",0,($M910-$L910+IF($A910=2,$H910,0))*$N910)</f>
      </c>
      <c r="P910">
        <f>IF($J910="",0,IF($A910=2,$H910*$N910,0))</f>
      </c>
    </row>
    <row r="911" spans="1:16"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c r="N911">
        <f>IF($E911="SGD",1,IF($E911="USD",Settings!$B$22,IF($E911="HKD",Settings!$B$23,1)))</f>
      </c>
      <c r="O911">
        <f>IF($J911="",0,($M911-$L911+IF($A911=2,$H911,0))*$N911)</f>
      </c>
      <c r="P911">
        <f>IF($J911="",0,IF($A911=2,$H911*$N911,0))</f>
      </c>
    </row>
    <row r="912" spans="1:16"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c r="N912">
        <f>IF($E912="SGD",1,IF($E912="USD",Settings!$B$22,IF($E912="HKD",Settings!$B$23,1)))</f>
      </c>
      <c r="O912">
        <f>IF($J912="",0,($M912-$L912+IF($A912=2,$H912,0))*$N912)</f>
      </c>
      <c r="P912">
        <f>IF($J912="",0,IF($A912=2,$H912*$N912,0))</f>
      </c>
    </row>
    <row r="913" spans="1:16"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c r="N913">
        <f>IF($E913="SGD",1,IF($E913="USD",Settings!$B$22,IF($E913="HKD",Settings!$B$23,1)))</f>
      </c>
      <c r="O913">
        <f>IF($J913="",0,($M913-$L913+IF($A913=2,$H913,0))*$N913)</f>
      </c>
      <c r="P913">
        <f>IF($J913="",0,IF($A913=2,$H913*$N913,0))</f>
      </c>
    </row>
    <row r="914" spans="1:16"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c r="N914">
        <f>IF($E914="SGD",1,IF($E914="USD",Settings!$B$22,IF($E914="HKD",Settings!$B$23,1)))</f>
      </c>
      <c r="O914">
        <f>IF($J914="",0,($M914-$L914+IF($A914=2,$H914,0))*$N914)</f>
      </c>
      <c r="P914">
        <f>IF($J914="",0,IF($A914=2,$H914*$N914,0))</f>
      </c>
    </row>
    <row r="915" spans="1:16"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c r="N915">
        <f>IF($E915="SGD",1,IF($E915="USD",Settings!$B$22,IF($E915="HKD",Settings!$B$23,1)))</f>
      </c>
      <c r="O915">
        <f>IF($J915="",0,($M915-$L915+IF($A915=2,$H915,0))*$N915)</f>
      </c>
      <c r="P915">
        <f>IF($J915="",0,IF($A915=2,$H915*$N915,0))</f>
      </c>
    </row>
    <row r="916" spans="1:16"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c r="N916">
        <f>IF($E916="SGD",1,IF($E916="USD",Settings!$B$22,IF($E916="HKD",Settings!$B$23,1)))</f>
      </c>
      <c r="O916">
        <f>IF($J916="",0,($M916-$L916+IF($A916=2,$H916,0))*$N916)</f>
      </c>
      <c r="P916">
        <f>IF($J916="",0,IF($A916=2,$H916*$N916,0))</f>
      </c>
    </row>
    <row r="917" spans="1:16"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c r="N917">
        <f>IF($E917="SGD",1,IF($E917="USD",Settings!$B$22,IF($E917="HKD",Settings!$B$23,1)))</f>
      </c>
      <c r="O917">
        <f>IF($J917="",0,($M917-$L917+IF($A917=2,$H917,0))*$N917)</f>
      </c>
      <c r="P917">
        <f>IF($J917="",0,IF($A917=2,$H917*$N917,0))</f>
      </c>
    </row>
    <row r="918" spans="1:16"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c r="N918">
        <f>IF($E918="SGD",1,IF($E918="USD",Settings!$B$22,IF($E918="HKD",Settings!$B$23,1)))</f>
      </c>
      <c r="O918">
        <f>IF($J918="",0,($M918-$L918+IF($A918=2,$H918,0))*$N918)</f>
      </c>
      <c r="P918">
        <f>IF($J918="",0,IF($A918=2,$H918*$N918,0))</f>
      </c>
    </row>
    <row r="919" spans="1:16"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c r="N919">
        <f>IF($E919="SGD",1,IF($E919="USD",Settings!$B$22,IF($E919="HKD",Settings!$B$23,1)))</f>
      </c>
      <c r="O919">
        <f>IF($J919="",0,($M919-$L919+IF($A919=2,$H919,0))*$N919)</f>
      </c>
      <c r="P919">
        <f>IF($J919="",0,IF($A919=2,$H919*$N919,0))</f>
      </c>
    </row>
    <row r="920" spans="1:16"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c r="N920">
        <f>IF($E920="SGD",1,IF($E920="USD",Settings!$B$22,IF($E920="HKD",Settings!$B$23,1)))</f>
      </c>
      <c r="O920">
        <f>IF($J920="",0,($M920-$L920+IF($A920=2,$H920,0))*$N920)</f>
      </c>
      <c r="P920">
        <f>IF($J920="",0,IF($A920=2,$H920*$N920,0))</f>
      </c>
    </row>
    <row r="921" spans="1:16"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c r="N921">
        <f>IF($E921="SGD",1,IF($E921="USD",Settings!$B$22,IF($E921="HKD",Settings!$B$23,1)))</f>
      </c>
      <c r="O921">
        <f>IF($J921="",0,($M921-$L921+IF($A921=2,$H921,0))*$N921)</f>
      </c>
      <c r="P921">
        <f>IF($J921="",0,IF($A921=2,$H921*$N921,0))</f>
      </c>
    </row>
    <row r="922" spans="1:16"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c r="N922">
        <f>IF($E922="SGD",1,IF($E922="USD",Settings!$B$22,IF($E922="HKD",Settings!$B$23,1)))</f>
      </c>
      <c r="O922">
        <f>IF($J922="",0,($M922-$L922+IF($A922=2,$H922,0))*$N922)</f>
      </c>
      <c r="P922">
        <f>IF($J922="",0,IF($A922=2,$H922*$N922,0))</f>
      </c>
    </row>
    <row r="923" spans="1:16"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c r="N923">
        <f>IF($E923="SGD",1,IF($E923="USD",Settings!$B$22,IF($E923="HKD",Settings!$B$23,1)))</f>
      </c>
      <c r="O923">
        <f>IF($J923="",0,($M923-$L923+IF($A923=2,$H923,0))*$N923)</f>
      </c>
      <c r="P923">
        <f>IF($J923="",0,IF($A923=2,$H923*$N923,0))</f>
      </c>
    </row>
    <row r="924" spans="1:16"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c r="N924">
        <f>IF($E924="SGD",1,IF($E924="USD",Settings!$B$22,IF($E924="HKD",Settings!$B$23,1)))</f>
      </c>
      <c r="O924">
        <f>IF($J924="",0,($M924-$L924+IF($A924=2,$H924,0))*$N924)</f>
      </c>
      <c r="P924">
        <f>IF($J924="",0,IF($A924=2,$H924*$N924,0))</f>
      </c>
    </row>
    <row r="925" spans="1:16"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c r="N925">
        <f>IF($E925="SGD",1,IF($E925="USD",Settings!$B$22,IF($E925="HKD",Settings!$B$23,1)))</f>
      </c>
      <c r="O925">
        <f>IF($J925="",0,($M925-$L925+IF($A925=2,$H925,0))*$N925)</f>
      </c>
      <c r="P925">
        <f>IF($J925="",0,IF($A925=2,$H925*$N925,0))</f>
      </c>
    </row>
    <row r="926" spans="1:16"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c r="N926">
        <f>IF($E926="SGD",1,IF($E926="USD",Settings!$B$22,IF($E926="HKD",Settings!$B$23,1)))</f>
      </c>
      <c r="O926">
        <f>IF($J926="",0,($M926-$L926+IF($A926=2,$H926,0))*$N926)</f>
      </c>
      <c r="P926">
        <f>IF($J926="",0,IF($A926=2,$H926*$N926,0))</f>
      </c>
    </row>
    <row r="927" spans="1:16"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c r="N927">
        <f>IF($E927="SGD",1,IF($E927="USD",Settings!$B$22,IF($E927="HKD",Settings!$B$23,1)))</f>
      </c>
      <c r="O927">
        <f>IF($J927="",0,($M927-$L927+IF($A927=2,$H927,0))*$N927)</f>
      </c>
      <c r="P927">
        <f>IF($J927="",0,IF($A927=2,$H927*$N927,0))</f>
      </c>
    </row>
    <row r="928" spans="1:16"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c r="N928">
        <f>IF($E928="SGD",1,IF($E928="USD",Settings!$B$22,IF($E928="HKD",Settings!$B$23,1)))</f>
      </c>
      <c r="O928">
        <f>IF($J928="",0,($M928-$L928+IF($A928=2,$H928,0))*$N928)</f>
      </c>
      <c r="P928">
        <f>IF($J928="",0,IF($A928=2,$H928*$N928,0))</f>
      </c>
    </row>
    <row r="929" spans="1:16"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c r="N929">
        <f>IF($E929="SGD",1,IF($E929="USD",Settings!$B$22,IF($E929="HKD",Settings!$B$23,1)))</f>
      </c>
      <c r="O929">
        <f>IF($J929="",0,($M929-$L929+IF($A929=2,$H929,0))*$N929)</f>
      </c>
      <c r="P929">
        <f>IF($J929="",0,IF($A929=2,$H929*$N929,0))</f>
      </c>
    </row>
    <row r="930" spans="1:16"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c r="N930">
        <f>IF($E930="SGD",1,IF($E930="USD",Settings!$B$22,IF($E930="HKD",Settings!$B$23,1)))</f>
      </c>
      <c r="O930">
        <f>IF($J930="",0,($M930-$L930+IF($A930=2,$H930,0))*$N930)</f>
      </c>
      <c r="P930">
        <f>IF($J930="",0,IF($A930=2,$H930*$N930,0))</f>
      </c>
    </row>
    <row r="931" spans="1:16"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c r="N931">
        <f>IF($E931="SGD",1,IF($E931="USD",Settings!$B$22,IF($E931="HKD",Settings!$B$23,1)))</f>
      </c>
      <c r="O931">
        <f>IF($J931="",0,($M931-$L931+IF($A931=2,$H931,0))*$N931)</f>
      </c>
      <c r="P931">
        <f>IF($J931="",0,IF($A931=2,$H931*$N931,0))</f>
      </c>
    </row>
    <row r="932" spans="1:16"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c r="N932">
        <f>IF($E932="SGD",1,IF($E932="USD",Settings!$B$22,IF($E932="HKD",Settings!$B$23,1)))</f>
      </c>
      <c r="O932">
        <f>IF($J932="",0,($M932-$L932+IF($A932=2,$H932,0))*$N932)</f>
      </c>
      <c r="P932">
        <f>IF($J932="",0,IF($A932=2,$H932*$N932,0))</f>
      </c>
    </row>
    <row r="933" spans="1:16"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c r="N933">
        <f>IF($E933="SGD",1,IF($E933="USD",Settings!$B$22,IF($E933="HKD",Settings!$B$23,1)))</f>
      </c>
      <c r="O933">
        <f>IF($J933="",0,($M933-$L933+IF($A933=2,$H933,0))*$N933)</f>
      </c>
      <c r="P933">
        <f>IF($J933="",0,IF($A933=2,$H933*$N933,0))</f>
      </c>
    </row>
    <row r="934" spans="1:16"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c r="N934">
        <f>IF($E934="SGD",1,IF($E934="USD",Settings!$B$22,IF($E934="HKD",Settings!$B$23,1)))</f>
      </c>
      <c r="O934">
        <f>IF($J934="",0,($M934-$L934+IF($A934=2,$H934,0))*$N934)</f>
      </c>
      <c r="P934">
        <f>IF($J934="",0,IF($A934=2,$H934*$N934,0))</f>
      </c>
    </row>
    <row r="935" spans="1:16"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c r="N935">
        <f>IF($E935="SGD",1,IF($E935="USD",Settings!$B$22,IF($E935="HKD",Settings!$B$23,1)))</f>
      </c>
      <c r="O935">
        <f>IF($J935="",0,($M935-$L935+IF($A935=2,$H935,0))*$N935)</f>
      </c>
      <c r="P935">
        <f>IF($J935="",0,IF($A935=2,$H935*$N935,0))</f>
      </c>
    </row>
    <row r="936" spans="1:16"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c r="N936">
        <f>IF($E936="SGD",1,IF($E936="USD",Settings!$B$22,IF($E936="HKD",Settings!$B$23,1)))</f>
      </c>
      <c r="O936">
        <f>IF($J936="",0,($M936-$L936+IF($A936=2,$H936,0))*$N936)</f>
      </c>
      <c r="P936">
        <f>IF($J936="",0,IF($A936=2,$H936*$N936,0))</f>
      </c>
    </row>
    <row r="937" spans="1:16"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c r="N937">
        <f>IF($E937="SGD",1,IF($E937="USD",Settings!$B$22,IF($E937="HKD",Settings!$B$23,1)))</f>
      </c>
      <c r="O937">
        <f>IF($J937="",0,($M937-$L937+IF($A937=2,$H937,0))*$N937)</f>
      </c>
      <c r="P937">
        <f>IF($J937="",0,IF($A937=2,$H937*$N937,0))</f>
      </c>
    </row>
    <row r="938" spans="1:16"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c r="N938">
        <f>IF($E938="SGD",1,IF($E938="USD",Settings!$B$22,IF($E938="HKD",Settings!$B$23,1)))</f>
      </c>
      <c r="O938">
        <f>IF($J938="",0,($M938-$L938+IF($A938=2,$H938,0))*$N938)</f>
      </c>
      <c r="P938">
        <f>IF($J938="",0,IF($A938=2,$H938*$N938,0))</f>
      </c>
    </row>
    <row r="939" spans="1:16"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c r="N939">
        <f>IF($E939="SGD",1,IF($E939="USD",Settings!$B$22,IF($E939="HKD",Settings!$B$23,1)))</f>
      </c>
      <c r="O939">
        <f>IF($J939="",0,($M939-$L939+IF($A939=2,$H939,0))*$N939)</f>
      </c>
      <c r="P939">
        <f>IF($J939="",0,IF($A939=2,$H939*$N939,0))</f>
      </c>
    </row>
    <row r="940" spans="1:16"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c r="N940">
        <f>IF($E940="SGD",1,IF($E940="USD",Settings!$B$22,IF($E940="HKD",Settings!$B$23,1)))</f>
      </c>
      <c r="O940">
        <f>IF($J940="",0,($M940-$L940+IF($A940=2,$H940,0))*$N940)</f>
      </c>
      <c r="P940">
        <f>IF($J940="",0,IF($A940=2,$H940*$N940,0))</f>
      </c>
    </row>
    <row r="941" spans="1:16"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c r="N941">
        <f>IF($E941="SGD",1,IF($E941="USD",Settings!$B$22,IF($E941="HKD",Settings!$B$23,1)))</f>
      </c>
      <c r="O941">
        <f>IF($J941="",0,($M941-$L941+IF($A941=2,$H941,0))*$N941)</f>
      </c>
      <c r="P941">
        <f>IF($J941="",0,IF($A941=2,$H941*$N941,0))</f>
      </c>
    </row>
    <row r="942" spans="1:16"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c r="N942">
        <f>IF($E942="SGD",1,IF($E942="USD",Settings!$B$22,IF($E942="HKD",Settings!$B$23,1)))</f>
      </c>
      <c r="O942">
        <f>IF($J942="",0,($M942-$L942+IF($A942=2,$H942,0))*$N942)</f>
      </c>
      <c r="P942">
        <f>IF($J942="",0,IF($A942=2,$H942*$N942,0))</f>
      </c>
    </row>
    <row r="943" spans="1:16"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c r="N943">
        <f>IF($E943="SGD",1,IF($E943="USD",Settings!$B$22,IF($E943="HKD",Settings!$B$23,1)))</f>
      </c>
      <c r="O943">
        <f>IF($J943="",0,($M943-$L943+IF($A943=2,$H943,0))*$N943)</f>
      </c>
      <c r="P943">
        <f>IF($J943="",0,IF($A943=2,$H943*$N943,0))</f>
      </c>
    </row>
    <row r="944" spans="1:16"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c r="N944">
        <f>IF($E944="SGD",1,IF($E944="USD",Settings!$B$22,IF($E944="HKD",Settings!$B$23,1)))</f>
      </c>
      <c r="O944">
        <f>IF($J944="",0,($M944-$L944+IF($A944=2,$H944,0))*$N944)</f>
      </c>
      <c r="P944">
        <f>IF($J944="",0,IF($A944=2,$H944*$N944,0))</f>
      </c>
    </row>
    <row r="945" spans="1:16"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c r="N945">
        <f>IF($E945="SGD",1,IF($E945="USD",Settings!$B$22,IF($E945="HKD",Settings!$B$23,1)))</f>
      </c>
      <c r="O945">
        <f>IF($J945="",0,($M945-$L945+IF($A945=2,$H945,0))*$N945)</f>
      </c>
      <c r="P945">
        <f>IF($J945="",0,IF($A945=2,$H945*$N945,0))</f>
      </c>
    </row>
    <row r="946" spans="1:16"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c r="N946">
        <f>IF($E946="SGD",1,IF($E946="USD",Settings!$B$22,IF($E946="HKD",Settings!$B$23,1)))</f>
      </c>
      <c r="O946">
        <f>IF($J946="",0,($M946-$L946+IF($A946=2,$H946,0))*$N946)</f>
      </c>
      <c r="P946">
        <f>IF($J946="",0,IF($A946=2,$H946*$N946,0))</f>
      </c>
    </row>
    <row r="947" spans="1:16"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c r="N947">
        <f>IF($E947="SGD",1,IF($E947="USD",Settings!$B$22,IF($E947="HKD",Settings!$B$23,1)))</f>
      </c>
      <c r="O947">
        <f>IF($J947="",0,($M947-$L947+IF($A947=2,$H947,0))*$N947)</f>
      </c>
      <c r="P947">
        <f>IF($J947="",0,IF($A947=2,$H947*$N947,0))</f>
      </c>
    </row>
    <row r="948" spans="1:16"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c r="N948">
        <f>IF($E948="SGD",1,IF($E948="USD",Settings!$B$22,IF($E948="HKD",Settings!$B$23,1)))</f>
      </c>
      <c r="O948">
        <f>IF($J948="",0,($M948-$L948+IF($A948=2,$H948,0))*$N948)</f>
      </c>
      <c r="P948">
        <f>IF($J948="",0,IF($A948=2,$H948*$N948,0))</f>
      </c>
    </row>
    <row r="949" spans="1:16"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c r="N949">
        <f>IF($E949="SGD",1,IF($E949="USD",Settings!$B$22,IF($E949="HKD",Settings!$B$23,1)))</f>
      </c>
      <c r="O949">
        <f>IF($J949="",0,($M949-$L949+IF($A949=2,$H949,0))*$N949)</f>
      </c>
      <c r="P949">
        <f>IF($J949="",0,IF($A949=2,$H949*$N949,0))</f>
      </c>
    </row>
    <row r="950" spans="1:16"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c r="N950">
        <f>IF($E950="SGD",1,IF($E950="USD",Settings!$B$22,IF($E950="HKD",Settings!$B$23,1)))</f>
      </c>
      <c r="O950">
        <f>IF($J950="",0,($M950-$L950+IF($A950=2,$H950,0))*$N950)</f>
      </c>
      <c r="P950">
        <f>IF($J950="",0,IF($A950=2,$H950*$N950,0))</f>
      </c>
    </row>
    <row r="951" spans="1:16"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c r="N951">
        <f>IF($E951="SGD",1,IF($E951="USD",Settings!$B$22,IF($E951="HKD",Settings!$B$23,1)))</f>
      </c>
      <c r="O951">
        <f>IF($J951="",0,($M951-$L951+IF($A951=2,$H951,0))*$N951)</f>
      </c>
      <c r="P951">
        <f>IF($J951="",0,IF($A951=2,$H951*$N951,0))</f>
      </c>
    </row>
    <row r="952" spans="1:16"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c r="N952">
        <f>IF($E952="SGD",1,IF($E952="USD",Settings!$B$22,IF($E952="HKD",Settings!$B$23,1)))</f>
      </c>
      <c r="O952">
        <f>IF($J952="",0,($M952-$L952+IF($A952=2,$H952,0))*$N952)</f>
      </c>
      <c r="P952">
        <f>IF($J952="",0,IF($A952=2,$H952*$N952,0))</f>
      </c>
    </row>
    <row r="953" spans="1:16"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c r="N953">
        <f>IF($E953="SGD",1,IF($E953="USD",Settings!$B$22,IF($E953="HKD",Settings!$B$23,1)))</f>
      </c>
      <c r="O953">
        <f>IF($J953="",0,($M953-$L953+IF($A953=2,$H953,0))*$N953)</f>
      </c>
      <c r="P953">
        <f>IF($J953="",0,IF($A953=2,$H953*$N953,0))</f>
      </c>
    </row>
    <row r="954" spans="1:16"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c r="N954">
        <f>IF($E954="SGD",1,IF($E954="USD",Settings!$B$22,IF($E954="HKD",Settings!$B$23,1)))</f>
      </c>
      <c r="O954">
        <f>IF($J954="",0,($M954-$L954+IF($A954=2,$H954,0))*$N954)</f>
      </c>
      <c r="P954">
        <f>IF($J954="",0,IF($A954=2,$H954*$N954,0))</f>
      </c>
    </row>
    <row r="955" spans="1:16"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c r="N955">
        <f>IF($E955="SGD",1,IF($E955="USD",Settings!$B$22,IF($E955="HKD",Settings!$B$23,1)))</f>
      </c>
      <c r="O955">
        <f>IF($J955="",0,($M955-$L955+IF($A955=2,$H955,0))*$N955)</f>
      </c>
      <c r="P955">
        <f>IF($J955="",0,IF($A955=2,$H955*$N955,0))</f>
      </c>
    </row>
    <row r="956" spans="1:16"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c r="N956">
        <f>IF($E956="SGD",1,IF($E956="USD",Settings!$B$22,IF($E956="HKD",Settings!$B$23,1)))</f>
      </c>
      <c r="O956">
        <f>IF($J956="",0,($M956-$L956+IF($A956=2,$H956,0))*$N956)</f>
      </c>
      <c r="P956">
        <f>IF($J956="",0,IF($A956=2,$H956*$N956,0))</f>
      </c>
    </row>
    <row r="957" spans="1:16"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c r="N957">
        <f>IF($E957="SGD",1,IF($E957="USD",Settings!$B$22,IF($E957="HKD",Settings!$B$23,1)))</f>
      </c>
      <c r="O957">
        <f>IF($J957="",0,($M957-$L957+IF($A957=2,$H957,0))*$N957)</f>
      </c>
      <c r="P957">
        <f>IF($J957="",0,IF($A957=2,$H957*$N957,0))</f>
      </c>
    </row>
    <row r="958" spans="1:16"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c r="N958">
        <f>IF($E958="SGD",1,IF($E958="USD",Settings!$B$22,IF($E958="HKD",Settings!$B$23,1)))</f>
      </c>
      <c r="O958">
        <f>IF($J958="",0,($M958-$L958+IF($A958=2,$H958,0))*$N958)</f>
      </c>
      <c r="P958">
        <f>IF($J958="",0,IF($A958=2,$H958*$N958,0))</f>
      </c>
    </row>
    <row r="959" spans="1:16"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c r="N959">
        <f>IF($E959="SGD",1,IF($E959="USD",Settings!$B$22,IF($E959="HKD",Settings!$B$23,1)))</f>
      </c>
      <c r="O959">
        <f>IF($J959="",0,($M959-$L959+IF($A959=2,$H959,0))*$N959)</f>
      </c>
      <c r="P959">
        <f>IF($J959="",0,IF($A959=2,$H959*$N959,0))</f>
      </c>
    </row>
    <row r="960" spans="1:16"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c r="N960">
        <f>IF($E960="SGD",1,IF($E960="USD",Settings!$B$22,IF($E960="HKD",Settings!$B$23,1)))</f>
      </c>
      <c r="O960">
        <f>IF($J960="",0,($M960-$L960+IF($A960=2,$H960,0))*$N960)</f>
      </c>
      <c r="P960">
        <f>IF($J960="",0,IF($A960=2,$H960*$N960,0))</f>
      </c>
    </row>
    <row r="961" spans="1:16"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c r="N961">
        <f>IF($E961="SGD",1,IF($E961="USD",Settings!$B$22,IF($E961="HKD",Settings!$B$23,1)))</f>
      </c>
      <c r="O961">
        <f>IF($J961="",0,($M961-$L961+IF($A961=2,$H961,0))*$N961)</f>
      </c>
      <c r="P961">
        <f>IF($J961="",0,IF($A961=2,$H961*$N961,0))</f>
      </c>
    </row>
    <row r="962" spans="1:16"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c r="N962">
        <f>IF($E962="SGD",1,IF($E962="USD",Settings!$B$22,IF($E962="HKD",Settings!$B$23,1)))</f>
      </c>
      <c r="O962">
        <f>IF($J962="",0,($M962-$L962+IF($A962=2,$H962,0))*$N962)</f>
      </c>
      <c r="P962">
        <f>IF($J962="",0,IF($A962=2,$H962*$N962,0))</f>
      </c>
    </row>
    <row r="963" spans="1:16"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c r="N963">
        <f>IF($E963="SGD",1,IF($E963="USD",Settings!$B$22,IF($E963="HKD",Settings!$B$23,1)))</f>
      </c>
      <c r="O963">
        <f>IF($J963="",0,($M963-$L963+IF($A963=2,$H963,0))*$N963)</f>
      </c>
      <c r="P963">
        <f>IF($J963="",0,IF($A963=2,$H963*$N963,0))</f>
      </c>
    </row>
    <row r="964" spans="1:16"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c r="N964">
        <f>IF($E964="SGD",1,IF($E964="USD",Settings!$B$22,IF($E964="HKD",Settings!$B$23,1)))</f>
      </c>
      <c r="O964">
        <f>IF($J964="",0,($M964-$L964+IF($A964=2,$H964,0))*$N964)</f>
      </c>
      <c r="P964">
        <f>IF($J964="",0,IF($A964=2,$H964*$N964,0))</f>
      </c>
    </row>
    <row r="965" spans="1:16"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c r="N965">
        <f>IF($E965="SGD",1,IF($E965="USD",Settings!$B$22,IF($E965="HKD",Settings!$B$23,1)))</f>
      </c>
      <c r="O965">
        <f>IF($J965="",0,($M965-$L965+IF($A965=2,$H965,0))*$N965)</f>
      </c>
      <c r="P965">
        <f>IF($J965="",0,IF($A965=2,$H965*$N965,0))</f>
      </c>
    </row>
    <row r="966" spans="1:16"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c r="N966">
        <f>IF($E966="SGD",1,IF($E966="USD",Settings!$B$22,IF($E966="HKD",Settings!$B$23,1)))</f>
      </c>
      <c r="O966">
        <f>IF($J966="",0,($M966-$L966+IF($A966=2,$H966,0))*$N966)</f>
      </c>
      <c r="P966">
        <f>IF($J966="",0,IF($A966=2,$H966*$N966,0))</f>
      </c>
    </row>
    <row r="967" spans="1:16"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c r="N967">
        <f>IF($E967="SGD",1,IF($E967="USD",Settings!$B$22,IF($E967="HKD",Settings!$B$23,1)))</f>
      </c>
      <c r="O967">
        <f>IF($J967="",0,($M967-$L967+IF($A967=2,$H967,0))*$N967)</f>
      </c>
      <c r="P967">
        <f>IF($J967="",0,IF($A967=2,$H967*$N967,0))</f>
      </c>
    </row>
    <row r="968" spans="1:16"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c r="N968">
        <f>IF($E968="SGD",1,IF($E968="USD",Settings!$B$22,IF($E968="HKD",Settings!$B$23,1)))</f>
      </c>
      <c r="O968">
        <f>IF($J968="",0,($M968-$L968+IF($A968=2,$H968,0))*$N968)</f>
      </c>
      <c r="P968">
        <f>IF($J968="",0,IF($A968=2,$H968*$N968,0))</f>
      </c>
    </row>
    <row r="969" spans="1:16"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c r="N969">
        <f>IF($E969="SGD",1,IF($E969="USD",Settings!$B$22,IF($E969="HKD",Settings!$B$23,1)))</f>
      </c>
      <c r="O969">
        <f>IF($J969="",0,($M969-$L969+IF($A969=2,$H969,0))*$N969)</f>
      </c>
      <c r="P969">
        <f>IF($J969="",0,IF($A969=2,$H969*$N969,0))</f>
      </c>
    </row>
    <row r="970" spans="1:16"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c r="N970">
        <f>IF($E970="SGD",1,IF($E970="USD",Settings!$B$22,IF($E970="HKD",Settings!$B$23,1)))</f>
      </c>
      <c r="O970">
        <f>IF($J970="",0,($M970-$L970+IF($A970=2,$H970,0))*$N970)</f>
      </c>
      <c r="P970">
        <f>IF($J970="",0,IF($A970=2,$H970*$N970,0))</f>
      </c>
    </row>
    <row r="971" spans="1:16"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c r="N971">
        <f>IF($E971="SGD",1,IF($E971="USD",Settings!$B$22,IF($E971="HKD",Settings!$B$23,1)))</f>
      </c>
      <c r="O971">
        <f>IF($J971="",0,($M971-$L971+IF($A971=2,$H971,0))*$N971)</f>
      </c>
      <c r="P971">
        <f>IF($J971="",0,IF($A971=2,$H971*$N971,0))</f>
      </c>
    </row>
    <row r="972" spans="1:16"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c r="N972">
        <f>IF($E972="SGD",1,IF($E972="USD",Settings!$B$22,IF($E972="HKD",Settings!$B$23,1)))</f>
      </c>
      <c r="O972">
        <f>IF($J972="",0,($M972-$L972+IF($A972=2,$H972,0))*$N972)</f>
      </c>
      <c r="P972">
        <f>IF($J972="",0,IF($A972=2,$H972*$N972,0))</f>
      </c>
    </row>
    <row r="973" spans="1:16"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c r="N973">
        <f>IF($E973="SGD",1,IF($E973="USD",Settings!$B$22,IF($E973="HKD",Settings!$B$23,1)))</f>
      </c>
      <c r="O973">
        <f>IF($J973="",0,($M973-$L973+IF($A973=2,$H973,0))*$N973)</f>
      </c>
      <c r="P973">
        <f>IF($J973="",0,IF($A973=2,$H973*$N973,0))</f>
      </c>
    </row>
    <row r="974" spans="1:16"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c r="N974">
        <f>IF($E974="SGD",1,IF($E974="USD",Settings!$B$22,IF($E974="HKD",Settings!$B$23,1)))</f>
      </c>
      <c r="O974">
        <f>IF($J974="",0,($M974-$L974+IF($A974=2,$H974,0))*$N974)</f>
      </c>
      <c r="P974">
        <f>IF($J974="",0,IF($A974=2,$H974*$N974,0))</f>
      </c>
    </row>
    <row r="975" spans="1:16"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c r="N975">
        <f>IF($E975="SGD",1,IF($E975="USD",Settings!$B$22,IF($E975="HKD",Settings!$B$23,1)))</f>
      </c>
      <c r="O975">
        <f>IF($J975="",0,($M975-$L975+IF($A975=2,$H975,0))*$N975)</f>
      </c>
      <c r="P975">
        <f>IF($J975="",0,IF($A975=2,$H975*$N975,0))</f>
      </c>
    </row>
    <row r="976" spans="1:16"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c r="N976">
        <f>IF($E976="SGD",1,IF($E976="USD",Settings!$B$22,IF($E976="HKD",Settings!$B$23,1)))</f>
      </c>
      <c r="O976">
        <f>IF($J976="",0,($M976-$L976+IF($A976=2,$H976,0))*$N976)</f>
      </c>
      <c r="P976">
        <f>IF($J976="",0,IF($A976=2,$H976*$N976,0))</f>
      </c>
    </row>
    <row r="977" spans="1:16"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c r="N977">
        <f>IF($E977="SGD",1,IF($E977="USD",Settings!$B$22,IF($E977="HKD",Settings!$B$23,1)))</f>
      </c>
      <c r="O977">
        <f>IF($J977="",0,($M977-$L977+IF($A977=2,$H977,0))*$N977)</f>
      </c>
      <c r="P977">
        <f>IF($J977="",0,IF($A977=2,$H977*$N977,0))</f>
      </c>
    </row>
    <row r="978" spans="1:16"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c r="N978">
        <f>IF($E978="SGD",1,IF($E978="USD",Settings!$B$22,IF($E978="HKD",Settings!$B$23,1)))</f>
      </c>
      <c r="O978">
        <f>IF($J978="",0,($M978-$L978+IF($A978=2,$H978,0))*$N978)</f>
      </c>
      <c r="P978">
        <f>IF($J978="",0,IF($A978=2,$H978*$N978,0))</f>
      </c>
    </row>
    <row r="979" spans="1:16"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c r="N979">
        <f>IF($E979="SGD",1,IF($E979="USD",Settings!$B$22,IF($E979="HKD",Settings!$B$23,1)))</f>
      </c>
      <c r="O979">
        <f>IF($J979="",0,($M979-$L979+IF($A979=2,$H979,0))*$N979)</f>
      </c>
      <c r="P979">
        <f>IF($J979="",0,IF($A979=2,$H979*$N979,0))</f>
      </c>
    </row>
    <row r="980" spans="1:16"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c r="N980">
        <f>IF($E980="SGD",1,IF($E980="USD",Settings!$B$22,IF($E980="HKD",Settings!$B$23,1)))</f>
      </c>
      <c r="O980">
        <f>IF($J980="",0,($M980-$L980+IF($A980=2,$H980,0))*$N980)</f>
      </c>
      <c r="P980">
        <f>IF($J980="",0,IF($A980=2,$H980*$N980,0))</f>
      </c>
    </row>
    <row r="981" spans="1:16"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c r="N981">
        <f>IF($E981="SGD",1,IF($E981="USD",Settings!$B$22,IF($E981="HKD",Settings!$B$23,1)))</f>
      </c>
      <c r="O981">
        <f>IF($J981="",0,($M981-$L981+IF($A981=2,$H981,0))*$N981)</f>
      </c>
      <c r="P981">
        <f>IF($J981="",0,IF($A981=2,$H981*$N981,0))</f>
      </c>
    </row>
    <row r="982" spans="1:16"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c r="N982">
        <f>IF($E982="SGD",1,IF($E982="USD",Settings!$B$22,IF($E982="HKD",Settings!$B$23,1)))</f>
      </c>
      <c r="O982">
        <f>IF($J982="",0,($M982-$L982+IF($A982=2,$H982,0))*$N982)</f>
      </c>
      <c r="P982">
        <f>IF($J982="",0,IF($A982=2,$H982*$N982,0))</f>
      </c>
    </row>
    <row r="983" spans="1:16"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c r="N983">
        <f>IF($E983="SGD",1,IF($E983="USD",Settings!$B$22,IF($E983="HKD",Settings!$B$23,1)))</f>
      </c>
      <c r="O983">
        <f>IF($J983="",0,($M983-$L983+IF($A983=2,$H983,0))*$N983)</f>
      </c>
      <c r="P983">
        <f>IF($J983="",0,IF($A983=2,$H983*$N983,0))</f>
      </c>
    </row>
    <row r="984" spans="1:16"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c r="N984">
        <f>IF($E984="SGD",1,IF($E984="USD",Settings!$B$22,IF($E984="HKD",Settings!$B$23,1)))</f>
      </c>
      <c r="O984">
        <f>IF($J984="",0,($M984-$L984+IF($A984=2,$H984,0))*$N984)</f>
      </c>
      <c r="P984">
        <f>IF($J984="",0,IF($A984=2,$H984*$N984,0))</f>
      </c>
    </row>
    <row r="985" spans="1:16"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c r="N985">
        <f>IF($E985="SGD",1,IF($E985="USD",Settings!$B$22,IF($E985="HKD",Settings!$B$23,1)))</f>
      </c>
      <c r="O985">
        <f>IF($J985="",0,($M985-$L985+IF($A985=2,$H985,0))*$N985)</f>
      </c>
      <c r="P985">
        <f>IF($J985="",0,IF($A985=2,$H985*$N985,0))</f>
      </c>
    </row>
    <row r="986" spans="1:16"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c r="N986">
        <f>IF($E986="SGD",1,IF($E986="USD",Settings!$B$22,IF($E986="HKD",Settings!$B$23,1)))</f>
      </c>
      <c r="O986">
        <f>IF($J986="",0,($M986-$L986+IF($A986=2,$H986,0))*$N986)</f>
      </c>
      <c r="P986">
        <f>IF($J986="",0,IF($A986=2,$H986*$N986,0))</f>
      </c>
    </row>
    <row r="987" spans="1:16"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c r="N987">
        <f>IF($E987="SGD",1,IF($E987="USD",Settings!$B$22,IF($E987="HKD",Settings!$B$23,1)))</f>
      </c>
      <c r="O987">
        <f>IF($J987="",0,($M987-$L987+IF($A987=2,$H987,0))*$N987)</f>
      </c>
      <c r="P987">
        <f>IF($J987="",0,IF($A987=2,$H987*$N987,0))</f>
      </c>
    </row>
    <row r="988" spans="1:16"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c r="N988">
        <f>IF($E988="SGD",1,IF($E988="USD",Settings!$B$22,IF($E988="HKD",Settings!$B$23,1)))</f>
      </c>
      <c r="O988">
        <f>IF($J988="",0,($M988-$L988+IF($A988=2,$H988,0))*$N988)</f>
      </c>
      <c r="P988">
        <f>IF($J988="",0,IF($A988=2,$H988*$N988,0))</f>
      </c>
    </row>
    <row r="989" spans="1:16"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c r="N989">
        <f>IF($E989="SGD",1,IF($E989="USD",Settings!$B$22,IF($E989="HKD",Settings!$B$23,1)))</f>
      </c>
      <c r="O989">
        <f>IF($J989="",0,($M989-$L989+IF($A989=2,$H989,0))*$N989)</f>
      </c>
      <c r="P989">
        <f>IF($J989="",0,IF($A989=2,$H989*$N989,0))</f>
      </c>
    </row>
    <row r="990" spans="1:16"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c r="N990">
        <f>IF($E990="SGD",1,IF($E990="USD",Settings!$B$22,IF($E990="HKD",Settings!$B$23,1)))</f>
      </c>
      <c r="O990">
        <f>IF($J990="",0,($M990-$L990+IF($A990=2,$H990,0))*$N990)</f>
      </c>
      <c r="P990">
        <f>IF($J990="",0,IF($A990=2,$H990*$N990,0))</f>
      </c>
    </row>
    <row r="991" spans="1:16"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c r="N991">
        <f>IF($E991="SGD",1,IF($E991="USD",Settings!$B$22,IF($E991="HKD",Settings!$B$23,1)))</f>
      </c>
      <c r="O991">
        <f>IF($J991="",0,($M991-$L991+IF($A991=2,$H991,0))*$N991)</f>
      </c>
      <c r="P991">
        <f>IF($J991="",0,IF($A991=2,$H991*$N991,0))</f>
      </c>
    </row>
    <row r="992" spans="1:16"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c r="N992">
        <f>IF($E992="SGD",1,IF($E992="USD",Settings!$B$22,IF($E992="HKD",Settings!$B$23,1)))</f>
      </c>
      <c r="O992">
        <f>IF($J992="",0,($M992-$L992+IF($A992=2,$H992,0))*$N992)</f>
      </c>
      <c r="P992">
        <f>IF($J992="",0,IF($A992=2,$H992*$N992,0))</f>
      </c>
    </row>
    <row r="993" spans="1:16"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c r="N993">
        <f>IF($E993="SGD",1,IF($E993="USD",Settings!$B$22,IF($E993="HKD",Settings!$B$23,1)))</f>
      </c>
      <c r="O993">
        <f>IF($J993="",0,($M993-$L993+IF($A993=2,$H993,0))*$N993)</f>
      </c>
      <c r="P993">
        <f>IF($J993="",0,IF($A993=2,$H993*$N993,0))</f>
      </c>
    </row>
    <row r="994" spans="1:16"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c r="N994">
        <f>IF($E994="SGD",1,IF($E994="USD",Settings!$B$22,IF($E994="HKD",Settings!$B$23,1)))</f>
      </c>
      <c r="O994">
        <f>IF($J994="",0,($M994-$L994+IF($A994=2,$H994,0))*$N994)</f>
      </c>
      <c r="P994">
        <f>IF($J994="",0,IF($A994=2,$H994*$N994,0))</f>
      </c>
    </row>
    <row r="995" spans="1:16"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c r="N995">
        <f>IF($E995="SGD",1,IF($E995="USD",Settings!$B$22,IF($E995="HKD",Settings!$B$23,1)))</f>
      </c>
      <c r="O995">
        <f>IF($J995="",0,($M995-$L995+IF($A995=2,$H995,0))*$N995)</f>
      </c>
      <c r="P995">
        <f>IF($J995="",0,IF($A995=2,$H995*$N995,0))</f>
      </c>
    </row>
    <row r="996" spans="1:16"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c r="N996">
        <f>IF($E996="SGD",1,IF($E996="USD",Settings!$B$22,IF($E996="HKD",Settings!$B$23,1)))</f>
      </c>
      <c r="O996">
        <f>IF($J996="",0,($M996-$L996+IF($A996=2,$H996,0))*$N996)</f>
      </c>
      <c r="P996">
        <f>IF($J996="",0,IF($A996=2,$H996*$N996,0))</f>
      </c>
    </row>
    <row r="997" spans="1:16"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c r="N997">
        <f>IF($E997="SGD",1,IF($E997="USD",Settings!$B$22,IF($E997="HKD",Settings!$B$23,1)))</f>
      </c>
      <c r="O997">
        <f>IF($J997="",0,($M997-$L997+IF($A997=2,$H997,0))*$N997)</f>
      </c>
      <c r="P997">
        <f>IF($J997="",0,IF($A997=2,$H997*$N997,0))</f>
      </c>
    </row>
    <row r="998" spans="1:16"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c r="N998">
        <f>IF($E998="SGD",1,IF($E998="USD",Settings!$B$22,IF($E998="HKD",Settings!$B$23,1)))</f>
      </c>
      <c r="O998">
        <f>IF($J998="",0,($M998-$L998+IF($A998=2,$H998,0))*$N998)</f>
      </c>
      <c r="P998">
        <f>IF($J998="",0,IF($A998=2,$H998*$N998,0))</f>
      </c>
    </row>
    <row r="999" spans="1:16"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c r="N999">
        <f>IF($E999="SGD",1,IF($E999="USD",Settings!$B$22,IF($E999="HKD",Settings!$B$23,1)))</f>
      </c>
      <c r="O999">
        <f>IF($J999="",0,($M999-$L999+IF($A999=2,$H999,0))*$N999)</f>
      </c>
      <c r="P999">
        <f>IF($J999="",0,IF($A999=2,$H999*$N999,0))</f>
      </c>
    </row>
    <row r="1000" spans="1:16"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c r="N1000">
        <f>IF($E1000="SGD",1,IF($E1000="USD",Settings!$B$22,IF($E1000="HKD",Settings!$B$23,1)))</f>
      </c>
      <c r="O1000">
        <f>IF($J1000="",0,($M1000-$L1000+IF($A1000=2,$H1000,0))*$N1000)</f>
      </c>
      <c r="P1000">
        <f>IF($J1000="",0,IF($A1000=2,$H1000*$N1000,0))</f>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row>
    <row r="2" spans="1:17"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row>
    <row r="3" spans="1:17"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SUM(Txn[Dividend SGD])</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SUM(Txn[Dividend SGD])</f>
        <v>1090</v>
      </c>
      <c r="F5" s="284" t="s">
        <v>508</v>
      </c>
    </row>
    <row r="7" spans="1:6" ht="15" customHeight="1" x14ac:dyDescent="0.15">
      <c r="A7" s="33" t="s">
        <v>509</v>
      </c>
    </row>
    <row r="8" spans="1:6" ht="15" customHeight="1" x14ac:dyDescent="0.15">
      <c r="A8" s="285"/>
      <c r="B8" s="48"/>
      <c r="C8" s="30"/>
      <c r="D8" s="112"/>
      <c r="E8" s="30" t="str">
        <f>IF($A8="","",SUMIFS(Txn[Dividend SGD],Txn[Date of transaction (YYYY-MM-DD)],"&lt;="&amp;$A8))</f>
        <v/>
      </c>
    </row>
    <row r="9" spans="1:6" ht="15" customHeight="1" x14ac:dyDescent="0.15">
      <c r="A9" s="285"/>
      <c r="B9" s="48"/>
      <c r="C9" s="30" t="str">
        <f>IF(OR($A9="",NOT(ISNUMBER($A8))),"",-SUMIFS(Txn[Flow SGD],Txn[Date of transaction (YYYY-MM-DD)],"&gt;"&amp;$A8,Txn[Date of transaction (YYYY-MM-DD)],"&lt;="&amp;$A9))</f>
        <v/>
      </c>
      <c r="D9" s="112" t="str">
        <f t="shared" ref="D9:D40" si="0">IF(OR($C9="",$B9="",$B8=""),"",IFERROR(($B9-$B8-$C9)/$B8,""))</f>
        <v/>
      </c>
      <c r="E9" s="30" t="str">
        <f>IF($A9="","",SUMIFS(Txn[Dividend SGD],Txn[Date of transaction (YYYY-MM-DD)],"&lt;="&amp;$A9))</f>
        <v/>
      </c>
    </row>
    <row r="10" spans="1:6" ht="15" customHeight="1" x14ac:dyDescent="0.15">
      <c r="A10" s="285"/>
      <c r="B10" s="48"/>
      <c r="C10" s="30" t="str">
        <f>IF(OR($A10="",NOT(ISNUMBER($A9))),"",-SUMIFS(Txn[Flow SGD],Txn[Date of transaction (YYYY-MM-DD)],"&gt;"&amp;$A9,Txn[Date of transaction (YYYY-MM-DD)],"&lt;="&amp;$A10))</f>
        <v/>
      </c>
      <c r="D10" s="112" t="str">
        <f t="shared" si="0"/>
        <v/>
      </c>
      <c r="E10" s="30" t="str">
        <f>IF($A10="","",SUMIFS(Txn[Dividend SGD],Txn[Date of transaction (YYYY-MM-DD)],"&lt;="&amp;$A10))</f>
        <v/>
      </c>
    </row>
    <row r="11" spans="1:6" ht="15" customHeight="1" x14ac:dyDescent="0.15">
      <c r="A11" s="285"/>
      <c r="B11" s="48"/>
      <c r="C11" s="30" t="str">
        <f>IF(OR($A11="",NOT(ISNUMBER($A10))),"",-SUMIFS(Txn[Flow SGD],Txn[Date of transaction (YYYY-MM-DD)],"&gt;"&amp;$A10,Txn[Date of transaction (YYYY-MM-DD)],"&lt;="&amp;$A11))</f>
        <v/>
      </c>
      <c r="D11" s="112" t="str">
        <f t="shared" si="0"/>
        <v/>
      </c>
      <c r="E11" s="30" t="str">
        <f>IF($A11="","",SUMIFS(Txn[Dividend SGD],Txn[Date of transaction (YYYY-MM-DD)],"&lt;="&amp;$A11))</f>
        <v/>
      </c>
    </row>
    <row r="12" spans="1:6" ht="15" customHeight="1" x14ac:dyDescent="0.15">
      <c r="A12" s="285"/>
      <c r="B12" s="48"/>
      <c r="C12" s="30" t="str">
        <f>IF(OR($A12="",NOT(ISNUMBER($A11))),"",-SUMIFS(Txn[Flow SGD],Txn[Date of transaction (YYYY-MM-DD)],"&gt;"&amp;$A11,Txn[Date of transaction (YYYY-MM-DD)],"&lt;="&amp;$A12))</f>
        <v/>
      </c>
      <c r="D12" s="112" t="str">
        <f t="shared" si="0"/>
        <v/>
      </c>
      <c r="E12" s="30" t="str">
        <f>IF($A12="","",SUMIFS(Txn[Dividend SGD],Txn[Date of transaction (YYYY-MM-DD)],"&lt;="&amp;$A12))</f>
        <v/>
      </c>
    </row>
    <row r="13" spans="1:6" ht="15" customHeight="1" x14ac:dyDescent="0.15">
      <c r="A13" s="285"/>
      <c r="B13" s="48"/>
      <c r="C13" s="30" t="str">
        <f>IF(OR($A13="",NOT(ISNUMBER($A12))),"",-SUMIFS(Txn[Flow SGD],Txn[Date of transaction (YYYY-MM-DD)],"&gt;"&amp;$A12,Txn[Date of transaction (YYYY-MM-DD)],"&lt;="&amp;$A13))</f>
        <v/>
      </c>
      <c r="D13" s="112" t="str">
        <f t="shared" si="0"/>
        <v/>
      </c>
      <c r="E13" s="30" t="str">
        <f>IF($A13="","",SUMIFS(Txn[Dividend SGD],Txn[Date of transaction (YYYY-MM-DD)],"&lt;="&amp;$A13))</f>
        <v/>
      </c>
    </row>
    <row r="14" spans="1:6" ht="15" customHeight="1" x14ac:dyDescent="0.15">
      <c r="A14" s="285"/>
      <c r="B14" s="48"/>
      <c r="C14" s="30" t="str">
        <f>IF(OR($A14="",NOT(ISNUMBER($A13))),"",-SUMIFS(Txn[Flow SGD],Txn[Date of transaction (YYYY-MM-DD)],"&gt;"&amp;$A13,Txn[Date of transaction (YYYY-MM-DD)],"&lt;="&amp;$A14))</f>
        <v/>
      </c>
      <c r="D14" s="112" t="str">
        <f t="shared" si="0"/>
        <v/>
      </c>
      <c r="E14" s="30" t="str">
        <f>IF($A14="","",SUMIFS(Txn[Dividend SGD],Txn[Date of transaction (YYYY-MM-DD)],"&lt;="&amp;$A14))</f>
        <v/>
      </c>
    </row>
    <row r="15" spans="1:6" ht="15" customHeight="1" x14ac:dyDescent="0.15">
      <c r="A15" s="285"/>
      <c r="B15" s="48"/>
      <c r="C15" s="30" t="str">
        <f>IF(OR($A15="",NOT(ISNUMBER($A14))),"",-SUMIFS(Txn[Flow SGD],Txn[Date of transaction (YYYY-MM-DD)],"&gt;"&amp;$A14,Txn[Date of transaction (YYYY-MM-DD)],"&lt;="&amp;$A15))</f>
        <v/>
      </c>
      <c r="D15" s="112" t="str">
        <f t="shared" si="0"/>
        <v/>
      </c>
      <c r="E15" s="30" t="str">
        <f>IF($A15="","",SUMIFS(Txn[Dividend SGD],Txn[Date of transaction (YYYY-MM-DD)],"&lt;="&amp;$A15))</f>
        <v/>
      </c>
    </row>
    <row r="16" spans="1:6" ht="15" customHeight="1" x14ac:dyDescent="0.15">
      <c r="A16" s="285"/>
      <c r="B16" s="48"/>
      <c r="C16" s="30" t="str">
        <f>IF(OR($A16="",NOT(ISNUMBER($A15))),"",-SUMIFS(Txn[Flow SGD],Txn[Date of transaction (YYYY-MM-DD)],"&gt;"&amp;$A15,Txn[Date of transaction (YYYY-MM-DD)],"&lt;="&amp;$A16))</f>
        <v/>
      </c>
      <c r="D16" s="112" t="str">
        <f t="shared" si="0"/>
        <v/>
      </c>
      <c r="E16" s="30" t="str">
        <f>IF($A16="","",SUMIFS(Txn[Dividend SGD],Txn[Date of transaction (YYYY-MM-DD)],"&lt;="&amp;$A16))</f>
        <v/>
      </c>
    </row>
    <row r="17" spans="1:5" ht="15" customHeight="1" x14ac:dyDescent="0.15">
      <c r="A17" s="285"/>
      <c r="B17" s="48"/>
      <c r="C17" s="30" t="str">
        <f>IF(OR($A17="",NOT(ISNUMBER($A16))),"",-SUMIFS(Txn[Flow SGD],Txn[Date of transaction (YYYY-MM-DD)],"&gt;"&amp;$A16,Txn[Date of transaction (YYYY-MM-DD)],"&lt;="&amp;$A17))</f>
        <v/>
      </c>
      <c r="D17" s="112" t="str">
        <f t="shared" si="0"/>
        <v/>
      </c>
      <c r="E17" s="30" t="str">
        <f>IF($A17="","",SUMIFS(Txn[Dividend SGD],Txn[Date of transaction (YYYY-MM-DD)],"&lt;="&amp;$A17))</f>
        <v/>
      </c>
    </row>
    <row r="18" spans="1:5" ht="15" customHeight="1" x14ac:dyDescent="0.15">
      <c r="A18" s="285"/>
      <c r="B18" s="48"/>
      <c r="C18" s="30" t="str">
        <f>IF(OR($A18="",NOT(ISNUMBER($A17))),"",-SUMIFS(Txn[Flow SGD],Txn[Date of transaction (YYYY-MM-DD)],"&gt;"&amp;$A17,Txn[Date of transaction (YYYY-MM-DD)],"&lt;="&amp;$A18))</f>
        <v/>
      </c>
      <c r="D18" s="112" t="str">
        <f t="shared" si="0"/>
        <v/>
      </c>
      <c r="E18" s="30" t="str">
        <f>IF($A18="","",SUMIFS(Txn[Dividend SGD],Txn[Date of transaction (YYYY-MM-DD)],"&lt;="&amp;$A18))</f>
        <v/>
      </c>
    </row>
    <row r="19" spans="1:5" ht="15" customHeight="1" x14ac:dyDescent="0.15">
      <c r="A19" s="285"/>
      <c r="B19" s="48"/>
      <c r="C19" s="30" t="str">
        <f>IF(OR($A19="",NOT(ISNUMBER($A18))),"",-SUMIFS(Txn[Flow SGD],Txn[Date of transaction (YYYY-MM-DD)],"&gt;"&amp;$A18,Txn[Date of transaction (YYYY-MM-DD)],"&lt;="&amp;$A19))</f>
        <v/>
      </c>
      <c r="D19" s="112" t="str">
        <f t="shared" si="0"/>
        <v/>
      </c>
      <c r="E19" s="30" t="str">
        <f>IF($A19="","",SUMIFS(Txn[Dividend SGD],Txn[Date of transaction (YYYY-MM-DD)],"&lt;="&amp;$A19))</f>
        <v/>
      </c>
    </row>
    <row r="20" spans="1:5" ht="15" customHeight="1" x14ac:dyDescent="0.15">
      <c r="A20" s="285"/>
      <c r="B20" s="48"/>
      <c r="C20" s="30" t="str">
        <f>IF(OR($A20="",NOT(ISNUMBER($A19))),"",-SUMIFS(Txn[Flow SGD],Txn[Date of transaction (YYYY-MM-DD)],"&gt;"&amp;$A19,Txn[Date of transaction (YYYY-MM-DD)],"&lt;="&amp;$A20))</f>
        <v/>
      </c>
      <c r="D20" s="112" t="str">
        <f t="shared" si="0"/>
        <v/>
      </c>
      <c r="E20" s="30" t="str">
        <f>IF($A20="","",SUMIFS(Txn[Dividend SGD],Txn[Date of transaction (YYYY-MM-DD)],"&lt;="&amp;$A20))</f>
        <v/>
      </c>
    </row>
    <row r="21" spans="1:5" ht="15" customHeight="1" x14ac:dyDescent="0.15">
      <c r="A21" s="285"/>
      <c r="B21" s="48"/>
      <c r="C21" s="30" t="str">
        <f>IF(OR($A21="",NOT(ISNUMBER($A20))),"",-SUMIFS(Txn[Flow SGD],Txn[Date of transaction (YYYY-MM-DD)],"&gt;"&amp;$A20,Txn[Date of transaction (YYYY-MM-DD)],"&lt;="&amp;$A21))</f>
        <v/>
      </c>
      <c r="D21" s="112" t="str">
        <f t="shared" si="0"/>
        <v/>
      </c>
      <c r="E21" s="30" t="str">
        <f>IF($A21="","",SUMIFS(Txn[Dividend SGD],Txn[Date of transaction (YYYY-MM-DD)],"&lt;="&amp;$A21))</f>
        <v/>
      </c>
    </row>
    <row r="22" spans="1:5" ht="15" customHeight="1" x14ac:dyDescent="0.15">
      <c r="A22" s="285"/>
      <c r="B22" s="48"/>
      <c r="C22" s="30" t="str">
        <f>IF(OR($A22="",NOT(ISNUMBER($A21))),"",-SUMIFS(Txn[Flow SGD],Txn[Date of transaction (YYYY-MM-DD)],"&gt;"&amp;$A21,Txn[Date of transaction (YYYY-MM-DD)],"&lt;="&amp;$A22))</f>
        <v/>
      </c>
      <c r="D22" s="112" t="str">
        <f t="shared" si="0"/>
        <v/>
      </c>
      <c r="E22" s="30" t="str">
        <f>IF($A22="","",SUMIFS(Txn[Dividend SGD],Txn[Date of transaction (YYYY-MM-DD)],"&lt;="&amp;$A22))</f>
        <v/>
      </c>
    </row>
    <row r="23" spans="1:5" ht="15" customHeight="1" x14ac:dyDescent="0.15">
      <c r="A23" s="285"/>
      <c r="B23" s="48"/>
      <c r="C23" s="30" t="str">
        <f>IF(OR($A23="",NOT(ISNUMBER($A22))),"",-SUMIFS(Txn[Flow SGD],Txn[Date of transaction (YYYY-MM-DD)],"&gt;"&amp;$A22,Txn[Date of transaction (YYYY-MM-DD)],"&lt;="&amp;$A23))</f>
        <v/>
      </c>
      <c r="D23" s="112" t="str">
        <f t="shared" si="0"/>
        <v/>
      </c>
      <c r="E23" s="30" t="str">
        <f>IF($A23="","",SUMIFS(Txn[Dividend SGD],Txn[Date of transaction (YYYY-MM-DD)],"&lt;="&amp;$A23))</f>
        <v/>
      </c>
    </row>
    <row r="24" spans="1:5" ht="15" customHeight="1" x14ac:dyDescent="0.15">
      <c r="A24" s="285"/>
      <c r="B24" s="48"/>
      <c r="C24" s="30" t="str">
        <f>IF(OR($A24="",NOT(ISNUMBER($A23))),"",-SUMIFS(Txn[Flow SGD],Txn[Date of transaction (YYYY-MM-DD)],"&gt;"&amp;$A23,Txn[Date of transaction (YYYY-MM-DD)],"&lt;="&amp;$A24))</f>
        <v/>
      </c>
      <c r="D24" s="112" t="str">
        <f t="shared" si="0"/>
        <v/>
      </c>
      <c r="E24" s="30" t="str">
        <f>IF($A24="","",SUMIFS(Txn[Dividend SGD],Txn[Date of transaction (YYYY-MM-DD)],"&lt;="&amp;$A24))</f>
        <v/>
      </c>
    </row>
    <row r="25" spans="1:5" ht="15" customHeight="1" x14ac:dyDescent="0.15">
      <c r="A25" s="285"/>
      <c r="B25" s="48"/>
      <c r="C25" s="30" t="str">
        <f>IF(OR($A25="",NOT(ISNUMBER($A24))),"",-SUMIFS(Txn[Flow SGD],Txn[Date of transaction (YYYY-MM-DD)],"&gt;"&amp;$A24,Txn[Date of transaction (YYYY-MM-DD)],"&lt;="&amp;$A25))</f>
        <v/>
      </c>
      <c r="D25" s="112" t="str">
        <f t="shared" si="0"/>
        <v/>
      </c>
      <c r="E25" s="30" t="str">
        <f>IF($A25="","",SUMIFS(Txn[Dividend SGD],Txn[Date of transaction (YYYY-MM-DD)],"&lt;="&amp;$A25))</f>
        <v/>
      </c>
    </row>
    <row r="26" spans="1:5" ht="15" customHeight="1" x14ac:dyDescent="0.15">
      <c r="A26" s="285"/>
      <c r="B26" s="48"/>
      <c r="C26" s="30" t="str">
        <f>IF(OR($A26="",NOT(ISNUMBER($A25))),"",-SUMIFS(Txn[Flow SGD],Txn[Date of transaction (YYYY-MM-DD)],"&gt;"&amp;$A25,Txn[Date of transaction (YYYY-MM-DD)],"&lt;="&amp;$A26))</f>
        <v/>
      </c>
      <c r="D26" s="112" t="str">
        <f t="shared" si="0"/>
        <v/>
      </c>
      <c r="E26" s="30" t="str">
        <f>IF($A26="","",SUMIFS(Txn[Dividend SGD],Txn[Date of transaction (YYYY-MM-DD)],"&lt;="&amp;$A26))</f>
        <v/>
      </c>
    </row>
    <row r="27" spans="1:5" ht="15" customHeight="1" x14ac:dyDescent="0.15">
      <c r="A27" s="285"/>
      <c r="B27" s="48"/>
      <c r="C27" s="30" t="str">
        <f>IF(OR($A27="",NOT(ISNUMBER($A26))),"",-SUMIFS(Txn[Flow SGD],Txn[Date of transaction (YYYY-MM-DD)],"&gt;"&amp;$A26,Txn[Date of transaction (YYYY-MM-DD)],"&lt;="&amp;$A27))</f>
        <v/>
      </c>
      <c r="D27" s="112" t="str">
        <f t="shared" si="0"/>
        <v/>
      </c>
      <c r="E27" s="30" t="str">
        <f>IF($A27="","",SUMIFS(Txn[Dividend SGD],Txn[Date of transaction (YYYY-MM-DD)],"&lt;="&amp;$A27))</f>
        <v/>
      </c>
    </row>
    <row r="28" spans="1:5" ht="15" customHeight="1" x14ac:dyDescent="0.15">
      <c r="A28" s="285"/>
      <c r="B28" s="48"/>
      <c r="C28" s="30" t="str">
        <f>IF(OR($A28="",NOT(ISNUMBER($A27))),"",-SUMIFS(Txn[Flow SGD],Txn[Date of transaction (YYYY-MM-DD)],"&gt;"&amp;$A27,Txn[Date of transaction (YYYY-MM-DD)],"&lt;="&amp;$A28))</f>
        <v/>
      </c>
      <c r="D28" s="112" t="str">
        <f t="shared" si="0"/>
        <v/>
      </c>
      <c r="E28" s="30" t="str">
        <f>IF($A28="","",SUMIFS(Txn[Dividend SGD],Txn[Date of transaction (YYYY-MM-DD)],"&lt;="&amp;$A28))</f>
        <v/>
      </c>
    </row>
    <row r="29" spans="1:5" ht="15" customHeight="1" x14ac:dyDescent="0.15">
      <c r="A29" s="285"/>
      <c r="B29" s="48"/>
      <c r="C29" s="30" t="str">
        <f>IF(OR($A29="",NOT(ISNUMBER($A28))),"",-SUMIFS(Txn[Flow SGD],Txn[Date of transaction (YYYY-MM-DD)],"&gt;"&amp;$A28,Txn[Date of transaction (YYYY-MM-DD)],"&lt;="&amp;$A29))</f>
        <v/>
      </c>
      <c r="D29" s="112" t="str">
        <f t="shared" si="0"/>
        <v/>
      </c>
      <c r="E29" s="30" t="str">
        <f>IF($A29="","",SUMIFS(Txn[Dividend SGD],Txn[Date of transaction (YYYY-MM-DD)],"&lt;="&amp;$A29))</f>
        <v/>
      </c>
    </row>
    <row r="30" spans="1:5" ht="15" customHeight="1" x14ac:dyDescent="0.15">
      <c r="A30" s="285"/>
      <c r="B30" s="48"/>
      <c r="C30" s="30" t="str">
        <f>IF(OR($A30="",NOT(ISNUMBER($A29))),"",-SUMIFS(Txn[Flow SGD],Txn[Date of transaction (YYYY-MM-DD)],"&gt;"&amp;$A29,Txn[Date of transaction (YYYY-MM-DD)],"&lt;="&amp;$A30))</f>
        <v/>
      </c>
      <c r="D30" s="112" t="str">
        <f t="shared" si="0"/>
        <v/>
      </c>
      <c r="E30" s="30" t="str">
        <f>IF($A30="","",SUMIFS(Txn[Dividend SGD],Txn[Date of transaction (YYYY-MM-DD)],"&lt;="&amp;$A30))</f>
        <v/>
      </c>
    </row>
    <row r="31" spans="1:5" ht="15" customHeight="1" x14ac:dyDescent="0.15">
      <c r="A31" s="285"/>
      <c r="B31" s="48"/>
      <c r="C31" s="30" t="str">
        <f>IF(OR($A31="",NOT(ISNUMBER($A30))),"",-SUMIFS(Txn[Flow SGD],Txn[Date of transaction (YYYY-MM-DD)],"&gt;"&amp;$A30,Txn[Date of transaction (YYYY-MM-DD)],"&lt;="&amp;$A31))</f>
        <v/>
      </c>
      <c r="D31" s="112" t="str">
        <f t="shared" si="0"/>
        <v/>
      </c>
      <c r="E31" s="30" t="str">
        <f>IF($A31="","",SUMIFS(Txn[Dividend SGD],Txn[Date of transaction (YYYY-MM-DD)],"&lt;="&amp;$A31))</f>
        <v/>
      </c>
    </row>
    <row r="32" spans="1:5" ht="15" customHeight="1" x14ac:dyDescent="0.15">
      <c r="A32" s="285"/>
      <c r="B32" s="48"/>
      <c r="C32" s="30" t="str">
        <f>IF(OR($A32="",NOT(ISNUMBER($A31))),"",-SUMIFS(Txn[Flow SGD],Txn[Date of transaction (YYYY-MM-DD)],"&gt;"&amp;$A31,Txn[Date of transaction (YYYY-MM-DD)],"&lt;="&amp;$A32))</f>
        <v/>
      </c>
      <c r="D32" s="112" t="str">
        <f t="shared" si="0"/>
        <v/>
      </c>
      <c r="E32" s="30" t="str">
        <f>IF($A32="","",SUMIFS(Txn[Dividend SGD],Txn[Date of transaction (YYYY-MM-DD)],"&lt;="&amp;$A32))</f>
        <v/>
      </c>
    </row>
    <row r="33" spans="1:5" ht="15" customHeight="1" x14ac:dyDescent="0.15">
      <c r="A33" s="285"/>
      <c r="B33" s="48"/>
      <c r="C33" s="30" t="str">
        <f>IF(OR($A33="",NOT(ISNUMBER($A32))),"",-SUMIFS(Txn[Flow SGD],Txn[Date of transaction (YYYY-MM-DD)],"&gt;"&amp;$A32,Txn[Date of transaction (YYYY-MM-DD)],"&lt;="&amp;$A33))</f>
        <v/>
      </c>
      <c r="D33" s="112" t="str">
        <f t="shared" si="0"/>
        <v/>
      </c>
      <c r="E33" s="30" t="str">
        <f>IF($A33="","",SUMIFS(Txn[Dividend SGD],Txn[Date of transaction (YYYY-MM-DD)],"&lt;="&amp;$A33))</f>
        <v/>
      </c>
    </row>
    <row r="34" spans="1:5" ht="15" customHeight="1" x14ac:dyDescent="0.15">
      <c r="A34" s="285"/>
      <c r="B34" s="48"/>
      <c r="C34" s="30" t="str">
        <f>IF(OR($A34="",NOT(ISNUMBER($A33))),"",-SUMIFS(Txn[Flow SGD],Txn[Date of transaction (YYYY-MM-DD)],"&gt;"&amp;$A33,Txn[Date of transaction (YYYY-MM-DD)],"&lt;="&amp;$A34))</f>
        <v/>
      </c>
      <c r="D34" s="112" t="str">
        <f t="shared" si="0"/>
        <v/>
      </c>
      <c r="E34" s="30" t="str">
        <f>IF($A34="","",SUMIFS(Txn[Dividend SGD],Txn[Date of transaction (YYYY-MM-DD)],"&lt;="&amp;$A34))</f>
        <v/>
      </c>
    </row>
    <row r="35" spans="1:5" ht="15" customHeight="1" x14ac:dyDescent="0.15">
      <c r="A35" s="285"/>
      <c r="B35" s="48"/>
      <c r="C35" s="30" t="str">
        <f>IF(OR($A35="",NOT(ISNUMBER($A34))),"",-SUMIFS(Txn[Flow SGD],Txn[Date of transaction (YYYY-MM-DD)],"&gt;"&amp;$A34,Txn[Date of transaction (YYYY-MM-DD)],"&lt;="&amp;$A35))</f>
        <v/>
      </c>
      <c r="D35" s="112" t="str">
        <f t="shared" si="0"/>
        <v/>
      </c>
      <c r="E35" s="30" t="str">
        <f>IF($A35="","",SUMIFS(Txn[Dividend SGD],Txn[Date of transaction (YYYY-MM-DD)],"&lt;="&amp;$A35))</f>
        <v/>
      </c>
    </row>
    <row r="36" spans="1:5" ht="15" customHeight="1" x14ac:dyDescent="0.15">
      <c r="A36" s="285"/>
      <c r="B36" s="48"/>
      <c r="C36" s="30" t="str">
        <f>IF(OR($A36="",NOT(ISNUMBER($A35))),"",-SUMIFS(Txn[Flow SGD],Txn[Date of transaction (YYYY-MM-DD)],"&gt;"&amp;$A35,Txn[Date of transaction (YYYY-MM-DD)],"&lt;="&amp;$A36))</f>
        <v/>
      </c>
      <c r="D36" s="112" t="str">
        <f t="shared" si="0"/>
        <v/>
      </c>
      <c r="E36" s="30" t="str">
        <f>IF($A36="","",SUMIFS(Txn[Dividend SGD],Txn[Date of transaction (YYYY-MM-DD)],"&lt;="&amp;$A36))</f>
        <v/>
      </c>
    </row>
    <row r="37" spans="1:5" ht="15" customHeight="1" x14ac:dyDescent="0.15">
      <c r="A37" s="285"/>
      <c r="B37" s="48"/>
      <c r="C37" s="30" t="str">
        <f>IF(OR($A37="",NOT(ISNUMBER($A36))),"",-SUMIFS(Txn[Flow SGD],Txn[Date of transaction (YYYY-MM-DD)],"&gt;"&amp;$A36,Txn[Date of transaction (YYYY-MM-DD)],"&lt;="&amp;$A37))</f>
        <v/>
      </c>
      <c r="D37" s="112" t="str">
        <f t="shared" si="0"/>
        <v/>
      </c>
      <c r="E37" s="30" t="str">
        <f>IF($A37="","",SUMIFS(Txn[Dividend SGD],Txn[Date of transaction (YYYY-MM-DD)],"&lt;="&amp;$A37))</f>
        <v/>
      </c>
    </row>
    <row r="38" spans="1:5" ht="15" customHeight="1" x14ac:dyDescent="0.15">
      <c r="A38" s="285"/>
      <c r="B38" s="48"/>
      <c r="C38" s="30" t="str">
        <f>IF(OR($A38="",NOT(ISNUMBER($A37))),"",-SUMIFS(Txn[Flow SGD],Txn[Date of transaction (YYYY-MM-DD)],"&gt;"&amp;$A37,Txn[Date of transaction (YYYY-MM-DD)],"&lt;="&amp;$A38))</f>
        <v/>
      </c>
      <c r="D38" s="112" t="str">
        <f t="shared" si="0"/>
        <v/>
      </c>
      <c r="E38" s="30" t="str">
        <f>IF($A38="","",SUMIFS(Txn[Dividend SGD],Txn[Date of transaction (YYYY-MM-DD)],"&lt;="&amp;$A38))</f>
        <v/>
      </c>
    </row>
    <row r="39" spans="1:5" ht="15" customHeight="1" x14ac:dyDescent="0.15">
      <c r="A39" s="285"/>
      <c r="B39" s="48"/>
      <c r="C39" s="30" t="str">
        <f>IF(OR($A39="",NOT(ISNUMBER($A38))),"",-SUMIFS(Txn[Flow SGD],Txn[Date of transaction (YYYY-MM-DD)],"&gt;"&amp;$A38,Txn[Date of transaction (YYYY-MM-DD)],"&lt;="&amp;$A39))</f>
        <v/>
      </c>
      <c r="D39" s="112" t="str">
        <f t="shared" si="0"/>
        <v/>
      </c>
      <c r="E39" s="30" t="str">
        <f>IF($A39="","",SUMIFS(Txn[Dividend SGD],Txn[Date of transaction (YYYY-MM-DD)],"&lt;="&amp;$A39))</f>
        <v/>
      </c>
    </row>
    <row r="40" spans="1:5" ht="15" customHeight="1" x14ac:dyDescent="0.15">
      <c r="A40" s="285"/>
      <c r="B40" s="48"/>
      <c r="C40" s="30" t="str">
        <f>IF(OR($A40="",NOT(ISNUMBER($A39))),"",-SUMIFS(Txn[Flow SGD],Txn[Date of transaction (YYYY-MM-DD)],"&gt;"&amp;$A39,Txn[Date of transaction (YYYY-MM-DD)],"&lt;="&amp;$A40))</f>
        <v/>
      </c>
      <c r="D40" s="112" t="str">
        <f t="shared" si="0"/>
        <v/>
      </c>
      <c r="E40" s="30" t="str">
        <f>IF($A40="","",SUMIFS(Txn[Dividend SGD],Txn[Date of transaction (YYYY-MM-DD)],"&lt;="&amp;$A40))</f>
        <v/>
      </c>
    </row>
    <row r="41" spans="1:5" ht="15" customHeight="1" x14ac:dyDescent="0.15">
      <c r="A41" s="285"/>
      <c r="B41" s="48"/>
      <c r="C41" s="30" t="str">
        <f>IF(OR($A41="",NOT(ISNUMBER($A40))),"",-SUMIFS(Txn[Flow SGD],Txn[Date of transaction (YYYY-MM-DD)],"&gt;"&amp;$A40,Txn[Date of transaction (YYYY-MM-DD)],"&lt;="&amp;$A41))</f>
        <v/>
      </c>
      <c r="D41" s="112" t="str">
        <f t="shared" ref="D41:D60" si="1">IF(OR($C41="",$B41="",$B40=""),"",IFERROR(($B41-$B40-$C41)/$B40,""))</f>
        <v/>
      </c>
      <c r="E41" s="30" t="str">
        <f>IF($A41="","",SUMIFS(Txn[Dividend SGD],Txn[Date of transaction (YYYY-MM-DD)],"&lt;="&amp;$A41))</f>
        <v/>
      </c>
    </row>
    <row r="42" spans="1:5" ht="15" customHeight="1" x14ac:dyDescent="0.15">
      <c r="A42" s="285"/>
      <c r="B42" s="48"/>
      <c r="C42" s="30" t="str">
        <f>IF(OR($A42="",NOT(ISNUMBER($A41))),"",-SUMIFS(Txn[Flow SGD],Txn[Date of transaction (YYYY-MM-DD)],"&gt;"&amp;$A41,Txn[Date of transaction (YYYY-MM-DD)],"&lt;="&amp;$A42))</f>
        <v/>
      </c>
      <c r="D42" s="112" t="str">
        <f t="shared" si="1"/>
        <v/>
      </c>
      <c r="E42" s="30" t="str">
        <f>IF($A42="","",SUMIFS(Txn[Dividend SGD],Txn[Date of transaction (YYYY-MM-DD)],"&lt;="&amp;$A42))</f>
        <v/>
      </c>
    </row>
    <row r="43" spans="1:5" ht="15" customHeight="1" x14ac:dyDescent="0.15">
      <c r="A43" s="285"/>
      <c r="B43" s="48"/>
      <c r="C43" s="30" t="str">
        <f>IF(OR($A43="",NOT(ISNUMBER($A42))),"",-SUMIFS(Txn[Flow SGD],Txn[Date of transaction (YYYY-MM-DD)],"&gt;"&amp;$A42,Txn[Date of transaction (YYYY-MM-DD)],"&lt;="&amp;$A43))</f>
        <v/>
      </c>
      <c r="D43" s="112" t="str">
        <f t="shared" si="1"/>
        <v/>
      </c>
      <c r="E43" s="30" t="str">
        <f>IF($A43="","",SUMIFS(Txn[Dividend SGD],Txn[Date of transaction (YYYY-MM-DD)],"&lt;="&amp;$A43))</f>
        <v/>
      </c>
    </row>
    <row r="44" spans="1:5" ht="15" customHeight="1" x14ac:dyDescent="0.15">
      <c r="A44" s="285"/>
      <c r="B44" s="48"/>
      <c r="C44" s="30" t="str">
        <f>IF(OR($A44="",NOT(ISNUMBER($A43))),"",-SUMIFS(Txn[Flow SGD],Txn[Date of transaction (YYYY-MM-DD)],"&gt;"&amp;$A43,Txn[Date of transaction (YYYY-MM-DD)],"&lt;="&amp;$A44))</f>
        <v/>
      </c>
      <c r="D44" s="112" t="str">
        <f t="shared" si="1"/>
        <v/>
      </c>
      <c r="E44" s="30" t="str">
        <f>IF($A44="","",SUMIFS(Txn[Dividend SGD],Txn[Date of transaction (YYYY-MM-DD)],"&lt;="&amp;$A44))</f>
        <v/>
      </c>
    </row>
    <row r="45" spans="1:5" ht="15" customHeight="1" x14ac:dyDescent="0.15">
      <c r="A45" s="285"/>
      <c r="B45" s="48"/>
      <c r="C45" s="30" t="str">
        <f>IF(OR($A45="",NOT(ISNUMBER($A44))),"",-SUMIFS(Txn[Flow SGD],Txn[Date of transaction (YYYY-MM-DD)],"&gt;"&amp;$A44,Txn[Date of transaction (YYYY-MM-DD)],"&lt;="&amp;$A45))</f>
        <v/>
      </c>
      <c r="D45" s="112" t="str">
        <f t="shared" si="1"/>
        <v/>
      </c>
      <c r="E45" s="30" t="str">
        <f>IF($A45="","",SUMIFS(Txn[Dividend SGD],Txn[Date of transaction (YYYY-MM-DD)],"&lt;="&amp;$A45))</f>
        <v/>
      </c>
    </row>
    <row r="46" spans="1:5" ht="15" customHeight="1" x14ac:dyDescent="0.15">
      <c r="A46" s="285"/>
      <c r="B46" s="48"/>
      <c r="C46" s="30" t="str">
        <f>IF(OR($A46="",NOT(ISNUMBER($A45))),"",-SUMIFS(Txn[Flow SGD],Txn[Date of transaction (YYYY-MM-DD)],"&gt;"&amp;$A45,Txn[Date of transaction (YYYY-MM-DD)],"&lt;="&amp;$A46))</f>
        <v/>
      </c>
      <c r="D46" s="112" t="str">
        <f t="shared" si="1"/>
        <v/>
      </c>
      <c r="E46" s="30" t="str">
        <f>IF($A46="","",SUMIFS(Txn[Dividend SGD],Txn[Date of transaction (YYYY-MM-DD)],"&lt;="&amp;$A46))</f>
        <v/>
      </c>
    </row>
    <row r="47" spans="1:5" ht="15" customHeight="1" x14ac:dyDescent="0.15">
      <c r="A47" s="285"/>
      <c r="B47" s="48"/>
      <c r="C47" s="30" t="str">
        <f>IF(OR($A47="",NOT(ISNUMBER($A46))),"",-SUMIFS(Txn[Flow SGD],Txn[Date of transaction (YYYY-MM-DD)],"&gt;"&amp;$A46,Txn[Date of transaction (YYYY-MM-DD)],"&lt;="&amp;$A47))</f>
        <v/>
      </c>
      <c r="D47" s="112" t="str">
        <f t="shared" si="1"/>
        <v/>
      </c>
      <c r="E47" s="30" t="str">
        <f>IF($A47="","",SUMIFS(Txn[Dividend SGD],Txn[Date of transaction (YYYY-MM-DD)],"&lt;="&amp;$A47))</f>
        <v/>
      </c>
    </row>
    <row r="48" spans="1:5" ht="15" customHeight="1" x14ac:dyDescent="0.15">
      <c r="A48" s="285"/>
      <c r="B48" s="48"/>
      <c r="C48" s="30" t="str">
        <f>IF(OR($A48="",NOT(ISNUMBER($A47))),"",-SUMIFS(Txn[Flow SGD],Txn[Date of transaction (YYYY-MM-DD)],"&gt;"&amp;$A47,Txn[Date of transaction (YYYY-MM-DD)],"&lt;="&amp;$A48))</f>
        <v/>
      </c>
      <c r="D48" s="112" t="str">
        <f t="shared" si="1"/>
        <v/>
      </c>
      <c r="E48" s="30" t="str">
        <f>IF($A48="","",SUMIFS(Txn[Dividend SGD],Txn[Date of transaction (YYYY-MM-DD)],"&lt;="&amp;$A48))</f>
        <v/>
      </c>
    </row>
    <row r="49" spans="1:5" ht="15" customHeight="1" x14ac:dyDescent="0.15">
      <c r="A49" s="285"/>
      <c r="B49" s="48"/>
      <c r="C49" s="30" t="str">
        <f>IF(OR($A49="",NOT(ISNUMBER($A48))),"",-SUMIFS(Txn[Flow SGD],Txn[Date of transaction (YYYY-MM-DD)],"&gt;"&amp;$A48,Txn[Date of transaction (YYYY-MM-DD)],"&lt;="&amp;$A49))</f>
        <v/>
      </c>
      <c r="D49" s="112" t="str">
        <f t="shared" si="1"/>
        <v/>
      </c>
      <c r="E49" s="30" t="str">
        <f>IF($A49="","",SUMIFS(Txn[Dividend SGD],Txn[Date of transaction (YYYY-MM-DD)],"&lt;="&amp;$A49))</f>
        <v/>
      </c>
    </row>
    <row r="50" spans="1:5" ht="15" customHeight="1" x14ac:dyDescent="0.15">
      <c r="A50" s="285"/>
      <c r="B50" s="48"/>
      <c r="C50" s="30" t="str">
        <f>IF(OR($A50="",NOT(ISNUMBER($A49))),"",-SUMIFS(Txn[Flow SGD],Txn[Date of transaction (YYYY-MM-DD)],"&gt;"&amp;$A49,Txn[Date of transaction (YYYY-MM-DD)],"&lt;="&amp;$A50))</f>
        <v/>
      </c>
      <c r="D50" s="112" t="str">
        <f t="shared" si="1"/>
        <v/>
      </c>
      <c r="E50" s="30" t="str">
        <f>IF($A50="","",SUMIFS(Txn[Dividend SGD],Txn[Date of transaction (YYYY-MM-DD)],"&lt;="&amp;$A50))</f>
        <v/>
      </c>
    </row>
    <row r="51" spans="1:5" ht="15" customHeight="1" x14ac:dyDescent="0.15">
      <c r="A51" s="285"/>
      <c r="B51" s="48"/>
      <c r="C51" s="30" t="str">
        <f>IF(OR($A51="",NOT(ISNUMBER($A50))),"",-SUMIFS(Txn[Flow SGD],Txn[Date of transaction (YYYY-MM-DD)],"&gt;"&amp;$A50,Txn[Date of transaction (YYYY-MM-DD)],"&lt;="&amp;$A51))</f>
        <v/>
      </c>
      <c r="D51" s="112" t="str">
        <f t="shared" si="1"/>
        <v/>
      </c>
      <c r="E51" s="30" t="str">
        <f>IF($A51="","",SUMIFS(Txn[Dividend SGD],Txn[Date of transaction (YYYY-MM-DD)],"&lt;="&amp;$A51))</f>
        <v/>
      </c>
    </row>
    <row r="52" spans="1:5" ht="15" customHeight="1" x14ac:dyDescent="0.15">
      <c r="A52" s="285"/>
      <c r="B52" s="48"/>
      <c r="C52" s="30" t="str">
        <f>IF(OR($A52="",NOT(ISNUMBER($A51))),"",-SUMIFS(Txn[Flow SGD],Txn[Date of transaction (YYYY-MM-DD)],"&gt;"&amp;$A51,Txn[Date of transaction (YYYY-MM-DD)],"&lt;="&amp;$A52))</f>
        <v/>
      </c>
      <c r="D52" s="112" t="str">
        <f t="shared" si="1"/>
        <v/>
      </c>
      <c r="E52" s="30" t="str">
        <f>IF($A52="","",SUMIFS(Txn[Dividend SGD],Txn[Date of transaction (YYYY-MM-DD)],"&lt;="&amp;$A52))</f>
        <v/>
      </c>
    </row>
    <row r="53" spans="1:5" ht="15" customHeight="1" x14ac:dyDescent="0.15">
      <c r="A53" s="285"/>
      <c r="B53" s="48"/>
      <c r="C53" s="30" t="str">
        <f>IF(OR($A53="",NOT(ISNUMBER($A52))),"",-SUMIFS(Txn[Flow SGD],Txn[Date of transaction (YYYY-MM-DD)],"&gt;"&amp;$A52,Txn[Date of transaction (YYYY-MM-DD)],"&lt;="&amp;$A53))</f>
        <v/>
      </c>
      <c r="D53" s="112" t="str">
        <f t="shared" si="1"/>
        <v/>
      </c>
      <c r="E53" s="30" t="str">
        <f>IF($A53="","",SUMIFS(Txn[Dividend SGD],Txn[Date of transaction (YYYY-MM-DD)],"&lt;="&amp;$A53))</f>
        <v/>
      </c>
    </row>
    <row r="54" spans="1:5" ht="15" customHeight="1" x14ac:dyDescent="0.15">
      <c r="A54" s="285"/>
      <c r="B54" s="48"/>
      <c r="C54" s="30" t="str">
        <f>IF(OR($A54="",NOT(ISNUMBER($A53))),"",-SUMIFS(Txn[Flow SGD],Txn[Date of transaction (YYYY-MM-DD)],"&gt;"&amp;$A53,Txn[Date of transaction (YYYY-MM-DD)],"&lt;="&amp;$A54))</f>
        <v/>
      </c>
      <c r="D54" s="112" t="str">
        <f t="shared" si="1"/>
        <v/>
      </c>
      <c r="E54" s="30" t="str">
        <f>IF($A54="","",SUMIFS(Txn[Dividend SGD],Txn[Date of transaction (YYYY-MM-DD)],"&lt;="&amp;$A54))</f>
        <v/>
      </c>
    </row>
    <row r="55" spans="1:5" ht="15" customHeight="1" x14ac:dyDescent="0.15">
      <c r="A55" s="285"/>
      <c r="B55" s="48"/>
      <c r="C55" s="30" t="str">
        <f>IF(OR($A55="",NOT(ISNUMBER($A54))),"",-SUMIFS(Txn[Flow SGD],Txn[Date of transaction (YYYY-MM-DD)],"&gt;"&amp;$A54,Txn[Date of transaction (YYYY-MM-DD)],"&lt;="&amp;$A55))</f>
        <v/>
      </c>
      <c r="D55" s="112" t="str">
        <f t="shared" si="1"/>
        <v/>
      </c>
      <c r="E55" s="30" t="str">
        <f>IF($A55="","",SUMIFS(Txn[Dividend SGD],Txn[Date of transaction (YYYY-MM-DD)],"&lt;="&amp;$A55))</f>
        <v/>
      </c>
    </row>
    <row r="56" spans="1:5" ht="15" customHeight="1" x14ac:dyDescent="0.15">
      <c r="A56" s="285"/>
      <c r="B56" s="48"/>
      <c r="C56" s="30" t="str">
        <f>IF(OR($A56="",NOT(ISNUMBER($A55))),"",-SUMIFS(Txn[Flow SGD],Txn[Date of transaction (YYYY-MM-DD)],"&gt;"&amp;$A55,Txn[Date of transaction (YYYY-MM-DD)],"&lt;="&amp;$A56))</f>
        <v/>
      </c>
      <c r="D56" s="112" t="str">
        <f t="shared" si="1"/>
        <v/>
      </c>
      <c r="E56" s="30" t="str">
        <f>IF($A56="","",SUMIFS(Txn[Dividend SGD],Txn[Date of transaction (YYYY-MM-DD)],"&lt;="&amp;$A56))</f>
        <v/>
      </c>
    </row>
    <row r="57" spans="1:5" ht="15" customHeight="1" x14ac:dyDescent="0.15">
      <c r="A57" s="285"/>
      <c r="B57" s="48"/>
      <c r="C57" s="30" t="str">
        <f>IF(OR($A57="",NOT(ISNUMBER($A56))),"",-SUMIFS(Txn[Flow SGD],Txn[Date of transaction (YYYY-MM-DD)],"&gt;"&amp;$A56,Txn[Date of transaction (YYYY-MM-DD)],"&lt;="&amp;$A57))</f>
        <v/>
      </c>
      <c r="D57" s="112" t="str">
        <f t="shared" si="1"/>
        <v/>
      </c>
      <c r="E57" s="30" t="str">
        <f>IF($A57="","",SUMIFS(Txn[Dividend SGD],Txn[Date of transaction (YYYY-MM-DD)],"&lt;="&amp;$A57))</f>
        <v/>
      </c>
    </row>
    <row r="58" spans="1:5" ht="15" customHeight="1" x14ac:dyDescent="0.15">
      <c r="A58" s="285"/>
      <c r="B58" s="48"/>
      <c r="C58" s="30" t="str">
        <f>IF(OR($A58="",NOT(ISNUMBER($A57))),"",-SUMIFS(Txn[Flow SGD],Txn[Date of transaction (YYYY-MM-DD)],"&gt;"&amp;$A57,Txn[Date of transaction (YYYY-MM-DD)],"&lt;="&amp;$A58))</f>
        <v/>
      </c>
      <c r="D58" s="112" t="str">
        <f t="shared" si="1"/>
        <v/>
      </c>
      <c r="E58" s="30" t="str">
        <f>IF($A58="","",SUMIFS(Txn[Dividend SGD],Txn[Date of transaction (YYYY-MM-DD)],"&lt;="&amp;$A58))</f>
        <v/>
      </c>
    </row>
    <row r="59" spans="1:5" ht="15" customHeight="1" x14ac:dyDescent="0.15">
      <c r="A59" s="285"/>
      <c r="B59" s="48"/>
      <c r="C59" s="30" t="str">
        <f>IF(OR($A59="",NOT(ISNUMBER($A58))),"",-SUMIFS(Txn[Flow SGD],Txn[Date of transaction (YYYY-MM-DD)],"&gt;"&amp;$A58,Txn[Date of transaction (YYYY-MM-DD)],"&lt;="&amp;$A59))</f>
        <v/>
      </c>
      <c r="D59" s="112" t="str">
        <f t="shared" si="1"/>
        <v/>
      </c>
      <c r="E59" s="30" t="str">
        <f>IF($A59="","",SUMIFS(Txn[Dividend SGD],Txn[Date of transaction (YYYY-MM-DD)],"&lt;="&amp;$A59))</f>
        <v/>
      </c>
    </row>
    <row r="60" spans="1:5" ht="15" customHeight="1" x14ac:dyDescent="0.15">
      <c r="A60" s="285"/>
      <c r="B60" s="48"/>
      <c r="C60" s="30" t="str">
        <f>IF(OR($A60="",NOT(ISNUMBER($A59))),"",-SUMIFS(Txn[Flow SGD],Txn[Date of transaction (YYYY-MM-DD)],"&gt;"&amp;$A59,Txn[Date of transaction (YYYY-MM-DD)],"&lt;="&amp;$A60))</f>
        <v/>
      </c>
      <c r="D60" s="112" t="str">
        <f t="shared" si="1"/>
        <v/>
      </c>
      <c r="E60" s="30"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IFERROR(XIRR($F$10:$F$10010,$B$10:$B$10010,0.1),"n/a")</f>
        <v>7.5773295760154721E-2</v>
      </c>
    </row>
    <row r="4" spans="1:7" ht="15" customHeight="1" x14ac:dyDescent="0.15">
      <c r="A4" s="113" t="s">
        <v>488</v>
      </c>
      <c r="B4" s="130">
        <f>SUM(Txn[Dividend SGD])</f>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f>IF(INDEX(Transactions!$J:$J,ROW()-8)="","",INDEX(Transactions!$J:$J,ROW()-8))</f>
      </c>
      <c r="B10" s="297">
        <f>IF($A10="",TODAY(),INDEX(Transactions!$G:$G,ROW()-8))</f>
      </c>
      <c r="C10" s="298">
        <f>IF($A10="","",INDEX(Transactions!$A:$A,ROW()-8))</f>
      </c>
      <c r="D10" s="30">
        <f>IF($A10="",0,INDEX(Transactions!$H:$H,ROW()-8))</f>
      </c>
      <c r="E10" s="299">
        <f>IF($A10="",1,INDEX(Transactions!$N:$N,ROW()-8))</f>
        <v>1</v>
      </c>
      <c r="F10" s="30">
        <f>IF($A10="",0,INDEX(Transactions!$O:$O,ROW()-8))</f>
      </c>
      <c r="G10" s="30">
        <f>IF($A10="",0,INDEX(Transactions!$P:$P,ROW()-8))</f>
      </c>
    </row>
    <row r="11" spans="1:7" ht="15" customHeight="1" x14ac:dyDescent="0.15">
      <c r="A11">
        <f>IF(INDEX(Transactions!$J:$J,ROW()-8)="","",INDEX(Transactions!$J:$J,ROW()-8))</f>
      </c>
      <c r="B11" s="297">
        <f>IF($A11="",TODAY(),INDEX(Transactions!$G:$G,ROW()-8))</f>
      </c>
      <c r="C11" s="298">
        <f>IF($A11="","",INDEX(Transactions!$A:$A,ROW()-8))</f>
      </c>
      <c r="D11" s="30">
        <f>IF($A11="",0,INDEX(Transactions!$H:$H,ROW()-8))</f>
      </c>
      <c r="E11" s="299">
        <f>IF($A11="",1,INDEX(Transactions!$N:$N,ROW()-8))</f>
        <v>1</v>
      </c>
      <c r="F11" s="30">
        <f>IF($A11="",0,INDEX(Transactions!$O:$O,ROW()-8))</f>
      </c>
      <c r="G11" s="30">
        <f>IF($A11="",0,INDEX(Transactions!$P:$P,ROW()-8))</f>
      </c>
    </row>
    <row r="12" spans="1:7" ht="15" customHeight="1" x14ac:dyDescent="0.15">
      <c r="A12">
        <f>IF(INDEX(Transactions!$J:$J,ROW()-8)="","",INDEX(Transactions!$J:$J,ROW()-8))</f>
      </c>
      <c r="B12" s="297">
        <f>IF($A12="",TODAY(),INDEX(Transactions!$G:$G,ROW()-8))</f>
      </c>
      <c r="C12" s="298">
        <f>IF($A12="","",INDEX(Transactions!$A:$A,ROW()-8))</f>
      </c>
      <c r="D12" s="30">
        <f>IF($A12="",0,INDEX(Transactions!$H:$H,ROW()-8))</f>
      </c>
      <c r="E12" s="299">
        <f>IF($A12="",1,INDEX(Transactions!$N:$N,ROW()-8))</f>
        <v>1.2928081084924601</v>
      </c>
      <c r="F12" s="30">
        <f>IF($A12="",0,INDEX(Transactions!$O:$O,ROW()-8))</f>
      </c>
      <c r="G12" s="30">
        <f>IF($A12="",0,INDEX(Transactions!$P:$P,ROW()-8))</f>
      </c>
    </row>
    <row r="13" spans="1:7" ht="15" customHeight="1" x14ac:dyDescent="0.15">
      <c r="A13">
        <f>IF(INDEX(Transactions!$J:$J,ROW()-8)="","",INDEX(Transactions!$J:$J,ROW()-8))</f>
      </c>
      <c r="B13" s="297">
        <f>IF($A13="",TODAY(),INDEX(Transactions!$G:$G,ROW()-8))</f>
      </c>
      <c r="C13" s="298">
        <f>IF($A13="","",INDEX(Transactions!$A:$A,ROW()-8))</f>
      </c>
      <c r="D13" s="30">
        <f>IF($A13="",0,INDEX(Transactions!$H:$H,ROW()-8))</f>
      </c>
      <c r="E13" s="299">
        <f>IF($A13="",1,INDEX(Transactions!$N:$N,ROW()-8))</f>
        <v>1</v>
      </c>
      <c r="F13" s="30">
        <f>IF($A13="",0,INDEX(Transactions!$O:$O,ROW()-8))</f>
      </c>
      <c r="G13" s="30">
        <f>IF($A13="",0,INDEX(Transactions!$P:$P,ROW()-8))</f>
      </c>
    </row>
    <row r="14" spans="1:7" ht="15" customHeight="1" x14ac:dyDescent="0.15">
      <c r="A14">
        <f>IF(INDEX(Transactions!$J:$J,ROW()-8)="","",INDEX(Transactions!$J:$J,ROW()-8))</f>
      </c>
      <c r="B14" s="297">
        <f>IF($A14="",TODAY(),INDEX(Transactions!$G:$G,ROW()-8))</f>
      </c>
      <c r="C14" s="298">
        <f>IF($A14="","",INDEX(Transactions!$A:$A,ROW()-8))</f>
      </c>
      <c r="D14" s="30">
        <f>IF($A14="",0,INDEX(Transactions!$H:$H,ROW()-8))</f>
      </c>
      <c r="E14" s="299">
        <f>IF($A14="",1,INDEX(Transactions!$N:$N,ROW()-8))</f>
        <v>1.2928081084924601</v>
      </c>
      <c r="F14" s="30">
        <f>IF($A14="",0,INDEX(Transactions!$O:$O,ROW()-8))</f>
      </c>
      <c r="G14" s="30">
        <f>IF($A14="",0,INDEX(Transactions!$P:$P,ROW()-8))</f>
      </c>
    </row>
    <row r="15" spans="1:7" ht="15" customHeight="1" x14ac:dyDescent="0.15">
      <c r="A15">
        <f>IF(INDEX(Transactions!$J:$J,ROW()-8)="","",INDEX(Transactions!$J:$J,ROW()-8))</f>
      </c>
      <c r="B15" s="297">
        <f>IF($A15="",TODAY(),INDEX(Transactions!$G:$G,ROW()-8))</f>
      </c>
      <c r="C15" s="298">
        <f>IF($A15="","",INDEX(Transactions!$A:$A,ROW()-8))</f>
      </c>
      <c r="D15" s="30">
        <f>IF($A15="",0,INDEX(Transactions!$H:$H,ROW()-8))</f>
      </c>
      <c r="E15" s="299">
        <f>IF($A15="",1,INDEX(Transactions!$N:$N,ROW()-8))</f>
        <v>0.16489949375855401</v>
      </c>
      <c r="F15" s="30">
        <f>IF($A15="",0,INDEX(Transactions!$O:$O,ROW()-8))</f>
      </c>
      <c r="G15" s="30">
        <f>IF($A15="",0,INDEX(Transactions!$P:$P,ROW()-8))</f>
      </c>
    </row>
    <row r="16" spans="1:7" ht="15" customHeight="1" x14ac:dyDescent="0.15">
      <c r="A16">
        <f>IF(INDEX(Transactions!$J:$J,ROW()-8)="","",INDEX(Transactions!$J:$J,ROW()-8))</f>
      </c>
      <c r="B16" s="297">
        <f>IF($A16="",TODAY(),INDEX(Transactions!$G:$G,ROW()-8))</f>
      </c>
      <c r="C16" s="298">
        <f>IF($A16="","",INDEX(Transactions!$A:$A,ROW()-8))</f>
      </c>
      <c r="D16" s="30">
        <f>IF($A16="",0,INDEX(Transactions!$H:$H,ROW()-8))</f>
      </c>
      <c r="E16" s="299">
        <f>IF($A16="",1,INDEX(Transactions!$N:$N,ROW()-8))</f>
        <v>1.2928081084924601</v>
      </c>
      <c r="F16" s="30">
        <f>IF($A16="",0,INDEX(Transactions!$O:$O,ROW()-8))</f>
      </c>
      <c r="G16" s="30">
        <f>IF($A16="",0,INDEX(Transactions!$P:$P,ROW()-8))</f>
      </c>
    </row>
    <row r="17" spans="1:7" ht="15" customHeight="1" x14ac:dyDescent="0.15">
      <c r="A17">
        <f>IF(INDEX(Transactions!$J:$J,ROW()-8)="","",INDEX(Transactions!$J:$J,ROW()-8))</f>
      </c>
      <c r="B17" s="297">
        <f>IF($A17="",TODAY(),INDEX(Transactions!$G:$G,ROW()-8))</f>
      </c>
      <c r="C17" s="298">
        <f>IF($A17="","",INDEX(Transactions!$A:$A,ROW()-8))</f>
      </c>
      <c r="D17" s="30">
        <f>IF($A17="",0,INDEX(Transactions!$H:$H,ROW()-8))</f>
      </c>
      <c r="E17" s="299">
        <f>IF($A17="",1,INDEX(Transactions!$N:$N,ROW()-8))</f>
        <v>1</v>
      </c>
      <c r="F17" s="30">
        <f>IF($A17="",0,INDEX(Transactions!$O:$O,ROW()-8))</f>
      </c>
      <c r="G17" s="30">
        <f>IF($A17="",0,INDEX(Transactions!$P:$P,ROW()-8))</f>
      </c>
    </row>
    <row r="18" spans="1:7" ht="15" customHeight="1" x14ac:dyDescent="0.15">
      <c r="A18">
        <f>IF(INDEX(Transactions!$J:$J,ROW()-8)="","",INDEX(Transactions!$J:$J,ROW()-8))</f>
      </c>
      <c r="B18" s="297">
        <f>IF($A18="",TODAY(),INDEX(Transactions!$G:$G,ROW()-8))</f>
      </c>
      <c r="C18" s="298">
        <f>IF($A18="","",INDEX(Transactions!$A:$A,ROW()-8))</f>
      </c>
      <c r="D18" s="30">
        <f>IF($A18="",0,INDEX(Transactions!$H:$H,ROW()-8))</f>
      </c>
      <c r="E18" s="299">
        <f>IF($A18="",1,INDEX(Transactions!$N:$N,ROW()-8))</f>
        <v>1</v>
      </c>
      <c r="F18" s="30">
        <f>IF($A18="",0,INDEX(Transactions!$O:$O,ROW()-8))</f>
      </c>
      <c r="G18" s="30">
        <f>IF($A18="",0,INDEX(Transactions!$P:$P,ROW()-8))</f>
      </c>
    </row>
    <row r="19" spans="1:7" ht="15" customHeight="1" x14ac:dyDescent="0.15">
      <c r="A19">
        <f>IF(INDEX(Transactions!$J:$J,ROW()-8)="","",INDEX(Transactions!$J:$J,ROW()-8))</f>
      </c>
      <c r="B19" s="297">
        <f>IF($A19="",TODAY(),INDEX(Transactions!$G:$G,ROW()-8))</f>
      </c>
      <c r="C19" s="298">
        <f>IF($A19="","",INDEX(Transactions!$A:$A,ROW()-8))</f>
      </c>
      <c r="D19" s="30">
        <f>IF($A19="",0,INDEX(Transactions!$H:$H,ROW()-8))</f>
      </c>
      <c r="E19" s="299">
        <f>IF($A19="",1,INDEX(Transactions!$N:$N,ROW()-8))</f>
        <v>1</v>
      </c>
      <c r="F19" s="30">
        <f>IF($A19="",0,INDEX(Transactions!$O:$O,ROW()-8))</f>
      </c>
      <c r="G19" s="30">
        <f>IF($A19="",0,INDEX(Transactions!$P:$P,ROW()-8))</f>
      </c>
    </row>
    <row r="20" spans="1:7" ht="15" customHeight="1" x14ac:dyDescent="0.15">
      <c r="A20">
        <f>IF(INDEX(Transactions!$J:$J,ROW()-8)="","",INDEX(Transactions!$J:$J,ROW()-8))</f>
      </c>
      <c r="B20" s="297">
        <f>IF($A20="",TODAY(),INDEX(Transactions!$G:$G,ROW()-8))</f>
      </c>
      <c r="C20" s="298">
        <f>IF($A20="","",INDEX(Transactions!$A:$A,ROW()-8))</f>
      </c>
      <c r="D20" s="30">
        <f>IF($A20="",0,INDEX(Transactions!$H:$H,ROW()-8))</f>
      </c>
      <c r="E20" s="299">
        <f>IF($A20="",1,INDEX(Transactions!$N:$N,ROW()-8))</f>
        <v>1.2928081084924601</v>
      </c>
      <c r="F20" s="30">
        <f>IF($A20="",0,INDEX(Transactions!$O:$O,ROW()-8))</f>
      </c>
      <c r="G20" s="30">
        <f>IF($A20="",0,INDEX(Transactions!$P:$P,ROW()-8))</f>
      </c>
    </row>
    <row r="21" spans="1:7" ht="15" customHeight="1" x14ac:dyDescent="0.15">
      <c r="A21">
        <f>IF(INDEX(Transactions!$J:$J,ROW()-8)="","",INDEX(Transactions!$J:$J,ROW()-8))</f>
      </c>
      <c r="B21" s="297">
        <f>IF($A21="",TODAY(),INDEX(Transactions!$G:$G,ROW()-8))</f>
      </c>
      <c r="C21" s="298">
        <f>IF($A21="","",INDEX(Transactions!$A:$A,ROW()-8))</f>
      </c>
      <c r="D21" s="30">
        <f>IF($A21="",0,INDEX(Transactions!$H:$H,ROW()-8))</f>
      </c>
      <c r="E21" s="299">
        <f>IF($A21="",1,INDEX(Transactions!$N:$N,ROW()-8))</f>
        <v>1</v>
      </c>
      <c r="F21" s="30">
        <f>IF($A21="",0,INDEX(Transactions!$O:$O,ROW()-8))</f>
      </c>
      <c r="G21" s="30">
        <f>IF($A21="",0,INDEX(Transactions!$P:$P,ROW()-8))</f>
      </c>
    </row>
    <row r="22" spans="1:7" ht="15" customHeight="1" x14ac:dyDescent="0.15">
      <c r="A22">
        <f>IF(INDEX(Transactions!$J:$J,ROW()-8)="","",INDEX(Transactions!$J:$J,ROW()-8))</f>
      </c>
      <c r="B22" s="297">
        <f>IF($A22="",TODAY(),INDEX(Transactions!$G:$G,ROW()-8))</f>
      </c>
      <c r="C22" s="298">
        <f>IF($A22="","",INDEX(Transactions!$A:$A,ROW()-8))</f>
      </c>
      <c r="D22" s="30">
        <f>IF($A22="",0,INDEX(Transactions!$H:$H,ROW()-8))</f>
      </c>
      <c r="E22" s="299">
        <f>IF($A22="",1,INDEX(Transactions!$N:$N,ROW()-8))</f>
        <v>1.2928081084924601</v>
      </c>
      <c r="F22" s="30">
        <f>IF($A22="",0,INDEX(Transactions!$O:$O,ROW()-8))</f>
      </c>
      <c r="G22" s="30">
        <f>IF($A22="",0,INDEX(Transactions!$P:$P,ROW()-8))</f>
      </c>
    </row>
    <row r="23" spans="1:7" ht="15" customHeight="1" x14ac:dyDescent="0.15">
      <c r="A23">
        <f>IF(INDEX(Transactions!$J:$J,ROW()-8)="","",INDEX(Transactions!$J:$J,ROW()-8))</f>
      </c>
      <c r="B23" s="297">
        <f>IF($A23="",TODAY(),INDEX(Transactions!$G:$G,ROW()-8))</f>
      </c>
      <c r="C23" s="298">
        <f>IF($A23="","",INDEX(Transactions!$A:$A,ROW()-8))</f>
      </c>
      <c r="D23" s="30">
        <f>IF($A23="",0,INDEX(Transactions!$H:$H,ROW()-8))</f>
      </c>
      <c r="E23" s="299">
        <f>IF($A23="",1,INDEX(Transactions!$N:$N,ROW()-8))</f>
        <v>1.2928081084924601</v>
      </c>
      <c r="F23" s="30">
        <f>IF($A23="",0,INDEX(Transactions!$O:$O,ROW()-8))</f>
      </c>
      <c r="G23" s="30">
        <f>IF($A23="",0,INDEX(Transactions!$P:$P,ROW()-8))</f>
      </c>
    </row>
    <row r="24" spans="1:7" ht="15" customHeight="1" x14ac:dyDescent="0.15">
      <c r="A24">
        <f>IF(INDEX(Transactions!$J:$J,ROW()-8)="","",INDEX(Transactions!$J:$J,ROW()-8))</f>
      </c>
      <c r="B24" s="297">
        <f>IF($A24="",TODAY(),INDEX(Transactions!$G:$G,ROW()-8))</f>
      </c>
      <c r="C24" s="298">
        <f>IF($A24="","",INDEX(Transactions!$A:$A,ROW()-8))</f>
      </c>
      <c r="D24" s="30">
        <f>IF($A24="",0,INDEX(Transactions!$H:$H,ROW()-8))</f>
      </c>
      <c r="E24" s="299">
        <f>IF($A24="",1,INDEX(Transactions!$N:$N,ROW()-8))</f>
        <v>1</v>
      </c>
      <c r="F24" s="30">
        <f>IF($A24="",0,INDEX(Transactions!$O:$O,ROW()-8))</f>
      </c>
      <c r="G24" s="30">
        <f>IF($A24="",0,INDEX(Transactions!$P:$P,ROW()-8))</f>
      </c>
    </row>
    <row r="25" spans="1:7" ht="15" customHeight="1" x14ac:dyDescent="0.15">
      <c r="A25">
        <f>IF(INDEX(Transactions!$J:$J,ROW()-8)="","",INDEX(Transactions!$J:$J,ROW()-8))</f>
      </c>
      <c r="B25" s="297">
        <f>IF($A25="",TODAY(),INDEX(Transactions!$G:$G,ROW()-8))</f>
      </c>
      <c r="C25" s="298">
        <f>IF($A25="","",INDEX(Transactions!$A:$A,ROW()-8))</f>
      </c>
      <c r="D25" s="30">
        <f>IF($A25="",0,INDEX(Transactions!$H:$H,ROW()-8))</f>
      </c>
      <c r="E25" s="300">
        <f>IF($A25="",1,INDEX(Transactions!$N:$N,ROW()-8))</f>
        <v>1.2928081084924601</v>
      </c>
      <c r="F25" s="30">
        <f>IF($A25="",0,INDEX(Transactions!$O:$O,ROW()-8))</f>
      </c>
      <c r="G25" s="30">
        <f>IF($A25="",0,INDEX(Transactions!$P:$P,ROW()-8))</f>
      </c>
    </row>
    <row r="26" spans="1:7" ht="15" customHeight="1" x14ac:dyDescent="0.15">
      <c r="A26">
        <f>IF(INDEX(Transactions!$J:$J,ROW()-8)="","",INDEX(Transactions!$J:$J,ROW()-8))</f>
      </c>
      <c r="B26" s="297">
        <f>IF($A26="",TODAY(),INDEX(Transactions!$G:$G,ROW()-8))</f>
      </c>
      <c r="C26" s="298">
        <f>IF($A26="","",INDEX(Transactions!$A:$A,ROW()-8))</f>
      </c>
      <c r="D26" s="30">
        <f>IF($A26="",0,INDEX(Transactions!$H:$H,ROW()-8))</f>
      </c>
      <c r="E26" s="300">
        <f>IF($A26="",1,INDEX(Transactions!$N:$N,ROW()-8))</f>
        <v>1</v>
      </c>
      <c r="F26" s="30">
        <f>IF($A26="",0,INDEX(Transactions!$O:$O,ROW()-8))</f>
      </c>
      <c r="G26" s="30">
        <f>IF($A26="",0,INDEX(Transactions!$P:$P,ROW()-8))</f>
      </c>
    </row>
    <row r="27" spans="1:7" ht="15" customHeight="1" x14ac:dyDescent="0.15">
      <c r="A27">
        <f>IF(INDEX(Transactions!$J:$J,ROW()-8)="","",INDEX(Transactions!$J:$J,ROW()-8))</f>
      </c>
      <c r="B27" s="297">
        <f>IF($A27="",TODAY(),INDEX(Transactions!$G:$G,ROW()-8))</f>
      </c>
      <c r="C27" s="298">
        <f>IF($A27="","",INDEX(Transactions!$A:$A,ROW()-8))</f>
      </c>
      <c r="D27" s="30">
        <f>IF($A27="",0,INDEX(Transactions!$H:$H,ROW()-8))</f>
      </c>
      <c r="E27" s="299">
        <f>IF($A27="",1,INDEX(Transactions!$N:$N,ROW()-8))</f>
        <v>1</v>
      </c>
      <c r="F27" s="30">
        <f>IF($A27="",0,INDEX(Transactions!$O:$O,ROW()-8))</f>
      </c>
      <c r="G27" s="30">
        <f>IF($A27="",0,INDEX(Transactions!$P:$P,ROW()-8))</f>
      </c>
    </row>
    <row r="28" spans="1:7" ht="15" customHeight="1" x14ac:dyDescent="0.15">
      <c r="A28">
        <f>IF(INDEX(Transactions!$J:$J,ROW()-8)="","",INDEX(Transactions!$J:$J,ROW()-8))</f>
      </c>
      <c r="B28" s="297">
        <f>IF($A28="",TODAY(),INDEX(Transactions!$G:$G,ROW()-8))</f>
      </c>
      <c r="C28" s="298">
        <f>IF($A28="","",INDEX(Transactions!$A:$A,ROW()-8))</f>
      </c>
      <c r="D28" s="30">
        <f>IF($A28="",0,INDEX(Transactions!$H:$H,ROW()-8))</f>
      </c>
      <c r="E28" s="299">
        <f>IF($A28="",1,INDEX(Transactions!$N:$N,ROW()-8))</f>
        <v>1</v>
      </c>
      <c r="F28" s="30">
        <f>IF($A28="",0,INDEX(Transactions!$O:$O,ROW()-8))</f>
      </c>
      <c r="G28" s="30">
        <f>IF($A28="",0,INDEX(Transactions!$P:$P,ROW()-8))</f>
      </c>
    </row>
    <row r="29" spans="1:7" ht="15" customHeight="1" x14ac:dyDescent="0.15">
      <c r="A29">
        <f>IF(INDEX(Transactions!$J:$J,ROW()-8)="","",INDEX(Transactions!$J:$J,ROW()-8))</f>
      </c>
      <c r="B29" s="297">
        <f>IF($A29="",TODAY(),INDEX(Transactions!$G:$G,ROW()-8))</f>
      </c>
      <c r="C29" s="298">
        <f>IF($A29="","",INDEX(Transactions!$A:$A,ROW()-8))</f>
      </c>
      <c r="D29" s="30">
        <f>IF($A29="",0,INDEX(Transactions!$H:$H,ROW()-8))</f>
      </c>
      <c r="E29" s="299">
        <f>IF($A29="",1,INDEX(Transactions!$N:$N,ROW()-8))</f>
        <v>1</v>
      </c>
      <c r="F29" s="30">
        <f>IF($A29="",0,INDEX(Transactions!$O:$O,ROW()-8))</f>
      </c>
      <c r="G29" s="30">
        <f>IF($A29="",0,INDEX(Transactions!$P:$P,ROW()-8))</f>
      </c>
    </row>
    <row r="30" spans="1:7" ht="15" customHeight="1" x14ac:dyDescent="0.15">
      <c r="A30">
        <f>IF(INDEX(Transactions!$J:$J,ROW()-8)="","",INDEX(Transactions!$J:$J,ROW()-8))</f>
      </c>
      <c r="B30" s="297">
        <f>IF($A30="",TODAY(),INDEX(Transactions!$G:$G,ROW()-8))</f>
      </c>
      <c r="C30" s="298">
        <f>IF($A30="","",INDEX(Transactions!$A:$A,ROW()-8))</f>
      </c>
      <c r="D30" s="30">
        <f>IF($A30="",0,INDEX(Transactions!$H:$H,ROW()-8))</f>
      </c>
      <c r="E30" s="299">
        <f>IF($A30="",1,INDEX(Transactions!$N:$N,ROW()-8))</f>
        <v>1</v>
      </c>
      <c r="F30" s="30">
        <f>IF($A30="",0,INDEX(Transactions!$O:$O,ROW()-8))</f>
      </c>
      <c r="G30" s="30">
        <f>IF($A30="",0,INDEX(Transactions!$P:$P,ROW()-8))</f>
      </c>
    </row>
    <row r="31" spans="1:7" ht="15" customHeight="1" x14ac:dyDescent="0.15">
      <c r="A31">
        <f>IF(INDEX(Transactions!$J:$J,ROW()-8)="","",INDEX(Transactions!$J:$J,ROW()-8))</f>
      </c>
      <c r="B31" s="297">
        <f>IF($A31="",TODAY(),INDEX(Transactions!$G:$G,ROW()-8))</f>
      </c>
      <c r="C31" s="298">
        <f>IF($A31="","",INDEX(Transactions!$A:$A,ROW()-8))</f>
      </c>
      <c r="D31" s="30">
        <f>IF($A31="",0,INDEX(Transactions!$H:$H,ROW()-8))</f>
      </c>
      <c r="E31" s="299">
        <f>IF($A31="",1,INDEX(Transactions!$N:$N,ROW()-8))</f>
        <v>1</v>
      </c>
      <c r="F31" s="30">
        <f>IF($A31="",0,INDEX(Transactions!$O:$O,ROW()-8))</f>
      </c>
      <c r="G31" s="30">
        <f>IF($A31="",0,INDEX(Transactions!$P:$P,ROW()-8))</f>
      </c>
    </row>
    <row r="32" spans="1:7" ht="15" customHeight="1" x14ac:dyDescent="0.15">
      <c r="A32">
        <f>IF(INDEX(Transactions!$J:$J,ROW()-8)="","",INDEX(Transactions!$J:$J,ROW()-8))</f>
      </c>
      <c r="B32" s="297">
        <f>IF($A32="",TODAY(),INDEX(Transactions!$G:$G,ROW()-8))</f>
      </c>
      <c r="C32" s="298">
        <f>IF($A32="","",INDEX(Transactions!$A:$A,ROW()-8))</f>
      </c>
      <c r="D32" s="30">
        <f>IF($A32="",0,INDEX(Transactions!$H:$H,ROW()-8))</f>
      </c>
      <c r="E32" s="299">
        <f>IF($A32="",1,INDEX(Transactions!$N:$N,ROW()-8))</f>
        <v>1</v>
      </c>
      <c r="F32" s="30">
        <f>IF($A32="",0,INDEX(Transactions!$O:$O,ROW()-8))</f>
      </c>
      <c r="G32" s="30">
        <f>IF($A32="",0,INDEX(Transactions!$P:$P,ROW()-8))</f>
      </c>
    </row>
    <row r="33" spans="1:7" ht="15" customHeight="1" x14ac:dyDescent="0.15">
      <c r="A33">
        <f>IF(INDEX(Transactions!$J:$J,ROW()-8)="","",INDEX(Transactions!$J:$J,ROW()-8))</f>
      </c>
      <c r="B33" s="297">
        <f>IF($A33="",TODAY(),INDEX(Transactions!$G:$G,ROW()-8))</f>
      </c>
      <c r="C33" s="298">
        <f>IF($A33="","",INDEX(Transactions!$A:$A,ROW()-8))</f>
      </c>
      <c r="D33" s="30">
        <f>IF($A33="",0,INDEX(Transactions!$H:$H,ROW()-8))</f>
      </c>
      <c r="E33" s="300">
        <f>IF($A33="",1,INDEX(Transactions!$N:$N,ROW()-8))</f>
        <v>1</v>
      </c>
      <c r="F33" s="30">
        <f>IF($A33="",0,INDEX(Transactions!$O:$O,ROW()-8))</f>
      </c>
      <c r="G33" s="30">
        <f>IF($A33="",0,INDEX(Transactions!$P:$P,ROW()-8))</f>
      </c>
    </row>
    <row r="34" spans="1:7" ht="15" customHeight="1" x14ac:dyDescent="0.15">
      <c r="A34">
        <f>IF(INDEX(Transactions!$J:$J,ROW()-8)="","",INDEX(Transactions!$J:$J,ROW()-8))</f>
      </c>
      <c r="B34" s="297">
        <f>IF($A34="",TODAY(),INDEX(Transactions!$G:$G,ROW()-8))</f>
      </c>
      <c r="C34" s="298">
        <f>IF($A34="","",INDEX(Transactions!$A:$A,ROW()-8))</f>
      </c>
      <c r="D34" s="30">
        <f>IF($A34="",0,INDEX(Transactions!$H:$H,ROW()-8))</f>
      </c>
      <c r="E34" s="299">
        <f>IF($A34="",1,INDEX(Transactions!$N:$N,ROW()-8))</f>
        <v>1</v>
      </c>
      <c r="F34" s="30">
        <f>IF($A34="",0,INDEX(Transactions!$O:$O,ROW()-8))</f>
      </c>
      <c r="G34" s="30">
        <f>IF($A34="",0,INDEX(Transactions!$P:$P,ROW()-8))</f>
      </c>
    </row>
    <row r="35" spans="1:7" ht="15" customHeight="1" x14ac:dyDescent="0.15">
      <c r="A35">
        <f>IF(INDEX(Transactions!$J:$J,ROW()-8)="","",INDEX(Transactions!$J:$J,ROW()-8))</f>
      </c>
      <c r="B35" s="297">
        <f>IF($A35="",TODAY(),INDEX(Transactions!$G:$G,ROW()-8))</f>
      </c>
      <c r="C35" s="298">
        <f>IF($A35="","",INDEX(Transactions!$A:$A,ROW()-8))</f>
      </c>
      <c r="D35" s="30">
        <f>IF($A35="",0,INDEX(Transactions!$H:$H,ROW()-8))</f>
      </c>
      <c r="E35" s="299">
        <f>IF($A35="",1,INDEX(Transactions!$N:$N,ROW()-8))</f>
        <v>1</v>
      </c>
      <c r="F35" s="30">
        <f>IF($A35="",0,INDEX(Transactions!$O:$O,ROW()-8))</f>
      </c>
      <c r="G35" s="30">
        <f>IF($A35="",0,INDEX(Transactions!$P:$P,ROW()-8))</f>
      </c>
    </row>
    <row r="36" spans="1:7" ht="15" customHeight="1" x14ac:dyDescent="0.15">
      <c r="A36">
        <f>IF(INDEX(Transactions!$J:$J,ROW()-8)="","",INDEX(Transactions!$J:$J,ROW()-8))</f>
      </c>
      <c r="B36" s="297">
        <f>IF($A36="",TODAY(),INDEX(Transactions!$G:$G,ROW()-8))</f>
      </c>
      <c r="C36" s="298">
        <f>IF($A36="","",INDEX(Transactions!$A:$A,ROW()-8))</f>
      </c>
      <c r="D36" s="30">
        <f>IF($A36="",0,INDEX(Transactions!$H:$H,ROW()-8))</f>
      </c>
      <c r="E36" s="299">
        <f>IF($A36="",1,INDEX(Transactions!$N:$N,ROW()-8))</f>
        <v>1</v>
      </c>
      <c r="F36" s="30">
        <f>IF($A36="",0,INDEX(Transactions!$O:$O,ROW()-8))</f>
      </c>
      <c r="G36" s="30">
        <f>IF($A36="",0,INDEX(Transactions!$P:$P,ROW()-8))</f>
      </c>
    </row>
    <row r="37" spans="1:7" ht="15" customHeight="1" x14ac:dyDescent="0.15">
      <c r="A37">
        <f>IF(INDEX(Transactions!$J:$J,ROW()-8)="","",INDEX(Transactions!$J:$J,ROW()-8))</f>
      </c>
      <c r="B37" s="297">
        <f>IF($A37="",TODAY(),INDEX(Transactions!$G:$G,ROW()-8))</f>
      </c>
      <c r="C37" s="298">
        <f>IF($A37="","",INDEX(Transactions!$A:$A,ROW()-8))</f>
      </c>
      <c r="D37" s="30">
        <f>IF($A37="",0,INDEX(Transactions!$H:$H,ROW()-8))</f>
      </c>
      <c r="E37" s="300">
        <f>IF($A37="",1,INDEX(Transactions!$N:$N,ROW()-8))</f>
        <v>1</v>
      </c>
      <c r="F37" s="30">
        <f>IF($A37="",0,INDEX(Transactions!$O:$O,ROW()-8))</f>
      </c>
      <c r="G37" s="30">
        <f>IF($A37="",0,INDEX(Transactions!$P:$P,ROW()-8))</f>
      </c>
    </row>
    <row r="38" spans="1:7" ht="15" customHeight="1" x14ac:dyDescent="0.15">
      <c r="A38">
        <f>IF(INDEX(Transactions!$J:$J,ROW()-8)="","",INDEX(Transactions!$J:$J,ROW()-8))</f>
      </c>
      <c r="B38" s="297">
        <f>IF($A38="",TODAY(),INDEX(Transactions!$G:$G,ROW()-8))</f>
      </c>
      <c r="C38" s="298">
        <f>IF($A38="","",INDEX(Transactions!$A:$A,ROW()-8))</f>
      </c>
      <c r="D38" s="30">
        <f>IF($A38="",0,INDEX(Transactions!$H:$H,ROW()-8))</f>
      </c>
      <c r="E38" s="300">
        <f>IF($A38="",1,INDEX(Transactions!$N:$N,ROW()-8))</f>
        <v>1</v>
      </c>
      <c r="F38" s="30">
        <f>IF($A38="",0,INDEX(Transactions!$O:$O,ROW()-8))</f>
      </c>
      <c r="G38" s="30">
        <f>IF($A38="",0,INDEX(Transactions!$P:$P,ROW()-8))</f>
      </c>
    </row>
    <row r="39" spans="1:7" ht="15" customHeight="1" x14ac:dyDescent="0.15">
      <c r="A39">
        <f>IF(INDEX(Transactions!$J:$J,ROW()-8)="","",INDEX(Transactions!$J:$J,ROW()-8))</f>
      </c>
      <c r="B39" s="297">
        <f>IF($A39="",TODAY(),INDEX(Transactions!$G:$G,ROW()-8))</f>
      </c>
      <c r="C39" s="298">
        <f>IF($A39="","",INDEX(Transactions!$A:$A,ROW()-8))</f>
      </c>
      <c r="D39" s="30">
        <f>IF($A39="",0,INDEX(Transactions!$H:$H,ROW()-8))</f>
      </c>
      <c r="E39" s="299">
        <f>IF($A39="",1,INDEX(Transactions!$N:$N,ROW()-8))</f>
        <v>1</v>
      </c>
      <c r="F39" s="30">
        <f>IF($A39="",0,INDEX(Transactions!$O:$O,ROW()-8))</f>
      </c>
      <c r="G39" s="30">
        <f>IF($A39="",0,INDEX(Transactions!$P:$P,ROW()-8))</f>
      </c>
    </row>
    <row r="40" spans="1:7" ht="15" customHeight="1" x14ac:dyDescent="0.15">
      <c r="A40">
        <f>IF(INDEX(Transactions!$J:$J,ROW()-8)="","",INDEX(Transactions!$J:$J,ROW()-8))</f>
      </c>
      <c r="B40" s="297">
        <f>IF($A40="",TODAY(),INDEX(Transactions!$G:$G,ROW()-8))</f>
      </c>
      <c r="C40" s="298">
        <f>IF($A40="","",INDEX(Transactions!$A:$A,ROW()-8))</f>
      </c>
      <c r="D40" s="30">
        <f>IF($A40="",0,INDEX(Transactions!$H:$H,ROW()-8))</f>
      </c>
      <c r="E40" s="300">
        <f>IF($A40="",1,INDEX(Transactions!$N:$N,ROW()-8))</f>
        <v>1</v>
      </c>
      <c r="F40" s="30">
        <f>IF($A40="",0,INDEX(Transactions!$O:$O,ROW()-8))</f>
      </c>
      <c r="G40" s="30">
        <f>IF($A40="",0,INDEX(Transactions!$P:$P,ROW()-8))</f>
      </c>
    </row>
    <row r="41" spans="1:7" ht="15" customHeight="1" x14ac:dyDescent="0.15">
      <c r="A41">
        <f>IF(INDEX(Transactions!$J:$J,ROW()-8)="","",INDEX(Transactions!$J:$J,ROW()-8))</f>
      </c>
      <c r="B41" s="297">
        <f>IF($A41="",TODAY(),INDEX(Transactions!$G:$G,ROW()-8))</f>
      </c>
      <c r="C41" s="298">
        <f>IF($A41="","",INDEX(Transactions!$A:$A,ROW()-8))</f>
      </c>
      <c r="D41" s="30">
        <f>IF($A41="",0,INDEX(Transactions!$H:$H,ROW()-8))</f>
      </c>
      <c r="E41" s="299">
        <f>IF($A41="",1,INDEX(Transactions!$N:$N,ROW()-8))</f>
        <v>1</v>
      </c>
      <c r="F41" s="30">
        <f>IF($A41="",0,INDEX(Transactions!$O:$O,ROW()-8))</f>
      </c>
      <c r="G41" s="30">
        <f>IF($A41="",0,INDEX(Transactions!$P:$P,ROW()-8))</f>
      </c>
    </row>
    <row r="42" spans="1:7" ht="15" customHeight="1" x14ac:dyDescent="0.15">
      <c r="A42">
        <f>IF(INDEX(Transactions!$J:$J,ROW()-8)="","",INDEX(Transactions!$J:$J,ROW()-8))</f>
      </c>
      <c r="B42" s="297">
        <f>IF($A42="",TODAY(),INDEX(Transactions!$G:$G,ROW()-8))</f>
      </c>
      <c r="C42" s="298">
        <f>IF($A42="","",INDEX(Transactions!$A:$A,ROW()-8))</f>
      </c>
      <c r="D42" s="30">
        <f>IF($A42="",0,INDEX(Transactions!$H:$H,ROW()-8))</f>
      </c>
      <c r="E42" s="299">
        <f>IF($A42="",1,INDEX(Transactions!$N:$N,ROW()-8))</f>
        <v>1</v>
      </c>
      <c r="F42" s="30">
        <f>IF($A42="",0,INDEX(Transactions!$O:$O,ROW()-8))</f>
      </c>
      <c r="G42" s="30">
        <f>IF($A42="",0,INDEX(Transactions!$P:$P,ROW()-8))</f>
      </c>
    </row>
    <row r="43" spans="1:7" ht="15" customHeight="1" x14ac:dyDescent="0.15">
      <c r="A43">
        <f>IF(INDEX(Transactions!$J:$J,ROW()-8)="","",INDEX(Transactions!$J:$J,ROW()-8))</f>
      </c>
      <c r="B43" s="297">
        <f>IF($A43="",TODAY(),INDEX(Transactions!$G:$G,ROW()-8))</f>
      </c>
      <c r="C43" s="298">
        <f>IF($A43="","",INDEX(Transactions!$A:$A,ROW()-8))</f>
      </c>
      <c r="D43" s="30">
        <f>IF($A43="",0,INDEX(Transactions!$H:$H,ROW()-8))</f>
      </c>
      <c r="E43" s="300">
        <f>IF($A43="",1,INDEX(Transactions!$N:$N,ROW()-8))</f>
        <v>1</v>
      </c>
      <c r="F43" s="30">
        <f>IF($A43="",0,INDEX(Transactions!$O:$O,ROW()-8))</f>
      </c>
      <c r="G43" s="30">
        <f>IF($A43="",0,INDEX(Transactions!$P:$P,ROW()-8))</f>
      </c>
    </row>
    <row r="44" spans="1:7" ht="15" customHeight="1" x14ac:dyDescent="0.15">
      <c r="A44">
        <f>IF(INDEX(Transactions!$J:$J,ROW()-8)="","",INDEX(Transactions!$J:$J,ROW()-8))</f>
      </c>
      <c r="B44" s="297">
        <f>IF($A44="",TODAY(),INDEX(Transactions!$G:$G,ROW()-8))</f>
      </c>
      <c r="C44" s="298">
        <f>IF($A44="","",INDEX(Transactions!$A:$A,ROW()-8))</f>
      </c>
      <c r="D44" s="30">
        <f>IF($A44="",0,INDEX(Transactions!$H:$H,ROW()-8))</f>
      </c>
      <c r="E44" s="300">
        <f>IF($A44="",1,INDEX(Transactions!$N:$N,ROW()-8))</f>
        <v>1</v>
      </c>
      <c r="F44" s="30">
        <f>IF($A44="",0,INDEX(Transactions!$O:$O,ROW()-8))</f>
      </c>
      <c r="G44" s="30">
        <f>IF($A44="",0,INDEX(Transactions!$P:$P,ROW()-8))</f>
      </c>
    </row>
    <row r="45" spans="1:7" ht="15" customHeight="1" x14ac:dyDescent="0.15">
      <c r="A45">
        <f>IF(INDEX(Transactions!$J:$J,ROW()-8)="","",INDEX(Transactions!$J:$J,ROW()-8))</f>
      </c>
      <c r="B45" s="297">
        <f>IF($A45="",TODAY(),INDEX(Transactions!$G:$G,ROW()-8))</f>
      </c>
      <c r="C45" s="298">
        <f>IF($A45="","",INDEX(Transactions!$A:$A,ROW()-8))</f>
      </c>
      <c r="D45" s="30">
        <f>IF($A45="",0,INDEX(Transactions!$H:$H,ROW()-8))</f>
      </c>
      <c r="E45" s="299">
        <f>IF($A45="",1,INDEX(Transactions!$N:$N,ROW()-8))</f>
        <v>1</v>
      </c>
      <c r="F45" s="30">
        <f>IF($A45="",0,INDEX(Transactions!$O:$O,ROW()-8))</f>
      </c>
      <c r="G45" s="30">
        <f>IF($A45="",0,INDEX(Transactions!$P:$P,ROW()-8))</f>
      </c>
    </row>
    <row r="46" spans="1:7" ht="15" customHeight="1" x14ac:dyDescent="0.15">
      <c r="A46">
        <f>IF(INDEX(Transactions!$J:$J,ROW()-8)="","",INDEX(Transactions!$J:$J,ROW()-8))</f>
      </c>
      <c r="B46" s="297">
        <f>IF($A46="",TODAY(),INDEX(Transactions!$G:$G,ROW()-8))</f>
      </c>
      <c r="C46" s="298">
        <f>IF($A46="","",INDEX(Transactions!$A:$A,ROW()-8))</f>
      </c>
      <c r="D46" s="30">
        <f>IF($A46="",0,INDEX(Transactions!$H:$H,ROW()-8))</f>
      </c>
      <c r="E46" s="300">
        <f>IF($A46="",1,INDEX(Transactions!$N:$N,ROW()-8))</f>
        <v>1</v>
      </c>
      <c r="F46" s="30">
        <f>IF($A46="",0,INDEX(Transactions!$O:$O,ROW()-8))</f>
      </c>
      <c r="G46" s="30">
        <f>IF($A46="",0,INDEX(Transactions!$P:$P,ROW()-8))</f>
      </c>
    </row>
    <row r="47" spans="1:7" ht="15" customHeight="1" x14ac:dyDescent="0.15">
      <c r="A47">
        <f>IF(INDEX(Transactions!$J:$J,ROW()-8)="","",INDEX(Transactions!$J:$J,ROW()-8))</f>
      </c>
      <c r="B47" s="297">
        <f>IF($A47="",TODAY(),INDEX(Transactions!$G:$G,ROW()-8))</f>
      </c>
      <c r="C47" s="298">
        <f>IF($A47="","",INDEX(Transactions!$A:$A,ROW()-8))</f>
      </c>
      <c r="D47" s="30">
        <f>IF($A47="",0,INDEX(Transactions!$H:$H,ROW()-8))</f>
      </c>
      <c r="E47" s="299">
        <f>IF($A47="",1,INDEX(Transactions!$N:$N,ROW()-8))</f>
        <v>1</v>
      </c>
      <c r="F47" s="30">
        <f>IF($A47="",0,INDEX(Transactions!$O:$O,ROW()-8))</f>
      </c>
      <c r="G47" s="30">
        <f>IF($A47="",0,INDEX(Transactions!$P:$P,ROW()-8))</f>
      </c>
    </row>
    <row r="48" spans="1:7" ht="15" customHeight="1" x14ac:dyDescent="0.15">
      <c r="A48">
        <f>IF(INDEX(Transactions!$J:$J,ROW()-8)="","",INDEX(Transactions!$J:$J,ROW()-8))</f>
      </c>
      <c r="B48" s="297">
        <f>IF($A48="",TODAY(),INDEX(Transactions!$G:$G,ROW()-8))</f>
      </c>
      <c r="C48" s="298">
        <f>IF($A48="","",INDEX(Transactions!$A:$A,ROW()-8))</f>
      </c>
      <c r="D48" s="30">
        <f>IF($A48="",0,INDEX(Transactions!$H:$H,ROW()-8))</f>
      </c>
      <c r="E48" s="300">
        <f>IF($A48="",1,INDEX(Transactions!$N:$N,ROW()-8))</f>
        <v>1</v>
      </c>
      <c r="F48" s="30">
        <f>IF($A48="",0,INDEX(Transactions!$O:$O,ROW()-8))</f>
      </c>
      <c r="G48" s="30">
        <f>IF($A48="",0,INDEX(Transactions!$P:$P,ROW()-8))</f>
      </c>
    </row>
    <row r="49" spans="1:7" ht="15" customHeight="1" x14ac:dyDescent="0.15">
      <c r="A49">
        <f>IF(INDEX(Transactions!$J:$J,ROW()-8)="","",INDEX(Transactions!$J:$J,ROW()-8))</f>
      </c>
      <c r="B49" s="297">
        <f>IF($A49="",TODAY(),INDEX(Transactions!$G:$G,ROW()-8))</f>
      </c>
      <c r="C49" s="298">
        <f>IF($A49="","",INDEX(Transactions!$A:$A,ROW()-8))</f>
      </c>
      <c r="D49" s="30">
        <f>IF($A49="",0,INDEX(Transactions!$H:$H,ROW()-8))</f>
      </c>
      <c r="E49" s="299">
        <f>IF($A49="",1,INDEX(Transactions!$N:$N,ROW()-8))</f>
        <v>1</v>
      </c>
      <c r="F49" s="30">
        <f>IF($A49="",0,INDEX(Transactions!$O:$O,ROW()-8))</f>
      </c>
      <c r="G49" s="30">
        <f>IF($A49="",0,INDEX(Transactions!$P:$P,ROW()-8))</f>
      </c>
    </row>
    <row r="50" spans="1:7" ht="15" customHeight="1" x14ac:dyDescent="0.15">
      <c r="A50">
        <f>IF(INDEX(Transactions!$J:$J,ROW()-8)="","",INDEX(Transactions!$J:$J,ROW()-8))</f>
      </c>
      <c r="B50" s="297">
        <f>IF($A50="",TODAY(),INDEX(Transactions!$G:$G,ROW()-8))</f>
      </c>
      <c r="C50" s="298">
        <f>IF($A50="","",INDEX(Transactions!$A:$A,ROW()-8))</f>
      </c>
      <c r="D50" s="30">
        <f>IF($A50="",0,INDEX(Transactions!$H:$H,ROW()-8))</f>
      </c>
      <c r="E50" s="299">
        <f>IF($A50="",1,INDEX(Transactions!$N:$N,ROW()-8))</f>
        <v>1</v>
      </c>
      <c r="F50" s="30">
        <f>IF($A50="",0,INDEX(Transactions!$O:$O,ROW()-8))</f>
      </c>
      <c r="G50" s="30">
        <f>IF($A50="",0,INDEX(Transactions!$P:$P,ROW()-8))</f>
      </c>
    </row>
    <row r="51" spans="1:7" ht="15" customHeight="1" x14ac:dyDescent="0.15">
      <c r="A51">
        <f>IF(INDEX(Transactions!$J:$J,ROW()-8)="","",INDEX(Transactions!$J:$J,ROW()-8))</f>
      </c>
      <c r="B51" s="297">
        <f>IF($A51="",TODAY(),INDEX(Transactions!$G:$G,ROW()-8))</f>
      </c>
      <c r="C51" s="298">
        <f>IF($A51="","",INDEX(Transactions!$A:$A,ROW()-8))</f>
      </c>
      <c r="D51" s="30">
        <f>IF($A51="",0,INDEX(Transactions!$H:$H,ROW()-8))</f>
      </c>
      <c r="E51" s="299">
        <f>IF($A51="",1,INDEX(Transactions!$N:$N,ROW()-8))</f>
        <v>1</v>
      </c>
      <c r="F51" s="30">
        <f>IF($A51="",0,INDEX(Transactions!$O:$O,ROW()-8))</f>
      </c>
      <c r="G51" s="30">
        <f>IF($A51="",0,INDEX(Transactions!$P:$P,ROW()-8))</f>
      </c>
    </row>
    <row r="52" spans="1:7" ht="15" customHeight="1" x14ac:dyDescent="0.15">
      <c r="A52">
        <f>IF(INDEX(Transactions!$J:$J,ROW()-8)="","",INDEX(Transactions!$J:$J,ROW()-8))</f>
      </c>
      <c r="B52" s="297">
        <f>IF($A52="",TODAY(),INDEX(Transactions!$G:$G,ROW()-8))</f>
      </c>
      <c r="C52" s="298">
        <f>IF($A52="","",INDEX(Transactions!$A:$A,ROW()-8))</f>
      </c>
      <c r="D52" s="30">
        <f>IF($A52="",0,INDEX(Transactions!$H:$H,ROW()-8))</f>
      </c>
      <c r="E52" s="299">
        <f>IF($A52="",1,INDEX(Transactions!$N:$N,ROW()-8))</f>
        <v>1</v>
      </c>
      <c r="F52" s="30">
        <f>IF($A52="",0,INDEX(Transactions!$O:$O,ROW()-8))</f>
      </c>
      <c r="G52" s="30">
        <f>IF($A52="",0,INDEX(Transactions!$P:$P,ROW()-8))</f>
      </c>
    </row>
    <row r="53" spans="1:7" ht="15" customHeight="1" x14ac:dyDescent="0.15">
      <c r="A53">
        <f>IF(INDEX(Transactions!$J:$J,ROW()-8)="","",INDEX(Transactions!$J:$J,ROW()-8))</f>
      </c>
      <c r="B53" s="297">
        <f>IF($A53="",TODAY(),INDEX(Transactions!$G:$G,ROW()-8))</f>
      </c>
      <c r="C53" s="298">
        <f>IF($A53="","",INDEX(Transactions!$A:$A,ROW()-8))</f>
      </c>
      <c r="D53" s="30">
        <f>IF($A53="",0,INDEX(Transactions!$H:$H,ROW()-8))</f>
      </c>
      <c r="E53" s="300">
        <f>IF($A53="",1,INDEX(Transactions!$N:$N,ROW()-8))</f>
        <v>1</v>
      </c>
      <c r="F53" s="30">
        <f>IF($A53="",0,INDEX(Transactions!$O:$O,ROW()-8))</f>
      </c>
      <c r="G53" s="30">
        <f>IF($A53="",0,INDEX(Transactions!$P:$P,ROW()-8))</f>
      </c>
    </row>
    <row r="54" spans="1:7" ht="15" customHeight="1" x14ac:dyDescent="0.15">
      <c r="A54">
        <f>IF(INDEX(Transactions!$J:$J,ROW()-8)="","",INDEX(Transactions!$J:$J,ROW()-8))</f>
      </c>
      <c r="B54" s="297">
        <f>IF($A54="",TODAY(),INDEX(Transactions!$G:$G,ROW()-8))</f>
      </c>
      <c r="C54" s="298">
        <f>IF($A54="","",INDEX(Transactions!$A:$A,ROW()-8))</f>
      </c>
      <c r="D54" s="30">
        <f>IF($A54="",0,INDEX(Transactions!$H:$H,ROW()-8))</f>
      </c>
      <c r="E54" s="300">
        <f>IF($A54="",1,INDEX(Transactions!$N:$N,ROW()-8))</f>
        <v>1</v>
      </c>
      <c r="F54" s="30">
        <f>IF($A54="",0,INDEX(Transactions!$O:$O,ROW()-8))</f>
      </c>
      <c r="G54" s="30">
        <f>IF($A54="",0,INDEX(Transactions!$P:$P,ROW()-8))</f>
      </c>
    </row>
    <row r="55" spans="1:7" ht="15" customHeight="1" x14ac:dyDescent="0.15">
      <c r="A55">
        <f>IF(INDEX(Transactions!$J:$J,ROW()-8)="","",INDEX(Transactions!$J:$J,ROW()-8))</f>
      </c>
      <c r="B55" s="297">
        <f>IF($A55="",TODAY(),INDEX(Transactions!$G:$G,ROW()-8))</f>
      </c>
      <c r="C55" s="298">
        <f>IF($A55="","",INDEX(Transactions!$A:$A,ROW()-8))</f>
      </c>
      <c r="D55" s="30">
        <f>IF($A55="",0,INDEX(Transactions!$H:$H,ROW()-8))</f>
      </c>
      <c r="E55" s="299">
        <f>IF($A55="",1,INDEX(Transactions!$N:$N,ROW()-8))</f>
        <v>1</v>
      </c>
      <c r="F55" s="30">
        <f>IF($A55="",0,INDEX(Transactions!$O:$O,ROW()-8))</f>
      </c>
      <c r="G55" s="30">
        <f>IF($A55="",0,INDEX(Transactions!$P:$P,ROW()-8))</f>
      </c>
    </row>
    <row r="56" spans="1:7" ht="15" customHeight="1" x14ac:dyDescent="0.15">
      <c r="A56">
        <f>IF(INDEX(Transactions!$J:$J,ROW()-8)="","",INDEX(Transactions!$J:$J,ROW()-8))</f>
      </c>
      <c r="B56" s="297">
        <f>IF($A56="",TODAY(),INDEX(Transactions!$G:$G,ROW()-8))</f>
      </c>
      <c r="C56" s="298">
        <f>IF($A56="","",INDEX(Transactions!$A:$A,ROW()-8))</f>
      </c>
      <c r="D56" s="30">
        <f>IF($A56="",0,INDEX(Transactions!$H:$H,ROW()-8))</f>
      </c>
      <c r="E56" s="300">
        <f>IF($A56="",1,INDEX(Transactions!$N:$N,ROW()-8))</f>
        <v>1</v>
      </c>
      <c r="F56" s="30">
        <f>IF($A56="",0,INDEX(Transactions!$O:$O,ROW()-8))</f>
      </c>
      <c r="G56" s="30">
        <f>IF($A56="",0,INDEX(Transactions!$P:$P,ROW()-8))</f>
      </c>
    </row>
    <row r="57" spans="1:7" ht="15" customHeight="1" x14ac:dyDescent="0.15">
      <c r="A57">
        <f>IF(INDEX(Transactions!$J:$J,ROW()-8)="","",INDEX(Transactions!$J:$J,ROW()-8))</f>
      </c>
      <c r="B57" s="297">
        <f>IF($A57="",TODAY(),INDEX(Transactions!$G:$G,ROW()-8))</f>
      </c>
      <c r="C57" s="298">
        <f>IF($A57="","",INDEX(Transactions!$A:$A,ROW()-8))</f>
      </c>
      <c r="D57" s="30">
        <f>IF($A57="",0,INDEX(Transactions!$H:$H,ROW()-8))</f>
      </c>
      <c r="E57" s="299">
        <f>IF($A57="",1,INDEX(Transactions!$N:$N,ROW()-8))</f>
        <v>1</v>
      </c>
      <c r="F57" s="30">
        <f>IF($A57="",0,INDEX(Transactions!$O:$O,ROW()-8))</f>
      </c>
      <c r="G57" s="30">
        <f>IF($A57="",0,INDEX(Transactions!$P:$P,ROW()-8))</f>
      </c>
    </row>
    <row r="58" spans="1:7" ht="15" customHeight="1" x14ac:dyDescent="0.15">
      <c r="A58">
        <f>IF(INDEX(Transactions!$J:$J,ROW()-8)="","",INDEX(Transactions!$J:$J,ROW()-8))</f>
      </c>
      <c r="B58" s="297">
        <f>IF($A58="",TODAY(),INDEX(Transactions!$G:$G,ROW()-8))</f>
      </c>
      <c r="C58" s="298">
        <f>IF($A58="","",INDEX(Transactions!$A:$A,ROW()-8))</f>
      </c>
      <c r="D58" s="30">
        <f>IF($A58="",0,INDEX(Transactions!$H:$H,ROW()-8))</f>
      </c>
      <c r="E58" s="300">
        <f>IF($A58="",1,INDEX(Transactions!$N:$N,ROW()-8))</f>
        <v>1</v>
      </c>
      <c r="F58" s="30">
        <f>IF($A58="",0,INDEX(Transactions!$O:$O,ROW()-8))</f>
      </c>
      <c r="G58" s="30">
        <f>IF($A58="",0,INDEX(Transactions!$P:$P,ROW()-8))</f>
      </c>
    </row>
    <row r="59" spans="1:7" ht="15" customHeight="1" x14ac:dyDescent="0.15">
      <c r="A59">
        <f>IF(INDEX(Transactions!$J:$J,ROW()-8)="","",INDEX(Transactions!$J:$J,ROW()-8))</f>
      </c>
      <c r="B59" s="297">
        <f>IF($A59="",TODAY(),INDEX(Transactions!$G:$G,ROW()-8))</f>
      </c>
      <c r="C59" s="298">
        <f>IF($A59="","",INDEX(Transactions!$A:$A,ROW()-8))</f>
      </c>
      <c r="D59" s="30">
        <f>IF($A59="",0,INDEX(Transactions!$H:$H,ROW()-8))</f>
      </c>
      <c r="E59" s="300">
        <f>IF($A59="",1,INDEX(Transactions!$N:$N,ROW()-8))</f>
        <v>1</v>
      </c>
      <c r="F59" s="30">
        <f>IF($A59="",0,INDEX(Transactions!$O:$O,ROW()-8))</f>
      </c>
      <c r="G59" s="30">
        <f>IF($A59="",0,INDEX(Transactions!$P:$P,ROW()-8))</f>
      </c>
    </row>
    <row r="60" spans="1:7" ht="15" customHeight="1" x14ac:dyDescent="0.15">
      <c r="A60">
        <f>IF(INDEX(Transactions!$J:$J,ROW()-8)="","",INDEX(Transactions!$J:$J,ROW()-8))</f>
      </c>
      <c r="B60" s="297">
        <f>IF($A60="",TODAY(),INDEX(Transactions!$G:$G,ROW()-8))</f>
      </c>
      <c r="C60" s="298">
        <f>IF($A60="","",INDEX(Transactions!$A:$A,ROW()-8))</f>
      </c>
      <c r="D60" s="30">
        <f>IF($A60="",0,INDEX(Transactions!$H:$H,ROW()-8))</f>
      </c>
      <c r="E60" s="300">
        <f>IF($A60="",1,INDEX(Transactions!$N:$N,ROW()-8))</f>
        <v>1</v>
      </c>
      <c r="F60" s="30">
        <f>IF($A60="",0,INDEX(Transactions!$O:$O,ROW()-8))</f>
      </c>
      <c r="G60" s="30">
        <f>IF($A60="",0,INDEX(Transactions!$P:$P,ROW()-8))</f>
      </c>
    </row>
    <row r="61" spans="1:7" ht="15" customHeight="1" x14ac:dyDescent="0.15">
      <c r="A61">
        <f>IF(INDEX(Transactions!$J:$J,ROW()-8)="","",INDEX(Transactions!$J:$J,ROW()-8))</f>
      </c>
      <c r="B61" s="297">
        <f>IF($A61="",TODAY(),INDEX(Transactions!$G:$G,ROW()-8))</f>
      </c>
      <c r="C61" s="298">
        <f>IF($A61="","",INDEX(Transactions!$A:$A,ROW()-8))</f>
      </c>
      <c r="D61" s="30">
        <f>IF($A61="",0,INDEX(Transactions!$H:$H,ROW()-8))</f>
      </c>
      <c r="E61" s="300">
        <f>IF($A61="",1,INDEX(Transactions!$N:$N,ROW()-8))</f>
        <v>1</v>
      </c>
      <c r="F61" s="30">
        <f>IF($A61="",0,INDEX(Transactions!$O:$O,ROW()-8))</f>
      </c>
      <c r="G61" s="30">
        <f>IF($A61="",0,INDEX(Transactions!$P:$P,ROW()-8))</f>
      </c>
    </row>
    <row r="62" spans="1:7" ht="15" customHeight="1" x14ac:dyDescent="0.15">
      <c r="A62">
        <f>IF(INDEX(Transactions!$J:$J,ROW()-8)="","",INDEX(Transactions!$J:$J,ROW()-8))</f>
      </c>
      <c r="B62" s="297">
        <f>IF($A62="",TODAY(),INDEX(Transactions!$G:$G,ROW()-8))</f>
      </c>
      <c r="C62" s="298">
        <f>IF($A62="","",INDEX(Transactions!$A:$A,ROW()-8))</f>
      </c>
      <c r="D62" s="30">
        <f>IF($A62="",0,INDEX(Transactions!$H:$H,ROW()-8))</f>
      </c>
      <c r="E62" s="300">
        <f>IF($A62="",1,INDEX(Transactions!$N:$N,ROW()-8))</f>
        <v>1</v>
      </c>
      <c r="F62" s="30">
        <f>IF($A62="",0,INDEX(Transactions!$O:$O,ROW()-8))</f>
      </c>
      <c r="G62" s="30">
        <f>IF($A62="",0,INDEX(Transactions!$P:$P,ROW()-8))</f>
      </c>
    </row>
    <row r="63" spans="1:7" ht="15" customHeight="1" x14ac:dyDescent="0.15">
      <c r="A63">
        <f>IF(INDEX(Transactions!$J:$J,ROW()-8)="","",INDEX(Transactions!$J:$J,ROW()-8))</f>
      </c>
      <c r="B63" s="297">
        <f>IF($A63="",TODAY(),INDEX(Transactions!$G:$G,ROW()-8))</f>
      </c>
      <c r="C63" s="298">
        <f>IF($A63="","",INDEX(Transactions!$A:$A,ROW()-8))</f>
      </c>
      <c r="D63" s="30">
        <f>IF($A63="",0,INDEX(Transactions!$H:$H,ROW()-8))</f>
      </c>
      <c r="E63" s="300">
        <f>IF($A63="",1,INDEX(Transactions!$N:$N,ROW()-8))</f>
        <v>1</v>
      </c>
      <c r="F63" s="30">
        <f>IF($A63="",0,INDEX(Transactions!$O:$O,ROW()-8))</f>
      </c>
      <c r="G63" s="30">
        <f>IF($A63="",0,INDEX(Transactions!$P:$P,ROW()-8))</f>
      </c>
    </row>
    <row r="64" spans="1:7" ht="15" customHeight="1" x14ac:dyDescent="0.15">
      <c r="A64">
        <f>IF(INDEX(Transactions!$J:$J,ROW()-8)="","",INDEX(Transactions!$J:$J,ROW()-8))</f>
      </c>
      <c r="B64" s="297">
        <f>IF($A64="",TODAY(),INDEX(Transactions!$G:$G,ROW()-8))</f>
      </c>
      <c r="C64" s="298">
        <f>IF($A64="","",INDEX(Transactions!$A:$A,ROW()-8))</f>
      </c>
      <c r="D64" s="30">
        <f>IF($A64="",0,INDEX(Transactions!$H:$H,ROW()-8))</f>
      </c>
      <c r="E64" s="299">
        <f>IF($A64="",1,INDEX(Transactions!$N:$N,ROW()-8))</f>
        <v>1</v>
      </c>
      <c r="F64" s="30">
        <f>IF($A64="",0,INDEX(Transactions!$O:$O,ROW()-8))</f>
      </c>
      <c r="G64" s="30">
        <f>IF($A64="",0,INDEX(Transactions!$P:$P,ROW()-8))</f>
      </c>
    </row>
    <row r="65" spans="1:7" ht="15" customHeight="1" x14ac:dyDescent="0.15">
      <c r="A65">
        <f>IF(INDEX(Transactions!$J:$J,ROW()-8)="","",INDEX(Transactions!$J:$J,ROW()-8))</f>
      </c>
      <c r="B65" s="297">
        <f>IF($A65="",TODAY(),INDEX(Transactions!$G:$G,ROW()-8))</f>
      </c>
      <c r="C65" s="298">
        <f>IF($A65="","",INDEX(Transactions!$A:$A,ROW()-8))</f>
      </c>
      <c r="D65" s="30">
        <f>IF($A65="",0,INDEX(Transactions!$H:$H,ROW()-8))</f>
      </c>
      <c r="E65" s="299">
        <f>IF($A65="",1,INDEX(Transactions!$N:$N,ROW()-8))</f>
        <v>1</v>
      </c>
      <c r="F65" s="30">
        <f>IF($A65="",0,INDEX(Transactions!$O:$O,ROW()-8))</f>
      </c>
      <c r="G65" s="30">
        <f>IF($A65="",0,INDEX(Transactions!$P:$P,ROW()-8))</f>
      </c>
    </row>
    <row r="66" spans="1:7" ht="15" customHeight="1" x14ac:dyDescent="0.15">
      <c r="A66">
        <f>IF(INDEX(Transactions!$J:$J,ROW()-8)="","",INDEX(Transactions!$J:$J,ROW()-8))</f>
      </c>
      <c r="B66" s="297">
        <f>IF($A66="",TODAY(),INDEX(Transactions!$G:$G,ROW()-8))</f>
      </c>
      <c r="C66" s="298">
        <f>IF($A66="","",INDEX(Transactions!$A:$A,ROW()-8))</f>
      </c>
      <c r="D66" s="30">
        <f>IF($A66="",0,INDEX(Transactions!$H:$H,ROW()-8))</f>
      </c>
      <c r="E66" s="300">
        <f>IF($A66="",1,INDEX(Transactions!$N:$N,ROW()-8))</f>
        <v>1</v>
      </c>
      <c r="F66" s="30">
        <f>IF($A66="",0,INDEX(Transactions!$O:$O,ROW()-8))</f>
      </c>
      <c r="G66" s="30">
        <f>IF($A66="",0,INDEX(Transactions!$P:$P,ROW()-8))</f>
      </c>
    </row>
    <row r="67" spans="1:7" ht="15" customHeight="1" x14ac:dyDescent="0.15">
      <c r="A67">
        <f>IF(INDEX(Transactions!$J:$J,ROW()-8)="","",INDEX(Transactions!$J:$J,ROW()-8))</f>
      </c>
      <c r="B67" s="297">
        <f>IF($A67="",TODAY(),INDEX(Transactions!$G:$G,ROW()-8))</f>
      </c>
      <c r="C67" s="298">
        <f>IF($A67="","",INDEX(Transactions!$A:$A,ROW()-8))</f>
      </c>
      <c r="D67" s="30">
        <f>IF($A67="",0,INDEX(Transactions!$H:$H,ROW()-8))</f>
      </c>
      <c r="E67" s="299">
        <f>IF($A67="",1,INDEX(Transactions!$N:$N,ROW()-8))</f>
        <v>1</v>
      </c>
      <c r="F67" s="30">
        <f>IF($A67="",0,INDEX(Transactions!$O:$O,ROW()-8))</f>
      </c>
      <c r="G67" s="30">
        <f>IF($A67="",0,INDEX(Transactions!$P:$P,ROW()-8))</f>
      </c>
    </row>
    <row r="68" spans="1:7" ht="15" customHeight="1" x14ac:dyDescent="0.15">
      <c r="A68">
        <f>IF(INDEX(Transactions!$J:$J,ROW()-8)="","",INDEX(Transactions!$J:$J,ROW()-8))</f>
      </c>
      <c r="B68" s="297">
        <f>IF($A68="",TODAY(),INDEX(Transactions!$G:$G,ROW()-8))</f>
      </c>
      <c r="C68" s="298">
        <f>IF($A68="","",INDEX(Transactions!$A:$A,ROW()-8))</f>
      </c>
      <c r="D68" s="30">
        <f>IF($A68="",0,INDEX(Transactions!$H:$H,ROW()-8))</f>
      </c>
      <c r="E68" s="300">
        <f>IF($A68="",1,INDEX(Transactions!$N:$N,ROW()-8))</f>
        <v>1</v>
      </c>
      <c r="F68" s="30">
        <f>IF($A68="",0,INDEX(Transactions!$O:$O,ROW()-8))</f>
      </c>
      <c r="G68" s="30">
        <f>IF($A68="",0,INDEX(Transactions!$P:$P,ROW()-8))</f>
      </c>
    </row>
    <row r="69" spans="1:7" ht="15" customHeight="1" x14ac:dyDescent="0.15">
      <c r="A69">
        <f>IF(INDEX(Transactions!$J:$J,ROW()-8)="","",INDEX(Transactions!$J:$J,ROW()-8))</f>
      </c>
      <c r="B69" s="297">
        <f>IF($A69="",TODAY(),INDEX(Transactions!$G:$G,ROW()-8))</f>
      </c>
      <c r="C69" s="298">
        <f>IF($A69="","",INDEX(Transactions!$A:$A,ROW()-8))</f>
      </c>
      <c r="D69" s="30">
        <f>IF($A69="",0,INDEX(Transactions!$H:$H,ROW()-8))</f>
      </c>
      <c r="E69" s="300">
        <f>IF($A69="",1,INDEX(Transactions!$N:$N,ROW()-8))</f>
        <v>1</v>
      </c>
      <c r="F69" s="30">
        <f>IF($A69="",0,INDEX(Transactions!$O:$O,ROW()-8))</f>
      </c>
      <c r="G69" s="30">
        <f>IF($A69="",0,INDEX(Transactions!$P:$P,ROW()-8))</f>
      </c>
    </row>
    <row r="70" spans="1:7" ht="15" customHeight="1" x14ac:dyDescent="0.15">
      <c r="A70">
        <f>IF(INDEX(Transactions!$J:$J,ROW()-8)="","",INDEX(Transactions!$J:$J,ROW()-8))</f>
      </c>
      <c r="B70" s="297">
        <f>IF($A70="",TODAY(),INDEX(Transactions!$G:$G,ROW()-8))</f>
      </c>
      <c r="C70" s="298">
        <f>IF($A70="","",INDEX(Transactions!$A:$A,ROW()-8))</f>
      </c>
      <c r="D70" s="30">
        <f>IF($A70="",0,INDEX(Transactions!$H:$H,ROW()-8))</f>
      </c>
      <c r="E70" s="300">
        <f>IF($A70="",1,INDEX(Transactions!$N:$N,ROW()-8))</f>
        <v>1</v>
      </c>
      <c r="F70" s="30">
        <f>IF($A70="",0,INDEX(Transactions!$O:$O,ROW()-8))</f>
      </c>
      <c r="G70" s="30">
        <f>IF($A70="",0,INDEX(Transactions!$P:$P,ROW()-8))</f>
      </c>
    </row>
    <row r="71" spans="1:7" ht="15" customHeight="1" x14ac:dyDescent="0.15">
      <c r="A71">
        <f>IF(INDEX(Transactions!$J:$J,ROW()-8)="","",INDEX(Transactions!$J:$J,ROW()-8))</f>
      </c>
      <c r="B71" s="297">
        <f>IF($A71="",TODAY(),INDEX(Transactions!$G:$G,ROW()-8))</f>
      </c>
      <c r="C71" s="298">
        <f>IF($A71="","",INDEX(Transactions!$A:$A,ROW()-8))</f>
      </c>
      <c r="D71" s="30">
        <f>IF($A71="",0,INDEX(Transactions!$H:$H,ROW()-8))</f>
      </c>
      <c r="E71" s="299">
        <f>IF($A71="",1,INDEX(Transactions!$N:$N,ROW()-8))</f>
        <v>1</v>
      </c>
      <c r="F71" s="30">
        <f>IF($A71="",0,INDEX(Transactions!$O:$O,ROW()-8))</f>
      </c>
      <c r="G71" s="30">
        <f>IF($A71="",0,INDEX(Transactions!$P:$P,ROW()-8))</f>
      </c>
    </row>
    <row r="72" spans="1:7" ht="15" customHeight="1" x14ac:dyDescent="0.15">
      <c r="A72">
        <f>IF(INDEX(Transactions!$J:$J,ROW()-8)="","",INDEX(Transactions!$J:$J,ROW()-8))</f>
      </c>
      <c r="B72" s="297">
        <f>IF($A72="",TODAY(),INDEX(Transactions!$G:$G,ROW()-8))</f>
      </c>
      <c r="C72" s="298">
        <f>IF($A72="","",INDEX(Transactions!$A:$A,ROW()-8))</f>
      </c>
      <c r="D72" s="30">
        <f>IF($A72="",0,INDEX(Transactions!$H:$H,ROW()-8))</f>
      </c>
      <c r="E72" s="299">
        <f>IF($A72="",1,INDEX(Transactions!$N:$N,ROW()-8))</f>
        <v>1</v>
      </c>
      <c r="F72" s="30">
        <f>IF($A72="",0,INDEX(Transactions!$O:$O,ROW()-8))</f>
      </c>
      <c r="G72" s="30">
        <f>IF($A72="",0,INDEX(Transactions!$P:$P,ROW()-8))</f>
      </c>
    </row>
    <row r="73" spans="1:7" ht="15" customHeight="1" x14ac:dyDescent="0.15">
      <c r="A73">
        <f>IF(INDEX(Transactions!$J:$J,ROW()-8)="","",INDEX(Transactions!$J:$J,ROW()-8))</f>
      </c>
      <c r="B73" s="297">
        <f>IF($A73="",TODAY(),INDEX(Transactions!$G:$G,ROW()-8))</f>
      </c>
      <c r="C73" s="298">
        <f>IF($A73="","",INDEX(Transactions!$A:$A,ROW()-8))</f>
      </c>
      <c r="D73" s="30">
        <f>IF($A73="",0,INDEX(Transactions!$H:$H,ROW()-8))</f>
      </c>
      <c r="E73" s="299">
        <f>IF($A73="",1,INDEX(Transactions!$N:$N,ROW()-8))</f>
        <v>1</v>
      </c>
      <c r="F73" s="30">
        <f>IF($A73="",0,INDEX(Transactions!$O:$O,ROW()-8))</f>
      </c>
      <c r="G73" s="30">
        <f>IF($A73="",0,INDEX(Transactions!$P:$P,ROW()-8))</f>
      </c>
    </row>
    <row r="74" spans="1:7" ht="15" customHeight="1" x14ac:dyDescent="0.15">
      <c r="A74">
        <f>IF(INDEX(Transactions!$J:$J,ROW()-8)="","",INDEX(Transactions!$J:$J,ROW()-8))</f>
      </c>
      <c r="B74" s="297">
        <f>IF($A74="",TODAY(),INDEX(Transactions!$G:$G,ROW()-8))</f>
      </c>
      <c r="C74" s="298">
        <f>IF($A74="","",INDEX(Transactions!$A:$A,ROW()-8))</f>
      </c>
      <c r="D74" s="30">
        <f>IF($A74="",0,INDEX(Transactions!$H:$H,ROW()-8))</f>
      </c>
      <c r="E74" s="299">
        <f>IF($A74="",1,INDEX(Transactions!$N:$N,ROW()-8))</f>
        <v>1</v>
      </c>
      <c r="F74" s="30">
        <f>IF($A74="",0,INDEX(Transactions!$O:$O,ROW()-8))</f>
      </c>
      <c r="G74" s="30">
        <f>IF($A74="",0,INDEX(Transactions!$P:$P,ROW()-8))</f>
      </c>
    </row>
    <row r="75" spans="1:7" ht="15" customHeight="1" x14ac:dyDescent="0.15">
      <c r="A75">
        <f>IF(INDEX(Transactions!$J:$J,ROW()-8)="","",INDEX(Transactions!$J:$J,ROW()-8))</f>
      </c>
      <c r="B75" s="297">
        <f>IF($A75="",TODAY(),INDEX(Transactions!$G:$G,ROW()-8))</f>
      </c>
      <c r="C75" s="298">
        <f>IF($A75="","",INDEX(Transactions!$A:$A,ROW()-8))</f>
      </c>
      <c r="D75" s="30">
        <f>IF($A75="",0,INDEX(Transactions!$H:$H,ROW()-8))</f>
      </c>
      <c r="E75" s="299">
        <f>IF($A75="",1,INDEX(Transactions!$N:$N,ROW()-8))</f>
        <v>1</v>
      </c>
      <c r="F75" s="30">
        <f>IF($A75="",0,INDEX(Transactions!$O:$O,ROW()-8))</f>
      </c>
      <c r="G75" s="30">
        <f>IF($A75="",0,INDEX(Transactions!$P:$P,ROW()-8))</f>
      </c>
    </row>
    <row r="76" spans="1:7" ht="15" customHeight="1" x14ac:dyDescent="0.15">
      <c r="A76">
        <f>IF(INDEX(Transactions!$J:$J,ROW()-8)="","",INDEX(Transactions!$J:$J,ROW()-8))</f>
      </c>
      <c r="B76" s="297">
        <f>IF($A76="",TODAY(),INDEX(Transactions!$G:$G,ROW()-8))</f>
      </c>
      <c r="C76" s="298">
        <f>IF($A76="","",INDEX(Transactions!$A:$A,ROW()-8))</f>
      </c>
      <c r="D76" s="30">
        <f>IF($A76="",0,INDEX(Transactions!$H:$H,ROW()-8))</f>
      </c>
      <c r="E76" s="299">
        <f>IF($A76="",1,INDEX(Transactions!$N:$N,ROW()-8))</f>
        <v>1</v>
      </c>
      <c r="F76" s="30">
        <f>IF($A76="",0,INDEX(Transactions!$O:$O,ROW()-8))</f>
      </c>
      <c r="G76" s="30">
        <f>IF($A76="",0,INDEX(Transactions!$P:$P,ROW()-8))</f>
      </c>
    </row>
    <row r="77" spans="1:7" ht="15" customHeight="1" x14ac:dyDescent="0.15">
      <c r="A77">
        <f>IF(INDEX(Transactions!$J:$J,ROW()-8)="","",INDEX(Transactions!$J:$J,ROW()-8))</f>
      </c>
      <c r="B77" s="297">
        <f>IF($A77="",TODAY(),INDEX(Transactions!$G:$G,ROW()-8))</f>
      </c>
      <c r="C77" s="298">
        <f>IF($A77="","",INDEX(Transactions!$A:$A,ROW()-8))</f>
      </c>
      <c r="D77" s="30">
        <f>IF($A77="",0,INDEX(Transactions!$H:$H,ROW()-8))</f>
      </c>
      <c r="E77" s="299">
        <f>IF($A77="",1,INDEX(Transactions!$N:$N,ROW()-8))</f>
        <v>1</v>
      </c>
      <c r="F77" s="30">
        <f>IF($A77="",0,INDEX(Transactions!$O:$O,ROW()-8))</f>
      </c>
      <c r="G77" s="30">
        <f>IF($A77="",0,INDEX(Transactions!$P:$P,ROW()-8))</f>
      </c>
    </row>
    <row r="78" spans="1:7" ht="15" customHeight="1" x14ac:dyDescent="0.15">
      <c r="A78">
        <f>IF(INDEX(Transactions!$J:$J,ROW()-8)="","",INDEX(Transactions!$J:$J,ROW()-8))</f>
      </c>
      <c r="B78" s="297">
        <f>IF($A78="",TODAY(),INDEX(Transactions!$G:$G,ROW()-8))</f>
      </c>
      <c r="C78" s="298">
        <f>IF($A78="","",INDEX(Transactions!$A:$A,ROW()-8))</f>
      </c>
      <c r="D78" s="30">
        <f>IF($A78="",0,INDEX(Transactions!$H:$H,ROW()-8))</f>
      </c>
      <c r="E78" s="299">
        <f>IF($A78="",1,INDEX(Transactions!$N:$N,ROW()-8))</f>
        <v>1</v>
      </c>
      <c r="F78" s="30">
        <f>IF($A78="",0,INDEX(Transactions!$O:$O,ROW()-8))</f>
      </c>
      <c r="G78" s="30">
        <f>IF($A78="",0,INDEX(Transactions!$P:$P,ROW()-8))</f>
      </c>
    </row>
    <row r="79" spans="1:7" ht="15" customHeight="1" x14ac:dyDescent="0.15">
      <c r="A79">
        <f>IF(INDEX(Transactions!$J:$J,ROW()-8)="","",INDEX(Transactions!$J:$J,ROW()-8))</f>
      </c>
      <c r="B79" s="297">
        <f>IF($A79="",TODAY(),INDEX(Transactions!$G:$G,ROW()-8))</f>
      </c>
      <c r="C79" s="298">
        <f>IF($A79="","",INDEX(Transactions!$A:$A,ROW()-8))</f>
      </c>
      <c r="D79" s="30">
        <f>IF($A79="",0,INDEX(Transactions!$H:$H,ROW()-8))</f>
      </c>
      <c r="E79" s="299">
        <f>IF($A79="",1,INDEX(Transactions!$N:$N,ROW()-8))</f>
        <v>1</v>
      </c>
      <c r="F79" s="30">
        <f>IF($A79="",0,INDEX(Transactions!$O:$O,ROW()-8))</f>
      </c>
      <c r="G79" s="30">
        <f>IF($A79="",0,INDEX(Transactions!$P:$P,ROW()-8))</f>
      </c>
    </row>
    <row r="80" spans="1:7" ht="15" customHeight="1" x14ac:dyDescent="0.15">
      <c r="A80">
        <f>IF(INDEX(Transactions!$J:$J,ROW()-8)="","",INDEX(Transactions!$J:$J,ROW()-8))</f>
      </c>
      <c r="B80" s="297">
        <f>IF($A80="",TODAY(),INDEX(Transactions!$G:$G,ROW()-8))</f>
      </c>
      <c r="C80" s="298">
        <f>IF($A80="","",INDEX(Transactions!$A:$A,ROW()-8))</f>
      </c>
      <c r="D80" s="30">
        <f>IF($A80="",0,INDEX(Transactions!$H:$H,ROW()-8))</f>
      </c>
      <c r="E80" s="299">
        <f>IF($A80="",1,INDEX(Transactions!$N:$N,ROW()-8))</f>
        <v>1</v>
      </c>
      <c r="F80" s="30">
        <f>IF($A80="",0,INDEX(Transactions!$O:$O,ROW()-8))</f>
      </c>
      <c r="G80" s="30">
        <f>IF($A80="",0,INDEX(Transactions!$P:$P,ROW()-8))</f>
      </c>
    </row>
    <row r="81" spans="1:7" ht="15" customHeight="1" x14ac:dyDescent="0.15">
      <c r="A81">
        <f>IF(INDEX(Transactions!$J:$J,ROW()-8)="","",INDEX(Transactions!$J:$J,ROW()-8))</f>
      </c>
      <c r="B81" s="297">
        <f>IF($A81="",TODAY(),INDEX(Transactions!$G:$G,ROW()-8))</f>
      </c>
      <c r="C81" s="298">
        <f>IF($A81="","",INDEX(Transactions!$A:$A,ROW()-8))</f>
      </c>
      <c r="D81" s="30">
        <f>IF($A81="",0,INDEX(Transactions!$H:$H,ROW()-8))</f>
      </c>
      <c r="E81" s="299">
        <f>IF($A81="",1,INDEX(Transactions!$N:$N,ROW()-8))</f>
        <v>1</v>
      </c>
      <c r="F81" s="30">
        <f>IF($A81="",0,INDEX(Transactions!$O:$O,ROW()-8))</f>
      </c>
      <c r="G81" s="30">
        <f>IF($A81="",0,INDEX(Transactions!$P:$P,ROW()-8))</f>
      </c>
    </row>
    <row r="82" spans="1:7" ht="15" customHeight="1" x14ac:dyDescent="0.15">
      <c r="A82">
        <f>IF(INDEX(Transactions!$J:$J,ROW()-8)="","",INDEX(Transactions!$J:$J,ROW()-8))</f>
      </c>
      <c r="B82" s="297">
        <f>IF($A82="",TODAY(),INDEX(Transactions!$G:$G,ROW()-8))</f>
      </c>
      <c r="C82" s="298">
        <f>IF($A82="","",INDEX(Transactions!$A:$A,ROW()-8))</f>
      </c>
      <c r="D82" s="30">
        <f>IF($A82="",0,INDEX(Transactions!$H:$H,ROW()-8))</f>
      </c>
      <c r="E82" s="299">
        <f>IF($A82="",1,INDEX(Transactions!$N:$N,ROW()-8))</f>
        <v>1</v>
      </c>
      <c r="F82" s="30">
        <f>IF($A82="",0,INDEX(Transactions!$O:$O,ROW()-8))</f>
      </c>
      <c r="G82" s="30">
        <f>IF($A82="",0,INDEX(Transactions!$P:$P,ROW()-8))</f>
      </c>
    </row>
    <row r="83" spans="1:7" ht="15" customHeight="1" x14ac:dyDescent="0.15">
      <c r="A83">
        <f>IF(INDEX(Transactions!$J:$J,ROW()-8)="","",INDEX(Transactions!$J:$J,ROW()-8))</f>
      </c>
      <c r="B83" s="297">
        <f>IF($A83="",TODAY(),INDEX(Transactions!$G:$G,ROW()-8))</f>
      </c>
      <c r="C83" s="298">
        <f>IF($A83="","",INDEX(Transactions!$A:$A,ROW()-8))</f>
      </c>
      <c r="D83" s="30">
        <f>IF($A83="",0,INDEX(Transactions!$H:$H,ROW()-8))</f>
      </c>
      <c r="E83" s="299">
        <f>IF($A83="",1,INDEX(Transactions!$N:$N,ROW()-8))</f>
        <v>1</v>
      </c>
      <c r="F83" s="30">
        <f>IF($A83="",0,INDEX(Transactions!$O:$O,ROW()-8))</f>
      </c>
      <c r="G83" s="30">
        <f>IF($A83="",0,INDEX(Transactions!$P:$P,ROW()-8))</f>
      </c>
    </row>
    <row r="84" spans="1:7" ht="15" customHeight="1" x14ac:dyDescent="0.15">
      <c r="A84">
        <f>IF(INDEX(Transactions!$J:$J,ROW()-8)="","",INDEX(Transactions!$J:$J,ROW()-8))</f>
      </c>
      <c r="B84" s="297">
        <f>IF($A84="",TODAY(),INDEX(Transactions!$G:$G,ROW()-8))</f>
      </c>
      <c r="C84" s="298">
        <f>IF($A84="","",INDEX(Transactions!$A:$A,ROW()-8))</f>
      </c>
      <c r="D84" s="30">
        <f>IF($A84="",0,INDEX(Transactions!$H:$H,ROW()-8))</f>
      </c>
      <c r="E84" s="299">
        <f>IF($A84="",1,INDEX(Transactions!$N:$N,ROW()-8))</f>
        <v>1</v>
      </c>
      <c r="F84" s="30">
        <f>IF($A84="",0,INDEX(Transactions!$O:$O,ROW()-8))</f>
      </c>
      <c r="G84" s="30">
        <f>IF($A84="",0,INDEX(Transactions!$P:$P,ROW()-8))</f>
      </c>
    </row>
    <row r="85" spans="1:7" ht="15" customHeight="1" x14ac:dyDescent="0.15">
      <c r="A85">
        <f>IF(INDEX(Transactions!$J:$J,ROW()-8)="","",INDEX(Transactions!$J:$J,ROW()-8))</f>
      </c>
      <c r="B85" s="297">
        <f>IF($A85="",TODAY(),INDEX(Transactions!$G:$G,ROW()-8))</f>
      </c>
      <c r="C85" s="298">
        <f>IF($A85="","",INDEX(Transactions!$A:$A,ROW()-8))</f>
      </c>
      <c r="D85" s="30">
        <f>IF($A85="",0,INDEX(Transactions!$H:$H,ROW()-8))</f>
      </c>
      <c r="E85" s="299">
        <f>IF($A85="",1,INDEX(Transactions!$N:$N,ROW()-8))</f>
        <v>1</v>
      </c>
      <c r="F85" s="30">
        <f>IF($A85="",0,INDEX(Transactions!$O:$O,ROW()-8))</f>
      </c>
      <c r="G85" s="30">
        <f>IF($A85="",0,INDEX(Transactions!$P:$P,ROW()-8))</f>
      </c>
    </row>
    <row r="86" spans="1:7" ht="15" customHeight="1" x14ac:dyDescent="0.15">
      <c r="A86">
        <f>IF(INDEX(Transactions!$J:$J,ROW()-8)="","",INDEX(Transactions!$J:$J,ROW()-8))</f>
      </c>
      <c r="B86" s="297">
        <f>IF($A86="",TODAY(),INDEX(Transactions!$G:$G,ROW()-8))</f>
      </c>
      <c r="C86" s="298">
        <f>IF($A86="","",INDEX(Transactions!$A:$A,ROW()-8))</f>
      </c>
      <c r="D86" s="30">
        <f>IF($A86="",0,INDEX(Transactions!$H:$H,ROW()-8))</f>
      </c>
      <c r="E86" s="300">
        <f>IF($A86="",1,INDEX(Transactions!$N:$N,ROW()-8))</f>
        <v>1</v>
      </c>
      <c r="F86" s="30">
        <f>IF($A86="",0,INDEX(Transactions!$O:$O,ROW()-8))</f>
      </c>
      <c r="G86" s="30">
        <f>IF($A86="",0,INDEX(Transactions!$P:$P,ROW()-8))</f>
      </c>
    </row>
    <row r="87" spans="1:7" ht="15" customHeight="1" x14ac:dyDescent="0.15">
      <c r="A87">
        <f>IF(INDEX(Transactions!$J:$J,ROW()-8)="","",INDEX(Transactions!$J:$J,ROW()-8))</f>
      </c>
      <c r="B87" s="297">
        <f>IF($A87="",TODAY(),INDEX(Transactions!$G:$G,ROW()-8))</f>
      </c>
      <c r="C87" s="298">
        <f>IF($A87="","",INDEX(Transactions!$A:$A,ROW()-8))</f>
      </c>
      <c r="D87" s="30">
        <f>IF($A87="",0,INDEX(Transactions!$H:$H,ROW()-8))</f>
      </c>
      <c r="E87" s="300">
        <f>IF($A87="",1,INDEX(Transactions!$N:$N,ROW()-8))</f>
        <v>1</v>
      </c>
      <c r="F87" s="30">
        <f>IF($A87="",0,INDEX(Transactions!$O:$O,ROW()-8))</f>
      </c>
      <c r="G87" s="30">
        <f>IF($A87="",0,INDEX(Transactions!$P:$P,ROW()-8))</f>
      </c>
    </row>
    <row r="88" spans="1:7" ht="15" customHeight="1" x14ac:dyDescent="0.15">
      <c r="A88">
        <f>IF(INDEX(Transactions!$J:$J,ROW()-8)="","",INDEX(Transactions!$J:$J,ROW()-8))</f>
      </c>
      <c r="B88" s="297">
        <f>IF($A88="",TODAY(),INDEX(Transactions!$G:$G,ROW()-8))</f>
      </c>
      <c r="C88" s="298">
        <f>IF($A88="","",INDEX(Transactions!$A:$A,ROW()-8))</f>
      </c>
      <c r="D88" s="30">
        <f>IF($A88="",0,INDEX(Transactions!$H:$H,ROW()-8))</f>
      </c>
      <c r="E88" s="299">
        <f>IF($A88="",1,INDEX(Transactions!$N:$N,ROW()-8))</f>
        <v>1</v>
      </c>
      <c r="F88" s="30">
        <f>IF($A88="",0,INDEX(Transactions!$O:$O,ROW()-8))</f>
      </c>
      <c r="G88" s="30">
        <f>IF($A88="",0,INDEX(Transactions!$P:$P,ROW()-8))</f>
      </c>
    </row>
    <row r="89" spans="1:7" ht="15" customHeight="1" x14ac:dyDescent="0.15">
      <c r="A89">
        <f>IF(INDEX(Transactions!$J:$J,ROW()-8)="","",INDEX(Transactions!$J:$J,ROW()-8))</f>
      </c>
      <c r="B89" s="297">
        <f>IF($A89="",TODAY(),INDEX(Transactions!$G:$G,ROW()-8))</f>
      </c>
      <c r="C89" s="298">
        <f>IF($A89="","",INDEX(Transactions!$A:$A,ROW()-8))</f>
      </c>
      <c r="D89" s="30">
        <f>IF($A89="",0,INDEX(Transactions!$H:$H,ROW()-8))</f>
      </c>
      <c r="E89" s="300">
        <f>IF($A89="",1,INDEX(Transactions!$N:$N,ROW()-8))</f>
        <v>1</v>
      </c>
      <c r="F89" s="30">
        <f>IF($A89="",0,INDEX(Transactions!$O:$O,ROW()-8))</f>
      </c>
      <c r="G89" s="30">
        <f>IF($A89="",0,INDEX(Transactions!$P:$P,ROW()-8))</f>
      </c>
    </row>
    <row r="90" spans="1:7" ht="15" customHeight="1" x14ac:dyDescent="0.15">
      <c r="A90">
        <f>IF(INDEX(Transactions!$J:$J,ROW()-8)="","",INDEX(Transactions!$J:$J,ROW()-8))</f>
      </c>
      <c r="B90" s="297">
        <f>IF($A90="",TODAY(),INDEX(Transactions!$G:$G,ROW()-8))</f>
      </c>
      <c r="C90" s="298">
        <f>IF($A90="","",INDEX(Transactions!$A:$A,ROW()-8))</f>
      </c>
      <c r="D90" s="30">
        <f>IF($A90="",0,INDEX(Transactions!$H:$H,ROW()-8))</f>
      </c>
      <c r="E90" s="299">
        <f>IF($A90="",1,INDEX(Transactions!$N:$N,ROW()-8))</f>
        <v>1</v>
      </c>
      <c r="F90" s="30">
        <f>IF($A90="",0,INDEX(Transactions!$O:$O,ROW()-8))</f>
      </c>
      <c r="G90" s="30">
        <f>IF($A90="",0,INDEX(Transactions!$P:$P,ROW()-8))</f>
      </c>
    </row>
    <row r="91" spans="1:7" ht="15" customHeight="1" x14ac:dyDescent="0.15">
      <c r="A91">
        <f>IF(INDEX(Transactions!$J:$J,ROW()-8)="","",INDEX(Transactions!$J:$J,ROW()-8))</f>
      </c>
      <c r="B91" s="297">
        <f>IF($A91="",TODAY(),INDEX(Transactions!$G:$G,ROW()-8))</f>
      </c>
      <c r="C91" s="298">
        <f>IF($A91="","",INDEX(Transactions!$A:$A,ROW()-8))</f>
      </c>
      <c r="D91" s="30">
        <f>IF($A91="",0,INDEX(Transactions!$H:$H,ROW()-8))</f>
      </c>
      <c r="E91" s="299">
        <f>IF($A91="",1,INDEX(Transactions!$N:$N,ROW()-8))</f>
        <v>1</v>
      </c>
      <c r="F91" s="30">
        <f>IF($A91="",0,INDEX(Transactions!$O:$O,ROW()-8))</f>
      </c>
      <c r="G91" s="30">
        <f>IF($A91="",0,INDEX(Transactions!$P:$P,ROW()-8))</f>
      </c>
    </row>
    <row r="92" spans="1:7" ht="15" customHeight="1" x14ac:dyDescent="0.15">
      <c r="A92">
        <f>IF(INDEX(Transactions!$J:$J,ROW()-8)="","",INDEX(Transactions!$J:$J,ROW()-8))</f>
      </c>
      <c r="B92" s="297">
        <f>IF($A92="",TODAY(),INDEX(Transactions!$G:$G,ROW()-8))</f>
      </c>
      <c r="C92" s="298">
        <f>IF($A92="","",INDEX(Transactions!$A:$A,ROW()-8))</f>
      </c>
      <c r="D92" s="30">
        <f>IF($A92="",0,INDEX(Transactions!$H:$H,ROW()-8))</f>
      </c>
      <c r="E92" s="299">
        <f>IF($A92="",1,INDEX(Transactions!$N:$N,ROW()-8))</f>
        <v>1</v>
      </c>
      <c r="F92" s="30">
        <f>IF($A92="",0,INDEX(Transactions!$O:$O,ROW()-8))</f>
      </c>
      <c r="G92" s="30">
        <f>IF($A92="",0,INDEX(Transactions!$P:$P,ROW()-8))</f>
      </c>
    </row>
    <row r="93" spans="1:7" ht="15" customHeight="1" x14ac:dyDescent="0.15">
      <c r="A93">
        <f>IF(INDEX(Transactions!$J:$J,ROW()-8)="","",INDEX(Transactions!$J:$J,ROW()-8))</f>
      </c>
      <c r="B93" s="297">
        <f>IF($A93="",TODAY(),INDEX(Transactions!$G:$G,ROW()-8))</f>
      </c>
      <c r="C93" s="298">
        <f>IF($A93="","",INDEX(Transactions!$A:$A,ROW()-8))</f>
      </c>
      <c r="D93" s="30">
        <f>IF($A93="",0,INDEX(Transactions!$H:$H,ROW()-8))</f>
      </c>
      <c r="E93" s="300">
        <f>IF($A93="",1,INDEX(Transactions!$N:$N,ROW()-8))</f>
        <v>1</v>
      </c>
      <c r="F93" s="30">
        <f>IF($A93="",0,INDEX(Transactions!$O:$O,ROW()-8))</f>
      </c>
      <c r="G93" s="30">
        <f>IF($A93="",0,INDEX(Transactions!$P:$P,ROW()-8))</f>
      </c>
    </row>
    <row r="94" spans="1:7" ht="15" customHeight="1" x14ac:dyDescent="0.15">
      <c r="A94">
        <f>IF(INDEX(Transactions!$J:$J,ROW()-8)="","",INDEX(Transactions!$J:$J,ROW()-8))</f>
      </c>
      <c r="B94" s="297">
        <f>IF($A94="",TODAY(),INDEX(Transactions!$G:$G,ROW()-8))</f>
      </c>
      <c r="C94" s="298">
        <f>IF($A94="","",INDEX(Transactions!$A:$A,ROW()-8))</f>
      </c>
      <c r="D94" s="30">
        <f>IF($A94="",0,INDEX(Transactions!$H:$H,ROW()-8))</f>
      </c>
      <c r="E94" s="300">
        <f>IF($A94="",1,INDEX(Transactions!$N:$N,ROW()-8))</f>
        <v>1</v>
      </c>
      <c r="F94" s="30">
        <f>IF($A94="",0,INDEX(Transactions!$O:$O,ROW()-8))</f>
      </c>
      <c r="G94" s="30">
        <f>IF($A94="",0,INDEX(Transactions!$P:$P,ROW()-8))</f>
      </c>
    </row>
    <row r="95" spans="1:7" ht="15" customHeight="1" x14ac:dyDescent="0.15">
      <c r="A95">
        <f>IF(INDEX(Transactions!$J:$J,ROW()-8)="","",INDEX(Transactions!$J:$J,ROW()-8))</f>
      </c>
      <c r="B95" s="297">
        <f>IF($A95="",TODAY(),INDEX(Transactions!$G:$G,ROW()-8))</f>
      </c>
      <c r="C95" s="298">
        <f>IF($A95="","",INDEX(Transactions!$A:$A,ROW()-8))</f>
      </c>
      <c r="D95" s="30">
        <f>IF($A95="",0,INDEX(Transactions!$H:$H,ROW()-8))</f>
      </c>
      <c r="E95" s="299">
        <f>IF($A95="",1,INDEX(Transactions!$N:$N,ROW()-8))</f>
        <v>1</v>
      </c>
      <c r="F95" s="30">
        <f>IF($A95="",0,INDEX(Transactions!$O:$O,ROW()-8))</f>
      </c>
      <c r="G95" s="30">
        <f>IF($A95="",0,INDEX(Transactions!$P:$P,ROW()-8))</f>
      </c>
    </row>
    <row r="96" spans="1:7" ht="15" customHeight="1" x14ac:dyDescent="0.15">
      <c r="A96">
        <f>IF(INDEX(Transactions!$J:$J,ROW()-8)="","",INDEX(Transactions!$J:$J,ROW()-8))</f>
      </c>
      <c r="B96" s="297">
        <f>IF($A96="",TODAY(),INDEX(Transactions!$G:$G,ROW()-8))</f>
      </c>
      <c r="C96" s="298">
        <f>IF($A96="","",INDEX(Transactions!$A:$A,ROW()-8))</f>
      </c>
      <c r="D96" s="30">
        <f>IF($A96="",0,INDEX(Transactions!$H:$H,ROW()-8))</f>
      </c>
      <c r="E96" s="299">
        <f>IF($A96="",1,INDEX(Transactions!$N:$N,ROW()-8))</f>
        <v>1</v>
      </c>
      <c r="F96" s="30">
        <f>IF($A96="",0,INDEX(Transactions!$O:$O,ROW()-8))</f>
      </c>
      <c r="G96" s="30">
        <f>IF($A96="",0,INDEX(Transactions!$P:$P,ROW()-8))</f>
      </c>
    </row>
    <row r="97" spans="1:7" ht="15" customHeight="1" x14ac:dyDescent="0.15">
      <c r="A97">
        <f>IF(INDEX(Transactions!$J:$J,ROW()-8)="","",INDEX(Transactions!$J:$J,ROW()-8))</f>
      </c>
      <c r="B97" s="297">
        <f>IF($A97="",TODAY(),INDEX(Transactions!$G:$G,ROW()-8))</f>
      </c>
      <c r="C97" s="298">
        <f>IF($A97="","",INDEX(Transactions!$A:$A,ROW()-8))</f>
      </c>
      <c r="D97" s="30">
        <f>IF($A97="",0,INDEX(Transactions!$H:$H,ROW()-8))</f>
      </c>
      <c r="E97" s="299">
        <f>IF($A97="",1,INDEX(Transactions!$N:$N,ROW()-8))</f>
        <v>1</v>
      </c>
      <c r="F97" s="30">
        <f>IF($A97="",0,INDEX(Transactions!$O:$O,ROW()-8))</f>
      </c>
      <c r="G97" s="30">
        <f>IF($A97="",0,INDEX(Transactions!$P:$P,ROW()-8))</f>
      </c>
    </row>
    <row r="98" spans="1:7" ht="15" customHeight="1" x14ac:dyDescent="0.15">
      <c r="A98">
        <f>IF(INDEX(Transactions!$J:$J,ROW()-8)="","",INDEX(Transactions!$J:$J,ROW()-8))</f>
      </c>
      <c r="B98" s="297">
        <f>IF($A98="",TODAY(),INDEX(Transactions!$G:$G,ROW()-8))</f>
      </c>
      <c r="C98" s="298">
        <f>IF($A98="","",INDEX(Transactions!$A:$A,ROW()-8))</f>
      </c>
      <c r="D98" s="30">
        <f>IF($A98="",0,INDEX(Transactions!$H:$H,ROW()-8))</f>
      </c>
      <c r="E98" s="299">
        <f>IF($A98="",1,INDEX(Transactions!$N:$N,ROW()-8))</f>
        <v>1</v>
      </c>
      <c r="F98" s="30">
        <f>IF($A98="",0,INDEX(Transactions!$O:$O,ROW()-8))</f>
      </c>
      <c r="G98" s="30">
        <f>IF($A98="",0,INDEX(Transactions!$P:$P,ROW()-8))</f>
      </c>
    </row>
    <row r="99" spans="1:7" ht="15" customHeight="1" x14ac:dyDescent="0.15">
      <c r="A99">
        <f>IF(INDEX(Transactions!$J:$J,ROW()-8)="","",INDEX(Transactions!$J:$J,ROW()-8))</f>
      </c>
      <c r="B99" s="297">
        <f>IF($A99="",TODAY(),INDEX(Transactions!$G:$G,ROW()-8))</f>
      </c>
      <c r="C99" s="298">
        <f>IF($A99="","",INDEX(Transactions!$A:$A,ROW()-8))</f>
      </c>
      <c r="D99" s="30">
        <f>IF($A99="",0,INDEX(Transactions!$H:$H,ROW()-8))</f>
      </c>
      <c r="E99" s="299">
        <f>IF($A99="",1,INDEX(Transactions!$N:$N,ROW()-8))</f>
        <v>1</v>
      </c>
      <c r="F99" s="30">
        <f>IF($A99="",0,INDEX(Transactions!$O:$O,ROW()-8))</f>
      </c>
      <c r="G99" s="30">
        <f>IF($A99="",0,INDEX(Transactions!$P:$P,ROW()-8))</f>
      </c>
    </row>
    <row r="100" spans="1:7" ht="15" customHeight="1" x14ac:dyDescent="0.15">
      <c r="A100">
        <f>IF(INDEX(Transactions!$J:$J,ROW()-8)="","",INDEX(Transactions!$J:$J,ROW()-8))</f>
      </c>
      <c r="B100" s="297">
        <f>IF($A100="",TODAY(),INDEX(Transactions!$G:$G,ROW()-8))</f>
      </c>
      <c r="C100" s="298">
        <f>IF($A100="","",INDEX(Transactions!$A:$A,ROW()-8))</f>
      </c>
      <c r="D100" s="30">
        <f>IF($A100="",0,INDEX(Transactions!$H:$H,ROW()-8))</f>
      </c>
      <c r="E100" s="299">
        <f>IF($A100="",1,INDEX(Transactions!$N:$N,ROW()-8))</f>
        <v>1</v>
      </c>
      <c r="F100" s="30">
        <f>IF($A100="",0,INDEX(Transactions!$O:$O,ROW()-8))</f>
      </c>
      <c r="G100" s="30">
        <f>IF($A100="",0,INDEX(Transactions!$P:$P,ROW()-8))</f>
      </c>
    </row>
    <row r="101" spans="1:7" ht="15" customHeight="1" x14ac:dyDescent="0.15">
      <c r="A101">
        <f>IF(INDEX(Transactions!$J:$J,ROW()-8)="","",INDEX(Transactions!$J:$J,ROW()-8))</f>
      </c>
      <c r="B101" s="297">
        <f>IF($A101="",TODAY(),INDEX(Transactions!$G:$G,ROW()-8))</f>
      </c>
      <c r="C101" s="298">
        <f>IF($A101="","",INDEX(Transactions!$A:$A,ROW()-8))</f>
      </c>
      <c r="D101" s="30">
        <f>IF($A101="",0,INDEX(Transactions!$H:$H,ROW()-8))</f>
      </c>
      <c r="E101" s="299">
        <f>IF($A101="",1,INDEX(Transactions!$N:$N,ROW()-8))</f>
        <v>1</v>
      </c>
      <c r="F101" s="30">
        <f>IF($A101="",0,INDEX(Transactions!$O:$O,ROW()-8))</f>
      </c>
      <c r="G101" s="30">
        <f>IF($A101="",0,INDEX(Transactions!$P:$P,ROW()-8))</f>
      </c>
    </row>
    <row r="102" spans="1:7" ht="15" customHeight="1" x14ac:dyDescent="0.15">
      <c r="A102">
        <f>IF(INDEX(Transactions!$J:$J,ROW()-8)="","",INDEX(Transactions!$J:$J,ROW()-8))</f>
      </c>
      <c r="B102" s="297">
        <f>IF($A102="",TODAY(),INDEX(Transactions!$G:$G,ROW()-8))</f>
      </c>
      <c r="C102" s="298">
        <f>IF($A102="","",INDEX(Transactions!$A:$A,ROW()-8))</f>
      </c>
      <c r="D102" s="30">
        <f>IF($A102="",0,INDEX(Transactions!$H:$H,ROW()-8))</f>
      </c>
      <c r="E102" s="299">
        <f>IF($A102="",1,INDEX(Transactions!$N:$N,ROW()-8))</f>
        <v>1</v>
      </c>
      <c r="F102" s="30">
        <f>IF($A102="",0,INDEX(Transactions!$O:$O,ROW()-8))</f>
      </c>
      <c r="G102" s="30">
        <f>IF($A102="",0,INDEX(Transactions!$P:$P,ROW()-8))</f>
      </c>
    </row>
    <row r="103" spans="1:7" ht="15" customHeight="1" x14ac:dyDescent="0.15">
      <c r="A103">
        <f>IF(INDEX(Transactions!$J:$J,ROW()-8)="","",INDEX(Transactions!$J:$J,ROW()-8))</f>
      </c>
      <c r="B103" s="297">
        <f>IF($A103="",TODAY(),INDEX(Transactions!$G:$G,ROW()-8))</f>
      </c>
      <c r="C103" s="298">
        <f>IF($A103="","",INDEX(Transactions!$A:$A,ROW()-8))</f>
      </c>
      <c r="D103" s="30">
        <f>IF($A103="",0,INDEX(Transactions!$H:$H,ROW()-8))</f>
      </c>
      <c r="E103" s="299">
        <f>IF($A103="",1,INDEX(Transactions!$N:$N,ROW()-8))</f>
        <v>1</v>
      </c>
      <c r="F103" s="30">
        <f>IF($A103="",0,INDEX(Transactions!$O:$O,ROW()-8))</f>
      </c>
      <c r="G103" s="30">
        <f>IF($A103="",0,INDEX(Transactions!$P:$P,ROW()-8))</f>
      </c>
    </row>
    <row r="104" spans="1:7" ht="15" customHeight="1" x14ac:dyDescent="0.15">
      <c r="A104">
        <f>IF(INDEX(Transactions!$J:$J,ROW()-8)="","",INDEX(Transactions!$J:$J,ROW()-8))</f>
      </c>
      <c r="B104" s="297">
        <f>IF($A104="",TODAY(),INDEX(Transactions!$G:$G,ROW()-8))</f>
      </c>
      <c r="C104" s="298">
        <f>IF($A104="","",INDEX(Transactions!$A:$A,ROW()-8))</f>
      </c>
      <c r="D104" s="30">
        <f>IF($A104="",0,INDEX(Transactions!$H:$H,ROW()-8))</f>
      </c>
      <c r="E104" s="299">
        <f>IF($A104="",1,INDEX(Transactions!$N:$N,ROW()-8))</f>
        <v>1</v>
      </c>
      <c r="F104" s="30">
        <f>IF($A104="",0,INDEX(Transactions!$O:$O,ROW()-8))</f>
      </c>
      <c r="G104" s="30">
        <f>IF($A104="",0,INDEX(Transactions!$P:$P,ROW()-8))</f>
      </c>
    </row>
    <row r="105" spans="1:7" ht="15" customHeight="1" x14ac:dyDescent="0.15">
      <c r="A105">
        <f>IF(INDEX(Transactions!$J:$J,ROW()-8)="","",INDEX(Transactions!$J:$J,ROW()-8))</f>
      </c>
      <c r="B105" s="297">
        <f>IF($A105="",TODAY(),INDEX(Transactions!$G:$G,ROW()-8))</f>
      </c>
      <c r="C105" s="298">
        <f>IF($A105="","",INDEX(Transactions!$A:$A,ROW()-8))</f>
      </c>
      <c r="D105" s="30">
        <f>IF($A105="",0,INDEX(Transactions!$H:$H,ROW()-8))</f>
      </c>
      <c r="E105" s="299">
        <f>IF($A105="",1,INDEX(Transactions!$N:$N,ROW()-8))</f>
        <v>1</v>
      </c>
      <c r="F105" s="30">
        <f>IF($A105="",0,INDEX(Transactions!$O:$O,ROW()-8))</f>
      </c>
      <c r="G105" s="30">
        <f>IF($A105="",0,INDEX(Transactions!$P:$P,ROW()-8))</f>
      </c>
    </row>
    <row r="106" spans="1:7" ht="15" customHeight="1" x14ac:dyDescent="0.15">
      <c r="A106">
        <f>IF(INDEX(Transactions!$J:$J,ROW()-8)="","",INDEX(Transactions!$J:$J,ROW()-8))</f>
      </c>
      <c r="B106" s="297">
        <f>IF($A106="",TODAY(),INDEX(Transactions!$G:$G,ROW()-8))</f>
      </c>
      <c r="C106" s="298">
        <f>IF($A106="","",INDEX(Transactions!$A:$A,ROW()-8))</f>
      </c>
      <c r="D106" s="30">
        <f>IF($A106="",0,INDEX(Transactions!$H:$H,ROW()-8))</f>
      </c>
      <c r="E106" s="299">
        <f>IF($A106="",1,INDEX(Transactions!$N:$N,ROW()-8))</f>
        <v>1</v>
      </c>
      <c r="F106" s="30">
        <f>IF($A106="",0,INDEX(Transactions!$O:$O,ROW()-8))</f>
      </c>
      <c r="G106" s="30">
        <f>IF($A106="",0,INDEX(Transactions!$P:$P,ROW()-8))</f>
      </c>
    </row>
    <row r="107" spans="1:7" ht="15" customHeight="1" x14ac:dyDescent="0.15">
      <c r="A107">
        <f>IF(INDEX(Transactions!$J:$J,ROW()-8)="","",INDEX(Transactions!$J:$J,ROW()-8))</f>
      </c>
      <c r="B107" s="297">
        <f>IF($A107="",TODAY(),INDEX(Transactions!$G:$G,ROW()-8))</f>
      </c>
      <c r="C107" s="298">
        <f>IF($A107="","",INDEX(Transactions!$A:$A,ROW()-8))</f>
      </c>
      <c r="D107" s="30">
        <f>IF($A107="",0,INDEX(Transactions!$H:$H,ROW()-8))</f>
      </c>
      <c r="E107" s="299">
        <f>IF($A107="",1,INDEX(Transactions!$N:$N,ROW()-8))</f>
        <v>1</v>
      </c>
      <c r="F107" s="30">
        <f>IF($A107="",0,INDEX(Transactions!$O:$O,ROW()-8))</f>
      </c>
      <c r="G107" s="30">
        <f>IF($A107="",0,INDEX(Transactions!$P:$P,ROW()-8))</f>
      </c>
    </row>
    <row r="108" spans="1:7" ht="15" customHeight="1" x14ac:dyDescent="0.15">
      <c r="A108">
        <f>IF(INDEX(Transactions!$J:$J,ROW()-8)="","",INDEX(Transactions!$J:$J,ROW()-8))</f>
      </c>
      <c r="B108" s="297">
        <f>IF($A108="",TODAY(),INDEX(Transactions!$G:$G,ROW()-8))</f>
      </c>
      <c r="C108" s="298">
        <f>IF($A108="","",INDEX(Transactions!$A:$A,ROW()-8))</f>
      </c>
      <c r="D108" s="30">
        <f>IF($A108="",0,INDEX(Transactions!$H:$H,ROW()-8))</f>
      </c>
      <c r="E108" s="299">
        <f>IF($A108="",1,INDEX(Transactions!$N:$N,ROW()-8))</f>
        <v>1</v>
      </c>
      <c r="F108" s="30">
        <f>IF($A108="",0,INDEX(Transactions!$O:$O,ROW()-8))</f>
      </c>
      <c r="G108" s="30">
        <f>IF($A108="",0,INDEX(Transactions!$P:$P,ROW()-8))</f>
      </c>
    </row>
    <row r="109" spans="1:7" ht="15" customHeight="1" x14ac:dyDescent="0.15">
      <c r="A109">
        <f>IF(INDEX(Transactions!$J:$J,ROW()-8)="","",INDEX(Transactions!$J:$J,ROW()-8))</f>
      </c>
      <c r="B109" s="297">
        <f>IF($A109="",TODAY(),INDEX(Transactions!$G:$G,ROW()-8))</f>
      </c>
      <c r="C109" s="298">
        <f>IF($A109="","",INDEX(Transactions!$A:$A,ROW()-8))</f>
      </c>
      <c r="D109" s="30">
        <f>IF($A109="",0,INDEX(Transactions!$H:$H,ROW()-8))</f>
      </c>
      <c r="E109" s="300">
        <f>IF($A109="",1,INDEX(Transactions!$N:$N,ROW()-8))</f>
        <v>1</v>
      </c>
      <c r="F109" s="30">
        <f>IF($A109="",0,INDEX(Transactions!$O:$O,ROW()-8))</f>
      </c>
      <c r="G109" s="30">
        <f>IF($A109="",0,INDEX(Transactions!$P:$P,ROW()-8))</f>
      </c>
    </row>
    <row r="110" spans="1:7" ht="15" customHeight="1" x14ac:dyDescent="0.15">
      <c r="A110">
        <f>IF(INDEX(Transactions!$J:$J,ROW()-8)="","",INDEX(Transactions!$J:$J,ROW()-8))</f>
      </c>
      <c r="B110" s="297">
        <f>IF($A110="",TODAY(),INDEX(Transactions!$G:$G,ROW()-8))</f>
      </c>
      <c r="C110" s="298">
        <f>IF($A110="","",INDEX(Transactions!$A:$A,ROW()-8))</f>
      </c>
      <c r="D110" s="30">
        <f>IF($A110="",0,INDEX(Transactions!$H:$H,ROW()-8))</f>
      </c>
      <c r="E110" s="300">
        <f>IF($A110="",1,INDEX(Transactions!$N:$N,ROW()-8))</f>
        <v>1</v>
      </c>
      <c r="F110" s="30">
        <f>IF($A110="",0,INDEX(Transactions!$O:$O,ROW()-8))</f>
      </c>
      <c r="G110" s="30">
        <f>IF($A110="",0,INDEX(Transactions!$P:$P,ROW()-8))</f>
      </c>
    </row>
    <row r="111" spans="1:7" ht="15" customHeight="1" x14ac:dyDescent="0.15">
      <c r="A111">
        <f>IF(INDEX(Transactions!$J:$J,ROW()-8)="","",INDEX(Transactions!$J:$J,ROW()-8))</f>
      </c>
      <c r="B111" s="297">
        <f>IF($A111="",TODAY(),INDEX(Transactions!$G:$G,ROW()-8))</f>
      </c>
      <c r="C111" s="298">
        <f>IF($A111="","",INDEX(Transactions!$A:$A,ROW()-8))</f>
      </c>
      <c r="D111" s="30">
        <f>IF($A111="",0,INDEX(Transactions!$H:$H,ROW()-8))</f>
      </c>
      <c r="E111" s="300">
        <f>IF($A111="",1,INDEX(Transactions!$N:$N,ROW()-8))</f>
        <v>1</v>
      </c>
      <c r="F111" s="30">
        <f>IF($A111="",0,INDEX(Transactions!$O:$O,ROW()-8))</f>
      </c>
      <c r="G111" s="30">
        <f>IF($A111="",0,INDEX(Transactions!$P:$P,ROW()-8))</f>
      </c>
    </row>
    <row r="112" spans="1:7" ht="15" customHeight="1" x14ac:dyDescent="0.15">
      <c r="A112">
        <f>IF(INDEX(Transactions!$J:$J,ROW()-8)="","",INDEX(Transactions!$J:$J,ROW()-8))</f>
      </c>
      <c r="B112" s="297">
        <f>IF($A112="",TODAY(),INDEX(Transactions!$G:$G,ROW()-8))</f>
      </c>
      <c r="C112" s="298">
        <f>IF($A112="","",INDEX(Transactions!$A:$A,ROW()-8))</f>
      </c>
      <c r="D112" s="30">
        <f>IF($A112="",0,INDEX(Transactions!$H:$H,ROW()-8))</f>
      </c>
      <c r="E112" s="300">
        <f>IF($A112="",1,INDEX(Transactions!$N:$N,ROW()-8))</f>
        <v>1</v>
      </c>
      <c r="F112" s="30">
        <f>IF($A112="",0,INDEX(Transactions!$O:$O,ROW()-8))</f>
      </c>
      <c r="G112" s="30">
        <f>IF($A112="",0,INDEX(Transactions!$P:$P,ROW()-8))</f>
      </c>
    </row>
    <row r="113" spans="1:7" ht="15" customHeight="1" x14ac:dyDescent="0.15">
      <c r="A113">
        <f>IF(INDEX(Transactions!$J:$J,ROW()-8)="","",INDEX(Transactions!$J:$J,ROW()-8))</f>
      </c>
      <c r="B113" s="297">
        <f>IF($A113="",TODAY(),INDEX(Transactions!$G:$G,ROW()-8))</f>
      </c>
      <c r="C113" s="298">
        <f>IF($A113="","",INDEX(Transactions!$A:$A,ROW()-8))</f>
      </c>
      <c r="D113" s="30">
        <f>IF($A113="",0,INDEX(Transactions!$H:$H,ROW()-8))</f>
      </c>
      <c r="E113" s="300">
        <f>IF($A113="",1,INDEX(Transactions!$N:$N,ROW()-8))</f>
        <v>1</v>
      </c>
      <c r="F113" s="30">
        <f>IF($A113="",0,INDEX(Transactions!$O:$O,ROW()-8))</f>
      </c>
      <c r="G113" s="30">
        <f>IF($A113="",0,INDEX(Transactions!$P:$P,ROW()-8))</f>
      </c>
    </row>
    <row r="114" spans="1:7" ht="15" customHeight="1" x14ac:dyDescent="0.15">
      <c r="A114">
        <f>IF(INDEX(Transactions!$J:$J,ROW()-8)="","",INDEX(Transactions!$J:$J,ROW()-8))</f>
      </c>
      <c r="B114" s="297">
        <f>IF($A114="",TODAY(),INDEX(Transactions!$G:$G,ROW()-8))</f>
      </c>
      <c r="C114" s="298">
        <f>IF($A114="","",INDEX(Transactions!$A:$A,ROW()-8))</f>
      </c>
      <c r="D114" s="30">
        <f>IF($A114="",0,INDEX(Transactions!$H:$H,ROW()-8))</f>
      </c>
      <c r="E114" s="299">
        <f>IF($A114="",1,INDEX(Transactions!$N:$N,ROW()-8))</f>
        <v>1</v>
      </c>
      <c r="F114" s="30">
        <f>IF($A114="",0,INDEX(Transactions!$O:$O,ROW()-8))</f>
      </c>
      <c r="G114" s="30">
        <f>IF($A114="",0,INDEX(Transactions!$P:$P,ROW()-8))</f>
      </c>
    </row>
    <row r="115" spans="1:7" ht="15" customHeight="1" x14ac:dyDescent="0.15">
      <c r="A115">
        <f>IF(INDEX(Transactions!$J:$J,ROW()-8)="","",INDEX(Transactions!$J:$J,ROW()-8))</f>
      </c>
      <c r="B115" s="297">
        <f>IF($A115="",TODAY(),INDEX(Transactions!$G:$G,ROW()-8))</f>
      </c>
      <c r="C115" s="298">
        <f>IF($A115="","",INDEX(Transactions!$A:$A,ROW()-8))</f>
      </c>
      <c r="D115" s="30">
        <f>IF($A115="",0,INDEX(Transactions!$H:$H,ROW()-8))</f>
      </c>
      <c r="E115" s="300">
        <f>IF($A115="",1,INDEX(Transactions!$N:$N,ROW()-8))</f>
        <v>1</v>
      </c>
      <c r="F115" s="30">
        <f>IF($A115="",0,INDEX(Transactions!$O:$O,ROW()-8))</f>
      </c>
      <c r="G115" s="30">
        <f>IF($A115="",0,INDEX(Transactions!$P:$P,ROW()-8))</f>
      </c>
    </row>
    <row r="116" spans="1:7" ht="15" customHeight="1" x14ac:dyDescent="0.15">
      <c r="A116">
        <f>IF(INDEX(Transactions!$J:$J,ROW()-8)="","",INDEX(Transactions!$J:$J,ROW()-8))</f>
      </c>
      <c r="B116" s="297">
        <f>IF($A116="",TODAY(),INDEX(Transactions!$G:$G,ROW()-8))</f>
      </c>
      <c r="C116" s="298">
        <f>IF($A116="","",INDEX(Transactions!$A:$A,ROW()-8))</f>
      </c>
      <c r="D116" s="30">
        <f>IF($A116="",0,INDEX(Transactions!$H:$H,ROW()-8))</f>
      </c>
      <c r="E116" s="300">
        <f>IF($A116="",1,INDEX(Transactions!$N:$N,ROW()-8))</f>
        <v>1</v>
      </c>
      <c r="F116" s="30">
        <f>IF($A116="",0,INDEX(Transactions!$O:$O,ROW()-8))</f>
      </c>
      <c r="G116" s="30">
        <f>IF($A116="",0,INDEX(Transactions!$P:$P,ROW()-8))</f>
      </c>
    </row>
    <row r="117" spans="1:7" ht="15" customHeight="1" x14ac:dyDescent="0.15">
      <c r="A117">
        <f>IF(INDEX(Transactions!$J:$J,ROW()-8)="","",INDEX(Transactions!$J:$J,ROW()-8))</f>
      </c>
      <c r="B117" s="297">
        <f>IF($A117="",TODAY(),INDEX(Transactions!$G:$G,ROW()-8))</f>
      </c>
      <c r="C117" s="298">
        <f>IF($A117="","",INDEX(Transactions!$A:$A,ROW()-8))</f>
      </c>
      <c r="D117" s="30">
        <f>IF($A117="",0,INDEX(Transactions!$H:$H,ROW()-8))</f>
      </c>
      <c r="E117" s="300">
        <f>IF($A117="",1,INDEX(Transactions!$N:$N,ROW()-8))</f>
        <v>1</v>
      </c>
      <c r="F117" s="30">
        <f>IF($A117="",0,INDEX(Transactions!$O:$O,ROW()-8))</f>
      </c>
      <c r="G117" s="30">
        <f>IF($A117="",0,INDEX(Transactions!$P:$P,ROW()-8))</f>
      </c>
    </row>
    <row r="118" spans="1:7" ht="15" customHeight="1" x14ac:dyDescent="0.15">
      <c r="A118">
        <f>IF(INDEX(Transactions!$J:$J,ROW()-8)="","",INDEX(Transactions!$J:$J,ROW()-8))</f>
      </c>
      <c r="B118" s="297">
        <f>IF($A118="",TODAY(),INDEX(Transactions!$G:$G,ROW()-8))</f>
      </c>
      <c r="C118" s="298">
        <f>IF($A118="","",INDEX(Transactions!$A:$A,ROW()-8))</f>
      </c>
      <c r="D118" s="30">
        <f>IF($A118="",0,INDEX(Transactions!$H:$H,ROW()-8))</f>
      </c>
      <c r="E118" s="299">
        <f>IF($A118="",1,INDEX(Transactions!$N:$N,ROW()-8))</f>
        <v>1</v>
      </c>
      <c r="F118" s="30">
        <f>IF($A118="",0,INDEX(Transactions!$O:$O,ROW()-8))</f>
      </c>
      <c r="G118" s="30">
        <f>IF($A118="",0,INDEX(Transactions!$P:$P,ROW()-8))</f>
      </c>
    </row>
    <row r="119" spans="1:7" ht="15" customHeight="1" x14ac:dyDescent="0.15">
      <c r="A119">
        <f>IF(INDEX(Transactions!$J:$J,ROW()-8)="","",INDEX(Transactions!$J:$J,ROW()-8))</f>
      </c>
      <c r="B119" s="297">
        <f>IF($A119="",TODAY(),INDEX(Transactions!$G:$G,ROW()-8))</f>
      </c>
      <c r="C119" s="298">
        <f>IF($A119="","",INDEX(Transactions!$A:$A,ROW()-8))</f>
      </c>
      <c r="D119" s="30">
        <f>IF($A119="",0,INDEX(Transactions!$H:$H,ROW()-8))</f>
      </c>
      <c r="E119" s="300">
        <f>IF($A119="",1,INDEX(Transactions!$N:$N,ROW()-8))</f>
        <v>1</v>
      </c>
      <c r="F119" s="30">
        <f>IF($A119="",0,INDEX(Transactions!$O:$O,ROW()-8))</f>
      </c>
      <c r="G119" s="30">
        <f>IF($A119="",0,INDEX(Transactions!$P:$P,ROW()-8))</f>
      </c>
    </row>
    <row r="120" spans="1:7" ht="15" customHeight="1" x14ac:dyDescent="0.15">
      <c r="A120">
        <f>IF(INDEX(Transactions!$J:$J,ROW()-8)="","",INDEX(Transactions!$J:$J,ROW()-8))</f>
      </c>
      <c r="B120" s="297">
        <f>IF($A120="",TODAY(),INDEX(Transactions!$G:$G,ROW()-8))</f>
      </c>
      <c r="C120" s="298">
        <f>IF($A120="","",INDEX(Transactions!$A:$A,ROW()-8))</f>
      </c>
      <c r="D120" s="30">
        <f>IF($A120="",0,INDEX(Transactions!$H:$H,ROW()-8))</f>
      </c>
      <c r="E120" s="299">
        <f>IF($A120="",1,INDEX(Transactions!$N:$N,ROW()-8))</f>
        <v>1</v>
      </c>
      <c r="F120" s="30">
        <f>IF($A120="",0,INDEX(Transactions!$O:$O,ROW()-8))</f>
      </c>
      <c r="G120" s="30">
        <f>IF($A120="",0,INDEX(Transactions!$P:$P,ROW()-8))</f>
      </c>
    </row>
    <row r="121" spans="1:7" ht="15" customHeight="1" x14ac:dyDescent="0.15">
      <c r="A121">
        <f>IF(INDEX(Transactions!$J:$J,ROW()-8)="","",INDEX(Transactions!$J:$J,ROW()-8))</f>
      </c>
      <c r="B121" s="297">
        <f>IF($A121="",TODAY(),INDEX(Transactions!$G:$G,ROW()-8))</f>
      </c>
      <c r="C121" s="298">
        <f>IF($A121="","",INDEX(Transactions!$A:$A,ROW()-8))</f>
      </c>
      <c r="D121" s="30">
        <f>IF($A121="",0,INDEX(Transactions!$H:$H,ROW()-8))</f>
      </c>
      <c r="E121" s="300">
        <f>IF($A121="",1,INDEX(Transactions!$N:$N,ROW()-8))</f>
        <v>1</v>
      </c>
      <c r="F121" s="30">
        <f>IF($A121="",0,INDEX(Transactions!$O:$O,ROW()-8))</f>
      </c>
      <c r="G121" s="30">
        <f>IF($A121="",0,INDEX(Transactions!$P:$P,ROW()-8))</f>
      </c>
    </row>
    <row r="122" spans="1:7" ht="15" customHeight="1" x14ac:dyDescent="0.15">
      <c r="A122">
        <f>IF(INDEX(Transactions!$J:$J,ROW()-8)="","",INDEX(Transactions!$J:$J,ROW()-8))</f>
      </c>
      <c r="B122" s="297">
        <f>IF($A122="",TODAY(),INDEX(Transactions!$G:$G,ROW()-8))</f>
      </c>
      <c r="C122" s="298">
        <f>IF($A122="","",INDEX(Transactions!$A:$A,ROW()-8))</f>
      </c>
      <c r="D122" s="30">
        <f>IF($A122="",0,INDEX(Transactions!$H:$H,ROW()-8))</f>
      </c>
      <c r="E122" s="300">
        <f>IF($A122="",1,INDEX(Transactions!$N:$N,ROW()-8))</f>
        <v>1</v>
      </c>
      <c r="F122" s="30">
        <f>IF($A122="",0,INDEX(Transactions!$O:$O,ROW()-8))</f>
      </c>
      <c r="G122" s="30">
        <f>IF($A122="",0,INDEX(Transactions!$P:$P,ROW()-8))</f>
      </c>
    </row>
    <row r="123" spans="1:7" ht="15" customHeight="1" x14ac:dyDescent="0.15">
      <c r="A123">
        <f>IF(INDEX(Transactions!$J:$J,ROW()-8)="","",INDEX(Transactions!$J:$J,ROW()-8))</f>
      </c>
      <c r="B123" s="297">
        <f>IF($A123="",TODAY(),INDEX(Transactions!$G:$G,ROW()-8))</f>
      </c>
      <c r="C123" s="298">
        <f>IF($A123="","",INDEX(Transactions!$A:$A,ROW()-8))</f>
      </c>
      <c r="D123" s="30">
        <f>IF($A123="",0,INDEX(Transactions!$H:$H,ROW()-8))</f>
      </c>
      <c r="E123" s="299">
        <f>IF($A123="",1,INDEX(Transactions!$N:$N,ROW()-8))</f>
        <v>1</v>
      </c>
      <c r="F123" s="30">
        <f>IF($A123="",0,INDEX(Transactions!$O:$O,ROW()-8))</f>
      </c>
      <c r="G123" s="30">
        <f>IF($A123="",0,INDEX(Transactions!$P:$P,ROW()-8))</f>
      </c>
    </row>
    <row r="124" spans="1:7" ht="15" customHeight="1" x14ac:dyDescent="0.15">
      <c r="A124">
        <f>IF(INDEX(Transactions!$J:$J,ROW()-8)="","",INDEX(Transactions!$J:$J,ROW()-8))</f>
      </c>
      <c r="B124" s="297">
        <f>IF($A124="",TODAY(),INDEX(Transactions!$G:$G,ROW()-8))</f>
      </c>
      <c r="C124" s="298">
        <f>IF($A124="","",INDEX(Transactions!$A:$A,ROW()-8))</f>
      </c>
      <c r="D124" s="30">
        <f>IF($A124="",0,INDEX(Transactions!$H:$H,ROW()-8))</f>
      </c>
      <c r="E124" s="300">
        <f>IF($A124="",1,INDEX(Transactions!$N:$N,ROW()-8))</f>
        <v>1</v>
      </c>
      <c r="F124" s="30">
        <f>IF($A124="",0,INDEX(Transactions!$O:$O,ROW()-8))</f>
      </c>
      <c r="G124" s="30">
        <f>IF($A124="",0,INDEX(Transactions!$P:$P,ROW()-8))</f>
      </c>
    </row>
    <row r="125" spans="1:7" ht="15" customHeight="1" x14ac:dyDescent="0.15">
      <c r="A125">
        <f>IF(INDEX(Transactions!$J:$J,ROW()-8)="","",INDEX(Transactions!$J:$J,ROW()-8))</f>
      </c>
      <c r="B125" s="297">
        <f>IF($A125="",TODAY(),INDEX(Transactions!$G:$G,ROW()-8))</f>
      </c>
      <c r="C125" s="298">
        <f>IF($A125="","",INDEX(Transactions!$A:$A,ROW()-8))</f>
      </c>
      <c r="D125" s="30">
        <f>IF($A125="",0,INDEX(Transactions!$H:$H,ROW()-8))</f>
      </c>
      <c r="E125" s="300">
        <f>IF($A125="",1,INDEX(Transactions!$N:$N,ROW()-8))</f>
        <v>1</v>
      </c>
      <c r="F125" s="30">
        <f>IF($A125="",0,INDEX(Transactions!$O:$O,ROW()-8))</f>
      </c>
      <c r="G125" s="30">
        <f>IF($A125="",0,INDEX(Transactions!$P:$P,ROW()-8))</f>
      </c>
    </row>
    <row r="126" spans="1:7" ht="15" customHeight="1" x14ac:dyDescent="0.15">
      <c r="A126">
        <f>IF(INDEX(Transactions!$J:$J,ROW()-8)="","",INDEX(Transactions!$J:$J,ROW()-8))</f>
      </c>
      <c r="B126" s="297">
        <f>IF($A126="",TODAY(),INDEX(Transactions!$G:$G,ROW()-8))</f>
      </c>
      <c r="C126" s="298">
        <f>IF($A126="","",INDEX(Transactions!$A:$A,ROW()-8))</f>
      </c>
      <c r="D126" s="30">
        <f>IF($A126="",0,INDEX(Transactions!$H:$H,ROW()-8))</f>
      </c>
      <c r="E126" s="300">
        <f>IF($A126="",1,INDEX(Transactions!$N:$N,ROW()-8))</f>
        <v>1</v>
      </c>
      <c r="F126" s="30">
        <f>IF($A126="",0,INDEX(Transactions!$O:$O,ROW()-8))</f>
      </c>
      <c r="G126" s="30">
        <f>IF($A126="",0,INDEX(Transactions!$P:$P,ROW()-8))</f>
      </c>
    </row>
    <row r="127" spans="1:7" ht="15" customHeight="1" x14ac:dyDescent="0.15">
      <c r="A127">
        <f>IF(INDEX(Transactions!$J:$J,ROW()-8)="","",INDEX(Transactions!$J:$J,ROW()-8))</f>
      </c>
      <c r="B127" s="297">
        <f>IF($A127="",TODAY(),INDEX(Transactions!$G:$G,ROW()-8))</f>
      </c>
      <c r="C127" s="298">
        <f>IF($A127="","",INDEX(Transactions!$A:$A,ROW()-8))</f>
      </c>
      <c r="D127" s="30">
        <f>IF($A127="",0,INDEX(Transactions!$H:$H,ROW()-8))</f>
      </c>
      <c r="E127" s="299">
        <f>IF($A127="",1,INDEX(Transactions!$N:$N,ROW()-8))</f>
        <v>1</v>
      </c>
      <c r="F127" s="30">
        <f>IF($A127="",0,INDEX(Transactions!$O:$O,ROW()-8))</f>
      </c>
      <c r="G127" s="30">
        <f>IF($A127="",0,INDEX(Transactions!$P:$P,ROW()-8))</f>
      </c>
    </row>
    <row r="128" spans="1:7" ht="15" customHeight="1" x14ac:dyDescent="0.15">
      <c r="A128">
        <f>IF(INDEX(Transactions!$J:$J,ROW()-8)="","",INDEX(Transactions!$J:$J,ROW()-8))</f>
      </c>
      <c r="B128" s="297">
        <f>IF($A128="",TODAY(),INDEX(Transactions!$G:$G,ROW()-8))</f>
      </c>
      <c r="C128" s="298">
        <f>IF($A128="","",INDEX(Transactions!$A:$A,ROW()-8))</f>
      </c>
      <c r="D128" s="30">
        <f>IF($A128="",0,INDEX(Transactions!$H:$H,ROW()-8))</f>
      </c>
      <c r="E128" s="300">
        <f>IF($A128="",1,INDEX(Transactions!$N:$N,ROW()-8))</f>
        <v>1</v>
      </c>
      <c r="F128" s="30">
        <f>IF($A128="",0,INDEX(Transactions!$O:$O,ROW()-8))</f>
      </c>
      <c r="G128" s="30">
        <f>IF($A128="",0,INDEX(Transactions!$P:$P,ROW()-8))</f>
      </c>
    </row>
    <row r="129" spans="1:7" ht="15" customHeight="1" x14ac:dyDescent="0.15">
      <c r="A129">
        <f>IF(INDEX(Transactions!$J:$J,ROW()-8)="","",INDEX(Transactions!$J:$J,ROW()-8))</f>
      </c>
      <c r="B129" s="297">
        <f>IF($A129="",TODAY(),INDEX(Transactions!$G:$G,ROW()-8))</f>
      </c>
      <c r="C129" s="298">
        <f>IF($A129="","",INDEX(Transactions!$A:$A,ROW()-8))</f>
      </c>
      <c r="D129" s="30">
        <f>IF($A129="",0,INDEX(Transactions!$H:$H,ROW()-8))</f>
      </c>
      <c r="E129" s="300">
        <f>IF($A129="",1,INDEX(Transactions!$N:$N,ROW()-8))</f>
        <v>1</v>
      </c>
      <c r="F129" s="30">
        <f>IF($A129="",0,INDEX(Transactions!$O:$O,ROW()-8))</f>
      </c>
      <c r="G129" s="30">
        <f>IF($A129="",0,INDEX(Transactions!$P:$P,ROW()-8))</f>
      </c>
    </row>
    <row r="130" spans="1:7" ht="15" customHeight="1" x14ac:dyDescent="0.15">
      <c r="A130">
        <f>IF(INDEX(Transactions!$J:$J,ROW()-8)="","",INDEX(Transactions!$J:$J,ROW()-8))</f>
      </c>
      <c r="B130" s="297">
        <f>IF($A130="",TODAY(),INDEX(Transactions!$G:$G,ROW()-8))</f>
      </c>
      <c r="C130" s="298">
        <f>IF($A130="","",INDEX(Transactions!$A:$A,ROW()-8))</f>
      </c>
      <c r="D130" s="30">
        <f>IF($A130="",0,INDEX(Transactions!$H:$H,ROW()-8))</f>
      </c>
      <c r="E130" s="299">
        <f>IF($A130="",1,INDEX(Transactions!$N:$N,ROW()-8))</f>
        <v>1</v>
      </c>
      <c r="F130" s="30">
        <f>IF($A130="",0,INDEX(Transactions!$O:$O,ROW()-8))</f>
      </c>
      <c r="G130" s="30">
        <f>IF($A130="",0,INDEX(Transactions!$P:$P,ROW()-8))</f>
      </c>
    </row>
    <row r="131" spans="1:7" ht="15" customHeight="1" x14ac:dyDescent="0.15">
      <c r="A131">
        <f>IF(INDEX(Transactions!$J:$J,ROW()-8)="","",INDEX(Transactions!$J:$J,ROW()-8))</f>
      </c>
      <c r="B131" s="297">
        <f>IF($A131="",TODAY(),INDEX(Transactions!$G:$G,ROW()-8))</f>
      </c>
      <c r="C131" s="298">
        <f>IF($A131="","",INDEX(Transactions!$A:$A,ROW()-8))</f>
      </c>
      <c r="D131" s="30">
        <f>IF($A131="",0,INDEX(Transactions!$H:$H,ROW()-8))</f>
      </c>
      <c r="E131" s="300">
        <f>IF($A131="",1,INDEX(Transactions!$N:$N,ROW()-8))</f>
        <v>1</v>
      </c>
      <c r="F131" s="30">
        <f>IF($A131="",0,INDEX(Transactions!$O:$O,ROW()-8))</f>
      </c>
      <c r="G131" s="30">
        <f>IF($A131="",0,INDEX(Transactions!$P:$P,ROW()-8))</f>
      </c>
    </row>
    <row r="132" spans="1:7" ht="15" customHeight="1" x14ac:dyDescent="0.15">
      <c r="A132">
        <f>IF(INDEX(Transactions!$J:$J,ROW()-8)="","",INDEX(Transactions!$J:$J,ROW()-8))</f>
      </c>
      <c r="B132" s="297">
        <f>IF($A132="",TODAY(),INDEX(Transactions!$G:$G,ROW()-8))</f>
      </c>
      <c r="C132" s="298">
        <f>IF($A132="","",INDEX(Transactions!$A:$A,ROW()-8))</f>
      </c>
      <c r="D132" s="30">
        <f>IF($A132="",0,INDEX(Transactions!$H:$H,ROW()-8))</f>
      </c>
      <c r="E132" s="300">
        <f>IF($A132="",1,INDEX(Transactions!$N:$N,ROW()-8))</f>
        <v>1</v>
      </c>
      <c r="F132" s="30">
        <f>IF($A132="",0,INDEX(Transactions!$O:$O,ROW()-8))</f>
      </c>
      <c r="G132" s="30">
        <f>IF($A132="",0,INDEX(Transactions!$P:$P,ROW()-8))</f>
      </c>
    </row>
    <row r="133" spans="1:7" ht="15" customHeight="1" x14ac:dyDescent="0.15">
      <c r="A133">
        <f>IF(INDEX(Transactions!$J:$J,ROW()-8)="","",INDEX(Transactions!$J:$J,ROW()-8))</f>
      </c>
      <c r="B133" s="297">
        <f>IF($A133="",TODAY(),INDEX(Transactions!$G:$G,ROW()-8))</f>
      </c>
      <c r="C133" s="298">
        <f>IF($A133="","",INDEX(Transactions!$A:$A,ROW()-8))</f>
      </c>
      <c r="D133" s="30">
        <f>IF($A133="",0,INDEX(Transactions!$H:$H,ROW()-8))</f>
      </c>
      <c r="E133" s="300">
        <f>IF($A133="",1,INDEX(Transactions!$N:$N,ROW()-8))</f>
        <v>1</v>
      </c>
      <c r="F133" s="30">
        <f>IF($A133="",0,INDEX(Transactions!$O:$O,ROW()-8))</f>
      </c>
      <c r="G133" s="30">
        <f>IF($A133="",0,INDEX(Transactions!$P:$P,ROW()-8))</f>
      </c>
    </row>
    <row r="134" spans="1:7" ht="15" customHeight="1" x14ac:dyDescent="0.15">
      <c r="A134">
        <f>IF(INDEX(Transactions!$J:$J,ROW()-8)="","",INDEX(Transactions!$J:$J,ROW()-8))</f>
      </c>
      <c r="B134" s="297">
        <f>IF($A134="",TODAY(),INDEX(Transactions!$G:$G,ROW()-8))</f>
      </c>
      <c r="C134" s="298">
        <f>IF($A134="","",INDEX(Transactions!$A:$A,ROW()-8))</f>
      </c>
      <c r="D134" s="30">
        <f>IF($A134="",0,INDEX(Transactions!$H:$H,ROW()-8))</f>
      </c>
      <c r="E134" s="300">
        <f>IF($A134="",1,INDEX(Transactions!$N:$N,ROW()-8))</f>
        <v>1</v>
      </c>
      <c r="F134" s="30">
        <f>IF($A134="",0,INDEX(Transactions!$O:$O,ROW()-8))</f>
      </c>
      <c r="G134" s="30">
        <f>IF($A134="",0,INDEX(Transactions!$P:$P,ROW()-8))</f>
      </c>
    </row>
    <row r="135" spans="1:7" ht="15" customHeight="1" x14ac:dyDescent="0.15">
      <c r="A135">
        <f>IF(INDEX(Transactions!$J:$J,ROW()-8)="","",INDEX(Transactions!$J:$J,ROW()-8))</f>
      </c>
      <c r="B135" s="297">
        <f>IF($A135="",TODAY(),INDEX(Transactions!$G:$G,ROW()-8))</f>
      </c>
      <c r="C135" s="298">
        <f>IF($A135="","",INDEX(Transactions!$A:$A,ROW()-8))</f>
      </c>
      <c r="D135" s="30">
        <f>IF($A135="",0,INDEX(Transactions!$H:$H,ROW()-8))</f>
      </c>
      <c r="E135" s="300">
        <f>IF($A135="",1,INDEX(Transactions!$N:$N,ROW()-8))</f>
        <v>1</v>
      </c>
      <c r="F135" s="30">
        <f>IF($A135="",0,INDEX(Transactions!$O:$O,ROW()-8))</f>
      </c>
      <c r="G135" s="30">
        <f>IF($A135="",0,INDEX(Transactions!$P:$P,ROW()-8))</f>
      </c>
    </row>
    <row r="136" spans="1:7" ht="15" customHeight="1" x14ac:dyDescent="0.15">
      <c r="A136">
        <f>IF(INDEX(Transactions!$J:$J,ROW()-8)="","",INDEX(Transactions!$J:$J,ROW()-8))</f>
      </c>
      <c r="B136" s="297">
        <f>IF($A136="",TODAY(),INDEX(Transactions!$G:$G,ROW()-8))</f>
      </c>
      <c r="C136" s="298">
        <f>IF($A136="","",INDEX(Transactions!$A:$A,ROW()-8))</f>
      </c>
      <c r="D136" s="30">
        <f>IF($A136="",0,INDEX(Transactions!$H:$H,ROW()-8))</f>
      </c>
      <c r="E136" s="300">
        <f>IF($A136="",1,INDEX(Transactions!$N:$N,ROW()-8))</f>
        <v>1</v>
      </c>
      <c r="F136" s="30">
        <f>IF($A136="",0,INDEX(Transactions!$O:$O,ROW()-8))</f>
      </c>
      <c r="G136" s="30">
        <f>IF($A136="",0,INDEX(Transactions!$P:$P,ROW()-8))</f>
      </c>
    </row>
    <row r="137" spans="1:7" ht="15" customHeight="1" x14ac:dyDescent="0.15">
      <c r="A137">
        <f>IF(INDEX(Transactions!$J:$J,ROW()-8)="","",INDEX(Transactions!$J:$J,ROW()-8))</f>
      </c>
      <c r="B137" s="297">
        <f>IF($A137="",TODAY(),INDEX(Transactions!$G:$G,ROW()-8))</f>
      </c>
      <c r="C137" s="298">
        <f>IF($A137="","",INDEX(Transactions!$A:$A,ROW()-8))</f>
      </c>
      <c r="D137" s="30">
        <f>IF($A137="",0,INDEX(Transactions!$H:$H,ROW()-8))</f>
      </c>
      <c r="E137" s="300">
        <f>IF($A137="",1,INDEX(Transactions!$N:$N,ROW()-8))</f>
        <v>1</v>
      </c>
      <c r="F137" s="30">
        <f>IF($A137="",0,INDEX(Transactions!$O:$O,ROW()-8))</f>
      </c>
      <c r="G137" s="30">
        <f>IF($A137="",0,INDEX(Transactions!$P:$P,ROW()-8))</f>
      </c>
    </row>
    <row r="138" spans="1:7" ht="15" customHeight="1" x14ac:dyDescent="0.15">
      <c r="A138">
        <f>IF(INDEX(Transactions!$J:$J,ROW()-8)="","",INDEX(Transactions!$J:$J,ROW()-8))</f>
      </c>
      <c r="B138" s="297">
        <f>IF($A138="",TODAY(),INDEX(Transactions!$G:$G,ROW()-8))</f>
      </c>
      <c r="C138" s="298">
        <f>IF($A138="","",INDEX(Transactions!$A:$A,ROW()-8))</f>
      </c>
      <c r="D138" s="30">
        <f>IF($A138="",0,INDEX(Transactions!$H:$H,ROW()-8))</f>
      </c>
      <c r="E138" s="300">
        <f>IF($A138="",1,INDEX(Transactions!$N:$N,ROW()-8))</f>
        <v>1</v>
      </c>
      <c r="F138" s="30">
        <f>IF($A138="",0,INDEX(Transactions!$O:$O,ROW()-8))</f>
      </c>
      <c r="G138" s="30">
        <f>IF($A138="",0,INDEX(Transactions!$P:$P,ROW()-8))</f>
      </c>
    </row>
    <row r="139" spans="1:7" ht="15" customHeight="1" x14ac:dyDescent="0.15">
      <c r="A139">
        <f>IF(INDEX(Transactions!$J:$J,ROW()-8)="","",INDEX(Transactions!$J:$J,ROW()-8))</f>
      </c>
      <c r="B139" s="297">
        <f>IF($A139="",TODAY(),INDEX(Transactions!$G:$G,ROW()-8))</f>
      </c>
      <c r="C139" s="298">
        <f>IF($A139="","",INDEX(Transactions!$A:$A,ROW()-8))</f>
      </c>
      <c r="D139" s="30">
        <f>IF($A139="",0,INDEX(Transactions!$H:$H,ROW()-8))</f>
      </c>
      <c r="E139" s="300">
        <f>IF($A139="",1,INDEX(Transactions!$N:$N,ROW()-8))</f>
        <v>1</v>
      </c>
      <c r="F139" s="30">
        <f>IF($A139="",0,INDEX(Transactions!$O:$O,ROW()-8))</f>
      </c>
      <c r="G139" s="30">
        <f>IF($A139="",0,INDEX(Transactions!$P:$P,ROW()-8))</f>
      </c>
    </row>
    <row r="140" spans="1:7" ht="15" customHeight="1" x14ac:dyDescent="0.15">
      <c r="A140">
        <f>IF(INDEX(Transactions!$J:$J,ROW()-8)="","",INDEX(Transactions!$J:$J,ROW()-8))</f>
      </c>
      <c r="B140" s="297">
        <f>IF($A140="",TODAY(),INDEX(Transactions!$G:$G,ROW()-8))</f>
      </c>
      <c r="C140" s="298">
        <f>IF($A140="","",INDEX(Transactions!$A:$A,ROW()-8))</f>
      </c>
      <c r="D140" s="30">
        <f>IF($A140="",0,INDEX(Transactions!$H:$H,ROW()-8))</f>
      </c>
      <c r="E140" s="299">
        <f>IF($A140="",1,INDEX(Transactions!$N:$N,ROW()-8))</f>
        <v>1</v>
      </c>
      <c r="F140" s="30">
        <f>IF($A140="",0,INDEX(Transactions!$O:$O,ROW()-8))</f>
      </c>
      <c r="G140" s="30">
        <f>IF($A140="",0,INDEX(Transactions!$P:$P,ROW()-8))</f>
      </c>
    </row>
    <row r="141" spans="1:7" ht="15" customHeight="1" x14ac:dyDescent="0.15">
      <c r="A141">
        <f>IF(INDEX(Transactions!$J:$J,ROW()-8)="","",INDEX(Transactions!$J:$J,ROW()-8))</f>
      </c>
      <c r="B141" s="297">
        <f>IF($A141="",TODAY(),INDEX(Transactions!$G:$G,ROW()-8))</f>
      </c>
      <c r="C141" s="298">
        <f>IF($A141="","",INDEX(Transactions!$A:$A,ROW()-8))</f>
      </c>
      <c r="D141" s="30">
        <f>IF($A141="",0,INDEX(Transactions!$H:$H,ROW()-8))</f>
      </c>
      <c r="E141" s="299">
        <f>IF($A141="",1,INDEX(Transactions!$N:$N,ROW()-8))</f>
        <v>1</v>
      </c>
      <c r="F141" s="30">
        <f>IF($A141="",0,INDEX(Transactions!$O:$O,ROW()-8))</f>
      </c>
      <c r="G141" s="30">
        <f>IF($A141="",0,INDEX(Transactions!$P:$P,ROW()-8))</f>
      </c>
    </row>
    <row r="142" spans="1:7" ht="15" customHeight="1" x14ac:dyDescent="0.15">
      <c r="A142">
        <f>IF(INDEX(Transactions!$J:$J,ROW()-8)="","",INDEX(Transactions!$J:$J,ROW()-8))</f>
      </c>
      <c r="B142" s="297">
        <f>IF($A142="",TODAY(),INDEX(Transactions!$G:$G,ROW()-8))</f>
      </c>
      <c r="C142" s="298">
        <f>IF($A142="","",INDEX(Transactions!$A:$A,ROW()-8))</f>
      </c>
      <c r="D142" s="30">
        <f>IF($A142="",0,INDEX(Transactions!$H:$H,ROW()-8))</f>
      </c>
      <c r="E142" s="300">
        <f>IF($A142="",1,INDEX(Transactions!$N:$N,ROW()-8))</f>
        <v>1</v>
      </c>
      <c r="F142" s="30">
        <f>IF($A142="",0,INDEX(Transactions!$O:$O,ROW()-8))</f>
      </c>
      <c r="G142" s="30">
        <f>IF($A142="",0,INDEX(Transactions!$P:$P,ROW()-8))</f>
      </c>
    </row>
    <row r="143" spans="1:7" ht="15" customHeight="1" x14ac:dyDescent="0.15">
      <c r="A143">
        <f>IF(INDEX(Transactions!$J:$J,ROW()-8)="","",INDEX(Transactions!$J:$J,ROW()-8))</f>
      </c>
      <c r="B143" s="297">
        <f>IF($A143="",TODAY(),INDEX(Transactions!$G:$G,ROW()-8))</f>
      </c>
      <c r="C143" s="298">
        <f>IF($A143="","",INDEX(Transactions!$A:$A,ROW()-8))</f>
      </c>
      <c r="D143" s="30">
        <f>IF($A143="",0,INDEX(Transactions!$H:$H,ROW()-8))</f>
      </c>
      <c r="E143" s="299">
        <f>IF($A143="",1,INDEX(Transactions!$N:$N,ROW()-8))</f>
        <v>1</v>
      </c>
      <c r="F143" s="30">
        <f>IF($A143="",0,INDEX(Transactions!$O:$O,ROW()-8))</f>
      </c>
      <c r="G143" s="30">
        <f>IF($A143="",0,INDEX(Transactions!$P:$P,ROW()-8))</f>
      </c>
    </row>
    <row r="144" spans="1:7" ht="15" customHeight="1" x14ac:dyDescent="0.15">
      <c r="A144">
        <f>IF(INDEX(Transactions!$J:$J,ROW()-8)="","",INDEX(Transactions!$J:$J,ROW()-8))</f>
      </c>
      <c r="B144" s="297">
        <f>IF($A144="",TODAY(),INDEX(Transactions!$G:$G,ROW()-8))</f>
      </c>
      <c r="C144" s="298">
        <f>IF($A144="","",INDEX(Transactions!$A:$A,ROW()-8))</f>
      </c>
      <c r="D144" s="30">
        <f>IF($A144="",0,INDEX(Transactions!$H:$H,ROW()-8))</f>
      </c>
      <c r="E144" s="299">
        <f>IF($A144="",1,INDEX(Transactions!$N:$N,ROW()-8))</f>
        <v>1</v>
      </c>
      <c r="F144" s="30">
        <f>IF($A144="",0,INDEX(Transactions!$O:$O,ROW()-8))</f>
      </c>
      <c r="G144" s="30">
        <f>IF($A144="",0,INDEX(Transactions!$P:$P,ROW()-8))</f>
      </c>
    </row>
    <row r="145" spans="1:7" ht="15" customHeight="1" x14ac:dyDescent="0.15">
      <c r="A145">
        <f>IF(INDEX(Transactions!$J:$J,ROW()-8)="","",INDEX(Transactions!$J:$J,ROW()-8))</f>
      </c>
      <c r="B145" s="297">
        <f>IF($A145="",TODAY(),INDEX(Transactions!$G:$G,ROW()-8))</f>
      </c>
      <c r="C145" s="298">
        <f>IF($A145="","",INDEX(Transactions!$A:$A,ROW()-8))</f>
      </c>
      <c r="D145" s="30">
        <f>IF($A145="",0,INDEX(Transactions!$H:$H,ROW()-8))</f>
      </c>
      <c r="E145" s="299">
        <f>IF($A145="",1,INDEX(Transactions!$N:$N,ROW()-8))</f>
        <v>1</v>
      </c>
      <c r="F145" s="30">
        <f>IF($A145="",0,INDEX(Transactions!$O:$O,ROW()-8))</f>
      </c>
      <c r="G145" s="30">
        <f>IF($A145="",0,INDEX(Transactions!$P:$P,ROW()-8))</f>
      </c>
    </row>
    <row r="146" spans="1:7" ht="15" customHeight="1" x14ac:dyDescent="0.15">
      <c r="A146">
        <f>IF(INDEX(Transactions!$J:$J,ROW()-8)="","",INDEX(Transactions!$J:$J,ROW()-8))</f>
      </c>
      <c r="B146" s="297">
        <f>IF($A146="",TODAY(),INDEX(Transactions!$G:$G,ROW()-8))</f>
      </c>
      <c r="C146" s="298">
        <f>IF($A146="","",INDEX(Transactions!$A:$A,ROW()-8))</f>
      </c>
      <c r="D146" s="30">
        <f>IF($A146="",0,INDEX(Transactions!$H:$H,ROW()-8))</f>
      </c>
      <c r="E146" s="300">
        <f>IF($A146="",1,INDEX(Transactions!$N:$N,ROW()-8))</f>
        <v>1</v>
      </c>
      <c r="F146" s="30">
        <f>IF($A146="",0,INDEX(Transactions!$O:$O,ROW()-8))</f>
      </c>
      <c r="G146" s="30">
        <f>IF($A146="",0,INDEX(Transactions!$P:$P,ROW()-8))</f>
      </c>
    </row>
    <row r="147" spans="1:7" ht="15" customHeight="1" x14ac:dyDescent="0.15">
      <c r="A147">
        <f>IF(INDEX(Transactions!$J:$J,ROW()-8)="","",INDEX(Transactions!$J:$J,ROW()-8))</f>
      </c>
      <c r="B147" s="297">
        <f>IF($A147="",TODAY(),INDEX(Transactions!$G:$G,ROW()-8))</f>
      </c>
      <c r="C147" s="298">
        <f>IF($A147="","",INDEX(Transactions!$A:$A,ROW()-8))</f>
      </c>
      <c r="D147" s="30">
        <f>IF($A147="",0,INDEX(Transactions!$H:$H,ROW()-8))</f>
      </c>
      <c r="E147" s="300">
        <f>IF($A147="",1,INDEX(Transactions!$N:$N,ROW()-8))</f>
        <v>1</v>
      </c>
      <c r="F147" s="30">
        <f>IF($A147="",0,INDEX(Transactions!$O:$O,ROW()-8))</f>
      </c>
      <c r="G147" s="30">
        <f>IF($A147="",0,INDEX(Transactions!$P:$P,ROW()-8))</f>
      </c>
    </row>
    <row r="148" spans="1:7" ht="15" customHeight="1" x14ac:dyDescent="0.15">
      <c r="A148">
        <f>IF(INDEX(Transactions!$J:$J,ROW()-8)="","",INDEX(Transactions!$J:$J,ROW()-8))</f>
      </c>
      <c r="B148" s="297">
        <f>IF($A148="",TODAY(),INDEX(Transactions!$G:$G,ROW()-8))</f>
      </c>
      <c r="C148" s="298">
        <f>IF($A148="","",INDEX(Transactions!$A:$A,ROW()-8))</f>
      </c>
      <c r="D148" s="30">
        <f>IF($A148="",0,INDEX(Transactions!$H:$H,ROW()-8))</f>
      </c>
      <c r="E148" s="300">
        <f>IF($A148="",1,INDEX(Transactions!$N:$N,ROW()-8))</f>
        <v>1</v>
      </c>
      <c r="F148" s="30">
        <f>IF($A148="",0,INDEX(Transactions!$O:$O,ROW()-8))</f>
      </c>
      <c r="G148" s="30">
        <f>IF($A148="",0,INDEX(Transactions!$P:$P,ROW()-8))</f>
      </c>
    </row>
    <row r="149" spans="1:7" ht="15" customHeight="1" x14ac:dyDescent="0.15">
      <c r="A149">
        <f>IF(INDEX(Transactions!$J:$J,ROW()-8)="","",INDEX(Transactions!$J:$J,ROW()-8))</f>
      </c>
      <c r="B149" s="297">
        <f>IF($A149="",TODAY(),INDEX(Transactions!$G:$G,ROW()-8))</f>
      </c>
      <c r="C149" s="298">
        <f>IF($A149="","",INDEX(Transactions!$A:$A,ROW()-8))</f>
      </c>
      <c r="D149" s="30">
        <f>IF($A149="",0,INDEX(Transactions!$H:$H,ROW()-8))</f>
      </c>
      <c r="E149" s="300">
        <f>IF($A149="",1,INDEX(Transactions!$N:$N,ROW()-8))</f>
        <v>1</v>
      </c>
      <c r="F149" s="30">
        <f>IF($A149="",0,INDEX(Transactions!$O:$O,ROW()-8))</f>
      </c>
      <c r="G149" s="30">
        <f>IF($A149="",0,INDEX(Transactions!$P:$P,ROW()-8))</f>
      </c>
    </row>
    <row r="150" spans="1:7" ht="15" customHeight="1" x14ac:dyDescent="0.15">
      <c r="A150">
        <f>IF(INDEX(Transactions!$J:$J,ROW()-8)="","",INDEX(Transactions!$J:$J,ROW()-8))</f>
      </c>
      <c r="B150" s="297">
        <f>IF($A150="",TODAY(),INDEX(Transactions!$G:$G,ROW()-8))</f>
      </c>
      <c r="C150" s="298">
        <f>IF($A150="","",INDEX(Transactions!$A:$A,ROW()-8))</f>
      </c>
      <c r="D150" s="30">
        <f>IF($A150="",0,INDEX(Transactions!$H:$H,ROW()-8))</f>
      </c>
      <c r="E150" s="300">
        <f>IF($A150="",1,INDEX(Transactions!$N:$N,ROW()-8))</f>
        <v>1</v>
      </c>
      <c r="F150" s="30">
        <f>IF($A150="",0,INDEX(Transactions!$O:$O,ROW()-8))</f>
      </c>
      <c r="G150" s="30">
        <f>IF($A150="",0,INDEX(Transactions!$P:$P,ROW()-8))</f>
      </c>
    </row>
    <row r="151" spans="1:7" ht="15" customHeight="1" x14ac:dyDescent="0.15">
      <c r="A151">
        <f>IF(INDEX(Transactions!$J:$J,ROW()-8)="","",INDEX(Transactions!$J:$J,ROW()-8))</f>
      </c>
      <c r="B151" s="297">
        <f>IF($A151="",TODAY(),INDEX(Transactions!$G:$G,ROW()-8))</f>
      </c>
      <c r="C151" s="298">
        <f>IF($A151="","",INDEX(Transactions!$A:$A,ROW()-8))</f>
      </c>
      <c r="D151" s="30">
        <f>IF($A151="",0,INDEX(Transactions!$H:$H,ROW()-8))</f>
      </c>
      <c r="E151" s="300">
        <f>IF($A151="",1,INDEX(Transactions!$N:$N,ROW()-8))</f>
        <v>1</v>
      </c>
      <c r="F151" s="30">
        <f>IF($A151="",0,INDEX(Transactions!$O:$O,ROW()-8))</f>
      </c>
      <c r="G151" s="30">
        <f>IF($A151="",0,INDEX(Transactions!$P:$P,ROW()-8))</f>
      </c>
    </row>
    <row r="152" spans="1:7" ht="15" customHeight="1" x14ac:dyDescent="0.15">
      <c r="A152">
        <f>IF(INDEX(Transactions!$J:$J,ROW()-8)="","",INDEX(Transactions!$J:$J,ROW()-8))</f>
      </c>
      <c r="B152" s="297">
        <f>IF($A152="",TODAY(),INDEX(Transactions!$G:$G,ROW()-8))</f>
      </c>
      <c r="C152" s="298">
        <f>IF($A152="","",INDEX(Transactions!$A:$A,ROW()-8))</f>
      </c>
      <c r="D152" s="30">
        <f>IF($A152="",0,INDEX(Transactions!$H:$H,ROW()-8))</f>
      </c>
      <c r="E152" s="300">
        <f>IF($A152="",1,INDEX(Transactions!$N:$N,ROW()-8))</f>
        <v>1</v>
      </c>
      <c r="F152" s="30">
        <f>IF($A152="",0,INDEX(Transactions!$O:$O,ROW()-8))</f>
      </c>
      <c r="G152" s="30">
        <f>IF($A152="",0,INDEX(Transactions!$P:$P,ROW()-8))</f>
      </c>
    </row>
    <row r="153" spans="1:7" ht="15" customHeight="1" x14ac:dyDescent="0.15">
      <c r="A153">
        <f>IF(INDEX(Transactions!$J:$J,ROW()-8)="","",INDEX(Transactions!$J:$J,ROW()-8))</f>
      </c>
      <c r="B153" s="297">
        <f>IF($A153="",TODAY(),INDEX(Transactions!$G:$G,ROW()-8))</f>
      </c>
      <c r="C153" s="298">
        <f>IF($A153="","",INDEX(Transactions!$A:$A,ROW()-8))</f>
      </c>
      <c r="D153" s="30">
        <f>IF($A153="",0,INDEX(Transactions!$H:$H,ROW()-8))</f>
      </c>
      <c r="E153" s="299">
        <f>IF($A153="",1,INDEX(Transactions!$N:$N,ROW()-8))</f>
        <v>1</v>
      </c>
      <c r="F153" s="30">
        <f>IF($A153="",0,INDEX(Transactions!$O:$O,ROW()-8))</f>
      </c>
      <c r="G153" s="30">
        <f>IF($A153="",0,INDEX(Transactions!$P:$P,ROW()-8))</f>
      </c>
    </row>
    <row r="154" spans="1:7" ht="15" customHeight="1" x14ac:dyDescent="0.15">
      <c r="A154">
        <f>IF(INDEX(Transactions!$J:$J,ROW()-8)="","",INDEX(Transactions!$J:$J,ROW()-8))</f>
      </c>
      <c r="B154" s="297">
        <f>IF($A154="",TODAY(),INDEX(Transactions!$G:$G,ROW()-8))</f>
      </c>
      <c r="C154" s="298">
        <f>IF($A154="","",INDEX(Transactions!$A:$A,ROW()-8))</f>
      </c>
      <c r="D154" s="30">
        <f>IF($A154="",0,INDEX(Transactions!$H:$H,ROW()-8))</f>
      </c>
      <c r="E154" s="300">
        <f>IF($A154="",1,INDEX(Transactions!$N:$N,ROW()-8))</f>
        <v>1</v>
      </c>
      <c r="F154" s="30">
        <f>IF($A154="",0,INDEX(Transactions!$O:$O,ROW()-8))</f>
      </c>
      <c r="G154" s="30">
        <f>IF($A154="",0,INDEX(Transactions!$P:$P,ROW()-8))</f>
      </c>
    </row>
    <row r="155" spans="1:7" ht="15" customHeight="1" x14ac:dyDescent="0.15">
      <c r="A155">
        <f>IF(INDEX(Transactions!$J:$J,ROW()-8)="","",INDEX(Transactions!$J:$J,ROW()-8))</f>
      </c>
      <c r="B155" s="297">
        <f>IF($A155="",TODAY(),INDEX(Transactions!$G:$G,ROW()-8))</f>
      </c>
      <c r="C155" s="298">
        <f>IF($A155="","",INDEX(Transactions!$A:$A,ROW()-8))</f>
      </c>
      <c r="D155" s="30">
        <f>IF($A155="",0,INDEX(Transactions!$H:$H,ROW()-8))</f>
      </c>
      <c r="E155" s="299">
        <f>IF($A155="",1,INDEX(Transactions!$N:$N,ROW()-8))</f>
        <v>1</v>
      </c>
      <c r="F155" s="30">
        <f>IF($A155="",0,INDEX(Transactions!$O:$O,ROW()-8))</f>
      </c>
      <c r="G155" s="30">
        <f>IF($A155="",0,INDEX(Transactions!$P:$P,ROW()-8))</f>
      </c>
    </row>
    <row r="156" spans="1:7" ht="15" customHeight="1" x14ac:dyDescent="0.15">
      <c r="A156">
        <f>IF(INDEX(Transactions!$J:$J,ROW()-8)="","",INDEX(Transactions!$J:$J,ROW()-8))</f>
      </c>
      <c r="B156" s="297">
        <f>IF($A156="",TODAY(),INDEX(Transactions!$G:$G,ROW()-8))</f>
      </c>
      <c r="C156" s="298">
        <f>IF($A156="","",INDEX(Transactions!$A:$A,ROW()-8))</f>
      </c>
      <c r="D156" s="30">
        <f>IF($A156="",0,INDEX(Transactions!$H:$H,ROW()-8))</f>
      </c>
      <c r="E156" s="299">
        <f>IF($A156="",1,INDEX(Transactions!$N:$N,ROW()-8))</f>
        <v>1</v>
      </c>
      <c r="F156" s="30">
        <f>IF($A156="",0,INDEX(Transactions!$O:$O,ROW()-8))</f>
      </c>
      <c r="G156" s="30">
        <f>IF($A156="",0,INDEX(Transactions!$P:$P,ROW()-8))</f>
      </c>
    </row>
    <row r="157" spans="1:7" ht="15" customHeight="1" x14ac:dyDescent="0.15">
      <c r="A157">
        <f>IF(INDEX(Transactions!$J:$J,ROW()-8)="","",INDEX(Transactions!$J:$J,ROW()-8))</f>
      </c>
      <c r="B157" s="297">
        <f>IF($A157="",TODAY(),INDEX(Transactions!$G:$G,ROW()-8))</f>
      </c>
      <c r="C157" s="298">
        <f>IF($A157="","",INDEX(Transactions!$A:$A,ROW()-8))</f>
      </c>
      <c r="D157" s="30">
        <f>IF($A157="",0,INDEX(Transactions!$H:$H,ROW()-8))</f>
      </c>
      <c r="E157" s="299">
        <f>IF($A157="",1,INDEX(Transactions!$N:$N,ROW()-8))</f>
        <v>1</v>
      </c>
      <c r="F157" s="30">
        <f>IF($A157="",0,INDEX(Transactions!$O:$O,ROW()-8))</f>
      </c>
      <c r="G157" s="30">
        <f>IF($A157="",0,INDEX(Transactions!$P:$P,ROW()-8))</f>
      </c>
    </row>
    <row r="158" spans="1:7" ht="15" customHeight="1" x14ac:dyDescent="0.15">
      <c r="A158">
        <f>IF(INDEX(Transactions!$J:$J,ROW()-8)="","",INDEX(Transactions!$J:$J,ROW()-8))</f>
      </c>
      <c r="B158" s="297">
        <f>IF($A158="",TODAY(),INDEX(Transactions!$G:$G,ROW()-8))</f>
      </c>
      <c r="C158" s="298">
        <f>IF($A158="","",INDEX(Transactions!$A:$A,ROW()-8))</f>
      </c>
      <c r="D158" s="30">
        <f>IF($A158="",0,INDEX(Transactions!$H:$H,ROW()-8))</f>
      </c>
      <c r="E158" s="299">
        <f>IF($A158="",1,INDEX(Transactions!$N:$N,ROW()-8))</f>
        <v>1</v>
      </c>
      <c r="F158" s="30">
        <f>IF($A158="",0,INDEX(Transactions!$O:$O,ROW()-8))</f>
      </c>
      <c r="G158" s="30">
        <f>IF($A158="",0,INDEX(Transactions!$P:$P,ROW()-8))</f>
      </c>
    </row>
    <row r="159" spans="1:7" ht="15" customHeight="1" x14ac:dyDescent="0.15">
      <c r="A159">
        <f>IF(INDEX(Transactions!$J:$J,ROW()-8)="","",INDEX(Transactions!$J:$J,ROW()-8))</f>
      </c>
      <c r="B159" s="297">
        <f>IF($A159="",TODAY(),INDEX(Transactions!$G:$G,ROW()-8))</f>
      </c>
      <c r="C159" s="298">
        <f>IF($A159="","",INDEX(Transactions!$A:$A,ROW()-8))</f>
      </c>
      <c r="D159" s="30">
        <f>IF($A159="",0,INDEX(Transactions!$H:$H,ROW()-8))</f>
      </c>
      <c r="E159" s="299">
        <f>IF($A159="",1,INDEX(Transactions!$N:$N,ROW()-8))</f>
        <v>1</v>
      </c>
      <c r="F159" s="30">
        <f>IF($A159="",0,INDEX(Transactions!$O:$O,ROW()-8))</f>
      </c>
      <c r="G159" s="30">
        <f>IF($A159="",0,INDEX(Transactions!$P:$P,ROW()-8))</f>
      </c>
    </row>
    <row r="160" spans="1:7" ht="15" customHeight="1" x14ac:dyDescent="0.15">
      <c r="A160">
        <f>IF(INDEX(Transactions!$J:$J,ROW()-8)="","",INDEX(Transactions!$J:$J,ROW()-8))</f>
      </c>
      <c r="B160" s="297">
        <f>IF($A160="",TODAY(),INDEX(Transactions!$G:$G,ROW()-8))</f>
      </c>
      <c r="C160" s="298">
        <f>IF($A160="","",INDEX(Transactions!$A:$A,ROW()-8))</f>
      </c>
      <c r="D160" s="30">
        <f>IF($A160="",0,INDEX(Transactions!$H:$H,ROW()-8))</f>
      </c>
      <c r="E160" s="299">
        <f>IF($A160="",1,INDEX(Transactions!$N:$N,ROW()-8))</f>
        <v>1</v>
      </c>
      <c r="F160" s="30">
        <f>IF($A160="",0,INDEX(Transactions!$O:$O,ROW()-8))</f>
      </c>
      <c r="G160" s="30">
        <f>IF($A160="",0,INDEX(Transactions!$P:$P,ROW()-8))</f>
      </c>
    </row>
    <row r="161" spans="1:7" ht="15" customHeight="1" x14ac:dyDescent="0.15">
      <c r="A161">
        <f>IF(INDEX(Transactions!$J:$J,ROW()-8)="","",INDEX(Transactions!$J:$J,ROW()-8))</f>
      </c>
      <c r="B161" s="297">
        <f>IF($A161="",TODAY(),INDEX(Transactions!$G:$G,ROW()-8))</f>
      </c>
      <c r="C161" s="298">
        <f>IF($A161="","",INDEX(Transactions!$A:$A,ROW()-8))</f>
      </c>
      <c r="D161" s="30">
        <f>IF($A161="",0,INDEX(Transactions!$H:$H,ROW()-8))</f>
      </c>
      <c r="E161" s="300">
        <f>IF($A161="",1,INDEX(Transactions!$N:$N,ROW()-8))</f>
        <v>1</v>
      </c>
      <c r="F161" s="30">
        <f>IF($A161="",0,INDEX(Transactions!$O:$O,ROW()-8))</f>
      </c>
      <c r="G161" s="30">
        <f>IF($A161="",0,INDEX(Transactions!$P:$P,ROW()-8))</f>
      </c>
    </row>
    <row r="162" spans="1:7" ht="15" customHeight="1" x14ac:dyDescent="0.15">
      <c r="A162">
        <f>IF(INDEX(Transactions!$J:$J,ROW()-8)="","",INDEX(Transactions!$J:$J,ROW()-8))</f>
      </c>
      <c r="B162" s="297">
        <f>IF($A162="",TODAY(),INDEX(Transactions!$G:$G,ROW()-8))</f>
      </c>
      <c r="C162" s="298">
        <f>IF($A162="","",INDEX(Transactions!$A:$A,ROW()-8))</f>
      </c>
      <c r="D162" s="30">
        <f>IF($A162="",0,INDEX(Transactions!$H:$H,ROW()-8))</f>
      </c>
      <c r="E162" s="300">
        <f>IF($A162="",1,INDEX(Transactions!$N:$N,ROW()-8))</f>
        <v>1</v>
      </c>
      <c r="F162" s="30">
        <f>IF($A162="",0,INDEX(Transactions!$O:$O,ROW()-8))</f>
      </c>
      <c r="G162" s="30">
        <f>IF($A162="",0,INDEX(Transactions!$P:$P,ROW()-8))</f>
      </c>
    </row>
    <row r="163" spans="1:7" ht="15" customHeight="1" x14ac:dyDescent="0.15">
      <c r="A163">
        <f>IF(INDEX(Transactions!$J:$J,ROW()-8)="","",INDEX(Transactions!$J:$J,ROW()-8))</f>
      </c>
      <c r="B163" s="297">
        <f>IF($A163="",TODAY(),INDEX(Transactions!$G:$G,ROW()-8))</f>
      </c>
      <c r="C163" s="298">
        <f>IF($A163="","",INDEX(Transactions!$A:$A,ROW()-8))</f>
      </c>
      <c r="D163" s="30">
        <f>IF($A163="",0,INDEX(Transactions!$H:$H,ROW()-8))</f>
      </c>
      <c r="E163" s="300">
        <f>IF($A163="",1,INDEX(Transactions!$N:$N,ROW()-8))</f>
        <v>1</v>
      </c>
      <c r="F163" s="30">
        <f>IF($A163="",0,INDEX(Transactions!$O:$O,ROW()-8))</f>
      </c>
      <c r="G163" s="30">
        <f>IF($A163="",0,INDEX(Transactions!$P:$P,ROW()-8))</f>
      </c>
    </row>
    <row r="164" spans="1:7" ht="15" customHeight="1" x14ac:dyDescent="0.15">
      <c r="A164">
        <f>IF(INDEX(Transactions!$J:$J,ROW()-8)="","",INDEX(Transactions!$J:$J,ROW()-8))</f>
      </c>
      <c r="B164" s="297">
        <f>IF($A164="",TODAY(),INDEX(Transactions!$G:$G,ROW()-8))</f>
      </c>
      <c r="C164" s="298">
        <f>IF($A164="","",INDEX(Transactions!$A:$A,ROW()-8))</f>
      </c>
      <c r="D164" s="30">
        <f>IF($A164="",0,INDEX(Transactions!$H:$H,ROW()-8))</f>
      </c>
      <c r="E164" s="300">
        <f>IF($A164="",1,INDEX(Transactions!$N:$N,ROW()-8))</f>
        <v>1</v>
      </c>
      <c r="F164" s="30">
        <f>IF($A164="",0,INDEX(Transactions!$O:$O,ROW()-8))</f>
      </c>
      <c r="G164" s="30">
        <f>IF($A164="",0,INDEX(Transactions!$P:$P,ROW()-8))</f>
      </c>
    </row>
    <row r="165" spans="1:7" ht="15" customHeight="1" x14ac:dyDescent="0.15">
      <c r="A165">
        <f>IF(INDEX(Transactions!$J:$J,ROW()-8)="","",INDEX(Transactions!$J:$J,ROW()-8))</f>
      </c>
      <c r="B165" s="297">
        <f>IF($A165="",TODAY(),INDEX(Transactions!$G:$G,ROW()-8))</f>
      </c>
      <c r="C165" s="298">
        <f>IF($A165="","",INDEX(Transactions!$A:$A,ROW()-8))</f>
      </c>
      <c r="D165" s="30">
        <f>IF($A165="",0,INDEX(Transactions!$H:$H,ROW()-8))</f>
      </c>
      <c r="E165" s="300">
        <f>IF($A165="",1,INDEX(Transactions!$N:$N,ROW()-8))</f>
        <v>1</v>
      </c>
      <c r="F165" s="30">
        <f>IF($A165="",0,INDEX(Transactions!$O:$O,ROW()-8))</f>
      </c>
      <c r="G165" s="30">
        <f>IF($A165="",0,INDEX(Transactions!$P:$P,ROW()-8))</f>
      </c>
    </row>
    <row r="166" spans="1:7" ht="15" customHeight="1" x14ac:dyDescent="0.15">
      <c r="A166">
        <f>IF(INDEX(Transactions!$J:$J,ROW()-8)="","",INDEX(Transactions!$J:$J,ROW()-8))</f>
      </c>
      <c r="B166" s="297">
        <f>IF($A166="",TODAY(),INDEX(Transactions!$G:$G,ROW()-8))</f>
      </c>
      <c r="C166" s="298">
        <f>IF($A166="","",INDEX(Transactions!$A:$A,ROW()-8))</f>
      </c>
      <c r="D166" s="30">
        <f>IF($A166="",0,INDEX(Transactions!$H:$H,ROW()-8))</f>
      </c>
      <c r="E166" s="300">
        <f>IF($A166="",1,INDEX(Transactions!$N:$N,ROW()-8))</f>
        <v>1</v>
      </c>
      <c r="F166" s="30">
        <f>IF($A166="",0,INDEX(Transactions!$O:$O,ROW()-8))</f>
      </c>
      <c r="G166" s="30">
        <f>IF($A166="",0,INDEX(Transactions!$P:$P,ROW()-8))</f>
      </c>
    </row>
    <row r="167" spans="1:7" ht="15" customHeight="1" x14ac:dyDescent="0.15">
      <c r="A167">
        <f>IF(INDEX(Transactions!$J:$J,ROW()-8)="","",INDEX(Transactions!$J:$J,ROW()-8))</f>
      </c>
      <c r="B167" s="297">
        <f>IF($A167="",TODAY(),INDEX(Transactions!$G:$G,ROW()-8))</f>
      </c>
      <c r="C167" s="298">
        <f>IF($A167="","",INDEX(Transactions!$A:$A,ROW()-8))</f>
      </c>
      <c r="D167" s="30">
        <f>IF($A167="",0,INDEX(Transactions!$H:$H,ROW()-8))</f>
      </c>
      <c r="E167" s="300">
        <f>IF($A167="",1,INDEX(Transactions!$N:$N,ROW()-8))</f>
        <v>1</v>
      </c>
      <c r="F167" s="30">
        <f>IF($A167="",0,INDEX(Transactions!$O:$O,ROW()-8))</f>
      </c>
      <c r="G167" s="30">
        <f>IF($A167="",0,INDEX(Transactions!$P:$P,ROW()-8))</f>
      </c>
    </row>
    <row r="168" spans="1:7" ht="15" customHeight="1" x14ac:dyDescent="0.15">
      <c r="A168">
        <f>IF(INDEX(Transactions!$J:$J,ROW()-8)="","",INDEX(Transactions!$J:$J,ROW()-8))</f>
      </c>
      <c r="B168" s="297">
        <f>IF($A168="",TODAY(),INDEX(Transactions!$G:$G,ROW()-8))</f>
      </c>
      <c r="C168" s="298">
        <f>IF($A168="","",INDEX(Transactions!$A:$A,ROW()-8))</f>
      </c>
      <c r="D168" s="30">
        <f>IF($A168="",0,INDEX(Transactions!$H:$H,ROW()-8))</f>
      </c>
      <c r="E168" s="300">
        <f>IF($A168="",1,INDEX(Transactions!$N:$N,ROW()-8))</f>
        <v>1</v>
      </c>
      <c r="F168" s="30">
        <f>IF($A168="",0,INDEX(Transactions!$O:$O,ROW()-8))</f>
      </c>
      <c r="G168" s="30">
        <f>IF($A168="",0,INDEX(Transactions!$P:$P,ROW()-8))</f>
      </c>
    </row>
    <row r="169" spans="1:7" ht="15" customHeight="1" x14ac:dyDescent="0.15">
      <c r="A169">
        <f>IF(INDEX(Transactions!$J:$J,ROW()-8)="","",INDEX(Transactions!$J:$J,ROW()-8))</f>
      </c>
      <c r="B169" s="297">
        <f>IF($A169="",TODAY(),INDEX(Transactions!$G:$G,ROW()-8))</f>
      </c>
      <c r="C169" s="298">
        <f>IF($A169="","",INDEX(Transactions!$A:$A,ROW()-8))</f>
      </c>
      <c r="D169" s="30">
        <f>IF($A169="",0,INDEX(Transactions!$H:$H,ROW()-8))</f>
      </c>
      <c r="E169" s="300">
        <f>IF($A169="",1,INDEX(Transactions!$N:$N,ROW()-8))</f>
        <v>1</v>
      </c>
      <c r="F169" s="30">
        <f>IF($A169="",0,INDEX(Transactions!$O:$O,ROW()-8))</f>
      </c>
      <c r="G169" s="30">
        <f>IF($A169="",0,INDEX(Transactions!$P:$P,ROW()-8))</f>
      </c>
    </row>
    <row r="170" spans="1:7" ht="15" customHeight="1" x14ac:dyDescent="0.15">
      <c r="A170">
        <f>IF(INDEX(Transactions!$J:$J,ROW()-8)="","",INDEX(Transactions!$J:$J,ROW()-8))</f>
      </c>
      <c r="B170" s="297">
        <f>IF($A170="",TODAY(),INDEX(Transactions!$G:$G,ROW()-8))</f>
      </c>
      <c r="C170" s="298">
        <f>IF($A170="","",INDEX(Transactions!$A:$A,ROW()-8))</f>
      </c>
      <c r="D170" s="30">
        <f>IF($A170="",0,INDEX(Transactions!$H:$H,ROW()-8))</f>
      </c>
      <c r="E170" s="300">
        <f>IF($A170="",1,INDEX(Transactions!$N:$N,ROW()-8))</f>
        <v>1</v>
      </c>
      <c r="F170" s="30">
        <f>IF($A170="",0,INDEX(Transactions!$O:$O,ROW()-8))</f>
      </c>
      <c r="G170" s="30">
        <f>IF($A170="",0,INDEX(Transactions!$P:$P,ROW()-8))</f>
      </c>
    </row>
    <row r="171" spans="1:7" ht="15" customHeight="1" x14ac:dyDescent="0.15">
      <c r="A171">
        <f>IF(INDEX(Transactions!$J:$J,ROW()-8)="","",INDEX(Transactions!$J:$J,ROW()-8))</f>
      </c>
      <c r="B171" s="297">
        <f>IF($A171="",TODAY(),INDEX(Transactions!$G:$G,ROW()-8))</f>
      </c>
      <c r="C171" s="298">
        <f>IF($A171="","",INDEX(Transactions!$A:$A,ROW()-8))</f>
      </c>
      <c r="D171" s="30">
        <f>IF($A171="",0,INDEX(Transactions!$H:$H,ROW()-8))</f>
      </c>
      <c r="E171" s="299">
        <f>IF($A171="",1,INDEX(Transactions!$N:$N,ROW()-8))</f>
        <v>1</v>
      </c>
      <c r="F171" s="30">
        <f>IF($A171="",0,INDEX(Transactions!$O:$O,ROW()-8))</f>
      </c>
      <c r="G171" s="30">
        <f>IF($A171="",0,INDEX(Transactions!$P:$P,ROW()-8))</f>
      </c>
    </row>
    <row r="172" spans="1:7" ht="15" customHeight="1" x14ac:dyDescent="0.15">
      <c r="A172">
        <f>IF(INDEX(Transactions!$J:$J,ROW()-8)="","",INDEX(Transactions!$J:$J,ROW()-8))</f>
      </c>
      <c r="B172" s="297">
        <f>IF($A172="",TODAY(),INDEX(Transactions!$G:$G,ROW()-8))</f>
      </c>
      <c r="C172" s="298">
        <f>IF($A172="","",INDEX(Transactions!$A:$A,ROW()-8))</f>
      </c>
      <c r="D172" s="30">
        <f>IF($A172="",0,INDEX(Transactions!$H:$H,ROW()-8))</f>
      </c>
      <c r="E172" s="299">
        <f>IF($A172="",1,INDEX(Transactions!$N:$N,ROW()-8))</f>
        <v>1</v>
      </c>
      <c r="F172" s="30">
        <f>IF($A172="",0,INDEX(Transactions!$O:$O,ROW()-8))</f>
      </c>
      <c r="G172" s="30">
        <f>IF($A172="",0,INDEX(Transactions!$P:$P,ROW()-8))</f>
      </c>
    </row>
    <row r="173" spans="1:7" ht="15" customHeight="1" x14ac:dyDescent="0.15">
      <c r="A173">
        <f>IF(INDEX(Transactions!$J:$J,ROW()-8)="","",INDEX(Transactions!$J:$J,ROW()-8))</f>
      </c>
      <c r="B173" s="297">
        <f>IF($A173="",TODAY(),INDEX(Transactions!$G:$G,ROW()-8))</f>
      </c>
      <c r="C173" s="298">
        <f>IF($A173="","",INDEX(Transactions!$A:$A,ROW()-8))</f>
      </c>
      <c r="D173" s="30">
        <f>IF($A173="",0,INDEX(Transactions!$H:$H,ROW()-8))</f>
      </c>
      <c r="E173" s="299">
        <f>IF($A173="",1,INDEX(Transactions!$N:$N,ROW()-8))</f>
        <v>1</v>
      </c>
      <c r="F173" s="30">
        <f>IF($A173="",0,INDEX(Transactions!$O:$O,ROW()-8))</f>
      </c>
      <c r="G173" s="30">
        <f>IF($A173="",0,INDEX(Transactions!$P:$P,ROW()-8))</f>
      </c>
    </row>
    <row r="174" spans="1:7" ht="15" customHeight="1" x14ac:dyDescent="0.15">
      <c r="A174">
        <f>IF(INDEX(Transactions!$J:$J,ROW()-8)="","",INDEX(Transactions!$J:$J,ROW()-8))</f>
      </c>
      <c r="B174" s="297">
        <f>IF($A174="",TODAY(),INDEX(Transactions!$G:$G,ROW()-8))</f>
      </c>
      <c r="C174" s="298">
        <f>IF($A174="","",INDEX(Transactions!$A:$A,ROW()-8))</f>
      </c>
      <c r="D174" s="30">
        <f>IF($A174="",0,INDEX(Transactions!$H:$H,ROW()-8))</f>
      </c>
      <c r="E174" s="300">
        <f>IF($A174="",1,INDEX(Transactions!$N:$N,ROW()-8))</f>
        <v>1</v>
      </c>
      <c r="F174" s="30">
        <f>IF($A174="",0,INDEX(Transactions!$O:$O,ROW()-8))</f>
      </c>
      <c r="G174" s="30">
        <f>IF($A174="",0,INDEX(Transactions!$P:$P,ROW()-8))</f>
      </c>
    </row>
    <row r="175" spans="1:7" ht="15" customHeight="1" x14ac:dyDescent="0.15">
      <c r="A175">
        <f>IF(INDEX(Transactions!$J:$J,ROW()-8)="","",INDEX(Transactions!$J:$J,ROW()-8))</f>
      </c>
      <c r="B175" s="297">
        <f>IF($A175="",TODAY(),INDEX(Transactions!$G:$G,ROW()-8))</f>
      </c>
      <c r="C175" s="298">
        <f>IF($A175="","",INDEX(Transactions!$A:$A,ROW()-8))</f>
      </c>
      <c r="D175" s="30">
        <f>IF($A175="",0,INDEX(Transactions!$H:$H,ROW()-8))</f>
      </c>
      <c r="E175" s="300">
        <f>IF($A175="",1,INDEX(Transactions!$N:$N,ROW()-8))</f>
        <v>1</v>
      </c>
      <c r="F175" s="30">
        <f>IF($A175="",0,INDEX(Transactions!$O:$O,ROW()-8))</f>
      </c>
      <c r="G175" s="30">
        <f>IF($A175="",0,INDEX(Transactions!$P:$P,ROW()-8))</f>
      </c>
    </row>
    <row r="176" spans="1:7" ht="15" customHeight="1" x14ac:dyDescent="0.15">
      <c r="A176">
        <f>IF(INDEX(Transactions!$J:$J,ROW()-8)="","",INDEX(Transactions!$J:$J,ROW()-8))</f>
      </c>
      <c r="B176" s="297">
        <f>IF($A176="",TODAY(),INDEX(Transactions!$G:$G,ROW()-8))</f>
      </c>
      <c r="C176" s="298">
        <f>IF($A176="","",INDEX(Transactions!$A:$A,ROW()-8))</f>
      </c>
      <c r="D176" s="30">
        <f>IF($A176="",0,INDEX(Transactions!$H:$H,ROW()-8))</f>
      </c>
      <c r="E176" s="300">
        <f>IF($A176="",1,INDEX(Transactions!$N:$N,ROW()-8))</f>
        <v>1</v>
      </c>
      <c r="F176" s="30">
        <f>IF($A176="",0,INDEX(Transactions!$O:$O,ROW()-8))</f>
      </c>
      <c r="G176" s="30">
        <f>IF($A176="",0,INDEX(Transactions!$P:$P,ROW()-8))</f>
      </c>
    </row>
    <row r="177" spans="1:7" ht="15" customHeight="1" x14ac:dyDescent="0.15">
      <c r="A177">
        <f>IF(INDEX(Transactions!$J:$J,ROW()-8)="","",INDEX(Transactions!$J:$J,ROW()-8))</f>
      </c>
      <c r="B177" s="297">
        <f>IF($A177="",TODAY(),INDEX(Transactions!$G:$G,ROW()-8))</f>
      </c>
      <c r="C177" s="298">
        <f>IF($A177="","",INDEX(Transactions!$A:$A,ROW()-8))</f>
      </c>
      <c r="D177" s="30">
        <f>IF($A177="",0,INDEX(Transactions!$H:$H,ROW()-8))</f>
      </c>
      <c r="E177" s="300">
        <f>IF($A177="",1,INDEX(Transactions!$N:$N,ROW()-8))</f>
        <v>1</v>
      </c>
      <c r="F177" s="30">
        <f>IF($A177="",0,INDEX(Transactions!$O:$O,ROW()-8))</f>
      </c>
      <c r="G177" s="30">
        <f>IF($A177="",0,INDEX(Transactions!$P:$P,ROW()-8))</f>
      </c>
    </row>
    <row r="178" spans="1:7" ht="15" customHeight="1" x14ac:dyDescent="0.15">
      <c r="A178">
        <f>IF(INDEX(Transactions!$J:$J,ROW()-8)="","",INDEX(Transactions!$J:$J,ROW()-8))</f>
      </c>
      <c r="B178" s="297">
        <f>IF($A178="",TODAY(),INDEX(Transactions!$G:$G,ROW()-8))</f>
      </c>
      <c r="C178" s="298">
        <f>IF($A178="","",INDEX(Transactions!$A:$A,ROW()-8))</f>
      </c>
      <c r="D178" s="30">
        <f>IF($A178="",0,INDEX(Transactions!$H:$H,ROW()-8))</f>
      </c>
      <c r="E178" s="300">
        <f>IF($A178="",1,INDEX(Transactions!$N:$N,ROW()-8))</f>
        <v>1</v>
      </c>
      <c r="F178" s="30">
        <f>IF($A178="",0,INDEX(Transactions!$O:$O,ROW()-8))</f>
      </c>
      <c r="G178" s="30">
        <f>IF($A178="",0,INDEX(Transactions!$P:$P,ROW()-8))</f>
      </c>
    </row>
    <row r="179" spans="1:7" ht="15" customHeight="1" x14ac:dyDescent="0.15">
      <c r="A179">
        <f>IF(INDEX(Transactions!$J:$J,ROW()-8)="","",INDEX(Transactions!$J:$J,ROW()-8))</f>
      </c>
      <c r="B179" s="297">
        <f>IF($A179="",TODAY(),INDEX(Transactions!$G:$G,ROW()-8))</f>
      </c>
      <c r="C179" s="298">
        <f>IF($A179="","",INDEX(Transactions!$A:$A,ROW()-8))</f>
      </c>
      <c r="D179" s="30">
        <f>IF($A179="",0,INDEX(Transactions!$H:$H,ROW()-8))</f>
      </c>
      <c r="E179" s="300">
        <f>IF($A179="",1,INDEX(Transactions!$N:$N,ROW()-8))</f>
        <v>1</v>
      </c>
      <c r="F179" s="30">
        <f>IF($A179="",0,INDEX(Transactions!$O:$O,ROW()-8))</f>
      </c>
      <c r="G179" s="30">
        <f>IF($A179="",0,INDEX(Transactions!$P:$P,ROW()-8))</f>
      </c>
    </row>
    <row r="180" spans="1:7" ht="15" customHeight="1" x14ac:dyDescent="0.15">
      <c r="A180">
        <f>IF(INDEX(Transactions!$J:$J,ROW()-8)="","",INDEX(Transactions!$J:$J,ROW()-8))</f>
      </c>
      <c r="B180" s="297">
        <f>IF($A180="",TODAY(),INDEX(Transactions!$G:$G,ROW()-8))</f>
      </c>
      <c r="C180" s="298">
        <f>IF($A180="","",INDEX(Transactions!$A:$A,ROW()-8))</f>
      </c>
      <c r="D180" s="30">
        <f>IF($A180="",0,INDEX(Transactions!$H:$H,ROW()-8))</f>
      </c>
      <c r="E180" s="299">
        <f>IF($A180="",1,INDEX(Transactions!$N:$N,ROW()-8))</f>
        <v>1</v>
      </c>
      <c r="F180" s="30">
        <f>IF($A180="",0,INDEX(Transactions!$O:$O,ROW()-8))</f>
      </c>
      <c r="G180" s="30">
        <f>IF($A180="",0,INDEX(Transactions!$P:$P,ROW()-8))</f>
      </c>
    </row>
    <row r="181" spans="1:7" ht="15" customHeight="1" x14ac:dyDescent="0.15">
      <c r="A181">
        <f>IF(INDEX(Transactions!$J:$J,ROW()-8)="","",INDEX(Transactions!$J:$J,ROW()-8))</f>
      </c>
      <c r="B181" s="297">
        <f>IF($A181="",TODAY(),INDEX(Transactions!$G:$G,ROW()-8))</f>
      </c>
      <c r="C181" s="298">
        <f>IF($A181="","",INDEX(Transactions!$A:$A,ROW()-8))</f>
      </c>
      <c r="D181" s="30">
        <f>IF($A181="",0,INDEX(Transactions!$H:$H,ROW()-8))</f>
      </c>
      <c r="E181" s="300">
        <f>IF($A181="",1,INDEX(Transactions!$N:$N,ROW()-8))</f>
        <v>1</v>
      </c>
      <c r="F181" s="30">
        <f>IF($A181="",0,INDEX(Transactions!$O:$O,ROW()-8))</f>
      </c>
      <c r="G181" s="30">
        <f>IF($A181="",0,INDEX(Transactions!$P:$P,ROW()-8))</f>
      </c>
    </row>
    <row r="182" spans="1:7" ht="15" customHeight="1" x14ac:dyDescent="0.15">
      <c r="A182">
        <f>IF(INDEX(Transactions!$J:$J,ROW()-8)="","",INDEX(Transactions!$J:$J,ROW()-8))</f>
      </c>
      <c r="B182" s="297">
        <f>IF($A182="",TODAY(),INDEX(Transactions!$G:$G,ROW()-8))</f>
      </c>
      <c r="C182" s="298">
        <f>IF($A182="","",INDEX(Transactions!$A:$A,ROW()-8))</f>
      </c>
      <c r="D182" s="30">
        <f>IF($A182="",0,INDEX(Transactions!$H:$H,ROW()-8))</f>
      </c>
      <c r="E182" s="300">
        <f>IF($A182="",1,INDEX(Transactions!$N:$N,ROW()-8))</f>
        <v>1</v>
      </c>
      <c r="F182" s="30">
        <f>IF($A182="",0,INDEX(Transactions!$O:$O,ROW()-8))</f>
      </c>
      <c r="G182" s="30">
        <f>IF($A182="",0,INDEX(Transactions!$P:$P,ROW()-8))</f>
      </c>
    </row>
    <row r="183" spans="1:7" ht="15" customHeight="1" x14ac:dyDescent="0.15">
      <c r="A183">
        <f>IF(INDEX(Transactions!$J:$J,ROW()-8)="","",INDEX(Transactions!$J:$J,ROW()-8))</f>
      </c>
      <c r="B183" s="297">
        <f>IF($A183="",TODAY(),INDEX(Transactions!$G:$G,ROW()-8))</f>
      </c>
      <c r="C183" s="298">
        <f>IF($A183="","",INDEX(Transactions!$A:$A,ROW()-8))</f>
      </c>
      <c r="D183" s="30">
        <f>IF($A183="",0,INDEX(Transactions!$H:$H,ROW()-8))</f>
      </c>
      <c r="E183" s="300">
        <f>IF($A183="",1,INDEX(Transactions!$N:$N,ROW()-8))</f>
        <v>1</v>
      </c>
      <c r="F183" s="30">
        <f>IF($A183="",0,INDEX(Transactions!$O:$O,ROW()-8))</f>
      </c>
      <c r="G183" s="30">
        <f>IF($A183="",0,INDEX(Transactions!$P:$P,ROW()-8))</f>
      </c>
    </row>
    <row r="184" spans="1:7" ht="15" customHeight="1" x14ac:dyDescent="0.15">
      <c r="A184">
        <f>IF(INDEX(Transactions!$J:$J,ROW()-8)="","",INDEX(Transactions!$J:$J,ROW()-8))</f>
      </c>
      <c r="B184" s="297">
        <f>IF($A184="",TODAY(),INDEX(Transactions!$G:$G,ROW()-8))</f>
      </c>
      <c r="C184" s="298">
        <f>IF($A184="","",INDEX(Transactions!$A:$A,ROW()-8))</f>
      </c>
      <c r="D184" s="30">
        <f>IF($A184="",0,INDEX(Transactions!$H:$H,ROW()-8))</f>
      </c>
      <c r="E184" s="299">
        <f>IF($A184="",1,INDEX(Transactions!$N:$N,ROW()-8))</f>
        <v>1</v>
      </c>
      <c r="F184" s="30">
        <f>IF($A184="",0,INDEX(Transactions!$O:$O,ROW()-8))</f>
      </c>
      <c r="G184" s="30">
        <f>IF($A184="",0,INDEX(Transactions!$P:$P,ROW()-8))</f>
      </c>
    </row>
    <row r="185" spans="1:7" ht="15" customHeight="1" x14ac:dyDescent="0.15">
      <c r="A185">
        <f>IF(INDEX(Transactions!$J:$J,ROW()-8)="","",INDEX(Transactions!$J:$J,ROW()-8))</f>
      </c>
      <c r="B185" s="297">
        <f>IF($A185="",TODAY(),INDEX(Transactions!$G:$G,ROW()-8))</f>
      </c>
      <c r="C185" s="298">
        <f>IF($A185="","",INDEX(Transactions!$A:$A,ROW()-8))</f>
      </c>
      <c r="D185" s="30">
        <f>IF($A185="",0,INDEX(Transactions!$H:$H,ROW()-8))</f>
      </c>
      <c r="E185" s="299">
        <f>IF($A185="",1,INDEX(Transactions!$N:$N,ROW()-8))</f>
        <v>1</v>
      </c>
      <c r="F185" s="30">
        <f>IF($A185="",0,INDEX(Transactions!$O:$O,ROW()-8))</f>
      </c>
      <c r="G185" s="30">
        <f>IF($A185="",0,INDEX(Transactions!$P:$P,ROW()-8))</f>
      </c>
    </row>
    <row r="186" spans="1:7" ht="15" customHeight="1" x14ac:dyDescent="0.15">
      <c r="A186">
        <f>IF(INDEX(Transactions!$J:$J,ROW()-8)="","",INDEX(Transactions!$J:$J,ROW()-8))</f>
      </c>
      <c r="B186" s="297">
        <f>IF($A186="",TODAY(),INDEX(Transactions!$G:$G,ROW()-8))</f>
      </c>
      <c r="C186" s="298">
        <f>IF($A186="","",INDEX(Transactions!$A:$A,ROW()-8))</f>
      </c>
      <c r="D186" s="30">
        <f>IF($A186="",0,INDEX(Transactions!$H:$H,ROW()-8))</f>
      </c>
      <c r="E186" s="299">
        <f>IF($A186="",1,INDEX(Transactions!$N:$N,ROW()-8))</f>
        <v>1</v>
      </c>
      <c r="F186" s="30">
        <f>IF($A186="",0,INDEX(Transactions!$O:$O,ROW()-8))</f>
      </c>
      <c r="G186" s="30">
        <f>IF($A186="",0,INDEX(Transactions!$P:$P,ROW()-8))</f>
      </c>
    </row>
    <row r="187" spans="1:7" ht="15" customHeight="1" x14ac:dyDescent="0.15">
      <c r="A187">
        <f>IF(INDEX(Transactions!$J:$J,ROW()-8)="","",INDEX(Transactions!$J:$J,ROW()-8))</f>
      </c>
      <c r="B187" s="297">
        <f>IF($A187="",TODAY(),INDEX(Transactions!$G:$G,ROW()-8))</f>
      </c>
      <c r="C187" s="298">
        <f>IF($A187="","",INDEX(Transactions!$A:$A,ROW()-8))</f>
      </c>
      <c r="D187" s="30">
        <f>IF($A187="",0,INDEX(Transactions!$H:$H,ROW()-8))</f>
      </c>
      <c r="E187" s="299">
        <f>IF($A187="",1,INDEX(Transactions!$N:$N,ROW()-8))</f>
        <v>1</v>
      </c>
      <c r="F187" s="30">
        <f>IF($A187="",0,INDEX(Transactions!$O:$O,ROW()-8))</f>
      </c>
      <c r="G187" s="30">
        <f>IF($A187="",0,INDEX(Transactions!$P:$P,ROW()-8))</f>
      </c>
    </row>
    <row r="188" spans="1:7" ht="15" customHeight="1" x14ac:dyDescent="0.15">
      <c r="A188">
        <f>IF(INDEX(Transactions!$J:$J,ROW()-8)="","",INDEX(Transactions!$J:$J,ROW()-8))</f>
      </c>
      <c r="B188" s="297">
        <f>IF($A188="",TODAY(),INDEX(Transactions!$G:$G,ROW()-8))</f>
      </c>
      <c r="C188" s="298">
        <f>IF($A188="","",INDEX(Transactions!$A:$A,ROW()-8))</f>
      </c>
      <c r="D188" s="30">
        <f>IF($A188="",0,INDEX(Transactions!$H:$H,ROW()-8))</f>
      </c>
      <c r="E188" s="299">
        <f>IF($A188="",1,INDEX(Transactions!$N:$N,ROW()-8))</f>
        <v>1</v>
      </c>
      <c r="F188" s="30">
        <f>IF($A188="",0,INDEX(Transactions!$O:$O,ROW()-8))</f>
      </c>
      <c r="G188" s="30">
        <f>IF($A188="",0,INDEX(Transactions!$P:$P,ROW()-8))</f>
      </c>
    </row>
    <row r="189" spans="1:7" ht="15" customHeight="1" x14ac:dyDescent="0.15">
      <c r="A189">
        <f>IF(INDEX(Transactions!$J:$J,ROW()-8)="","",INDEX(Transactions!$J:$J,ROW()-8))</f>
      </c>
      <c r="B189" s="297">
        <f>IF($A189="",TODAY(),INDEX(Transactions!$G:$G,ROW()-8))</f>
      </c>
      <c r="C189" s="298">
        <f>IF($A189="","",INDEX(Transactions!$A:$A,ROW()-8))</f>
      </c>
      <c r="D189" s="30">
        <f>IF($A189="",0,INDEX(Transactions!$H:$H,ROW()-8))</f>
      </c>
      <c r="E189" s="299">
        <f>IF($A189="",1,INDEX(Transactions!$N:$N,ROW()-8))</f>
        <v>1</v>
      </c>
      <c r="F189" s="30">
        <f>IF($A189="",0,INDEX(Transactions!$O:$O,ROW()-8))</f>
      </c>
      <c r="G189" s="30">
        <f>IF($A189="",0,INDEX(Transactions!$P:$P,ROW()-8))</f>
      </c>
    </row>
    <row r="190" spans="1:7" ht="15" customHeight="1" x14ac:dyDescent="0.15">
      <c r="A190">
        <f>IF(INDEX(Transactions!$J:$J,ROW()-8)="","",INDEX(Transactions!$J:$J,ROW()-8))</f>
      </c>
      <c r="B190" s="297">
        <f>IF($A190="",TODAY(),INDEX(Transactions!$G:$G,ROW()-8))</f>
      </c>
      <c r="C190" s="298">
        <f>IF($A190="","",INDEX(Transactions!$A:$A,ROW()-8))</f>
      </c>
      <c r="D190" s="30">
        <f>IF($A190="",0,INDEX(Transactions!$H:$H,ROW()-8))</f>
      </c>
      <c r="E190" s="300">
        <f>IF($A190="",1,INDEX(Transactions!$N:$N,ROW()-8))</f>
        <v>1</v>
      </c>
      <c r="F190" s="30">
        <f>IF($A190="",0,INDEX(Transactions!$O:$O,ROW()-8))</f>
      </c>
      <c r="G190" s="30">
        <f>IF($A190="",0,INDEX(Transactions!$P:$P,ROW()-8))</f>
      </c>
    </row>
    <row r="191" spans="1:7" ht="15" customHeight="1" x14ac:dyDescent="0.15">
      <c r="A191">
        <f>IF(INDEX(Transactions!$J:$J,ROW()-8)="","",INDEX(Transactions!$J:$J,ROW()-8))</f>
      </c>
      <c r="B191" s="297">
        <f>IF($A191="",TODAY(),INDEX(Transactions!$G:$G,ROW()-8))</f>
      </c>
      <c r="C191" s="298">
        <f>IF($A191="","",INDEX(Transactions!$A:$A,ROW()-8))</f>
      </c>
      <c r="D191" s="30">
        <f>IF($A191="",0,INDEX(Transactions!$H:$H,ROW()-8))</f>
      </c>
      <c r="E191" s="300">
        <f>IF($A191="",1,INDEX(Transactions!$N:$N,ROW()-8))</f>
        <v>1</v>
      </c>
      <c r="F191" s="30">
        <f>IF($A191="",0,INDEX(Transactions!$O:$O,ROW()-8))</f>
      </c>
      <c r="G191" s="30">
        <f>IF($A191="",0,INDEX(Transactions!$P:$P,ROW()-8))</f>
      </c>
    </row>
    <row r="192" spans="1:7" ht="15" customHeight="1" x14ac:dyDescent="0.15">
      <c r="A192">
        <f>IF(INDEX(Transactions!$J:$J,ROW()-8)="","",INDEX(Transactions!$J:$J,ROW()-8))</f>
      </c>
      <c r="B192" s="297">
        <f>IF($A192="",TODAY(),INDEX(Transactions!$G:$G,ROW()-8))</f>
      </c>
      <c r="C192" s="298">
        <f>IF($A192="","",INDEX(Transactions!$A:$A,ROW()-8))</f>
      </c>
      <c r="D192" s="30">
        <f>IF($A192="",0,INDEX(Transactions!$H:$H,ROW()-8))</f>
      </c>
      <c r="E192" s="299">
        <f>IF($A192="",1,INDEX(Transactions!$N:$N,ROW()-8))</f>
        <v>1</v>
      </c>
      <c r="F192" s="30">
        <f>IF($A192="",0,INDEX(Transactions!$O:$O,ROW()-8))</f>
      </c>
      <c r="G192" s="30">
        <f>IF($A192="",0,INDEX(Transactions!$P:$P,ROW()-8))</f>
      </c>
    </row>
    <row r="193" spans="1:7" ht="15" customHeight="1" x14ac:dyDescent="0.15">
      <c r="A193">
        <f>IF(INDEX(Transactions!$J:$J,ROW()-8)="","",INDEX(Transactions!$J:$J,ROW()-8))</f>
      </c>
      <c r="B193" s="297">
        <f>IF($A193="",TODAY(),INDEX(Transactions!$G:$G,ROW()-8))</f>
      </c>
      <c r="C193" s="298">
        <f>IF($A193="","",INDEX(Transactions!$A:$A,ROW()-8))</f>
      </c>
      <c r="D193" s="30">
        <f>IF($A193="",0,INDEX(Transactions!$H:$H,ROW()-8))</f>
      </c>
      <c r="E193" s="300">
        <f>IF($A193="",1,INDEX(Transactions!$N:$N,ROW()-8))</f>
        <v>1</v>
      </c>
      <c r="F193" s="30">
        <f>IF($A193="",0,INDEX(Transactions!$O:$O,ROW()-8))</f>
      </c>
      <c r="G193" s="30">
        <f>IF($A193="",0,INDEX(Transactions!$P:$P,ROW()-8))</f>
      </c>
    </row>
    <row r="194" spans="1:7" ht="15" customHeight="1" x14ac:dyDescent="0.15">
      <c r="A194">
        <f>IF(INDEX(Transactions!$J:$J,ROW()-8)="","",INDEX(Transactions!$J:$J,ROW()-8))</f>
      </c>
      <c r="B194" s="297">
        <f>IF($A194="",TODAY(),INDEX(Transactions!$G:$G,ROW()-8))</f>
      </c>
      <c r="C194" s="298">
        <f>IF($A194="","",INDEX(Transactions!$A:$A,ROW()-8))</f>
      </c>
      <c r="D194" s="30">
        <f>IF($A194="",0,INDEX(Transactions!$H:$H,ROW()-8))</f>
      </c>
      <c r="E194" s="300">
        <f>IF($A194="",1,INDEX(Transactions!$N:$N,ROW()-8))</f>
        <v>1</v>
      </c>
      <c r="F194" s="30">
        <f>IF($A194="",0,INDEX(Transactions!$O:$O,ROW()-8))</f>
      </c>
      <c r="G194" s="30">
        <f>IF($A194="",0,INDEX(Transactions!$P:$P,ROW()-8))</f>
      </c>
    </row>
    <row r="195" spans="1:7" ht="15" customHeight="1" x14ac:dyDescent="0.15">
      <c r="A195">
        <f>IF(INDEX(Transactions!$J:$J,ROW()-8)="","",INDEX(Transactions!$J:$J,ROW()-8))</f>
      </c>
      <c r="B195" s="297">
        <f>IF($A195="",TODAY(),INDEX(Transactions!$G:$G,ROW()-8))</f>
      </c>
      <c r="C195" s="298">
        <f>IF($A195="","",INDEX(Transactions!$A:$A,ROW()-8))</f>
      </c>
      <c r="D195" s="30">
        <f>IF($A195="",0,INDEX(Transactions!$H:$H,ROW()-8))</f>
      </c>
      <c r="E195" s="300">
        <f>IF($A195="",1,INDEX(Transactions!$N:$N,ROW()-8))</f>
        <v>1</v>
      </c>
      <c r="F195" s="30">
        <f>IF($A195="",0,INDEX(Transactions!$O:$O,ROW()-8))</f>
      </c>
      <c r="G195" s="30">
        <f>IF($A195="",0,INDEX(Transactions!$P:$P,ROW()-8))</f>
      </c>
    </row>
    <row r="196" spans="1:7" ht="15" customHeight="1" x14ac:dyDescent="0.15">
      <c r="A196">
        <f>IF(INDEX(Transactions!$J:$J,ROW()-8)="","",INDEX(Transactions!$J:$J,ROW()-8))</f>
      </c>
      <c r="B196" s="297">
        <f>IF($A196="",TODAY(),INDEX(Transactions!$G:$G,ROW()-8))</f>
      </c>
      <c r="C196" s="298">
        <f>IF($A196="","",INDEX(Transactions!$A:$A,ROW()-8))</f>
      </c>
      <c r="D196" s="30">
        <f>IF($A196="",0,INDEX(Transactions!$H:$H,ROW()-8))</f>
      </c>
      <c r="E196" s="299">
        <f>IF($A196="",1,INDEX(Transactions!$N:$N,ROW()-8))</f>
        <v>1</v>
      </c>
      <c r="F196" s="30">
        <f>IF($A196="",0,INDEX(Transactions!$O:$O,ROW()-8))</f>
      </c>
      <c r="G196" s="30">
        <f>IF($A196="",0,INDEX(Transactions!$P:$P,ROW()-8))</f>
      </c>
    </row>
    <row r="197" spans="1:7" ht="15" customHeight="1" x14ac:dyDescent="0.15">
      <c r="A197">
        <f>IF(INDEX(Transactions!$J:$J,ROW()-8)="","",INDEX(Transactions!$J:$J,ROW()-8))</f>
      </c>
      <c r="B197" s="297">
        <f>IF($A197="",TODAY(),INDEX(Transactions!$G:$G,ROW()-8))</f>
      </c>
      <c r="C197" s="298">
        <f>IF($A197="","",INDEX(Transactions!$A:$A,ROW()-8))</f>
      </c>
      <c r="D197" s="30">
        <f>IF($A197="",0,INDEX(Transactions!$H:$H,ROW()-8))</f>
      </c>
      <c r="E197" s="300">
        <f>IF($A197="",1,INDEX(Transactions!$N:$N,ROW()-8))</f>
        <v>1</v>
      </c>
      <c r="F197" s="30">
        <f>IF($A197="",0,INDEX(Transactions!$O:$O,ROW()-8))</f>
      </c>
      <c r="G197" s="30">
        <f>IF($A197="",0,INDEX(Transactions!$P:$P,ROW()-8))</f>
      </c>
    </row>
    <row r="198" spans="1:7" ht="15" customHeight="1" x14ac:dyDescent="0.15">
      <c r="A198">
        <f>IF(INDEX(Transactions!$J:$J,ROW()-8)="","",INDEX(Transactions!$J:$J,ROW()-8))</f>
      </c>
      <c r="B198" s="297">
        <f>IF($A198="",TODAY(),INDEX(Transactions!$G:$G,ROW()-8))</f>
      </c>
      <c r="C198" s="298">
        <f>IF($A198="","",INDEX(Transactions!$A:$A,ROW()-8))</f>
      </c>
      <c r="D198" s="30">
        <f>IF($A198="",0,INDEX(Transactions!$H:$H,ROW()-8))</f>
      </c>
      <c r="E198" s="300">
        <f>IF($A198="",1,INDEX(Transactions!$N:$N,ROW()-8))</f>
        <v>1</v>
      </c>
      <c r="F198" s="30">
        <f>IF($A198="",0,INDEX(Transactions!$O:$O,ROW()-8))</f>
      </c>
      <c r="G198" s="30">
        <f>IF($A198="",0,INDEX(Transactions!$P:$P,ROW()-8))</f>
      </c>
    </row>
    <row r="199" spans="1:7" ht="15" customHeight="1" x14ac:dyDescent="0.15">
      <c r="A199">
        <f>IF(INDEX(Transactions!$J:$J,ROW()-8)="","",INDEX(Transactions!$J:$J,ROW()-8))</f>
      </c>
      <c r="B199" s="297">
        <f>IF($A199="",TODAY(),INDEX(Transactions!$G:$G,ROW()-8))</f>
      </c>
      <c r="C199" s="298">
        <f>IF($A199="","",INDEX(Transactions!$A:$A,ROW()-8))</f>
      </c>
      <c r="D199" s="30">
        <f>IF($A199="",0,INDEX(Transactions!$H:$H,ROW()-8))</f>
      </c>
      <c r="E199" s="300">
        <f>IF($A199="",1,INDEX(Transactions!$N:$N,ROW()-8))</f>
        <v>1</v>
      </c>
      <c r="F199" s="30">
        <f>IF($A199="",0,INDEX(Transactions!$O:$O,ROW()-8))</f>
      </c>
      <c r="G199" s="30">
        <f>IF($A199="",0,INDEX(Transactions!$P:$P,ROW()-8))</f>
      </c>
    </row>
    <row r="200" spans="1:7" ht="15" customHeight="1" x14ac:dyDescent="0.15">
      <c r="A200">
        <f>IF(INDEX(Transactions!$J:$J,ROW()-8)="","",INDEX(Transactions!$J:$J,ROW()-8))</f>
      </c>
      <c r="B200" s="297">
        <f>IF($A200="",TODAY(),INDEX(Transactions!$G:$G,ROW()-8))</f>
      </c>
      <c r="C200" s="298">
        <f>IF($A200="","",INDEX(Transactions!$A:$A,ROW()-8))</f>
      </c>
      <c r="D200" s="30">
        <f>IF($A200="",0,INDEX(Transactions!$H:$H,ROW()-8))</f>
      </c>
      <c r="E200" s="299">
        <f>IF($A200="",1,INDEX(Transactions!$N:$N,ROW()-8))</f>
        <v>1</v>
      </c>
      <c r="F200" s="30">
        <f>IF($A200="",0,INDEX(Transactions!$O:$O,ROW()-8))</f>
      </c>
      <c r="G200" s="30">
        <f>IF($A200="",0,INDEX(Transactions!$P:$P,ROW()-8))</f>
      </c>
    </row>
    <row r="201" spans="1:7" ht="15" customHeight="1" x14ac:dyDescent="0.15">
      <c r="A201">
        <f>IF(INDEX(Transactions!$J:$J,ROW()-8)="","",INDEX(Transactions!$J:$J,ROW()-8))</f>
      </c>
      <c r="B201" s="297">
        <f>IF($A201="",TODAY(),INDEX(Transactions!$G:$G,ROW()-8))</f>
      </c>
      <c r="C201" s="298">
        <f>IF($A201="","",INDEX(Transactions!$A:$A,ROW()-8))</f>
      </c>
      <c r="D201" s="30">
        <f>IF($A201="",0,INDEX(Transactions!$H:$H,ROW()-8))</f>
      </c>
      <c r="E201" s="300">
        <f>IF($A201="",1,INDEX(Transactions!$N:$N,ROW()-8))</f>
        <v>1</v>
      </c>
      <c r="F201" s="30">
        <f>IF($A201="",0,INDEX(Transactions!$O:$O,ROW()-8))</f>
      </c>
      <c r="G201" s="30">
        <f>IF($A201="",0,INDEX(Transactions!$P:$P,ROW()-8))</f>
      </c>
    </row>
    <row r="202" spans="1:7" ht="15" customHeight="1" x14ac:dyDescent="0.15">
      <c r="A202">
        <f>IF(INDEX(Transactions!$J:$J,ROW()-8)="","",INDEX(Transactions!$J:$J,ROW()-8))</f>
      </c>
      <c r="B202" s="297">
        <f>IF($A202="",TODAY(),INDEX(Transactions!$G:$G,ROW()-8))</f>
      </c>
      <c r="C202" s="298">
        <f>IF($A202="","",INDEX(Transactions!$A:$A,ROW()-8))</f>
      </c>
      <c r="D202" s="30">
        <f>IF($A202="",0,INDEX(Transactions!$H:$H,ROW()-8))</f>
      </c>
      <c r="E202" s="300">
        <f>IF($A202="",1,INDEX(Transactions!$N:$N,ROW()-8))</f>
        <v>1</v>
      </c>
      <c r="F202" s="30">
        <f>IF($A202="",0,INDEX(Transactions!$O:$O,ROW()-8))</f>
      </c>
      <c r="G202" s="30">
        <f>IF($A202="",0,INDEX(Transactions!$P:$P,ROW()-8))</f>
      </c>
    </row>
    <row r="203" spans="1:7" ht="15" customHeight="1" x14ac:dyDescent="0.15">
      <c r="A203">
        <f>IF(INDEX(Transactions!$J:$J,ROW()-8)="","",INDEX(Transactions!$J:$J,ROW()-8))</f>
      </c>
      <c r="B203" s="297">
        <f>IF($A203="",TODAY(),INDEX(Transactions!$G:$G,ROW()-8))</f>
      </c>
      <c r="C203" s="298">
        <f>IF($A203="","",INDEX(Transactions!$A:$A,ROW()-8))</f>
      </c>
      <c r="D203" s="30">
        <f>IF($A203="",0,INDEX(Transactions!$H:$H,ROW()-8))</f>
      </c>
      <c r="E203" s="300">
        <f>IF($A203="",1,INDEX(Transactions!$N:$N,ROW()-8))</f>
        <v>1</v>
      </c>
      <c r="F203" s="30">
        <f>IF($A203="",0,INDEX(Transactions!$O:$O,ROW()-8))</f>
      </c>
      <c r="G203" s="30">
        <f>IF($A203="",0,INDEX(Transactions!$P:$P,ROW()-8))</f>
      </c>
    </row>
    <row r="204" spans="1:7" ht="15" customHeight="1" x14ac:dyDescent="0.15">
      <c r="A204">
        <f>IF(INDEX(Transactions!$J:$J,ROW()-8)="","",INDEX(Transactions!$J:$J,ROW()-8))</f>
      </c>
      <c r="B204" s="297">
        <f>IF($A204="",TODAY(),INDEX(Transactions!$G:$G,ROW()-8))</f>
      </c>
      <c r="C204" s="298">
        <f>IF($A204="","",INDEX(Transactions!$A:$A,ROW()-8))</f>
      </c>
      <c r="D204" s="30">
        <f>IF($A204="",0,INDEX(Transactions!$H:$H,ROW()-8))</f>
      </c>
      <c r="E204" s="300">
        <f>IF($A204="",1,INDEX(Transactions!$N:$N,ROW()-8))</f>
        <v>1</v>
      </c>
      <c r="F204" s="30">
        <f>IF($A204="",0,INDEX(Transactions!$O:$O,ROW()-8))</f>
      </c>
      <c r="G204" s="30">
        <f>IF($A204="",0,INDEX(Transactions!$P:$P,ROW()-8))</f>
      </c>
    </row>
    <row r="205" spans="1:7" ht="15" customHeight="1" x14ac:dyDescent="0.15">
      <c r="A205">
        <f>IF(INDEX(Transactions!$J:$J,ROW()-8)="","",INDEX(Transactions!$J:$J,ROW()-8))</f>
      </c>
      <c r="B205" s="297">
        <f>IF($A205="",TODAY(),INDEX(Transactions!$G:$G,ROW()-8))</f>
      </c>
      <c r="C205" s="298">
        <f>IF($A205="","",INDEX(Transactions!$A:$A,ROW()-8))</f>
      </c>
      <c r="D205" s="30">
        <f>IF($A205="",0,INDEX(Transactions!$H:$H,ROW()-8))</f>
      </c>
      <c r="E205" s="300">
        <f>IF($A205="",1,INDEX(Transactions!$N:$N,ROW()-8))</f>
        <v>1</v>
      </c>
      <c r="F205" s="30">
        <f>IF($A205="",0,INDEX(Transactions!$O:$O,ROW()-8))</f>
      </c>
      <c r="G205" s="30">
        <f>IF($A205="",0,INDEX(Transactions!$P:$P,ROW()-8))</f>
      </c>
    </row>
    <row r="206" spans="1:7" ht="15" customHeight="1" x14ac:dyDescent="0.15">
      <c r="A206">
        <f>IF(INDEX(Transactions!$J:$J,ROW()-8)="","",INDEX(Transactions!$J:$J,ROW()-8))</f>
      </c>
      <c r="B206" s="297">
        <f>IF($A206="",TODAY(),INDEX(Transactions!$G:$G,ROW()-8))</f>
      </c>
      <c r="C206" s="298">
        <f>IF($A206="","",INDEX(Transactions!$A:$A,ROW()-8))</f>
      </c>
      <c r="D206" s="30">
        <f>IF($A206="",0,INDEX(Transactions!$H:$H,ROW()-8))</f>
      </c>
      <c r="E206" s="300">
        <f>IF($A206="",1,INDEX(Transactions!$N:$N,ROW()-8))</f>
        <v>1</v>
      </c>
      <c r="F206" s="30">
        <f>IF($A206="",0,INDEX(Transactions!$O:$O,ROW()-8))</f>
      </c>
      <c r="G206" s="30">
        <f>IF($A206="",0,INDEX(Transactions!$P:$P,ROW()-8))</f>
      </c>
    </row>
    <row r="207" spans="1:7" ht="15" customHeight="1" x14ac:dyDescent="0.15">
      <c r="A207">
        <f>IF(INDEX(Transactions!$J:$J,ROW()-8)="","",INDEX(Transactions!$J:$J,ROW()-8))</f>
      </c>
      <c r="B207" s="297">
        <f>IF($A207="",TODAY(),INDEX(Transactions!$G:$G,ROW()-8))</f>
      </c>
      <c r="C207" s="298">
        <f>IF($A207="","",INDEX(Transactions!$A:$A,ROW()-8))</f>
      </c>
      <c r="D207" s="30">
        <f>IF($A207="",0,INDEX(Transactions!$H:$H,ROW()-8))</f>
      </c>
      <c r="E207" s="299">
        <f>IF($A207="",1,INDEX(Transactions!$N:$N,ROW()-8))</f>
        <v>1</v>
      </c>
      <c r="F207" s="30">
        <f>IF($A207="",0,INDEX(Transactions!$O:$O,ROW()-8))</f>
      </c>
      <c r="G207" s="30">
        <f>IF($A207="",0,INDEX(Transactions!$P:$P,ROW()-8))</f>
      </c>
    </row>
    <row r="208" spans="1:7" ht="15" customHeight="1" x14ac:dyDescent="0.15">
      <c r="A208">
        <f>IF(INDEX(Transactions!$J:$J,ROW()-8)="","",INDEX(Transactions!$J:$J,ROW()-8))</f>
      </c>
      <c r="B208" s="297">
        <f>IF($A208="",TODAY(),INDEX(Transactions!$G:$G,ROW()-8))</f>
      </c>
      <c r="C208" s="298">
        <f>IF($A208="","",INDEX(Transactions!$A:$A,ROW()-8))</f>
      </c>
      <c r="D208" s="30">
        <f>IF($A208="",0,INDEX(Transactions!$H:$H,ROW()-8))</f>
      </c>
      <c r="E208" s="300">
        <f>IF($A208="",1,INDEX(Transactions!$N:$N,ROW()-8))</f>
        <v>1</v>
      </c>
      <c r="F208" s="30">
        <f>IF($A208="",0,INDEX(Transactions!$O:$O,ROW()-8))</f>
      </c>
      <c r="G208" s="30">
        <f>IF($A208="",0,INDEX(Transactions!$P:$P,ROW()-8))</f>
      </c>
    </row>
    <row r="209" spans="1:7" ht="15" customHeight="1" x14ac:dyDescent="0.15">
      <c r="A209">
        <f>IF(INDEX(Transactions!$J:$J,ROW()-8)="","",INDEX(Transactions!$J:$J,ROW()-8))</f>
      </c>
      <c r="B209" s="297">
        <f>IF($A209="",TODAY(),INDEX(Transactions!$G:$G,ROW()-8))</f>
      </c>
      <c r="C209" s="298">
        <f>IF($A209="","",INDEX(Transactions!$A:$A,ROW()-8))</f>
      </c>
      <c r="D209" s="30">
        <f>IF($A209="",0,INDEX(Transactions!$H:$H,ROW()-8))</f>
      </c>
      <c r="E209" s="299">
        <f>IF($A209="",1,INDEX(Transactions!$N:$N,ROW()-8))</f>
        <v>1</v>
      </c>
      <c r="F209" s="30">
        <f>IF($A209="",0,INDEX(Transactions!$O:$O,ROW()-8))</f>
      </c>
      <c r="G209" s="30">
        <f>IF($A209="",0,INDEX(Transactions!$P:$P,ROW()-8))</f>
      </c>
    </row>
    <row r="210" spans="1:7" ht="15" customHeight="1" x14ac:dyDescent="0.15">
      <c r="A210">
        <f>IF(INDEX(Transactions!$J:$J,ROW()-8)="","",INDEX(Transactions!$J:$J,ROW()-8))</f>
      </c>
      <c r="B210" s="297">
        <f>IF($A210="",TODAY(),INDEX(Transactions!$G:$G,ROW()-8))</f>
      </c>
      <c r="C210" s="298">
        <f>IF($A210="","",INDEX(Transactions!$A:$A,ROW()-8))</f>
      </c>
      <c r="D210" s="30">
        <f>IF($A210="",0,INDEX(Transactions!$H:$H,ROW()-8))</f>
      </c>
      <c r="E210" s="299">
        <f>IF($A210="",1,INDEX(Transactions!$N:$N,ROW()-8))</f>
        <v>1</v>
      </c>
      <c r="F210" s="30">
        <f>IF($A210="",0,INDEX(Transactions!$O:$O,ROW()-8))</f>
      </c>
      <c r="G210" s="30">
        <f>IF($A210="",0,INDEX(Transactions!$P:$P,ROW()-8))</f>
      </c>
    </row>
    <row r="211" spans="1:7" ht="15" customHeight="1" x14ac:dyDescent="0.15">
      <c r="A211">
        <f>IF(INDEX(Transactions!$J:$J,ROW()-8)="","",INDEX(Transactions!$J:$J,ROW()-8))</f>
      </c>
      <c r="B211" s="297">
        <f>IF($A211="",TODAY(),INDEX(Transactions!$G:$G,ROW()-8))</f>
      </c>
      <c r="C211" s="298">
        <f>IF($A211="","",INDEX(Transactions!$A:$A,ROW()-8))</f>
      </c>
      <c r="D211" s="30">
        <f>IF($A211="",0,INDEX(Transactions!$H:$H,ROW()-8))</f>
      </c>
      <c r="E211" s="300">
        <f>IF($A211="",1,INDEX(Transactions!$N:$N,ROW()-8))</f>
        <v>1</v>
      </c>
      <c r="F211" s="30">
        <f>IF($A211="",0,INDEX(Transactions!$O:$O,ROW()-8))</f>
      </c>
      <c r="G211" s="30">
        <f>IF($A211="",0,INDEX(Transactions!$P:$P,ROW()-8))</f>
      </c>
    </row>
    <row r="212" spans="1:7" ht="15" customHeight="1" x14ac:dyDescent="0.15">
      <c r="A212">
        <f>IF(INDEX(Transactions!$J:$J,ROW()-8)="","",INDEX(Transactions!$J:$J,ROW()-8))</f>
      </c>
      <c r="B212" s="297">
        <f>IF($A212="",TODAY(),INDEX(Transactions!$G:$G,ROW()-8))</f>
      </c>
      <c r="C212" s="298">
        <f>IF($A212="","",INDEX(Transactions!$A:$A,ROW()-8))</f>
      </c>
      <c r="D212" s="30">
        <f>IF($A212="",0,INDEX(Transactions!$H:$H,ROW()-8))</f>
      </c>
      <c r="E212" s="299">
        <f>IF($A212="",1,INDEX(Transactions!$N:$N,ROW()-8))</f>
        <v>1</v>
      </c>
      <c r="F212" s="30">
        <f>IF($A212="",0,INDEX(Transactions!$O:$O,ROW()-8))</f>
      </c>
      <c r="G212" s="30">
        <f>IF($A212="",0,INDEX(Transactions!$P:$P,ROW()-8))</f>
      </c>
    </row>
    <row r="213" spans="1:7" ht="15" customHeight="1" x14ac:dyDescent="0.15">
      <c r="A213">
        <f>IF(INDEX(Transactions!$J:$J,ROW()-8)="","",INDEX(Transactions!$J:$J,ROW()-8))</f>
      </c>
      <c r="B213" s="297">
        <f>IF($A213="",TODAY(),INDEX(Transactions!$G:$G,ROW()-8))</f>
      </c>
      <c r="C213" s="298">
        <f>IF($A213="","",INDEX(Transactions!$A:$A,ROW()-8))</f>
      </c>
      <c r="D213" s="30">
        <f>IF($A213="",0,INDEX(Transactions!$H:$H,ROW()-8))</f>
      </c>
      <c r="E213" s="300">
        <f>IF($A213="",1,INDEX(Transactions!$N:$N,ROW()-8))</f>
        <v>1</v>
      </c>
      <c r="F213" s="30">
        <f>IF($A213="",0,INDEX(Transactions!$O:$O,ROW()-8))</f>
      </c>
      <c r="G213" s="30">
        <f>IF($A213="",0,INDEX(Transactions!$P:$P,ROW()-8))</f>
      </c>
    </row>
    <row r="214" spans="1:7" ht="15" customHeight="1" x14ac:dyDescent="0.15">
      <c r="A214">
        <f>IF(INDEX(Transactions!$J:$J,ROW()-8)="","",INDEX(Transactions!$J:$J,ROW()-8))</f>
      </c>
      <c r="B214" s="297">
        <f>IF($A214="",TODAY(),INDEX(Transactions!$G:$G,ROW()-8))</f>
      </c>
      <c r="C214" s="298">
        <f>IF($A214="","",INDEX(Transactions!$A:$A,ROW()-8))</f>
      </c>
      <c r="D214" s="30">
        <f>IF($A214="",0,INDEX(Transactions!$H:$H,ROW()-8))</f>
      </c>
      <c r="E214" s="300">
        <f>IF($A214="",1,INDEX(Transactions!$N:$N,ROW()-8))</f>
        <v>1</v>
      </c>
      <c r="F214" s="30">
        <f>IF($A214="",0,INDEX(Transactions!$O:$O,ROW()-8))</f>
      </c>
      <c r="G214" s="30">
        <f>IF($A214="",0,INDEX(Transactions!$P:$P,ROW()-8))</f>
      </c>
    </row>
    <row r="215" spans="1:7" ht="15" customHeight="1" x14ac:dyDescent="0.15">
      <c r="A215">
        <f>IF(INDEX(Transactions!$J:$J,ROW()-8)="","",INDEX(Transactions!$J:$J,ROW()-8))</f>
      </c>
      <c r="B215" s="297">
        <f>IF($A215="",TODAY(),INDEX(Transactions!$G:$G,ROW()-8))</f>
      </c>
      <c r="C215" s="298">
        <f>IF($A215="","",INDEX(Transactions!$A:$A,ROW()-8))</f>
      </c>
      <c r="D215" s="30">
        <f>IF($A215="",0,INDEX(Transactions!$H:$H,ROW()-8))</f>
      </c>
      <c r="E215" s="300">
        <f>IF($A215="",1,INDEX(Transactions!$N:$N,ROW()-8))</f>
        <v>1</v>
      </c>
      <c r="F215" s="30">
        <f>IF($A215="",0,INDEX(Transactions!$O:$O,ROW()-8))</f>
      </c>
      <c r="G215" s="30">
        <f>IF($A215="",0,INDEX(Transactions!$P:$P,ROW()-8))</f>
      </c>
    </row>
    <row r="216" spans="1:7" ht="15" customHeight="1" x14ac:dyDescent="0.15">
      <c r="A216">
        <f>IF(INDEX(Transactions!$J:$J,ROW()-8)="","",INDEX(Transactions!$J:$J,ROW()-8))</f>
      </c>
      <c r="B216" s="297">
        <f>IF($A216="",TODAY(),INDEX(Transactions!$G:$G,ROW()-8))</f>
      </c>
      <c r="C216" s="298">
        <f>IF($A216="","",INDEX(Transactions!$A:$A,ROW()-8))</f>
      </c>
      <c r="D216" s="30">
        <f>IF($A216="",0,INDEX(Transactions!$H:$H,ROW()-8))</f>
      </c>
      <c r="E216" s="300">
        <f>IF($A216="",1,INDEX(Transactions!$N:$N,ROW()-8))</f>
        <v>1</v>
      </c>
      <c r="F216" s="30">
        <f>IF($A216="",0,INDEX(Transactions!$O:$O,ROW()-8))</f>
      </c>
      <c r="G216" s="30">
        <f>IF($A216="",0,INDEX(Transactions!$P:$P,ROW()-8))</f>
      </c>
    </row>
    <row r="217" spans="1:7" ht="15" customHeight="1" x14ac:dyDescent="0.15">
      <c r="A217">
        <f>IF(INDEX(Transactions!$J:$J,ROW()-8)="","",INDEX(Transactions!$J:$J,ROW()-8))</f>
      </c>
      <c r="B217" s="297">
        <f>IF($A217="",TODAY(),INDEX(Transactions!$G:$G,ROW()-8))</f>
      </c>
      <c r="C217" s="298">
        <f>IF($A217="","",INDEX(Transactions!$A:$A,ROW()-8))</f>
      </c>
      <c r="D217" s="30">
        <f>IF($A217="",0,INDEX(Transactions!$H:$H,ROW()-8))</f>
      </c>
      <c r="E217" s="300">
        <f>IF($A217="",1,INDEX(Transactions!$N:$N,ROW()-8))</f>
        <v>1</v>
      </c>
      <c r="F217" s="30">
        <f>IF($A217="",0,INDEX(Transactions!$O:$O,ROW()-8))</f>
      </c>
      <c r="G217" s="30">
        <f>IF($A217="",0,INDEX(Transactions!$P:$P,ROW()-8))</f>
      </c>
    </row>
    <row r="218" spans="1:7" ht="15" customHeight="1" x14ac:dyDescent="0.15">
      <c r="A218">
        <f>IF(INDEX(Transactions!$J:$J,ROW()-8)="","",INDEX(Transactions!$J:$J,ROW()-8))</f>
      </c>
      <c r="B218" s="297">
        <f>IF($A218="",TODAY(),INDEX(Transactions!$G:$G,ROW()-8))</f>
      </c>
      <c r="C218" s="298">
        <f>IF($A218="","",INDEX(Transactions!$A:$A,ROW()-8))</f>
      </c>
      <c r="D218" s="30">
        <f>IF($A218="",0,INDEX(Transactions!$H:$H,ROW()-8))</f>
      </c>
      <c r="E218" s="300">
        <f>IF($A218="",1,INDEX(Transactions!$N:$N,ROW()-8))</f>
        <v>1</v>
      </c>
      <c r="F218" s="30">
        <f>IF($A218="",0,INDEX(Transactions!$O:$O,ROW()-8))</f>
      </c>
      <c r="G218" s="30">
        <f>IF($A218="",0,INDEX(Transactions!$P:$P,ROW()-8))</f>
      </c>
    </row>
    <row r="219" spans="1:7" ht="15" customHeight="1" x14ac:dyDescent="0.15">
      <c r="A219">
        <f>IF(INDEX(Transactions!$J:$J,ROW()-8)="","",INDEX(Transactions!$J:$J,ROW()-8))</f>
      </c>
      <c r="B219" s="297">
        <f>IF($A219="",TODAY(),INDEX(Transactions!$G:$G,ROW()-8))</f>
      </c>
      <c r="C219" s="298">
        <f>IF($A219="","",INDEX(Transactions!$A:$A,ROW()-8))</f>
      </c>
      <c r="D219" s="30">
        <f>IF($A219="",0,INDEX(Transactions!$H:$H,ROW()-8))</f>
      </c>
      <c r="E219" s="300">
        <f>IF($A219="",1,INDEX(Transactions!$N:$N,ROW()-8))</f>
        <v>1</v>
      </c>
      <c r="F219" s="30">
        <f>IF($A219="",0,INDEX(Transactions!$O:$O,ROW()-8))</f>
      </c>
      <c r="G219" s="30">
        <f>IF($A219="",0,INDEX(Transactions!$P:$P,ROW()-8))</f>
      </c>
    </row>
    <row r="220" spans="1:7" ht="15" customHeight="1" x14ac:dyDescent="0.15">
      <c r="A220">
        <f>IF(INDEX(Transactions!$J:$J,ROW()-8)="","",INDEX(Transactions!$J:$J,ROW()-8))</f>
      </c>
      <c r="B220" s="297">
        <f>IF($A220="",TODAY(),INDEX(Transactions!$G:$G,ROW()-8))</f>
      </c>
      <c r="C220" s="298">
        <f>IF($A220="","",INDEX(Transactions!$A:$A,ROW()-8))</f>
      </c>
      <c r="D220" s="30">
        <f>IF($A220="",0,INDEX(Transactions!$H:$H,ROW()-8))</f>
      </c>
      <c r="E220" s="299">
        <f>IF($A220="",1,INDEX(Transactions!$N:$N,ROW()-8))</f>
        <v>1</v>
      </c>
      <c r="F220" s="30">
        <f>IF($A220="",0,INDEX(Transactions!$O:$O,ROW()-8))</f>
      </c>
      <c r="G220" s="30">
        <f>IF($A220="",0,INDEX(Transactions!$P:$P,ROW()-8))</f>
      </c>
    </row>
    <row r="221" spans="1:7" ht="15" customHeight="1" x14ac:dyDescent="0.15">
      <c r="A221">
        <f>IF(INDEX(Transactions!$J:$J,ROW()-8)="","",INDEX(Transactions!$J:$J,ROW()-8))</f>
      </c>
      <c r="B221" s="297">
        <f>IF($A221="",TODAY(),INDEX(Transactions!$G:$G,ROW()-8))</f>
      </c>
      <c r="C221" s="298">
        <f>IF($A221="","",INDEX(Transactions!$A:$A,ROW()-8))</f>
      </c>
      <c r="D221" s="30">
        <f>IF($A221="",0,INDEX(Transactions!$H:$H,ROW()-8))</f>
      </c>
      <c r="E221" s="299">
        <f>IF($A221="",1,INDEX(Transactions!$N:$N,ROW()-8))</f>
        <v>1</v>
      </c>
      <c r="F221" s="30">
        <f>IF($A221="",0,INDEX(Transactions!$O:$O,ROW()-8))</f>
      </c>
      <c r="G221" s="30">
        <f>IF($A221="",0,INDEX(Transactions!$P:$P,ROW()-8))</f>
      </c>
    </row>
    <row r="222" spans="1:7" ht="15" customHeight="1" x14ac:dyDescent="0.15">
      <c r="A222">
        <f>IF(INDEX(Transactions!$J:$J,ROW()-8)="","",INDEX(Transactions!$J:$J,ROW()-8))</f>
      </c>
      <c r="B222" s="297">
        <f>IF($A222="",TODAY(),INDEX(Transactions!$G:$G,ROW()-8))</f>
      </c>
      <c r="C222" s="298">
        <f>IF($A222="","",INDEX(Transactions!$A:$A,ROW()-8))</f>
      </c>
      <c r="D222" s="30">
        <f>IF($A222="",0,INDEX(Transactions!$H:$H,ROW()-8))</f>
      </c>
      <c r="E222" s="300">
        <f>IF($A222="",1,INDEX(Transactions!$N:$N,ROW()-8))</f>
        <v>1</v>
      </c>
      <c r="F222" s="30">
        <f>IF($A222="",0,INDEX(Transactions!$O:$O,ROW()-8))</f>
      </c>
      <c r="G222" s="30">
        <f>IF($A222="",0,INDEX(Transactions!$P:$P,ROW()-8))</f>
      </c>
    </row>
    <row r="223" spans="1:7" ht="15" customHeight="1" x14ac:dyDescent="0.15">
      <c r="A223">
        <f>IF(INDEX(Transactions!$J:$J,ROW()-8)="","",INDEX(Transactions!$J:$J,ROW()-8))</f>
      </c>
      <c r="B223" s="297">
        <f>IF($A223="",TODAY(),INDEX(Transactions!$G:$G,ROW()-8))</f>
      </c>
      <c r="C223" s="298">
        <f>IF($A223="","",INDEX(Transactions!$A:$A,ROW()-8))</f>
      </c>
      <c r="D223" s="30">
        <f>IF($A223="",0,INDEX(Transactions!$H:$H,ROW()-8))</f>
      </c>
      <c r="E223" s="300">
        <f>IF($A223="",1,INDEX(Transactions!$N:$N,ROW()-8))</f>
        <v>1</v>
      </c>
      <c r="F223" s="30">
        <f>IF($A223="",0,INDEX(Transactions!$O:$O,ROW()-8))</f>
      </c>
      <c r="G223" s="30">
        <f>IF($A223="",0,INDEX(Transactions!$P:$P,ROW()-8))</f>
      </c>
    </row>
    <row r="224" spans="1:7" ht="15" customHeight="1" x14ac:dyDescent="0.15">
      <c r="A224">
        <f>IF(INDEX(Transactions!$J:$J,ROW()-8)="","",INDEX(Transactions!$J:$J,ROW()-8))</f>
      </c>
      <c r="B224" s="297">
        <f>IF($A224="",TODAY(),INDEX(Transactions!$G:$G,ROW()-8))</f>
      </c>
      <c r="C224" s="298">
        <f>IF($A224="","",INDEX(Transactions!$A:$A,ROW()-8))</f>
      </c>
      <c r="D224" s="30">
        <f>IF($A224="",0,INDEX(Transactions!$H:$H,ROW()-8))</f>
      </c>
      <c r="E224" s="299">
        <f>IF($A224="",1,INDEX(Transactions!$N:$N,ROW()-8))</f>
        <v>1</v>
      </c>
      <c r="F224" s="30">
        <f>IF($A224="",0,INDEX(Transactions!$O:$O,ROW()-8))</f>
      </c>
      <c r="G224" s="30">
        <f>IF($A224="",0,INDEX(Transactions!$P:$P,ROW()-8))</f>
      </c>
    </row>
    <row r="225" spans="1:7" ht="15" customHeight="1" x14ac:dyDescent="0.15">
      <c r="A225">
        <f>IF(INDEX(Transactions!$J:$J,ROW()-8)="","",INDEX(Transactions!$J:$J,ROW()-8))</f>
      </c>
      <c r="B225" s="297">
        <f>IF($A225="",TODAY(),INDEX(Transactions!$G:$G,ROW()-8))</f>
      </c>
      <c r="C225" s="298">
        <f>IF($A225="","",INDEX(Transactions!$A:$A,ROW()-8))</f>
      </c>
      <c r="D225" s="30">
        <f>IF($A225="",0,INDEX(Transactions!$H:$H,ROW()-8))</f>
      </c>
      <c r="E225" s="300">
        <f>IF($A225="",1,INDEX(Transactions!$N:$N,ROW()-8))</f>
        <v>1</v>
      </c>
      <c r="F225" s="30">
        <f>IF($A225="",0,INDEX(Transactions!$O:$O,ROW()-8))</f>
      </c>
      <c r="G225" s="30">
        <f>IF($A225="",0,INDEX(Transactions!$P:$P,ROW()-8))</f>
      </c>
    </row>
    <row r="226" spans="1:7" ht="15" customHeight="1" x14ac:dyDescent="0.15">
      <c r="A226">
        <f>IF(INDEX(Transactions!$J:$J,ROW()-8)="","",INDEX(Transactions!$J:$J,ROW()-8))</f>
      </c>
      <c r="B226" s="297">
        <f>IF($A226="",TODAY(),INDEX(Transactions!$G:$G,ROW()-8))</f>
      </c>
      <c r="C226" s="298">
        <f>IF($A226="","",INDEX(Transactions!$A:$A,ROW()-8))</f>
      </c>
      <c r="D226" s="30">
        <f>IF($A226="",0,INDEX(Transactions!$H:$H,ROW()-8))</f>
      </c>
      <c r="E226" s="300">
        <f>IF($A226="",1,INDEX(Transactions!$N:$N,ROW()-8))</f>
        <v>1</v>
      </c>
      <c r="F226" s="30">
        <f>IF($A226="",0,INDEX(Transactions!$O:$O,ROW()-8))</f>
      </c>
      <c r="G226" s="30">
        <f>IF($A226="",0,INDEX(Transactions!$P:$P,ROW()-8))</f>
      </c>
    </row>
    <row r="227" spans="1:7" ht="15" customHeight="1" x14ac:dyDescent="0.15">
      <c r="A227">
        <f>IF(INDEX(Transactions!$J:$J,ROW()-8)="","",INDEX(Transactions!$J:$J,ROW()-8))</f>
      </c>
      <c r="B227" s="297">
        <f>IF($A227="",TODAY(),INDEX(Transactions!$G:$G,ROW()-8))</f>
      </c>
      <c r="C227" s="298">
        <f>IF($A227="","",INDEX(Transactions!$A:$A,ROW()-8))</f>
      </c>
      <c r="D227" s="30">
        <f>IF($A227="",0,INDEX(Transactions!$H:$H,ROW()-8))</f>
      </c>
      <c r="E227" s="300">
        <f>IF($A227="",1,INDEX(Transactions!$N:$N,ROW()-8))</f>
        <v>1</v>
      </c>
      <c r="F227" s="30">
        <f>IF($A227="",0,INDEX(Transactions!$O:$O,ROW()-8))</f>
      </c>
      <c r="G227" s="30">
        <f>IF($A227="",0,INDEX(Transactions!$P:$P,ROW()-8))</f>
      </c>
    </row>
    <row r="228" spans="1:7" ht="15" customHeight="1" x14ac:dyDescent="0.15">
      <c r="A228">
        <f>IF(INDEX(Transactions!$J:$J,ROW()-8)="","",INDEX(Transactions!$J:$J,ROW()-8))</f>
      </c>
      <c r="B228" s="297">
        <f>IF($A228="",TODAY(),INDEX(Transactions!$G:$G,ROW()-8))</f>
      </c>
      <c r="C228" s="298">
        <f>IF($A228="","",INDEX(Transactions!$A:$A,ROW()-8))</f>
      </c>
      <c r="D228" s="30">
        <f>IF($A228="",0,INDEX(Transactions!$H:$H,ROW()-8))</f>
      </c>
      <c r="E228" s="300">
        <f>IF($A228="",1,INDEX(Transactions!$N:$N,ROW()-8))</f>
        <v>1</v>
      </c>
      <c r="F228" s="30">
        <f>IF($A228="",0,INDEX(Transactions!$O:$O,ROW()-8))</f>
      </c>
      <c r="G228" s="30">
        <f>IF($A228="",0,INDEX(Transactions!$P:$P,ROW()-8))</f>
      </c>
    </row>
    <row r="229" spans="1:7" ht="15" customHeight="1" x14ac:dyDescent="0.15">
      <c r="A229">
        <f>IF(INDEX(Transactions!$J:$J,ROW()-8)="","",INDEX(Transactions!$J:$J,ROW()-8))</f>
      </c>
      <c r="B229" s="297">
        <f>IF($A229="",TODAY(),INDEX(Transactions!$G:$G,ROW()-8))</f>
      </c>
      <c r="C229" s="298">
        <f>IF($A229="","",INDEX(Transactions!$A:$A,ROW()-8))</f>
      </c>
      <c r="D229" s="30">
        <f>IF($A229="",0,INDEX(Transactions!$H:$H,ROW()-8))</f>
      </c>
      <c r="E229" s="300">
        <f>IF($A229="",1,INDEX(Transactions!$N:$N,ROW()-8))</f>
        <v>1</v>
      </c>
      <c r="F229" s="30">
        <f>IF($A229="",0,INDEX(Transactions!$O:$O,ROW()-8))</f>
      </c>
      <c r="G229" s="30">
        <f>IF($A229="",0,INDEX(Transactions!$P:$P,ROW()-8))</f>
      </c>
    </row>
    <row r="230" spans="1:7" ht="15" customHeight="1" x14ac:dyDescent="0.15">
      <c r="A230">
        <f>IF(INDEX(Transactions!$J:$J,ROW()-8)="","",INDEX(Transactions!$J:$J,ROW()-8))</f>
      </c>
      <c r="B230" s="297">
        <f>IF($A230="",TODAY(),INDEX(Transactions!$G:$G,ROW()-8))</f>
      </c>
      <c r="C230" s="298">
        <f>IF($A230="","",INDEX(Transactions!$A:$A,ROW()-8))</f>
      </c>
      <c r="D230" s="30">
        <f>IF($A230="",0,INDEX(Transactions!$H:$H,ROW()-8))</f>
      </c>
      <c r="E230" s="300">
        <f>IF($A230="",1,INDEX(Transactions!$N:$N,ROW()-8))</f>
        <v>1</v>
      </c>
      <c r="F230" s="30">
        <f>IF($A230="",0,INDEX(Transactions!$O:$O,ROW()-8))</f>
      </c>
      <c r="G230" s="30">
        <f>IF($A230="",0,INDEX(Transactions!$P:$P,ROW()-8))</f>
      </c>
    </row>
    <row r="231" spans="1:7" ht="15" customHeight="1" x14ac:dyDescent="0.15">
      <c r="A231">
        <f>IF(INDEX(Transactions!$J:$J,ROW()-8)="","",INDEX(Transactions!$J:$J,ROW()-8))</f>
      </c>
      <c r="B231" s="297">
        <f>IF($A231="",TODAY(),INDEX(Transactions!$G:$G,ROW()-8))</f>
      </c>
      <c r="C231" s="298">
        <f>IF($A231="","",INDEX(Transactions!$A:$A,ROW()-8))</f>
      </c>
      <c r="D231" s="30">
        <f>IF($A231="",0,INDEX(Transactions!$H:$H,ROW()-8))</f>
      </c>
      <c r="E231" s="300">
        <f>IF($A231="",1,INDEX(Transactions!$N:$N,ROW()-8))</f>
        <v>1</v>
      </c>
      <c r="F231" s="30">
        <f>IF($A231="",0,INDEX(Transactions!$O:$O,ROW()-8))</f>
      </c>
      <c r="G231" s="30">
        <f>IF($A231="",0,INDEX(Transactions!$P:$P,ROW()-8))</f>
      </c>
    </row>
    <row r="232" spans="1:7" ht="15" customHeight="1" x14ac:dyDescent="0.15">
      <c r="A232">
        <f>IF(INDEX(Transactions!$J:$J,ROW()-8)="","",INDEX(Transactions!$J:$J,ROW()-8))</f>
      </c>
      <c r="B232" s="297">
        <f>IF($A232="",TODAY(),INDEX(Transactions!$G:$G,ROW()-8))</f>
      </c>
      <c r="C232" s="298">
        <f>IF($A232="","",INDEX(Transactions!$A:$A,ROW()-8))</f>
      </c>
      <c r="D232" s="30">
        <f>IF($A232="",0,INDEX(Transactions!$H:$H,ROW()-8))</f>
      </c>
      <c r="E232" s="300">
        <f>IF($A232="",1,INDEX(Transactions!$N:$N,ROW()-8))</f>
        <v>1</v>
      </c>
      <c r="F232" s="30">
        <f>IF($A232="",0,INDEX(Transactions!$O:$O,ROW()-8))</f>
      </c>
      <c r="G232" s="30">
        <f>IF($A232="",0,INDEX(Transactions!$P:$P,ROW()-8))</f>
      </c>
    </row>
    <row r="233" spans="1:7" ht="15" customHeight="1" x14ac:dyDescent="0.15">
      <c r="A233">
        <f>IF(INDEX(Transactions!$J:$J,ROW()-8)="","",INDEX(Transactions!$J:$J,ROW()-8))</f>
      </c>
      <c r="B233" s="297">
        <f>IF($A233="",TODAY(),INDEX(Transactions!$G:$G,ROW()-8))</f>
      </c>
      <c r="C233" s="298">
        <f>IF($A233="","",INDEX(Transactions!$A:$A,ROW()-8))</f>
      </c>
      <c r="D233" s="30">
        <f>IF($A233="",0,INDEX(Transactions!$H:$H,ROW()-8))</f>
      </c>
      <c r="E233" s="300">
        <f>IF($A233="",1,INDEX(Transactions!$N:$N,ROW()-8))</f>
        <v>1</v>
      </c>
      <c r="F233" s="30">
        <f>IF($A233="",0,INDEX(Transactions!$O:$O,ROW()-8))</f>
      </c>
      <c r="G233" s="30">
        <f>IF($A233="",0,INDEX(Transactions!$P:$P,ROW()-8))</f>
      </c>
    </row>
    <row r="234" spans="1:7" ht="15" customHeight="1" x14ac:dyDescent="0.15">
      <c r="A234">
        <f>IF(INDEX(Transactions!$J:$J,ROW()-8)="","",INDEX(Transactions!$J:$J,ROW()-8))</f>
      </c>
      <c r="B234" s="297">
        <f>IF($A234="",TODAY(),INDEX(Transactions!$G:$G,ROW()-8))</f>
      </c>
      <c r="C234" s="298">
        <f>IF($A234="","",INDEX(Transactions!$A:$A,ROW()-8))</f>
      </c>
      <c r="D234" s="30">
        <f>IF($A234="",0,INDEX(Transactions!$H:$H,ROW()-8))</f>
      </c>
      <c r="E234" s="300">
        <f>IF($A234="",1,INDEX(Transactions!$N:$N,ROW()-8))</f>
        <v>1</v>
      </c>
      <c r="F234" s="30">
        <f>IF($A234="",0,INDEX(Transactions!$O:$O,ROW()-8))</f>
      </c>
      <c r="G234" s="30">
        <f>IF($A234="",0,INDEX(Transactions!$P:$P,ROW()-8))</f>
      </c>
    </row>
    <row r="235" spans="1:7" ht="15" customHeight="1" x14ac:dyDescent="0.15">
      <c r="A235">
        <f>IF(INDEX(Transactions!$J:$J,ROW()-8)="","",INDEX(Transactions!$J:$J,ROW()-8))</f>
      </c>
      <c r="B235" s="297">
        <f>IF($A235="",TODAY(),INDEX(Transactions!$G:$G,ROW()-8))</f>
      </c>
      <c r="C235" s="298">
        <f>IF($A235="","",INDEX(Transactions!$A:$A,ROW()-8))</f>
      </c>
      <c r="D235" s="30">
        <f>IF($A235="",0,INDEX(Transactions!$H:$H,ROW()-8))</f>
      </c>
      <c r="E235" s="300">
        <f>IF($A235="",1,INDEX(Transactions!$N:$N,ROW()-8))</f>
        <v>1</v>
      </c>
      <c r="F235" s="30">
        <f>IF($A235="",0,INDEX(Transactions!$O:$O,ROW()-8))</f>
      </c>
      <c r="G235" s="30">
        <f>IF($A235="",0,INDEX(Transactions!$P:$P,ROW()-8))</f>
      </c>
    </row>
    <row r="236" spans="1:7" ht="15" customHeight="1" x14ac:dyDescent="0.15">
      <c r="A236">
        <f>IF(INDEX(Transactions!$J:$J,ROW()-8)="","",INDEX(Transactions!$J:$J,ROW()-8))</f>
      </c>
      <c r="B236" s="297">
        <f>IF($A236="",TODAY(),INDEX(Transactions!$G:$G,ROW()-8))</f>
      </c>
      <c r="C236" s="298">
        <f>IF($A236="","",INDEX(Transactions!$A:$A,ROW()-8))</f>
      </c>
      <c r="D236" s="30">
        <f>IF($A236="",0,INDEX(Transactions!$H:$H,ROW()-8))</f>
      </c>
      <c r="E236" s="300">
        <f>IF($A236="",1,INDEX(Transactions!$N:$N,ROW()-8))</f>
        <v>1</v>
      </c>
      <c r="F236" s="30">
        <f>IF($A236="",0,INDEX(Transactions!$O:$O,ROW()-8))</f>
      </c>
      <c r="G236" s="30">
        <f>IF($A236="",0,INDEX(Transactions!$P:$P,ROW()-8))</f>
      </c>
    </row>
    <row r="237" spans="1:7" ht="15" customHeight="1" x14ac:dyDescent="0.15">
      <c r="A237">
        <f>IF(INDEX(Transactions!$J:$J,ROW()-8)="","",INDEX(Transactions!$J:$J,ROW()-8))</f>
      </c>
      <c r="B237" s="297">
        <f>IF($A237="",TODAY(),INDEX(Transactions!$G:$G,ROW()-8))</f>
      </c>
      <c r="C237" s="298">
        <f>IF($A237="","",INDEX(Transactions!$A:$A,ROW()-8))</f>
      </c>
      <c r="D237" s="30">
        <f>IF($A237="",0,INDEX(Transactions!$H:$H,ROW()-8))</f>
      </c>
      <c r="E237" s="300">
        <f>IF($A237="",1,INDEX(Transactions!$N:$N,ROW()-8))</f>
        <v>1</v>
      </c>
      <c r="F237" s="30">
        <f>IF($A237="",0,INDEX(Transactions!$O:$O,ROW()-8))</f>
      </c>
      <c r="G237" s="30">
        <f>IF($A237="",0,INDEX(Transactions!$P:$P,ROW()-8))</f>
      </c>
    </row>
    <row r="238" spans="1:7" ht="15" customHeight="1" x14ac:dyDescent="0.15">
      <c r="A238">
        <f>IF(INDEX(Transactions!$J:$J,ROW()-8)="","",INDEX(Transactions!$J:$J,ROW()-8))</f>
      </c>
      <c r="B238" s="297">
        <f>IF($A238="",TODAY(),INDEX(Transactions!$G:$G,ROW()-8))</f>
      </c>
      <c r="C238" s="298">
        <f>IF($A238="","",INDEX(Transactions!$A:$A,ROW()-8))</f>
      </c>
      <c r="D238" s="30">
        <f>IF($A238="",0,INDEX(Transactions!$H:$H,ROW()-8))</f>
      </c>
      <c r="E238" s="300">
        <f>IF($A238="",1,INDEX(Transactions!$N:$N,ROW()-8))</f>
        <v>1</v>
      </c>
      <c r="F238" s="30">
        <f>IF($A238="",0,INDEX(Transactions!$O:$O,ROW()-8))</f>
      </c>
      <c r="G238" s="30">
        <f>IF($A238="",0,INDEX(Transactions!$P:$P,ROW()-8))</f>
      </c>
    </row>
    <row r="239" spans="1:7" ht="15" customHeight="1" x14ac:dyDescent="0.15">
      <c r="A239">
        <f>IF(INDEX(Transactions!$J:$J,ROW()-8)="","",INDEX(Transactions!$J:$J,ROW()-8))</f>
      </c>
      <c r="B239" s="297">
        <f>IF($A239="",TODAY(),INDEX(Transactions!$G:$G,ROW()-8))</f>
      </c>
      <c r="C239" s="298">
        <f>IF($A239="","",INDEX(Transactions!$A:$A,ROW()-8))</f>
      </c>
      <c r="D239" s="30">
        <f>IF($A239="",0,INDEX(Transactions!$H:$H,ROW()-8))</f>
      </c>
      <c r="E239" s="300">
        <f>IF($A239="",1,INDEX(Transactions!$N:$N,ROW()-8))</f>
        <v>1</v>
      </c>
      <c r="F239" s="30">
        <f>IF($A239="",0,INDEX(Transactions!$O:$O,ROW()-8))</f>
      </c>
      <c r="G239" s="30">
        <f>IF($A239="",0,INDEX(Transactions!$P:$P,ROW()-8))</f>
      </c>
    </row>
    <row r="240" spans="1:7" ht="15" customHeight="1" x14ac:dyDescent="0.15">
      <c r="A240">
        <f>IF(INDEX(Transactions!$J:$J,ROW()-8)="","",INDEX(Transactions!$J:$J,ROW()-8))</f>
      </c>
      <c r="B240" s="297">
        <f>IF($A240="",TODAY(),INDEX(Transactions!$G:$G,ROW()-8))</f>
      </c>
      <c r="C240" s="298">
        <f>IF($A240="","",INDEX(Transactions!$A:$A,ROW()-8))</f>
      </c>
      <c r="D240" s="30">
        <f>IF($A240="",0,INDEX(Transactions!$H:$H,ROW()-8))</f>
      </c>
      <c r="E240" s="300">
        <f>IF($A240="",1,INDEX(Transactions!$N:$N,ROW()-8))</f>
        <v>1</v>
      </c>
      <c r="F240" s="30">
        <f>IF($A240="",0,INDEX(Transactions!$O:$O,ROW()-8))</f>
      </c>
      <c r="G240" s="30">
        <f>IF($A240="",0,INDEX(Transactions!$P:$P,ROW()-8))</f>
      </c>
    </row>
    <row r="241" spans="1:7" ht="15" customHeight="1" x14ac:dyDescent="0.15">
      <c r="A241">
        <f>IF(INDEX(Transactions!$J:$J,ROW()-8)="","",INDEX(Transactions!$J:$J,ROW()-8))</f>
      </c>
      <c r="B241" s="297">
        <f>IF($A241="",TODAY(),INDEX(Transactions!$G:$G,ROW()-8))</f>
      </c>
      <c r="C241" s="298">
        <f>IF($A241="","",INDEX(Transactions!$A:$A,ROW()-8))</f>
      </c>
      <c r="D241" s="30">
        <f>IF($A241="",0,INDEX(Transactions!$H:$H,ROW()-8))</f>
      </c>
      <c r="E241" s="300">
        <f>IF($A241="",1,INDEX(Transactions!$N:$N,ROW()-8))</f>
        <v>1</v>
      </c>
      <c r="F241" s="30">
        <f>IF($A241="",0,INDEX(Transactions!$O:$O,ROW()-8))</f>
      </c>
      <c r="G241" s="30">
        <f>IF($A241="",0,INDEX(Transactions!$P:$P,ROW()-8))</f>
      </c>
    </row>
    <row r="242" spans="1:7" ht="15" customHeight="1" x14ac:dyDescent="0.15">
      <c r="A242">
        <f>IF(INDEX(Transactions!$J:$J,ROW()-8)="","",INDEX(Transactions!$J:$J,ROW()-8))</f>
      </c>
      <c r="B242" s="297">
        <f>IF($A242="",TODAY(),INDEX(Transactions!$G:$G,ROW()-8))</f>
      </c>
      <c r="C242" s="298">
        <f>IF($A242="","",INDEX(Transactions!$A:$A,ROW()-8))</f>
      </c>
      <c r="D242" s="30">
        <f>IF($A242="",0,INDEX(Transactions!$H:$H,ROW()-8))</f>
      </c>
      <c r="E242" s="300">
        <f>IF($A242="",1,INDEX(Transactions!$N:$N,ROW()-8))</f>
        <v>1</v>
      </c>
      <c r="F242" s="30">
        <f>IF($A242="",0,INDEX(Transactions!$O:$O,ROW()-8))</f>
      </c>
      <c r="G242" s="30">
        <f>IF($A242="",0,INDEX(Transactions!$P:$P,ROW()-8))</f>
      </c>
    </row>
    <row r="243" spans="1:7" ht="15" customHeight="1" x14ac:dyDescent="0.15">
      <c r="A243">
        <f>IF(INDEX(Transactions!$J:$J,ROW()-8)="","",INDEX(Transactions!$J:$J,ROW()-8))</f>
      </c>
      <c r="B243" s="297">
        <f>IF($A243="",TODAY(),INDEX(Transactions!$G:$G,ROW()-8))</f>
      </c>
      <c r="C243" s="298">
        <f>IF($A243="","",INDEX(Transactions!$A:$A,ROW()-8))</f>
      </c>
      <c r="D243" s="30">
        <f>IF($A243="",0,INDEX(Transactions!$H:$H,ROW()-8))</f>
      </c>
      <c r="E243" s="300">
        <f>IF($A243="",1,INDEX(Transactions!$N:$N,ROW()-8))</f>
        <v>1</v>
      </c>
      <c r="F243" s="30">
        <f>IF($A243="",0,INDEX(Transactions!$O:$O,ROW()-8))</f>
      </c>
      <c r="G243" s="30">
        <f>IF($A243="",0,INDEX(Transactions!$P:$P,ROW()-8))</f>
      </c>
    </row>
    <row r="244" spans="1:7" ht="15" customHeight="1" x14ac:dyDescent="0.15">
      <c r="A244">
        <f>IF(INDEX(Transactions!$J:$J,ROW()-8)="","",INDEX(Transactions!$J:$J,ROW()-8))</f>
      </c>
      <c r="B244" s="297">
        <f>IF($A244="",TODAY(),INDEX(Transactions!$G:$G,ROW()-8))</f>
      </c>
      <c r="C244" s="298">
        <f>IF($A244="","",INDEX(Transactions!$A:$A,ROW()-8))</f>
      </c>
      <c r="D244" s="30">
        <f>IF($A244="",0,INDEX(Transactions!$H:$H,ROW()-8))</f>
      </c>
      <c r="E244" s="300">
        <f>IF($A244="",1,INDEX(Transactions!$N:$N,ROW()-8))</f>
        <v>1</v>
      </c>
      <c r="F244" s="30">
        <f>IF($A244="",0,INDEX(Transactions!$O:$O,ROW()-8))</f>
      </c>
      <c r="G244" s="30">
        <f>IF($A244="",0,INDEX(Transactions!$P:$P,ROW()-8))</f>
      </c>
    </row>
    <row r="245" spans="1:7" ht="15" customHeight="1" x14ac:dyDescent="0.15">
      <c r="A245">
        <f>IF(INDEX(Transactions!$J:$J,ROW()-8)="","",INDEX(Transactions!$J:$J,ROW()-8))</f>
      </c>
      <c r="B245" s="297">
        <f>IF($A245="",TODAY(),INDEX(Transactions!$G:$G,ROW()-8))</f>
      </c>
      <c r="C245" s="298">
        <f>IF($A245="","",INDEX(Transactions!$A:$A,ROW()-8))</f>
      </c>
      <c r="D245" s="30">
        <f>IF($A245="",0,INDEX(Transactions!$H:$H,ROW()-8))</f>
      </c>
      <c r="E245" s="300">
        <f>IF($A245="",1,INDEX(Transactions!$N:$N,ROW()-8))</f>
        <v>1</v>
      </c>
      <c r="F245" s="30">
        <f>IF($A245="",0,INDEX(Transactions!$O:$O,ROW()-8))</f>
      </c>
      <c r="G245" s="30">
        <f>IF($A245="",0,INDEX(Transactions!$P:$P,ROW()-8))</f>
      </c>
    </row>
    <row r="246" spans="1:7" ht="15" customHeight="1" x14ac:dyDescent="0.15">
      <c r="A246">
        <f>IF(INDEX(Transactions!$J:$J,ROW()-8)="","",INDEX(Transactions!$J:$J,ROW()-8))</f>
      </c>
      <c r="B246" s="297">
        <f>IF($A246="",TODAY(),INDEX(Transactions!$G:$G,ROW()-8))</f>
      </c>
      <c r="C246" s="298">
        <f>IF($A246="","",INDEX(Transactions!$A:$A,ROW()-8))</f>
      </c>
      <c r="D246" s="30">
        <f>IF($A246="",0,INDEX(Transactions!$H:$H,ROW()-8))</f>
      </c>
      <c r="E246" s="300">
        <f>IF($A246="",1,INDEX(Transactions!$N:$N,ROW()-8))</f>
        <v>1</v>
      </c>
      <c r="F246" s="30">
        <f>IF($A246="",0,INDEX(Transactions!$O:$O,ROW()-8))</f>
      </c>
      <c r="G246" s="30">
        <f>IF($A246="",0,INDEX(Transactions!$P:$P,ROW()-8))</f>
      </c>
    </row>
    <row r="247" spans="1:7" ht="15" customHeight="1" x14ac:dyDescent="0.15">
      <c r="A247">
        <f>IF(INDEX(Transactions!$J:$J,ROW()-8)="","",INDEX(Transactions!$J:$J,ROW()-8))</f>
      </c>
      <c r="B247" s="297">
        <f>IF($A247="",TODAY(),INDEX(Transactions!$G:$G,ROW()-8))</f>
      </c>
      <c r="C247" s="298">
        <f>IF($A247="","",INDEX(Transactions!$A:$A,ROW()-8))</f>
      </c>
      <c r="D247" s="30">
        <f>IF($A247="",0,INDEX(Transactions!$H:$H,ROW()-8))</f>
      </c>
      <c r="E247" s="300">
        <f>IF($A247="",1,INDEX(Transactions!$N:$N,ROW()-8))</f>
        <v>1</v>
      </c>
      <c r="F247" s="30">
        <f>IF($A247="",0,INDEX(Transactions!$O:$O,ROW()-8))</f>
      </c>
      <c r="G247" s="30">
        <f>IF($A247="",0,INDEX(Transactions!$P:$P,ROW()-8))</f>
      </c>
    </row>
    <row r="248" spans="1:7" ht="15" customHeight="1" x14ac:dyDescent="0.15">
      <c r="A248">
        <f>IF(INDEX(Transactions!$J:$J,ROW()-8)="","",INDEX(Transactions!$J:$J,ROW()-8))</f>
      </c>
      <c r="B248" s="297">
        <f>IF($A248="",TODAY(),INDEX(Transactions!$G:$G,ROW()-8))</f>
      </c>
      <c r="C248" s="298">
        <f>IF($A248="","",INDEX(Transactions!$A:$A,ROW()-8))</f>
      </c>
      <c r="D248" s="30">
        <f>IF($A248="",0,INDEX(Transactions!$H:$H,ROW()-8))</f>
      </c>
      <c r="E248" s="300">
        <f>IF($A248="",1,INDEX(Transactions!$N:$N,ROW()-8))</f>
        <v>1</v>
      </c>
      <c r="F248" s="30">
        <f>IF($A248="",0,INDEX(Transactions!$O:$O,ROW()-8))</f>
      </c>
      <c r="G248" s="30">
        <f>IF($A248="",0,INDEX(Transactions!$P:$P,ROW()-8))</f>
      </c>
    </row>
    <row r="249" spans="1:7" ht="15" customHeight="1" x14ac:dyDescent="0.15">
      <c r="A249">
        <f>IF(INDEX(Transactions!$J:$J,ROW()-8)="","",INDEX(Transactions!$J:$J,ROW()-8))</f>
      </c>
      <c r="B249" s="297">
        <f>IF($A249="",TODAY(),INDEX(Transactions!$G:$G,ROW()-8))</f>
      </c>
      <c r="C249" s="298">
        <f>IF($A249="","",INDEX(Transactions!$A:$A,ROW()-8))</f>
      </c>
      <c r="D249" s="30">
        <f>IF($A249="",0,INDEX(Transactions!$H:$H,ROW()-8))</f>
      </c>
      <c r="E249" s="300">
        <f>IF($A249="",1,INDEX(Transactions!$N:$N,ROW()-8))</f>
        <v>1</v>
      </c>
      <c r="F249" s="30">
        <f>IF($A249="",0,INDEX(Transactions!$O:$O,ROW()-8))</f>
      </c>
      <c r="G249" s="30">
        <f>IF($A249="",0,INDEX(Transactions!$P:$P,ROW()-8))</f>
      </c>
    </row>
    <row r="250" spans="1:7" ht="15" customHeight="1" x14ac:dyDescent="0.15">
      <c r="A250">
        <f>IF(INDEX(Transactions!$J:$J,ROW()-8)="","",INDEX(Transactions!$J:$J,ROW()-8))</f>
      </c>
      <c r="B250" s="297">
        <f>IF($A250="",TODAY(),INDEX(Transactions!$G:$G,ROW()-8))</f>
      </c>
      <c r="C250" s="298">
        <f>IF($A250="","",INDEX(Transactions!$A:$A,ROW()-8))</f>
      </c>
      <c r="D250" s="30">
        <f>IF($A250="",0,INDEX(Transactions!$H:$H,ROW()-8))</f>
      </c>
      <c r="E250" s="300">
        <f>IF($A250="",1,INDEX(Transactions!$N:$N,ROW()-8))</f>
        <v>1</v>
      </c>
      <c r="F250" s="30">
        <f>IF($A250="",0,INDEX(Transactions!$O:$O,ROW()-8))</f>
      </c>
      <c r="G250" s="30">
        <f>IF($A250="",0,INDEX(Transactions!$P:$P,ROW()-8))</f>
      </c>
    </row>
    <row r="251" spans="1:7" ht="15" customHeight="1" x14ac:dyDescent="0.15">
      <c r="A251">
        <f>IF(INDEX(Transactions!$J:$J,ROW()-8)="","",INDEX(Transactions!$J:$J,ROW()-8))</f>
      </c>
      <c r="B251" s="297">
        <f>IF($A251="",TODAY(),INDEX(Transactions!$G:$G,ROW()-8))</f>
      </c>
      <c r="C251" s="298">
        <f>IF($A251="","",INDEX(Transactions!$A:$A,ROW()-8))</f>
      </c>
      <c r="D251" s="30">
        <f>IF($A251="",0,INDEX(Transactions!$H:$H,ROW()-8))</f>
      </c>
      <c r="E251" s="300">
        <f>IF($A251="",1,INDEX(Transactions!$N:$N,ROW()-8))</f>
        <v>1</v>
      </c>
      <c r="F251" s="30">
        <f>IF($A251="",0,INDEX(Transactions!$O:$O,ROW()-8))</f>
      </c>
      <c r="G251" s="30">
        <f>IF($A251="",0,INDEX(Transactions!$P:$P,ROW()-8))</f>
      </c>
    </row>
    <row r="252" spans="1:7" ht="15" customHeight="1" x14ac:dyDescent="0.15">
      <c r="A252">
        <f>IF(INDEX(Transactions!$J:$J,ROW()-8)="","",INDEX(Transactions!$J:$J,ROW()-8))</f>
      </c>
      <c r="B252" s="297">
        <f>IF($A252="",TODAY(),INDEX(Transactions!$G:$G,ROW()-8))</f>
      </c>
      <c r="C252" s="298">
        <f>IF($A252="","",INDEX(Transactions!$A:$A,ROW()-8))</f>
      </c>
      <c r="D252" s="30">
        <f>IF($A252="",0,INDEX(Transactions!$H:$H,ROW()-8))</f>
      </c>
      <c r="E252" s="300">
        <f>IF($A252="",1,INDEX(Transactions!$N:$N,ROW()-8))</f>
        <v>1</v>
      </c>
      <c r="F252" s="30">
        <f>IF($A252="",0,INDEX(Transactions!$O:$O,ROW()-8))</f>
      </c>
      <c r="G252" s="30">
        <f>IF($A252="",0,INDEX(Transactions!$P:$P,ROW()-8))</f>
      </c>
    </row>
    <row r="253" spans="1:7" ht="15" customHeight="1" x14ac:dyDescent="0.15">
      <c r="A253">
        <f>IF(INDEX(Transactions!$J:$J,ROW()-8)="","",INDEX(Transactions!$J:$J,ROW()-8))</f>
      </c>
      <c r="B253" s="297">
        <f>IF($A253="",TODAY(),INDEX(Transactions!$G:$G,ROW()-8))</f>
      </c>
      <c r="C253" s="298">
        <f>IF($A253="","",INDEX(Transactions!$A:$A,ROW()-8))</f>
      </c>
      <c r="D253" s="30">
        <f>IF($A253="",0,INDEX(Transactions!$H:$H,ROW()-8))</f>
      </c>
      <c r="E253" s="300">
        <f>IF($A253="",1,INDEX(Transactions!$N:$N,ROW()-8))</f>
        <v>1</v>
      </c>
      <c r="F253" s="30">
        <f>IF($A253="",0,INDEX(Transactions!$O:$O,ROW()-8))</f>
      </c>
      <c r="G253" s="30">
        <f>IF($A253="",0,INDEX(Transactions!$P:$P,ROW()-8))</f>
      </c>
    </row>
    <row r="254" spans="1:7" ht="15" customHeight="1" x14ac:dyDescent="0.15">
      <c r="A254">
        <f>IF(INDEX(Transactions!$J:$J,ROW()-8)="","",INDEX(Transactions!$J:$J,ROW()-8))</f>
      </c>
      <c r="B254" s="297">
        <f>IF($A254="",TODAY(),INDEX(Transactions!$G:$G,ROW()-8))</f>
      </c>
      <c r="C254" s="298">
        <f>IF($A254="","",INDEX(Transactions!$A:$A,ROW()-8))</f>
      </c>
      <c r="D254" s="30">
        <f>IF($A254="",0,INDEX(Transactions!$H:$H,ROW()-8))</f>
      </c>
      <c r="E254" s="300">
        <f>IF($A254="",1,INDEX(Transactions!$N:$N,ROW()-8))</f>
        <v>1</v>
      </c>
      <c r="F254" s="30">
        <f>IF($A254="",0,INDEX(Transactions!$O:$O,ROW()-8))</f>
      </c>
      <c r="G254" s="30">
        <f>IF($A254="",0,INDEX(Transactions!$P:$P,ROW()-8))</f>
      </c>
    </row>
    <row r="255" spans="1:7" ht="15" customHeight="1" x14ac:dyDescent="0.15">
      <c r="A255">
        <f>IF(INDEX(Transactions!$J:$J,ROW()-8)="","",INDEX(Transactions!$J:$J,ROW()-8))</f>
      </c>
      <c r="B255" s="297">
        <f>IF($A255="",TODAY(),INDEX(Transactions!$G:$G,ROW()-8))</f>
      </c>
      <c r="C255" s="298">
        <f>IF($A255="","",INDEX(Transactions!$A:$A,ROW()-8))</f>
      </c>
      <c r="D255" s="30">
        <f>IF($A255="",0,INDEX(Transactions!$H:$H,ROW()-8))</f>
      </c>
      <c r="E255" s="300">
        <f>IF($A255="",1,INDEX(Transactions!$N:$N,ROW()-8))</f>
        <v>1</v>
      </c>
      <c r="F255" s="30">
        <f>IF($A255="",0,INDEX(Transactions!$O:$O,ROW()-8))</f>
      </c>
      <c r="G255" s="30">
        <f>IF($A255="",0,INDEX(Transactions!$P:$P,ROW()-8))</f>
      </c>
    </row>
    <row r="256" spans="1:7" ht="15" customHeight="1" x14ac:dyDescent="0.15">
      <c r="A256">
        <f>IF(INDEX(Transactions!$J:$J,ROW()-8)="","",INDEX(Transactions!$J:$J,ROW()-8))</f>
      </c>
      <c r="B256" s="297">
        <f>IF($A256="",TODAY(),INDEX(Transactions!$G:$G,ROW()-8))</f>
      </c>
      <c r="C256" s="298">
        <f>IF($A256="","",INDEX(Transactions!$A:$A,ROW()-8))</f>
      </c>
      <c r="D256" s="30">
        <f>IF($A256="",0,INDEX(Transactions!$H:$H,ROW()-8))</f>
      </c>
      <c r="E256" s="300">
        <f>IF($A256="",1,INDEX(Transactions!$N:$N,ROW()-8))</f>
        <v>1</v>
      </c>
      <c r="F256" s="30">
        <f>IF($A256="",0,INDEX(Transactions!$O:$O,ROW()-8))</f>
      </c>
      <c r="G256" s="30">
        <f>IF($A256="",0,INDEX(Transactions!$P:$P,ROW()-8))</f>
      </c>
    </row>
    <row r="257" spans="1:7" ht="15" customHeight="1" x14ac:dyDescent="0.15">
      <c r="A257">
        <f>IF(INDEX(Transactions!$J:$J,ROW()-8)="","",INDEX(Transactions!$J:$J,ROW()-8))</f>
      </c>
      <c r="B257" s="297">
        <f>IF($A257="",TODAY(),INDEX(Transactions!$G:$G,ROW()-8))</f>
      </c>
      <c r="C257" s="298">
        <f>IF($A257="","",INDEX(Transactions!$A:$A,ROW()-8))</f>
      </c>
      <c r="D257" s="30">
        <f>IF($A257="",0,INDEX(Transactions!$H:$H,ROW()-8))</f>
      </c>
      <c r="E257" s="300">
        <f>IF($A257="",1,INDEX(Transactions!$N:$N,ROW()-8))</f>
        <v>1</v>
      </c>
      <c r="F257" s="30">
        <f>IF($A257="",0,INDEX(Transactions!$O:$O,ROW()-8))</f>
      </c>
      <c r="G257" s="30">
        <f>IF($A257="",0,INDEX(Transactions!$P:$P,ROW()-8))</f>
      </c>
    </row>
    <row r="258" spans="1:7" ht="15" customHeight="1" x14ac:dyDescent="0.15">
      <c r="A258">
        <f>IF(INDEX(Transactions!$J:$J,ROW()-8)="","",INDEX(Transactions!$J:$J,ROW()-8))</f>
      </c>
      <c r="B258" s="297">
        <f>IF($A258="",TODAY(),INDEX(Transactions!$G:$G,ROW()-8))</f>
      </c>
      <c r="C258" s="298">
        <f>IF($A258="","",INDEX(Transactions!$A:$A,ROW()-8))</f>
      </c>
      <c r="D258" s="30">
        <f>IF($A258="",0,INDEX(Transactions!$H:$H,ROW()-8))</f>
      </c>
      <c r="E258" s="300">
        <f>IF($A258="",1,INDEX(Transactions!$N:$N,ROW()-8))</f>
        <v>1</v>
      </c>
      <c r="F258" s="30">
        <f>IF($A258="",0,INDEX(Transactions!$O:$O,ROW()-8))</f>
      </c>
      <c r="G258" s="30">
        <f>IF($A258="",0,INDEX(Transactions!$P:$P,ROW()-8))</f>
      </c>
    </row>
    <row r="259" spans="1:7" ht="15" customHeight="1" x14ac:dyDescent="0.15">
      <c r="A259">
        <f>IF(INDEX(Transactions!$J:$J,ROW()-8)="","",INDEX(Transactions!$J:$J,ROW()-8))</f>
      </c>
      <c r="B259" s="297">
        <f>IF($A259="",TODAY(),INDEX(Transactions!$G:$G,ROW()-8))</f>
      </c>
      <c r="C259" s="298">
        <f>IF($A259="","",INDEX(Transactions!$A:$A,ROW()-8))</f>
      </c>
      <c r="D259" s="30">
        <f>IF($A259="",0,INDEX(Transactions!$H:$H,ROW()-8))</f>
      </c>
      <c r="E259" s="300">
        <f>IF($A259="",1,INDEX(Transactions!$N:$N,ROW()-8))</f>
        <v>1</v>
      </c>
      <c r="F259" s="30">
        <f>IF($A259="",0,INDEX(Transactions!$O:$O,ROW()-8))</f>
      </c>
      <c r="G259" s="30">
        <f>IF($A259="",0,INDEX(Transactions!$P:$P,ROW()-8))</f>
      </c>
    </row>
    <row r="260" spans="1:7" ht="15" customHeight="1" x14ac:dyDescent="0.15">
      <c r="A260">
        <f>IF(INDEX(Transactions!$J:$J,ROW()-8)="","",INDEX(Transactions!$J:$J,ROW()-8))</f>
      </c>
      <c r="B260" s="297">
        <f>IF($A260="",TODAY(),INDEX(Transactions!$G:$G,ROW()-8))</f>
      </c>
      <c r="C260" s="298">
        <f>IF($A260="","",INDEX(Transactions!$A:$A,ROW()-8))</f>
      </c>
      <c r="D260" s="30">
        <f>IF($A260="",0,INDEX(Transactions!$H:$H,ROW()-8))</f>
      </c>
      <c r="E260" s="300">
        <f>IF($A260="",1,INDEX(Transactions!$N:$N,ROW()-8))</f>
        <v>1</v>
      </c>
      <c r="F260" s="30">
        <f>IF($A260="",0,INDEX(Transactions!$O:$O,ROW()-8))</f>
      </c>
      <c r="G260" s="30">
        <f>IF($A260="",0,INDEX(Transactions!$P:$P,ROW()-8))</f>
      </c>
    </row>
    <row r="261" spans="1:7" ht="15" customHeight="1" x14ac:dyDescent="0.15">
      <c r="A261">
        <f>IF(INDEX(Transactions!$J:$J,ROW()-8)="","",INDEX(Transactions!$J:$J,ROW()-8))</f>
      </c>
      <c r="B261" s="297">
        <f>IF($A261="",TODAY(),INDEX(Transactions!$G:$G,ROW()-8))</f>
      </c>
      <c r="C261" s="298">
        <f>IF($A261="","",INDEX(Transactions!$A:$A,ROW()-8))</f>
      </c>
      <c r="D261" s="30">
        <f>IF($A261="",0,INDEX(Transactions!$H:$H,ROW()-8))</f>
      </c>
      <c r="E261" s="300">
        <f>IF($A261="",1,INDEX(Transactions!$N:$N,ROW()-8))</f>
        <v>1</v>
      </c>
      <c r="F261" s="30">
        <f>IF($A261="",0,INDEX(Transactions!$O:$O,ROW()-8))</f>
      </c>
      <c r="G261" s="30">
        <f>IF($A261="",0,INDEX(Transactions!$P:$P,ROW()-8))</f>
      </c>
    </row>
    <row r="262" spans="1:7" ht="15" customHeight="1" x14ac:dyDescent="0.15">
      <c r="A262">
        <f>IF(INDEX(Transactions!$J:$J,ROW()-8)="","",INDEX(Transactions!$J:$J,ROW()-8))</f>
      </c>
      <c r="B262" s="297">
        <f>IF($A262="",TODAY(),INDEX(Transactions!$G:$G,ROW()-8))</f>
      </c>
      <c r="C262" s="298">
        <f>IF($A262="","",INDEX(Transactions!$A:$A,ROW()-8))</f>
      </c>
      <c r="D262" s="30">
        <f>IF($A262="",0,INDEX(Transactions!$H:$H,ROW()-8))</f>
      </c>
      <c r="E262" s="300">
        <f>IF($A262="",1,INDEX(Transactions!$N:$N,ROW()-8))</f>
        <v>1</v>
      </c>
      <c r="F262" s="30">
        <f>IF($A262="",0,INDEX(Transactions!$O:$O,ROW()-8))</f>
      </c>
      <c r="G262" s="30">
        <f>IF($A262="",0,INDEX(Transactions!$P:$P,ROW()-8))</f>
      </c>
    </row>
    <row r="263" spans="1:7" ht="15" customHeight="1" x14ac:dyDescent="0.15">
      <c r="A263">
        <f>IF(INDEX(Transactions!$J:$J,ROW()-8)="","",INDEX(Transactions!$J:$J,ROW()-8))</f>
      </c>
      <c r="B263" s="297">
        <f>IF($A263="",TODAY(),INDEX(Transactions!$G:$G,ROW()-8))</f>
      </c>
      <c r="C263" s="298">
        <f>IF($A263="","",INDEX(Transactions!$A:$A,ROW()-8))</f>
      </c>
      <c r="D263" s="30">
        <f>IF($A263="",0,INDEX(Transactions!$H:$H,ROW()-8))</f>
      </c>
      <c r="E263" s="300">
        <f>IF($A263="",1,INDEX(Transactions!$N:$N,ROW()-8))</f>
        <v>1</v>
      </c>
      <c r="F263" s="30">
        <f>IF($A263="",0,INDEX(Transactions!$O:$O,ROW()-8))</f>
      </c>
      <c r="G263" s="30">
        <f>IF($A263="",0,INDEX(Transactions!$P:$P,ROW()-8))</f>
      </c>
    </row>
    <row r="264" spans="1:7" ht="15" customHeight="1" x14ac:dyDescent="0.15">
      <c r="A264">
        <f>IF(INDEX(Transactions!$J:$J,ROW()-8)="","",INDEX(Transactions!$J:$J,ROW()-8))</f>
      </c>
      <c r="B264" s="297">
        <f>IF($A264="",TODAY(),INDEX(Transactions!$G:$G,ROW()-8))</f>
      </c>
      <c r="C264" s="298">
        <f>IF($A264="","",INDEX(Transactions!$A:$A,ROW()-8))</f>
      </c>
      <c r="D264" s="30">
        <f>IF($A264="",0,INDEX(Transactions!$H:$H,ROW()-8))</f>
      </c>
      <c r="E264" s="300">
        <f>IF($A264="",1,INDEX(Transactions!$N:$N,ROW()-8))</f>
        <v>1</v>
      </c>
      <c r="F264" s="30">
        <f>IF($A264="",0,INDEX(Transactions!$O:$O,ROW()-8))</f>
      </c>
      <c r="G264" s="30">
        <f>IF($A264="",0,INDEX(Transactions!$P:$P,ROW()-8))</f>
      </c>
    </row>
    <row r="265" spans="1:7" ht="15" customHeight="1" x14ac:dyDescent="0.15">
      <c r="A265">
        <f>IF(INDEX(Transactions!$J:$J,ROW()-8)="","",INDEX(Transactions!$J:$J,ROW()-8))</f>
      </c>
      <c r="B265" s="297">
        <f>IF($A265="",TODAY(),INDEX(Transactions!$G:$G,ROW()-8))</f>
      </c>
      <c r="C265" s="298">
        <f>IF($A265="","",INDEX(Transactions!$A:$A,ROW()-8))</f>
      </c>
      <c r="D265" s="30">
        <f>IF($A265="",0,INDEX(Transactions!$H:$H,ROW()-8))</f>
      </c>
      <c r="E265" s="300">
        <f>IF($A265="",1,INDEX(Transactions!$N:$N,ROW()-8))</f>
        <v>1</v>
      </c>
      <c r="F265" s="30">
        <f>IF($A265="",0,INDEX(Transactions!$O:$O,ROW()-8))</f>
      </c>
      <c r="G265" s="30">
        <f>IF($A265="",0,INDEX(Transactions!$P:$P,ROW()-8))</f>
      </c>
    </row>
    <row r="266" spans="1:7" ht="15" customHeight="1" x14ac:dyDescent="0.15">
      <c r="A266">
        <f>IF(INDEX(Transactions!$J:$J,ROW()-8)="","",INDEX(Transactions!$J:$J,ROW()-8))</f>
      </c>
      <c r="B266" s="297">
        <f>IF($A266="",TODAY(),INDEX(Transactions!$G:$G,ROW()-8))</f>
      </c>
      <c r="C266" s="298">
        <f>IF($A266="","",INDEX(Transactions!$A:$A,ROW()-8))</f>
      </c>
      <c r="D266" s="30">
        <f>IF($A266="",0,INDEX(Transactions!$H:$H,ROW()-8))</f>
      </c>
      <c r="E266" s="300">
        <f>IF($A266="",1,INDEX(Transactions!$N:$N,ROW()-8))</f>
        <v>1</v>
      </c>
      <c r="F266" s="30">
        <f>IF($A266="",0,INDEX(Transactions!$O:$O,ROW()-8))</f>
      </c>
      <c r="G266" s="30">
        <f>IF($A266="",0,INDEX(Transactions!$P:$P,ROW()-8))</f>
      </c>
    </row>
    <row r="267" spans="1:7" ht="15" customHeight="1" x14ac:dyDescent="0.15">
      <c r="A267">
        <f>IF(INDEX(Transactions!$J:$J,ROW()-8)="","",INDEX(Transactions!$J:$J,ROW()-8))</f>
      </c>
      <c r="B267" s="297">
        <f>IF($A267="",TODAY(),INDEX(Transactions!$G:$G,ROW()-8))</f>
      </c>
      <c r="C267" s="298">
        <f>IF($A267="","",INDEX(Transactions!$A:$A,ROW()-8))</f>
      </c>
      <c r="D267" s="30">
        <f>IF($A267="",0,INDEX(Transactions!$H:$H,ROW()-8))</f>
      </c>
      <c r="E267" s="300">
        <f>IF($A267="",1,INDEX(Transactions!$N:$N,ROW()-8))</f>
        <v>1</v>
      </c>
      <c r="F267" s="30">
        <f>IF($A267="",0,INDEX(Transactions!$O:$O,ROW()-8))</f>
      </c>
      <c r="G267" s="30">
        <f>IF($A267="",0,INDEX(Transactions!$P:$P,ROW()-8))</f>
      </c>
    </row>
    <row r="268" spans="1:7" ht="15" customHeight="1" x14ac:dyDescent="0.15">
      <c r="A268">
        <f>IF(INDEX(Transactions!$J:$J,ROW()-8)="","",INDEX(Transactions!$J:$J,ROW()-8))</f>
      </c>
      <c r="B268" s="297">
        <f>IF($A268="",TODAY(),INDEX(Transactions!$G:$G,ROW()-8))</f>
      </c>
      <c r="C268" s="298">
        <f>IF($A268="","",INDEX(Transactions!$A:$A,ROW()-8))</f>
      </c>
      <c r="D268" s="30">
        <f>IF($A268="",0,INDEX(Transactions!$H:$H,ROW()-8))</f>
      </c>
      <c r="E268" s="300">
        <f>IF($A268="",1,INDEX(Transactions!$N:$N,ROW()-8))</f>
        <v>1</v>
      </c>
      <c r="F268" s="30">
        <f>IF($A268="",0,INDEX(Transactions!$O:$O,ROW()-8))</f>
      </c>
      <c r="G268" s="30">
        <f>IF($A268="",0,INDEX(Transactions!$P:$P,ROW()-8))</f>
      </c>
    </row>
    <row r="269" spans="1:7" ht="15" customHeight="1" x14ac:dyDescent="0.15">
      <c r="A269">
        <f>IF(INDEX(Transactions!$J:$J,ROW()-8)="","",INDEX(Transactions!$J:$J,ROW()-8))</f>
      </c>
      <c r="B269" s="297">
        <f>IF($A269="",TODAY(),INDEX(Transactions!$G:$G,ROW()-8))</f>
      </c>
      <c r="C269" s="298">
        <f>IF($A269="","",INDEX(Transactions!$A:$A,ROW()-8))</f>
      </c>
      <c r="D269" s="30">
        <f>IF($A269="",0,INDEX(Transactions!$H:$H,ROW()-8))</f>
      </c>
      <c r="E269" s="300">
        <f>IF($A269="",1,INDEX(Transactions!$N:$N,ROW()-8))</f>
        <v>1</v>
      </c>
      <c r="F269" s="30">
        <f>IF($A269="",0,INDEX(Transactions!$O:$O,ROW()-8))</f>
      </c>
      <c r="G269" s="30">
        <f>IF($A269="",0,INDEX(Transactions!$P:$P,ROW()-8))</f>
      </c>
    </row>
    <row r="270" spans="1:7" ht="15" customHeight="1" x14ac:dyDescent="0.15">
      <c r="A270">
        <f>IF(INDEX(Transactions!$J:$J,ROW()-8)="","",INDEX(Transactions!$J:$J,ROW()-8))</f>
      </c>
      <c r="B270" s="297">
        <f>IF($A270="",TODAY(),INDEX(Transactions!$G:$G,ROW()-8))</f>
      </c>
      <c r="C270" s="298">
        <f>IF($A270="","",INDEX(Transactions!$A:$A,ROW()-8))</f>
      </c>
      <c r="D270" s="30">
        <f>IF($A270="",0,INDEX(Transactions!$H:$H,ROW()-8))</f>
      </c>
      <c r="E270" s="300">
        <f>IF($A270="",1,INDEX(Transactions!$N:$N,ROW()-8))</f>
        <v>1</v>
      </c>
      <c r="F270" s="30">
        <f>IF($A270="",0,INDEX(Transactions!$O:$O,ROW()-8))</f>
      </c>
      <c r="G270" s="30">
        <f>IF($A270="",0,INDEX(Transactions!$P:$P,ROW()-8))</f>
      </c>
    </row>
    <row r="271" spans="1:7" ht="15" customHeight="1" x14ac:dyDescent="0.15">
      <c r="A271">
        <f>IF(INDEX(Transactions!$J:$J,ROW()-8)="","",INDEX(Transactions!$J:$J,ROW()-8))</f>
      </c>
      <c r="B271" s="297">
        <f>IF($A271="",TODAY(),INDEX(Transactions!$G:$G,ROW()-8))</f>
      </c>
      <c r="C271" s="298">
        <f>IF($A271="","",INDEX(Transactions!$A:$A,ROW()-8))</f>
      </c>
      <c r="D271" s="30">
        <f>IF($A271="",0,INDEX(Transactions!$H:$H,ROW()-8))</f>
      </c>
      <c r="E271" s="300">
        <f>IF($A271="",1,INDEX(Transactions!$N:$N,ROW()-8))</f>
        <v>1</v>
      </c>
      <c r="F271" s="30">
        <f>IF($A271="",0,INDEX(Transactions!$O:$O,ROW()-8))</f>
      </c>
      <c r="G271" s="30">
        <f>IF($A271="",0,INDEX(Transactions!$P:$P,ROW()-8))</f>
      </c>
    </row>
    <row r="272" spans="1:7" ht="15" customHeight="1" x14ac:dyDescent="0.15">
      <c r="A272">
        <f>IF(INDEX(Transactions!$J:$J,ROW()-8)="","",INDEX(Transactions!$J:$J,ROW()-8))</f>
      </c>
      <c r="B272" s="297">
        <f>IF($A272="",TODAY(),INDEX(Transactions!$G:$G,ROW()-8))</f>
      </c>
      <c r="C272" s="298">
        <f>IF($A272="","",INDEX(Transactions!$A:$A,ROW()-8))</f>
      </c>
      <c r="D272" s="30">
        <f>IF($A272="",0,INDEX(Transactions!$H:$H,ROW()-8))</f>
      </c>
      <c r="E272" s="300">
        <f>IF($A272="",1,INDEX(Transactions!$N:$N,ROW()-8))</f>
        <v>1</v>
      </c>
      <c r="F272" s="30">
        <f>IF($A272="",0,INDEX(Transactions!$O:$O,ROW()-8))</f>
      </c>
      <c r="G272" s="30">
        <f>IF($A272="",0,INDEX(Transactions!$P:$P,ROW()-8))</f>
      </c>
    </row>
    <row r="273" spans="1:7" ht="15" customHeight="1" x14ac:dyDescent="0.15">
      <c r="A273">
        <f>IF(INDEX(Transactions!$J:$J,ROW()-8)="","",INDEX(Transactions!$J:$J,ROW()-8))</f>
      </c>
      <c r="B273" s="297">
        <f>IF($A273="",TODAY(),INDEX(Transactions!$G:$G,ROW()-8))</f>
      </c>
      <c r="C273" s="298">
        <f>IF($A273="","",INDEX(Transactions!$A:$A,ROW()-8))</f>
      </c>
      <c r="D273" s="30">
        <f>IF($A273="",0,INDEX(Transactions!$H:$H,ROW()-8))</f>
      </c>
      <c r="E273" s="300">
        <f>IF($A273="",1,INDEX(Transactions!$N:$N,ROW()-8))</f>
        <v>1</v>
      </c>
      <c r="F273" s="30">
        <f>IF($A273="",0,INDEX(Transactions!$O:$O,ROW()-8))</f>
      </c>
      <c r="G273" s="30">
        <f>IF($A273="",0,INDEX(Transactions!$P:$P,ROW()-8))</f>
      </c>
    </row>
    <row r="274" spans="1:7" ht="15" customHeight="1" x14ac:dyDescent="0.15">
      <c r="A274">
        <f>IF(INDEX(Transactions!$J:$J,ROW()-8)="","",INDEX(Transactions!$J:$J,ROW()-8))</f>
      </c>
      <c r="B274" s="297">
        <f>IF($A274="",TODAY(),INDEX(Transactions!$G:$G,ROW()-8))</f>
      </c>
      <c r="C274" s="298">
        <f>IF($A274="","",INDEX(Transactions!$A:$A,ROW()-8))</f>
      </c>
      <c r="D274" s="30">
        <f>IF($A274="",0,INDEX(Transactions!$H:$H,ROW()-8))</f>
      </c>
      <c r="E274" s="300">
        <f>IF($A274="",1,INDEX(Transactions!$N:$N,ROW()-8))</f>
        <v>1</v>
      </c>
      <c r="F274" s="30">
        <f>IF($A274="",0,INDEX(Transactions!$O:$O,ROW()-8))</f>
      </c>
      <c r="G274" s="30">
        <f>IF($A274="",0,INDEX(Transactions!$P:$P,ROW()-8))</f>
      </c>
    </row>
    <row r="275" spans="1:7" ht="15" customHeight="1" x14ac:dyDescent="0.15">
      <c r="A275">
        <f>IF(INDEX(Transactions!$J:$J,ROW()-8)="","",INDEX(Transactions!$J:$J,ROW()-8))</f>
      </c>
      <c r="B275" s="297">
        <f>IF($A275="",TODAY(),INDEX(Transactions!$G:$G,ROW()-8))</f>
      </c>
      <c r="C275" s="298">
        <f>IF($A275="","",INDEX(Transactions!$A:$A,ROW()-8))</f>
      </c>
      <c r="D275" s="30">
        <f>IF($A275="",0,INDEX(Transactions!$H:$H,ROW()-8))</f>
      </c>
      <c r="E275" s="300">
        <f>IF($A275="",1,INDEX(Transactions!$N:$N,ROW()-8))</f>
        <v>1</v>
      </c>
      <c r="F275" s="30">
        <f>IF($A275="",0,INDEX(Transactions!$O:$O,ROW()-8))</f>
      </c>
      <c r="G275" s="30">
        <f>IF($A275="",0,INDEX(Transactions!$P:$P,ROW()-8))</f>
      </c>
    </row>
    <row r="276" spans="1:7" ht="15" customHeight="1" x14ac:dyDescent="0.15">
      <c r="A276">
        <f>IF(INDEX(Transactions!$J:$J,ROW()-8)="","",INDEX(Transactions!$J:$J,ROW()-8))</f>
      </c>
      <c r="B276" s="297">
        <f>IF($A276="",TODAY(),INDEX(Transactions!$G:$G,ROW()-8))</f>
      </c>
      <c r="C276" s="298">
        <f>IF($A276="","",INDEX(Transactions!$A:$A,ROW()-8))</f>
      </c>
      <c r="D276" s="30">
        <f>IF($A276="",0,INDEX(Transactions!$H:$H,ROW()-8))</f>
      </c>
      <c r="E276" s="300">
        <f>IF($A276="",1,INDEX(Transactions!$N:$N,ROW()-8))</f>
        <v>1</v>
      </c>
      <c r="F276" s="30">
        <f>IF($A276="",0,INDEX(Transactions!$O:$O,ROW()-8))</f>
      </c>
      <c r="G276" s="30">
        <f>IF($A276="",0,INDEX(Transactions!$P:$P,ROW()-8))</f>
      </c>
    </row>
    <row r="277" spans="1:7" ht="15" customHeight="1" x14ac:dyDescent="0.15">
      <c r="A277">
        <f>IF(INDEX(Transactions!$J:$J,ROW()-8)="","",INDEX(Transactions!$J:$J,ROW()-8))</f>
      </c>
      <c r="B277" s="297">
        <f>IF($A277="",TODAY(),INDEX(Transactions!$G:$G,ROW()-8))</f>
      </c>
      <c r="C277" s="298">
        <f>IF($A277="","",INDEX(Transactions!$A:$A,ROW()-8))</f>
      </c>
      <c r="D277" s="30">
        <f>IF($A277="",0,INDEX(Transactions!$H:$H,ROW()-8))</f>
      </c>
      <c r="E277" s="300">
        <f>IF($A277="",1,INDEX(Transactions!$N:$N,ROW()-8))</f>
        <v>1</v>
      </c>
      <c r="F277" s="30">
        <f>IF($A277="",0,INDEX(Transactions!$O:$O,ROW()-8))</f>
      </c>
      <c r="G277" s="30">
        <f>IF($A277="",0,INDEX(Transactions!$P:$P,ROW()-8))</f>
      </c>
    </row>
    <row r="278" spans="1:7" ht="15" customHeight="1" x14ac:dyDescent="0.15">
      <c r="A278">
        <f>IF(INDEX(Transactions!$J:$J,ROW()-8)="","",INDEX(Transactions!$J:$J,ROW()-8))</f>
      </c>
      <c r="B278" s="297">
        <f>IF($A278="",TODAY(),INDEX(Transactions!$G:$G,ROW()-8))</f>
      </c>
      <c r="C278" s="298">
        <f>IF($A278="","",INDEX(Transactions!$A:$A,ROW()-8))</f>
      </c>
      <c r="D278" s="30">
        <f>IF($A278="",0,INDEX(Transactions!$H:$H,ROW()-8))</f>
      </c>
      <c r="E278" s="300">
        <f>IF($A278="",1,INDEX(Transactions!$N:$N,ROW()-8))</f>
        <v>1</v>
      </c>
      <c r="F278" s="30">
        <f>IF($A278="",0,INDEX(Transactions!$O:$O,ROW()-8))</f>
      </c>
      <c r="G278" s="30">
        <f>IF($A278="",0,INDEX(Transactions!$P:$P,ROW()-8))</f>
      </c>
    </row>
    <row r="279" spans="1:7" ht="15" customHeight="1" x14ac:dyDescent="0.15">
      <c r="A279">
        <f>IF(INDEX(Transactions!$J:$J,ROW()-8)="","",INDEX(Transactions!$J:$J,ROW()-8))</f>
      </c>
      <c r="B279" s="297">
        <f>IF($A279="",TODAY(),INDEX(Transactions!$G:$G,ROW()-8))</f>
      </c>
      <c r="C279" s="298">
        <f>IF($A279="","",INDEX(Transactions!$A:$A,ROW()-8))</f>
      </c>
      <c r="D279" s="30">
        <f>IF($A279="",0,INDEX(Transactions!$H:$H,ROW()-8))</f>
      </c>
      <c r="E279" s="300">
        <f>IF($A279="",1,INDEX(Transactions!$N:$N,ROW()-8))</f>
        <v>1</v>
      </c>
      <c r="F279" s="30">
        <f>IF($A279="",0,INDEX(Transactions!$O:$O,ROW()-8))</f>
      </c>
      <c r="G279" s="30">
        <f>IF($A279="",0,INDEX(Transactions!$P:$P,ROW()-8))</f>
      </c>
    </row>
    <row r="280" spans="1:7" ht="15" customHeight="1" x14ac:dyDescent="0.15">
      <c r="A280">
        <f>IF(INDEX(Transactions!$J:$J,ROW()-8)="","",INDEX(Transactions!$J:$J,ROW()-8))</f>
      </c>
      <c r="B280" s="297">
        <f>IF($A280="",TODAY(),INDEX(Transactions!$G:$G,ROW()-8))</f>
      </c>
      <c r="C280" s="298">
        <f>IF($A280="","",INDEX(Transactions!$A:$A,ROW()-8))</f>
      </c>
      <c r="D280" s="30">
        <f>IF($A280="",0,INDEX(Transactions!$H:$H,ROW()-8))</f>
      </c>
      <c r="E280" s="300">
        <f>IF($A280="",1,INDEX(Transactions!$N:$N,ROW()-8))</f>
        <v>1</v>
      </c>
      <c r="F280" s="30">
        <f>IF($A280="",0,INDEX(Transactions!$O:$O,ROW()-8))</f>
      </c>
      <c r="G280" s="30">
        <f>IF($A280="",0,INDEX(Transactions!$P:$P,ROW()-8))</f>
      </c>
    </row>
    <row r="281" spans="1:7" ht="15" customHeight="1" x14ac:dyDescent="0.15">
      <c r="A281">
        <f>IF(INDEX(Transactions!$J:$J,ROW()-8)="","",INDEX(Transactions!$J:$J,ROW()-8))</f>
      </c>
      <c r="B281" s="297">
        <f>IF($A281="",TODAY(),INDEX(Transactions!$G:$G,ROW()-8))</f>
      </c>
      <c r="C281" s="298">
        <f>IF($A281="","",INDEX(Transactions!$A:$A,ROW()-8))</f>
      </c>
      <c r="D281" s="30">
        <f>IF($A281="",0,INDEX(Transactions!$H:$H,ROW()-8))</f>
      </c>
      <c r="E281" s="300">
        <f>IF($A281="",1,INDEX(Transactions!$N:$N,ROW()-8))</f>
        <v>1</v>
      </c>
      <c r="F281" s="30">
        <f>IF($A281="",0,INDEX(Transactions!$O:$O,ROW()-8))</f>
      </c>
      <c r="G281" s="30">
        <f>IF($A281="",0,INDEX(Transactions!$P:$P,ROW()-8))</f>
      </c>
    </row>
    <row r="282" spans="1:7" ht="15" customHeight="1" x14ac:dyDescent="0.15">
      <c r="A282">
        <f>IF(INDEX(Transactions!$J:$J,ROW()-8)="","",INDEX(Transactions!$J:$J,ROW()-8))</f>
      </c>
      <c r="B282" s="297">
        <f>IF($A282="",TODAY(),INDEX(Transactions!$G:$G,ROW()-8))</f>
      </c>
      <c r="C282" s="298">
        <f>IF($A282="","",INDEX(Transactions!$A:$A,ROW()-8))</f>
      </c>
      <c r="D282" s="30">
        <f>IF($A282="",0,INDEX(Transactions!$H:$H,ROW()-8))</f>
      </c>
      <c r="E282" s="300">
        <f>IF($A282="",1,INDEX(Transactions!$N:$N,ROW()-8))</f>
        <v>1</v>
      </c>
      <c r="F282" s="30">
        <f>IF($A282="",0,INDEX(Transactions!$O:$O,ROW()-8))</f>
      </c>
      <c r="G282" s="30">
        <f>IF($A282="",0,INDEX(Transactions!$P:$P,ROW()-8))</f>
      </c>
    </row>
    <row r="283" spans="1:7" ht="15" customHeight="1" x14ac:dyDescent="0.15">
      <c r="A283">
        <f>IF(INDEX(Transactions!$J:$J,ROW()-8)="","",INDEX(Transactions!$J:$J,ROW()-8))</f>
      </c>
      <c r="B283" s="297">
        <f>IF($A283="",TODAY(),INDEX(Transactions!$G:$G,ROW()-8))</f>
      </c>
      <c r="C283" s="298">
        <f>IF($A283="","",INDEX(Transactions!$A:$A,ROW()-8))</f>
      </c>
      <c r="D283" s="30">
        <f>IF($A283="",0,INDEX(Transactions!$H:$H,ROW()-8))</f>
      </c>
      <c r="E283" s="300">
        <f>IF($A283="",1,INDEX(Transactions!$N:$N,ROW()-8))</f>
        <v>1</v>
      </c>
      <c r="F283" s="30">
        <f>IF($A283="",0,INDEX(Transactions!$O:$O,ROW()-8))</f>
      </c>
      <c r="G283" s="30">
        <f>IF($A283="",0,INDEX(Transactions!$P:$P,ROW()-8))</f>
      </c>
    </row>
    <row r="284" spans="1:7" ht="15" customHeight="1" x14ac:dyDescent="0.15">
      <c r="A284">
        <f>IF(INDEX(Transactions!$J:$J,ROW()-8)="","",INDEX(Transactions!$J:$J,ROW()-8))</f>
      </c>
      <c r="B284" s="297">
        <f>IF($A284="",TODAY(),INDEX(Transactions!$G:$G,ROW()-8))</f>
      </c>
      <c r="C284" s="298">
        <f>IF($A284="","",INDEX(Transactions!$A:$A,ROW()-8))</f>
      </c>
      <c r="D284" s="30">
        <f>IF($A284="",0,INDEX(Transactions!$H:$H,ROW()-8))</f>
      </c>
      <c r="E284" s="300">
        <f>IF($A284="",1,INDEX(Transactions!$N:$N,ROW()-8))</f>
        <v>1</v>
      </c>
      <c r="F284" s="30">
        <f>IF($A284="",0,INDEX(Transactions!$O:$O,ROW()-8))</f>
      </c>
      <c r="G284" s="30">
        <f>IF($A284="",0,INDEX(Transactions!$P:$P,ROW()-8))</f>
      </c>
    </row>
    <row r="285" spans="1:7" ht="15" customHeight="1" x14ac:dyDescent="0.15">
      <c r="A285">
        <f>IF(INDEX(Transactions!$J:$J,ROW()-8)="","",INDEX(Transactions!$J:$J,ROW()-8))</f>
      </c>
      <c r="B285" s="297">
        <f>IF($A285="",TODAY(),INDEX(Transactions!$G:$G,ROW()-8))</f>
      </c>
      <c r="C285" s="298">
        <f>IF($A285="","",INDEX(Transactions!$A:$A,ROW()-8))</f>
      </c>
      <c r="D285" s="30">
        <f>IF($A285="",0,INDEX(Transactions!$H:$H,ROW()-8))</f>
      </c>
      <c r="E285" s="300">
        <f>IF($A285="",1,INDEX(Transactions!$N:$N,ROW()-8))</f>
        <v>1</v>
      </c>
      <c r="F285" s="30">
        <f>IF($A285="",0,INDEX(Transactions!$O:$O,ROW()-8))</f>
      </c>
      <c r="G285" s="30">
        <f>IF($A285="",0,INDEX(Transactions!$P:$P,ROW()-8))</f>
      </c>
    </row>
    <row r="286" spans="1:7" ht="15" customHeight="1" x14ac:dyDescent="0.15">
      <c r="A286">
        <f>IF(INDEX(Transactions!$J:$J,ROW()-8)="","",INDEX(Transactions!$J:$J,ROW()-8))</f>
      </c>
      <c r="B286" s="297">
        <f>IF($A286="",TODAY(),INDEX(Transactions!$G:$G,ROW()-8))</f>
      </c>
      <c r="C286" s="298">
        <f>IF($A286="","",INDEX(Transactions!$A:$A,ROW()-8))</f>
      </c>
      <c r="D286" s="30">
        <f>IF($A286="",0,INDEX(Transactions!$H:$H,ROW()-8))</f>
      </c>
      <c r="E286" s="300">
        <f>IF($A286="",1,INDEX(Transactions!$N:$N,ROW()-8))</f>
        <v>1</v>
      </c>
      <c r="F286" s="30">
        <f>IF($A286="",0,INDEX(Transactions!$O:$O,ROW()-8))</f>
      </c>
      <c r="G286" s="30">
        <f>IF($A286="",0,INDEX(Transactions!$P:$P,ROW()-8))</f>
      </c>
    </row>
    <row r="287" spans="1:7" ht="15" customHeight="1" x14ac:dyDescent="0.15">
      <c r="A287">
        <f>IF(INDEX(Transactions!$J:$J,ROW()-8)="","",INDEX(Transactions!$J:$J,ROW()-8))</f>
      </c>
      <c r="B287" s="297">
        <f>IF($A287="",TODAY(),INDEX(Transactions!$G:$G,ROW()-8))</f>
      </c>
      <c r="C287" s="298">
        <f>IF($A287="","",INDEX(Transactions!$A:$A,ROW()-8))</f>
      </c>
      <c r="D287" s="30">
        <f>IF($A287="",0,INDEX(Transactions!$H:$H,ROW()-8))</f>
      </c>
      <c r="E287" s="300">
        <f>IF($A287="",1,INDEX(Transactions!$N:$N,ROW()-8))</f>
        <v>1</v>
      </c>
      <c r="F287" s="30">
        <f>IF($A287="",0,INDEX(Transactions!$O:$O,ROW()-8))</f>
      </c>
      <c r="G287" s="30">
        <f>IF($A287="",0,INDEX(Transactions!$P:$P,ROW()-8))</f>
      </c>
    </row>
    <row r="288" spans="1:7" ht="15" customHeight="1" x14ac:dyDescent="0.15">
      <c r="A288">
        <f>IF(INDEX(Transactions!$J:$J,ROW()-8)="","",INDEX(Transactions!$J:$J,ROW()-8))</f>
      </c>
      <c r="B288" s="297">
        <f>IF($A288="",TODAY(),INDEX(Transactions!$G:$G,ROW()-8))</f>
      </c>
      <c r="C288" s="298">
        <f>IF($A288="","",INDEX(Transactions!$A:$A,ROW()-8))</f>
      </c>
      <c r="D288" s="30">
        <f>IF($A288="",0,INDEX(Transactions!$H:$H,ROW()-8))</f>
      </c>
      <c r="E288" s="300">
        <f>IF($A288="",1,INDEX(Transactions!$N:$N,ROW()-8))</f>
        <v>1</v>
      </c>
      <c r="F288" s="30">
        <f>IF($A288="",0,INDEX(Transactions!$O:$O,ROW()-8))</f>
      </c>
      <c r="G288" s="30">
        <f>IF($A288="",0,INDEX(Transactions!$P:$P,ROW()-8))</f>
      </c>
    </row>
    <row r="289" spans="1:7" ht="15" customHeight="1" x14ac:dyDescent="0.15">
      <c r="A289">
        <f>IF(INDEX(Transactions!$J:$J,ROW()-8)="","",INDEX(Transactions!$J:$J,ROW()-8))</f>
      </c>
      <c r="B289" s="297">
        <f>IF($A289="",TODAY(),INDEX(Transactions!$G:$G,ROW()-8))</f>
      </c>
      <c r="C289" s="298">
        <f>IF($A289="","",INDEX(Transactions!$A:$A,ROW()-8))</f>
      </c>
      <c r="D289" s="30">
        <f>IF($A289="",0,INDEX(Transactions!$H:$H,ROW()-8))</f>
      </c>
      <c r="E289" s="300">
        <f>IF($A289="",1,INDEX(Transactions!$N:$N,ROW()-8))</f>
        <v>1</v>
      </c>
      <c r="F289" s="30">
        <f>IF($A289="",0,INDEX(Transactions!$O:$O,ROW()-8))</f>
      </c>
      <c r="G289" s="30">
        <f>IF($A289="",0,INDEX(Transactions!$P:$P,ROW()-8))</f>
      </c>
    </row>
    <row r="290" spans="1:7" ht="15" customHeight="1" x14ac:dyDescent="0.15">
      <c r="A290">
        <f>IF(INDEX(Transactions!$J:$J,ROW()-8)="","",INDEX(Transactions!$J:$J,ROW()-8))</f>
      </c>
      <c r="B290" s="297">
        <f>IF($A290="",TODAY(),INDEX(Transactions!$G:$G,ROW()-8))</f>
      </c>
      <c r="C290" s="298">
        <f>IF($A290="","",INDEX(Transactions!$A:$A,ROW()-8))</f>
      </c>
      <c r="D290" s="30">
        <f>IF($A290="",0,INDEX(Transactions!$H:$H,ROW()-8))</f>
      </c>
      <c r="E290" s="300">
        <f>IF($A290="",1,INDEX(Transactions!$N:$N,ROW()-8))</f>
        <v>1</v>
      </c>
      <c r="F290" s="30">
        <f>IF($A290="",0,INDEX(Transactions!$O:$O,ROW()-8))</f>
      </c>
      <c r="G290" s="30">
        <f>IF($A290="",0,INDEX(Transactions!$P:$P,ROW()-8))</f>
      </c>
    </row>
    <row r="291" spans="1:7" ht="15" customHeight="1" x14ac:dyDescent="0.15">
      <c r="A291">
        <f>IF(INDEX(Transactions!$J:$J,ROW()-8)="","",INDEX(Transactions!$J:$J,ROW()-8))</f>
      </c>
      <c r="B291" s="297">
        <f>IF($A291="",TODAY(),INDEX(Transactions!$G:$G,ROW()-8))</f>
      </c>
      <c r="C291" s="298">
        <f>IF($A291="","",INDEX(Transactions!$A:$A,ROW()-8))</f>
      </c>
      <c r="D291" s="30">
        <f>IF($A291="",0,INDEX(Transactions!$H:$H,ROW()-8))</f>
      </c>
      <c r="E291" s="299">
        <f>IF($A291="",1,INDEX(Transactions!$N:$N,ROW()-8))</f>
        <v>1</v>
      </c>
      <c r="F291" s="30">
        <f>IF($A291="",0,INDEX(Transactions!$O:$O,ROW()-8))</f>
      </c>
      <c r="G291" s="30">
        <f>IF($A291="",0,INDEX(Transactions!$P:$P,ROW()-8))</f>
      </c>
    </row>
    <row r="292" spans="1:7" ht="15" customHeight="1" x14ac:dyDescent="0.15">
      <c r="A292">
        <f>IF(INDEX(Transactions!$J:$J,ROW()-8)="","",INDEX(Transactions!$J:$J,ROW()-8))</f>
      </c>
      <c r="B292" s="297">
        <f>IF($A292="",TODAY(),INDEX(Transactions!$G:$G,ROW()-8))</f>
      </c>
      <c r="C292" s="298">
        <f>IF($A292="","",INDEX(Transactions!$A:$A,ROW()-8))</f>
      </c>
      <c r="D292" s="30">
        <f>IF($A292="",0,INDEX(Transactions!$H:$H,ROW()-8))</f>
      </c>
      <c r="E292" s="299">
        <f>IF($A292="",1,INDEX(Transactions!$N:$N,ROW()-8))</f>
        <v>1</v>
      </c>
      <c r="F292" s="30">
        <f>IF($A292="",0,INDEX(Transactions!$O:$O,ROW()-8))</f>
      </c>
      <c r="G292" s="30">
        <f>IF($A292="",0,INDEX(Transactions!$P:$P,ROW()-8))</f>
      </c>
    </row>
    <row r="293" spans="1:7" ht="15" customHeight="1" x14ac:dyDescent="0.15">
      <c r="A293">
        <f>IF(INDEX(Transactions!$J:$J,ROW()-8)="","",INDEX(Transactions!$J:$J,ROW()-8))</f>
      </c>
      <c r="B293" s="297">
        <f>IF($A293="",TODAY(),INDEX(Transactions!$G:$G,ROW()-8))</f>
      </c>
      <c r="C293" s="298">
        <f>IF($A293="","",INDEX(Transactions!$A:$A,ROW()-8))</f>
      </c>
      <c r="D293" s="30">
        <f>IF($A293="",0,INDEX(Transactions!$H:$H,ROW()-8))</f>
      </c>
      <c r="E293" s="300">
        <f>IF($A293="",1,INDEX(Transactions!$N:$N,ROW()-8))</f>
        <v>1</v>
      </c>
      <c r="F293" s="30">
        <f>IF($A293="",0,INDEX(Transactions!$O:$O,ROW()-8))</f>
      </c>
      <c r="G293" s="30">
        <f>IF($A293="",0,INDEX(Transactions!$P:$P,ROW()-8))</f>
      </c>
    </row>
    <row r="294" spans="1:7" ht="15" customHeight="1" x14ac:dyDescent="0.15">
      <c r="A294">
        <f>IF(INDEX(Transactions!$J:$J,ROW()-8)="","",INDEX(Transactions!$J:$J,ROW()-8))</f>
      </c>
      <c r="B294" s="297">
        <f>IF($A294="",TODAY(),INDEX(Transactions!$G:$G,ROW()-8))</f>
      </c>
      <c r="C294">
        <f>IF($A294="","",INDEX(Transactions!$A:$A,ROW()-8))</f>
      </c>
      <c r="D294" s="30">
        <f>IF($A294="",0,INDEX(Transactions!$H:$H,ROW()-8))</f>
      </c>
      <c r="E294">
        <f>IF($A294="",1,INDEX(Transactions!$N:$N,ROW()-8))</f>
        <v>1</v>
      </c>
      <c r="F294" s="30">
        <f>IF($A294="",0,INDEX(Transactions!$O:$O,ROW()-8))</f>
      </c>
      <c r="G294" s="30">
        <f>IF($A294="",0,INDEX(Transactions!$P:$P,ROW()-8))</f>
      </c>
    </row>
    <row r="295" spans="1:7" ht="15" customHeight="1" x14ac:dyDescent="0.15">
      <c r="A295">
        <f>IF(INDEX(Transactions!$J:$J,ROW()-8)="","",INDEX(Transactions!$J:$J,ROW()-8))</f>
      </c>
      <c r="B295" s="297">
        <f>IF($A295="",TODAY(),INDEX(Transactions!$G:$G,ROW()-8))</f>
      </c>
      <c r="C295">
        <f>IF($A295="","",INDEX(Transactions!$A:$A,ROW()-8))</f>
      </c>
      <c r="D295" s="30">
        <f>IF($A295="",0,INDEX(Transactions!$H:$H,ROW()-8))</f>
      </c>
      <c r="E295">
        <f>IF($A295="",1,INDEX(Transactions!$N:$N,ROW()-8))</f>
        <v>1</v>
      </c>
      <c r="F295" s="30">
        <f>IF($A295="",0,INDEX(Transactions!$O:$O,ROW()-8))</f>
      </c>
      <c r="G295" s="30">
        <f>IF($A295="",0,INDEX(Transactions!$P:$P,ROW()-8))</f>
      </c>
    </row>
    <row r="296" spans="1:7" ht="15" customHeight="1" x14ac:dyDescent="0.15">
      <c r="A296">
        <f>IF(INDEX(Transactions!$J:$J,ROW()-8)="","",INDEX(Transactions!$J:$J,ROW()-8))</f>
      </c>
      <c r="B296" s="297">
        <f>IF($A296="",TODAY(),INDEX(Transactions!$G:$G,ROW()-8))</f>
      </c>
      <c r="C296">
        <f>IF($A296="","",INDEX(Transactions!$A:$A,ROW()-8))</f>
      </c>
      <c r="D296" s="30">
        <f>IF($A296="",0,INDEX(Transactions!$H:$H,ROW()-8))</f>
      </c>
      <c r="E296">
        <f>IF($A296="",1,INDEX(Transactions!$N:$N,ROW()-8))</f>
        <v>1</v>
      </c>
      <c r="F296" s="30">
        <f>IF($A296="",0,INDEX(Transactions!$O:$O,ROW()-8))</f>
      </c>
      <c r="G296" s="30">
        <f>IF($A296="",0,INDEX(Transactions!$P:$P,ROW()-8))</f>
      </c>
    </row>
    <row r="297" spans="1:7" ht="15" customHeight="1" x14ac:dyDescent="0.15">
      <c r="A297">
        <f>IF(INDEX(Transactions!$J:$J,ROW()-8)="","",INDEX(Transactions!$J:$J,ROW()-8))</f>
      </c>
      <c r="B297" s="297">
        <f>IF($A297="",TODAY(),INDEX(Transactions!$G:$G,ROW()-8))</f>
      </c>
      <c r="C297">
        <f>IF($A297="","",INDEX(Transactions!$A:$A,ROW()-8))</f>
      </c>
      <c r="D297" s="30">
        <f>IF($A297="",0,INDEX(Transactions!$H:$H,ROW()-8))</f>
      </c>
      <c r="E297">
        <f>IF($A297="",1,INDEX(Transactions!$N:$N,ROW()-8))</f>
        <v>1</v>
      </c>
      <c r="F297" s="30">
        <f>IF($A297="",0,INDEX(Transactions!$O:$O,ROW()-8))</f>
      </c>
      <c r="G297" s="30">
        <f>IF($A297="",0,INDEX(Transactions!$P:$P,ROW()-8))</f>
      </c>
    </row>
    <row r="298" spans="1:7" ht="15" customHeight="1" x14ac:dyDescent="0.15">
      <c r="A298">
        <f>IF(INDEX(Transactions!$J:$J,ROW()-8)="","",INDEX(Transactions!$J:$J,ROW()-8))</f>
      </c>
      <c r="B298" s="297">
        <f>IF($A298="",TODAY(),INDEX(Transactions!$G:$G,ROW()-8))</f>
      </c>
      <c r="C298">
        <f>IF($A298="","",INDEX(Transactions!$A:$A,ROW()-8))</f>
      </c>
      <c r="D298" s="30">
        <f>IF($A298="",0,INDEX(Transactions!$H:$H,ROW()-8))</f>
      </c>
      <c r="E298">
        <f>IF($A298="",1,INDEX(Transactions!$N:$N,ROW()-8))</f>
        <v>1</v>
      </c>
      <c r="F298" s="30">
        <f>IF($A298="",0,INDEX(Transactions!$O:$O,ROW()-8))</f>
      </c>
      <c r="G298" s="30">
        <f>IF($A298="",0,INDEX(Transactions!$P:$P,ROW()-8))</f>
      </c>
    </row>
    <row r="299" spans="1:7" ht="15" customHeight="1" x14ac:dyDescent="0.15">
      <c r="A299">
        <f>IF(INDEX(Transactions!$J:$J,ROW()-8)="","",INDEX(Transactions!$J:$J,ROW()-8))</f>
      </c>
      <c r="B299" s="297">
        <f>IF($A299="",TODAY(),INDEX(Transactions!$G:$G,ROW()-8))</f>
      </c>
      <c r="C299">
        <f>IF($A299="","",INDEX(Transactions!$A:$A,ROW()-8))</f>
      </c>
      <c r="D299" s="30">
        <f>IF($A299="",0,INDEX(Transactions!$H:$H,ROW()-8))</f>
      </c>
      <c r="E299">
        <f>IF($A299="",1,INDEX(Transactions!$N:$N,ROW()-8))</f>
        <v>1</v>
      </c>
      <c r="F299" s="30">
        <f>IF($A299="",0,INDEX(Transactions!$O:$O,ROW()-8))</f>
      </c>
      <c r="G299" s="30">
        <f>IF($A299="",0,INDEX(Transactions!$P:$P,ROW()-8))</f>
      </c>
    </row>
    <row r="300" spans="1:7" ht="15" customHeight="1" x14ac:dyDescent="0.15">
      <c r="A300">
        <f>IF(INDEX(Transactions!$J:$J,ROW()-8)="","",INDEX(Transactions!$J:$J,ROW()-8))</f>
      </c>
      <c r="B300" s="297">
        <f>IF($A300="",TODAY(),INDEX(Transactions!$G:$G,ROW()-8))</f>
      </c>
      <c r="C300">
        <f>IF($A300="","",INDEX(Transactions!$A:$A,ROW()-8))</f>
      </c>
      <c r="D300" s="30">
        <f>IF($A300="",0,INDEX(Transactions!$H:$H,ROW()-8))</f>
      </c>
      <c r="E300">
        <f>IF($A300="",1,INDEX(Transactions!$N:$N,ROW()-8))</f>
        <v>1</v>
      </c>
      <c r="F300" s="30">
        <f>IF($A300="",0,INDEX(Transactions!$O:$O,ROW()-8))</f>
      </c>
      <c r="G300" s="30">
        <f>IF($A300="",0,INDEX(Transactions!$P:$P,ROW()-8))</f>
      </c>
    </row>
    <row r="301" spans="1:7" ht="15" customHeight="1" x14ac:dyDescent="0.15">
      <c r="A301">
        <f>IF(INDEX(Transactions!$J:$J,ROW()-8)="","",INDEX(Transactions!$J:$J,ROW()-8))</f>
      </c>
      <c r="B301" s="297">
        <f>IF($A301="",TODAY(),INDEX(Transactions!$G:$G,ROW()-8))</f>
      </c>
      <c r="C301">
        <f>IF($A301="","",INDEX(Transactions!$A:$A,ROW()-8))</f>
      </c>
      <c r="D301" s="30">
        <f>IF($A301="",0,INDEX(Transactions!$H:$H,ROW()-8))</f>
      </c>
      <c r="E301">
        <f>IF($A301="",1,INDEX(Transactions!$N:$N,ROW()-8))</f>
        <v>1</v>
      </c>
      <c r="F301" s="30">
        <f>IF($A301="",0,INDEX(Transactions!$O:$O,ROW()-8))</f>
      </c>
      <c r="G301" s="30">
        <f>IF($A301="",0,INDEX(Transactions!$P:$P,ROW()-8))</f>
      </c>
    </row>
    <row r="302" spans="1:7" ht="15" customHeight="1" x14ac:dyDescent="0.15">
      <c r="A302">
        <f>IF(INDEX(Transactions!$J:$J,ROW()-8)="","",INDEX(Transactions!$J:$J,ROW()-8))</f>
      </c>
      <c r="B302" s="297">
        <f>IF($A302="",TODAY(),INDEX(Transactions!$G:$G,ROW()-8))</f>
      </c>
      <c r="C302">
        <f>IF($A302="","",INDEX(Transactions!$A:$A,ROW()-8))</f>
      </c>
      <c r="D302" s="30">
        <f>IF($A302="",0,INDEX(Transactions!$H:$H,ROW()-8))</f>
      </c>
      <c r="E302">
        <f>IF($A302="",1,INDEX(Transactions!$N:$N,ROW()-8))</f>
        <v>1</v>
      </c>
      <c r="F302" s="30">
        <f>IF($A302="",0,INDEX(Transactions!$O:$O,ROW()-8))</f>
      </c>
      <c r="G302" s="30">
        <f>IF($A302="",0,INDEX(Transactions!$P:$P,ROW()-8))</f>
      </c>
    </row>
    <row r="303" spans="1:7" ht="15" customHeight="1" x14ac:dyDescent="0.15">
      <c r="A303">
        <f>IF(INDEX(Transactions!$J:$J,ROW()-8)="","",INDEX(Transactions!$J:$J,ROW()-8))</f>
      </c>
      <c r="B303" s="297">
        <f>IF($A303="",TODAY(),INDEX(Transactions!$G:$G,ROW()-8))</f>
      </c>
      <c r="C303">
        <f>IF($A303="","",INDEX(Transactions!$A:$A,ROW()-8))</f>
      </c>
      <c r="D303" s="30">
        <f>IF($A303="",0,INDEX(Transactions!$H:$H,ROW()-8))</f>
      </c>
      <c r="E303">
        <f>IF($A303="",1,INDEX(Transactions!$N:$N,ROW()-8))</f>
        <v>1</v>
      </c>
      <c r="F303" s="30">
        <f>IF($A303="",0,INDEX(Transactions!$O:$O,ROW()-8))</f>
      </c>
      <c r="G303" s="30">
        <f>IF($A303="",0,INDEX(Transactions!$P:$P,ROW()-8))</f>
      </c>
    </row>
    <row r="304" spans="1:7" ht="15" customHeight="1" x14ac:dyDescent="0.15">
      <c r="A304">
        <f>IF(INDEX(Transactions!$J:$J,ROW()-8)="","",INDEX(Transactions!$J:$J,ROW()-8))</f>
      </c>
      <c r="B304" s="297">
        <f>IF($A304="",TODAY(),INDEX(Transactions!$G:$G,ROW()-8))</f>
      </c>
      <c r="C304">
        <f>IF($A304="","",INDEX(Transactions!$A:$A,ROW()-8))</f>
      </c>
      <c r="D304" s="30">
        <f>IF($A304="",0,INDEX(Transactions!$H:$H,ROW()-8))</f>
      </c>
      <c r="E304">
        <f>IF($A304="",1,INDEX(Transactions!$N:$N,ROW()-8))</f>
        <v>1</v>
      </c>
      <c r="F304" s="30">
        <f>IF($A304="",0,INDEX(Transactions!$O:$O,ROW()-8))</f>
      </c>
      <c r="G304" s="30">
        <f>IF($A304="",0,INDEX(Transactions!$P:$P,ROW()-8))</f>
      </c>
    </row>
    <row r="305" spans="1:7" ht="15" customHeight="1" x14ac:dyDescent="0.15">
      <c r="A305">
        <f>IF(INDEX(Transactions!$J:$J,ROW()-8)="","",INDEX(Transactions!$J:$J,ROW()-8))</f>
      </c>
      <c r="B305" s="297">
        <f>IF($A305="",TODAY(),INDEX(Transactions!$G:$G,ROW()-8))</f>
      </c>
      <c r="C305">
        <f>IF($A305="","",INDEX(Transactions!$A:$A,ROW()-8))</f>
      </c>
      <c r="D305" s="30">
        <f>IF($A305="",0,INDEX(Transactions!$H:$H,ROW()-8))</f>
      </c>
      <c r="E305">
        <f>IF($A305="",1,INDEX(Transactions!$N:$N,ROW()-8))</f>
        <v>1</v>
      </c>
      <c r="F305" s="30">
        <f>IF($A305="",0,INDEX(Transactions!$O:$O,ROW()-8))</f>
      </c>
      <c r="G305" s="30">
        <f>IF($A305="",0,INDEX(Transactions!$P:$P,ROW()-8))</f>
      </c>
    </row>
    <row r="306" spans="1:7" ht="15" customHeight="1" x14ac:dyDescent="0.15">
      <c r="A306">
        <f>IF(INDEX(Transactions!$J:$J,ROW()-8)="","",INDEX(Transactions!$J:$J,ROW()-8))</f>
      </c>
      <c r="B306" s="297">
        <f>IF($A306="",TODAY(),INDEX(Transactions!$G:$G,ROW()-8))</f>
      </c>
      <c r="C306">
        <f>IF($A306="","",INDEX(Transactions!$A:$A,ROW()-8))</f>
      </c>
      <c r="D306" s="30">
        <f>IF($A306="",0,INDEX(Transactions!$H:$H,ROW()-8))</f>
      </c>
      <c r="E306">
        <f>IF($A306="",1,INDEX(Transactions!$N:$N,ROW()-8))</f>
        <v>1</v>
      </c>
      <c r="F306" s="30">
        <f>IF($A306="",0,INDEX(Transactions!$O:$O,ROW()-8))</f>
      </c>
      <c r="G306" s="30">
        <f>IF($A306="",0,INDEX(Transactions!$P:$P,ROW()-8))</f>
      </c>
    </row>
    <row r="307" spans="1:7" ht="15" customHeight="1" x14ac:dyDescent="0.15">
      <c r="A307">
        <f>IF(INDEX(Transactions!$J:$J,ROW()-8)="","",INDEX(Transactions!$J:$J,ROW()-8))</f>
      </c>
      <c r="B307" s="297">
        <f>IF($A307="",TODAY(),INDEX(Transactions!$G:$G,ROW()-8))</f>
      </c>
      <c r="C307">
        <f>IF($A307="","",INDEX(Transactions!$A:$A,ROW()-8))</f>
      </c>
      <c r="D307" s="30">
        <f>IF($A307="",0,INDEX(Transactions!$H:$H,ROW()-8))</f>
      </c>
      <c r="E307">
        <f>IF($A307="",1,INDEX(Transactions!$N:$N,ROW()-8))</f>
        <v>1</v>
      </c>
      <c r="F307" s="30">
        <f>IF($A307="",0,INDEX(Transactions!$O:$O,ROW()-8))</f>
      </c>
      <c r="G307" s="30">
        <f>IF($A307="",0,INDEX(Transactions!$P:$P,ROW()-8))</f>
      </c>
    </row>
    <row r="308" spans="1:7" ht="15" customHeight="1" x14ac:dyDescent="0.15">
      <c r="A308">
        <f>IF(INDEX(Transactions!$J:$J,ROW()-8)="","",INDEX(Transactions!$J:$J,ROW()-8))</f>
      </c>
      <c r="B308" s="297">
        <f>IF($A308="",TODAY(),INDEX(Transactions!$G:$G,ROW()-8))</f>
      </c>
      <c r="C308">
        <f>IF($A308="","",INDEX(Transactions!$A:$A,ROW()-8))</f>
      </c>
      <c r="D308" s="30">
        <f>IF($A308="",0,INDEX(Transactions!$H:$H,ROW()-8))</f>
      </c>
      <c r="E308">
        <f>IF($A308="",1,INDEX(Transactions!$N:$N,ROW()-8))</f>
        <v>1</v>
      </c>
      <c r="F308" s="30">
        <f>IF($A308="",0,INDEX(Transactions!$O:$O,ROW()-8))</f>
      </c>
      <c r="G308" s="30">
        <f>IF($A308="",0,INDEX(Transactions!$P:$P,ROW()-8))</f>
      </c>
    </row>
    <row r="309" spans="1:7" ht="15" customHeight="1" x14ac:dyDescent="0.15">
      <c r="A309">
        <f>IF(INDEX(Transactions!$J:$J,ROW()-8)="","",INDEX(Transactions!$J:$J,ROW()-8))</f>
      </c>
      <c r="B309" s="297">
        <f>IF($A309="",TODAY(),INDEX(Transactions!$G:$G,ROW()-8))</f>
      </c>
      <c r="C309">
        <f>IF($A309="","",INDEX(Transactions!$A:$A,ROW()-8))</f>
      </c>
      <c r="D309" s="30">
        <f>IF($A309="",0,INDEX(Transactions!$H:$H,ROW()-8))</f>
      </c>
      <c r="E309">
        <f>IF($A309="",1,INDEX(Transactions!$N:$N,ROW()-8))</f>
        <v>1</v>
      </c>
      <c r="F309" s="30">
        <f>IF($A309="",0,INDEX(Transactions!$O:$O,ROW()-8))</f>
      </c>
      <c r="G309" s="30">
        <f>IF($A309="",0,INDEX(Transactions!$P:$P,ROW()-8))</f>
      </c>
    </row>
    <row r="310" spans="1:7" ht="15" customHeight="1" x14ac:dyDescent="0.15">
      <c r="A310">
        <f>IF(INDEX(Transactions!$J:$J,ROW()-8)="","",INDEX(Transactions!$J:$J,ROW()-8))</f>
      </c>
      <c r="B310" s="297">
        <f>IF($A310="",TODAY(),INDEX(Transactions!$G:$G,ROW()-8))</f>
      </c>
      <c r="C310">
        <f>IF($A310="","",INDEX(Transactions!$A:$A,ROW()-8))</f>
      </c>
      <c r="D310" s="30">
        <f>IF($A310="",0,INDEX(Transactions!$H:$H,ROW()-8))</f>
      </c>
      <c r="E310">
        <f>IF($A310="",1,INDEX(Transactions!$N:$N,ROW()-8))</f>
        <v>1</v>
      </c>
      <c r="F310" s="30">
        <f>IF($A310="",0,INDEX(Transactions!$O:$O,ROW()-8))</f>
      </c>
      <c r="G310" s="30">
        <f>IF($A310="",0,INDEX(Transactions!$P:$P,ROW()-8))</f>
      </c>
    </row>
    <row r="311" spans="1:7" ht="15" customHeight="1" x14ac:dyDescent="0.15">
      <c r="A311">
        <f>IF(INDEX(Transactions!$J:$J,ROW()-8)="","",INDEX(Transactions!$J:$J,ROW()-8))</f>
      </c>
      <c r="B311" s="297">
        <f>IF($A311="",TODAY(),INDEX(Transactions!$G:$G,ROW()-8))</f>
      </c>
      <c r="C311">
        <f>IF($A311="","",INDEX(Transactions!$A:$A,ROW()-8))</f>
      </c>
      <c r="D311" s="30">
        <f>IF($A311="",0,INDEX(Transactions!$H:$H,ROW()-8))</f>
      </c>
      <c r="E311">
        <f>IF($A311="",1,INDEX(Transactions!$N:$N,ROW()-8))</f>
        <v>1</v>
      </c>
      <c r="F311" s="30">
        <f>IF($A311="",0,INDEX(Transactions!$O:$O,ROW()-8))</f>
      </c>
      <c r="G311" s="30">
        <f>IF($A311="",0,INDEX(Transactions!$P:$P,ROW()-8))</f>
      </c>
    </row>
    <row r="312" spans="1:7" ht="15" customHeight="1" x14ac:dyDescent="0.15">
      <c r="A312">
        <f>IF(INDEX(Transactions!$J:$J,ROW()-8)="","",INDEX(Transactions!$J:$J,ROW()-8))</f>
      </c>
      <c r="B312" s="297">
        <f>IF($A312="",TODAY(),INDEX(Transactions!$G:$G,ROW()-8))</f>
      </c>
      <c r="C312">
        <f>IF($A312="","",INDEX(Transactions!$A:$A,ROW()-8))</f>
      </c>
      <c r="D312" s="30">
        <f>IF($A312="",0,INDEX(Transactions!$H:$H,ROW()-8))</f>
      </c>
      <c r="E312">
        <f>IF($A312="",1,INDEX(Transactions!$N:$N,ROW()-8))</f>
        <v>1</v>
      </c>
      <c r="F312" s="30">
        <f>IF($A312="",0,INDEX(Transactions!$O:$O,ROW()-8))</f>
      </c>
      <c r="G312" s="30">
        <f>IF($A312="",0,INDEX(Transactions!$P:$P,ROW()-8))</f>
      </c>
    </row>
    <row r="313" spans="1:7" ht="15" customHeight="1" x14ac:dyDescent="0.15">
      <c r="A313">
        <f>IF(INDEX(Transactions!$J:$J,ROW()-8)="","",INDEX(Transactions!$J:$J,ROW()-8))</f>
      </c>
      <c r="B313" s="297">
        <f>IF($A313="",TODAY(),INDEX(Transactions!$G:$G,ROW()-8))</f>
      </c>
      <c r="C313">
        <f>IF($A313="","",INDEX(Transactions!$A:$A,ROW()-8))</f>
      </c>
      <c r="D313" s="30">
        <f>IF($A313="",0,INDEX(Transactions!$H:$H,ROW()-8))</f>
      </c>
      <c r="E313">
        <f>IF($A313="",1,INDEX(Transactions!$N:$N,ROW()-8))</f>
        <v>1</v>
      </c>
      <c r="F313" s="30">
        <f>IF($A313="",0,INDEX(Transactions!$O:$O,ROW()-8))</f>
      </c>
      <c r="G313" s="30">
        <f>IF($A313="",0,INDEX(Transactions!$P:$P,ROW()-8))</f>
      </c>
    </row>
    <row r="314" spans="1:7" ht="15" customHeight="1" x14ac:dyDescent="0.15">
      <c r="A314">
        <f>IF(INDEX(Transactions!$J:$J,ROW()-8)="","",INDEX(Transactions!$J:$J,ROW()-8))</f>
      </c>
      <c r="B314" s="297">
        <f>IF($A314="",TODAY(),INDEX(Transactions!$G:$G,ROW()-8))</f>
      </c>
      <c r="C314">
        <f>IF($A314="","",INDEX(Transactions!$A:$A,ROW()-8))</f>
      </c>
      <c r="D314" s="30">
        <f>IF($A314="",0,INDEX(Transactions!$H:$H,ROW()-8))</f>
      </c>
      <c r="E314">
        <f>IF($A314="",1,INDEX(Transactions!$N:$N,ROW()-8))</f>
        <v>1</v>
      </c>
      <c r="F314" s="30">
        <f>IF($A314="",0,INDEX(Transactions!$O:$O,ROW()-8))</f>
      </c>
      <c r="G314" s="30">
        <f>IF($A314="",0,INDEX(Transactions!$P:$P,ROW()-8))</f>
      </c>
    </row>
    <row r="315" spans="1:7" ht="15" customHeight="1" x14ac:dyDescent="0.15">
      <c r="A315">
        <f>IF(INDEX(Transactions!$J:$J,ROW()-8)="","",INDEX(Transactions!$J:$J,ROW()-8))</f>
      </c>
      <c r="B315" s="297">
        <f>IF($A315="",TODAY(),INDEX(Transactions!$G:$G,ROW()-8))</f>
      </c>
      <c r="C315">
        <f>IF($A315="","",INDEX(Transactions!$A:$A,ROW()-8))</f>
      </c>
      <c r="D315" s="30">
        <f>IF($A315="",0,INDEX(Transactions!$H:$H,ROW()-8))</f>
      </c>
      <c r="E315">
        <f>IF($A315="",1,INDEX(Transactions!$N:$N,ROW()-8))</f>
        <v>1</v>
      </c>
      <c r="F315" s="30">
        <f>IF($A315="",0,INDEX(Transactions!$O:$O,ROW()-8))</f>
      </c>
      <c r="G315" s="30">
        <f>IF($A315="",0,INDEX(Transactions!$P:$P,ROW()-8))</f>
      </c>
    </row>
    <row r="316" spans="1:7" ht="15" customHeight="1" x14ac:dyDescent="0.15">
      <c r="A316">
        <f>IF(INDEX(Transactions!$J:$J,ROW()-8)="","",INDEX(Transactions!$J:$J,ROW()-8))</f>
      </c>
      <c r="B316" s="297">
        <f>IF($A316="",TODAY(),INDEX(Transactions!$G:$G,ROW()-8))</f>
      </c>
      <c r="C316">
        <f>IF($A316="","",INDEX(Transactions!$A:$A,ROW()-8))</f>
      </c>
      <c r="D316" s="30">
        <f>IF($A316="",0,INDEX(Transactions!$H:$H,ROW()-8))</f>
      </c>
      <c r="E316">
        <f>IF($A316="",1,INDEX(Transactions!$N:$N,ROW()-8))</f>
        <v>1</v>
      </c>
      <c r="F316" s="30">
        <f>IF($A316="",0,INDEX(Transactions!$O:$O,ROW()-8))</f>
      </c>
      <c r="G316" s="30">
        <f>IF($A316="",0,INDEX(Transactions!$P:$P,ROW()-8))</f>
      </c>
    </row>
    <row r="317" spans="1:7" ht="15" customHeight="1" x14ac:dyDescent="0.15">
      <c r="A317">
        <f>IF(INDEX(Transactions!$J:$J,ROW()-8)="","",INDEX(Transactions!$J:$J,ROW()-8))</f>
      </c>
      <c r="B317" s="297">
        <f>IF($A317="",TODAY(),INDEX(Transactions!$G:$G,ROW()-8))</f>
      </c>
      <c r="C317">
        <f>IF($A317="","",INDEX(Transactions!$A:$A,ROW()-8))</f>
      </c>
      <c r="D317" s="30">
        <f>IF($A317="",0,INDEX(Transactions!$H:$H,ROW()-8))</f>
      </c>
      <c r="E317">
        <f>IF($A317="",1,INDEX(Transactions!$N:$N,ROW()-8))</f>
        <v>1</v>
      </c>
      <c r="F317" s="30">
        <f>IF($A317="",0,INDEX(Transactions!$O:$O,ROW()-8))</f>
      </c>
      <c r="G317" s="30">
        <f>IF($A317="",0,INDEX(Transactions!$P:$P,ROW()-8))</f>
      </c>
    </row>
    <row r="318" spans="1:7" ht="15" customHeight="1" x14ac:dyDescent="0.15">
      <c r="A318">
        <f>IF(INDEX(Transactions!$J:$J,ROW()-8)="","",INDEX(Transactions!$J:$J,ROW()-8))</f>
      </c>
      <c r="B318" s="297">
        <f>IF($A318="",TODAY(),INDEX(Transactions!$G:$G,ROW()-8))</f>
      </c>
      <c r="C318">
        <f>IF($A318="","",INDEX(Transactions!$A:$A,ROW()-8))</f>
      </c>
      <c r="D318" s="30">
        <f>IF($A318="",0,INDEX(Transactions!$H:$H,ROW()-8))</f>
      </c>
      <c r="E318">
        <f>IF($A318="",1,INDEX(Transactions!$N:$N,ROW()-8))</f>
        <v>1</v>
      </c>
      <c r="F318" s="30">
        <f>IF($A318="",0,INDEX(Transactions!$O:$O,ROW()-8))</f>
      </c>
      <c r="G318" s="30">
        <f>IF($A318="",0,INDEX(Transactions!$P:$P,ROW()-8))</f>
      </c>
    </row>
    <row r="319" spans="1:7" ht="15" customHeight="1" x14ac:dyDescent="0.15">
      <c r="A319">
        <f>IF(INDEX(Transactions!$J:$J,ROW()-8)="","",INDEX(Transactions!$J:$J,ROW()-8))</f>
      </c>
      <c r="B319" s="297">
        <f>IF($A319="",TODAY(),INDEX(Transactions!$G:$G,ROW()-8))</f>
      </c>
      <c r="C319">
        <f>IF($A319="","",INDEX(Transactions!$A:$A,ROW()-8))</f>
      </c>
      <c r="D319" s="30">
        <f>IF($A319="",0,INDEX(Transactions!$H:$H,ROW()-8))</f>
      </c>
      <c r="E319">
        <f>IF($A319="",1,INDEX(Transactions!$N:$N,ROW()-8))</f>
        <v>1</v>
      </c>
      <c r="F319" s="30">
        <f>IF($A319="",0,INDEX(Transactions!$O:$O,ROW()-8))</f>
      </c>
      <c r="G319" s="30">
        <f>IF($A319="",0,INDEX(Transactions!$P:$P,ROW()-8))</f>
      </c>
    </row>
    <row r="320" spans="1:7" ht="15" customHeight="1" x14ac:dyDescent="0.15">
      <c r="A320">
        <f>IF(INDEX(Transactions!$J:$J,ROW()-8)="","",INDEX(Transactions!$J:$J,ROW()-8))</f>
      </c>
      <c r="B320" s="297">
        <f>IF($A320="",TODAY(),INDEX(Transactions!$G:$G,ROW()-8))</f>
      </c>
      <c r="C320">
        <f>IF($A320="","",INDEX(Transactions!$A:$A,ROW()-8))</f>
      </c>
      <c r="D320" s="30">
        <f>IF($A320="",0,INDEX(Transactions!$H:$H,ROW()-8))</f>
      </c>
      <c r="E320">
        <f>IF($A320="",1,INDEX(Transactions!$N:$N,ROW()-8))</f>
        <v>1</v>
      </c>
      <c r="F320" s="30">
        <f>IF($A320="",0,INDEX(Transactions!$O:$O,ROW()-8))</f>
      </c>
      <c r="G320" s="30">
        <f>IF($A320="",0,INDEX(Transactions!$P:$P,ROW()-8))</f>
      </c>
    </row>
    <row r="321" spans="1:7" ht="15" customHeight="1" x14ac:dyDescent="0.15">
      <c r="A321">
        <f>IF(INDEX(Transactions!$J:$J,ROW()-8)="","",INDEX(Transactions!$J:$J,ROW()-8))</f>
      </c>
      <c r="B321" s="297">
        <f>IF($A321="",TODAY(),INDEX(Transactions!$G:$G,ROW()-8))</f>
      </c>
      <c r="C321">
        <f>IF($A321="","",INDEX(Transactions!$A:$A,ROW()-8))</f>
      </c>
      <c r="D321" s="30">
        <f>IF($A321="",0,INDEX(Transactions!$H:$H,ROW()-8))</f>
      </c>
      <c r="E321">
        <f>IF($A321="",1,INDEX(Transactions!$N:$N,ROW()-8))</f>
        <v>1</v>
      </c>
      <c r="F321" s="30">
        <f>IF($A321="",0,INDEX(Transactions!$O:$O,ROW()-8))</f>
      </c>
      <c r="G321" s="30">
        <f>IF($A321="",0,INDEX(Transactions!$P:$P,ROW()-8))</f>
      </c>
    </row>
    <row r="322" spans="1:7" ht="15" customHeight="1" x14ac:dyDescent="0.15">
      <c r="A322">
        <f>IF(INDEX(Transactions!$J:$J,ROW()-8)="","",INDEX(Transactions!$J:$J,ROW()-8))</f>
      </c>
      <c r="B322" s="297">
        <f>IF($A322="",TODAY(),INDEX(Transactions!$G:$G,ROW()-8))</f>
      </c>
      <c r="C322">
        <f>IF($A322="","",INDEX(Transactions!$A:$A,ROW()-8))</f>
      </c>
      <c r="D322" s="30">
        <f>IF($A322="",0,INDEX(Transactions!$H:$H,ROW()-8))</f>
      </c>
      <c r="E322">
        <f>IF($A322="",1,INDEX(Transactions!$N:$N,ROW()-8))</f>
        <v>1</v>
      </c>
      <c r="F322" s="30">
        <f>IF($A322="",0,INDEX(Transactions!$O:$O,ROW()-8))</f>
      </c>
      <c r="G322" s="30">
        <f>IF($A322="",0,INDEX(Transactions!$P:$P,ROW()-8))</f>
      </c>
    </row>
    <row r="323" spans="1:7" ht="15" customHeight="1" x14ac:dyDescent="0.15">
      <c r="A323">
        <f>IF(INDEX(Transactions!$J:$J,ROW()-8)="","",INDEX(Transactions!$J:$J,ROW()-8))</f>
      </c>
      <c r="B323" s="297">
        <f>IF($A323="",TODAY(),INDEX(Transactions!$G:$G,ROW()-8))</f>
      </c>
      <c r="C323">
        <f>IF($A323="","",INDEX(Transactions!$A:$A,ROW()-8))</f>
      </c>
      <c r="D323" s="30">
        <f>IF($A323="",0,INDEX(Transactions!$H:$H,ROW()-8))</f>
      </c>
      <c r="E323">
        <f>IF($A323="",1,INDEX(Transactions!$N:$N,ROW()-8))</f>
        <v>1</v>
      </c>
      <c r="F323" s="30">
        <f>IF($A323="",0,INDEX(Transactions!$O:$O,ROW()-8))</f>
      </c>
      <c r="G323" s="30">
        <f>IF($A323="",0,INDEX(Transactions!$P:$P,ROW()-8))</f>
      </c>
    </row>
    <row r="324" spans="1:7" ht="15" customHeight="1" x14ac:dyDescent="0.15">
      <c r="A324">
        <f>IF(INDEX(Transactions!$J:$J,ROW()-8)="","",INDEX(Transactions!$J:$J,ROW()-8))</f>
      </c>
      <c r="B324" s="297">
        <f>IF($A324="",TODAY(),INDEX(Transactions!$G:$G,ROW()-8))</f>
      </c>
      <c r="C324">
        <f>IF($A324="","",INDEX(Transactions!$A:$A,ROW()-8))</f>
      </c>
      <c r="D324" s="30">
        <f>IF($A324="",0,INDEX(Transactions!$H:$H,ROW()-8))</f>
      </c>
      <c r="E324">
        <f>IF($A324="",1,INDEX(Transactions!$N:$N,ROW()-8))</f>
        <v>1</v>
      </c>
      <c r="F324" s="30">
        <f>IF($A324="",0,INDEX(Transactions!$O:$O,ROW()-8))</f>
      </c>
      <c r="G324" s="30">
        <f>IF($A324="",0,INDEX(Transactions!$P:$P,ROW()-8))</f>
      </c>
    </row>
    <row r="325" spans="1:7" ht="15" customHeight="1" x14ac:dyDescent="0.15">
      <c r="A325">
        <f>IF(INDEX(Transactions!$J:$J,ROW()-8)="","",INDEX(Transactions!$J:$J,ROW()-8))</f>
      </c>
      <c r="B325" s="297">
        <f>IF($A325="",TODAY(),INDEX(Transactions!$G:$G,ROW()-8))</f>
      </c>
      <c r="C325">
        <f>IF($A325="","",INDEX(Transactions!$A:$A,ROW()-8))</f>
      </c>
      <c r="D325" s="30">
        <f>IF($A325="",0,INDEX(Transactions!$H:$H,ROW()-8))</f>
      </c>
      <c r="E325">
        <f>IF($A325="",1,INDEX(Transactions!$N:$N,ROW()-8))</f>
        <v>1</v>
      </c>
      <c r="F325" s="30">
        <f>IF($A325="",0,INDEX(Transactions!$O:$O,ROW()-8))</f>
      </c>
      <c r="G325" s="30">
        <f>IF($A325="",0,INDEX(Transactions!$P:$P,ROW()-8))</f>
      </c>
    </row>
    <row r="326" spans="1:7" ht="15" customHeight="1" x14ac:dyDescent="0.15">
      <c r="A326">
        <f>IF(INDEX(Transactions!$J:$J,ROW()-8)="","",INDEX(Transactions!$J:$J,ROW()-8))</f>
      </c>
      <c r="B326" s="297">
        <f>IF($A326="",TODAY(),INDEX(Transactions!$G:$G,ROW()-8))</f>
      </c>
      <c r="C326">
        <f>IF($A326="","",INDEX(Transactions!$A:$A,ROW()-8))</f>
      </c>
      <c r="D326" s="30">
        <f>IF($A326="",0,INDEX(Transactions!$H:$H,ROW()-8))</f>
      </c>
      <c r="E326">
        <f>IF($A326="",1,INDEX(Transactions!$N:$N,ROW()-8))</f>
        <v>1</v>
      </c>
      <c r="F326" s="30">
        <f>IF($A326="",0,INDEX(Transactions!$O:$O,ROW()-8))</f>
      </c>
      <c r="G326" s="30">
        <f>IF($A326="",0,INDEX(Transactions!$P:$P,ROW()-8))</f>
      </c>
    </row>
    <row r="327" spans="1:7" ht="15" customHeight="1" x14ac:dyDescent="0.15">
      <c r="A327">
        <f>IF(INDEX(Transactions!$J:$J,ROW()-8)="","",INDEX(Transactions!$J:$J,ROW()-8))</f>
      </c>
      <c r="B327" s="297">
        <f>IF($A327="",TODAY(),INDEX(Transactions!$G:$G,ROW()-8))</f>
      </c>
      <c r="C327">
        <f>IF($A327="","",INDEX(Transactions!$A:$A,ROW()-8))</f>
      </c>
      <c r="D327" s="30">
        <f>IF($A327="",0,INDEX(Transactions!$H:$H,ROW()-8))</f>
      </c>
      <c r="E327">
        <f>IF($A327="",1,INDEX(Transactions!$N:$N,ROW()-8))</f>
        <v>1</v>
      </c>
      <c r="F327" s="30">
        <f>IF($A327="",0,INDEX(Transactions!$O:$O,ROW()-8))</f>
      </c>
      <c r="G327" s="30">
        <f>IF($A327="",0,INDEX(Transactions!$P:$P,ROW()-8))</f>
      </c>
    </row>
    <row r="328" spans="1:7" ht="15" customHeight="1" x14ac:dyDescent="0.15">
      <c r="A328">
        <f>IF(INDEX(Transactions!$J:$J,ROW()-8)="","",INDEX(Transactions!$J:$J,ROW()-8))</f>
      </c>
      <c r="B328" s="297">
        <f>IF($A328="",TODAY(),INDEX(Transactions!$G:$G,ROW()-8))</f>
      </c>
      <c r="C328">
        <f>IF($A328="","",INDEX(Transactions!$A:$A,ROW()-8))</f>
      </c>
      <c r="D328" s="30">
        <f>IF($A328="",0,INDEX(Transactions!$H:$H,ROW()-8))</f>
      </c>
      <c r="E328">
        <f>IF($A328="",1,INDEX(Transactions!$N:$N,ROW()-8))</f>
        <v>1</v>
      </c>
      <c r="F328" s="30">
        <f>IF($A328="",0,INDEX(Transactions!$O:$O,ROW()-8))</f>
      </c>
      <c r="G328" s="30">
        <f>IF($A328="",0,INDEX(Transactions!$P:$P,ROW()-8))</f>
      </c>
    </row>
    <row r="329" spans="1:7" ht="15" customHeight="1" x14ac:dyDescent="0.15">
      <c r="A329">
        <f>IF(INDEX(Transactions!$J:$J,ROW()-8)="","",INDEX(Transactions!$J:$J,ROW()-8))</f>
      </c>
      <c r="B329" s="297">
        <f>IF($A329="",TODAY(),INDEX(Transactions!$G:$G,ROW()-8))</f>
      </c>
      <c r="C329">
        <f>IF($A329="","",INDEX(Transactions!$A:$A,ROW()-8))</f>
      </c>
      <c r="D329" s="30">
        <f>IF($A329="",0,INDEX(Transactions!$H:$H,ROW()-8))</f>
      </c>
      <c r="E329">
        <f>IF($A329="",1,INDEX(Transactions!$N:$N,ROW()-8))</f>
        <v>1</v>
      </c>
      <c r="F329" s="30">
        <f>IF($A329="",0,INDEX(Transactions!$O:$O,ROW()-8))</f>
      </c>
      <c r="G329" s="30">
        <f>IF($A329="",0,INDEX(Transactions!$P:$P,ROW()-8))</f>
      </c>
    </row>
    <row r="330" spans="1:7" ht="15" customHeight="1" x14ac:dyDescent="0.15">
      <c r="A330">
        <f>IF(INDEX(Transactions!$J:$J,ROW()-8)="","",INDEX(Transactions!$J:$J,ROW()-8))</f>
      </c>
      <c r="B330" s="297">
        <f>IF($A330="",TODAY(),INDEX(Transactions!$G:$G,ROW()-8))</f>
      </c>
      <c r="C330">
        <f>IF($A330="","",INDEX(Transactions!$A:$A,ROW()-8))</f>
      </c>
      <c r="D330" s="30">
        <f>IF($A330="",0,INDEX(Transactions!$H:$H,ROW()-8))</f>
      </c>
      <c r="E330">
        <f>IF($A330="",1,INDEX(Transactions!$N:$N,ROW()-8))</f>
        <v>1</v>
      </c>
      <c r="F330" s="30">
        <f>IF($A330="",0,INDEX(Transactions!$O:$O,ROW()-8))</f>
      </c>
      <c r="G330" s="30">
        <f>IF($A330="",0,INDEX(Transactions!$P:$P,ROW()-8))</f>
      </c>
    </row>
    <row r="331" spans="1:7" ht="15" customHeight="1" x14ac:dyDescent="0.15">
      <c r="A331">
        <f>IF(INDEX(Transactions!$J:$J,ROW()-8)="","",INDEX(Transactions!$J:$J,ROW()-8))</f>
      </c>
      <c r="B331" s="297">
        <f>IF($A331="",TODAY(),INDEX(Transactions!$G:$G,ROW()-8))</f>
      </c>
      <c r="C331">
        <f>IF($A331="","",INDEX(Transactions!$A:$A,ROW()-8))</f>
      </c>
      <c r="D331" s="30">
        <f>IF($A331="",0,INDEX(Transactions!$H:$H,ROW()-8))</f>
      </c>
      <c r="E331">
        <f>IF($A331="",1,INDEX(Transactions!$N:$N,ROW()-8))</f>
        <v>1</v>
      </c>
      <c r="F331" s="30">
        <f>IF($A331="",0,INDEX(Transactions!$O:$O,ROW()-8))</f>
      </c>
      <c r="G331" s="30">
        <f>IF($A331="",0,INDEX(Transactions!$P:$P,ROW()-8))</f>
      </c>
    </row>
    <row r="332" spans="1:7" ht="15" customHeight="1" x14ac:dyDescent="0.15">
      <c r="A332">
        <f>IF(INDEX(Transactions!$J:$J,ROW()-8)="","",INDEX(Transactions!$J:$J,ROW()-8))</f>
      </c>
      <c r="B332" s="297">
        <f>IF($A332="",TODAY(),INDEX(Transactions!$G:$G,ROW()-8))</f>
      </c>
      <c r="C332">
        <f>IF($A332="","",INDEX(Transactions!$A:$A,ROW()-8))</f>
      </c>
      <c r="D332" s="30">
        <f>IF($A332="",0,INDEX(Transactions!$H:$H,ROW()-8))</f>
      </c>
      <c r="E332">
        <f>IF($A332="",1,INDEX(Transactions!$N:$N,ROW()-8))</f>
        <v>1</v>
      </c>
      <c r="F332" s="30">
        <f>IF($A332="",0,INDEX(Transactions!$O:$O,ROW()-8))</f>
      </c>
      <c r="G332" s="30">
        <f>IF($A332="",0,INDEX(Transactions!$P:$P,ROW()-8))</f>
      </c>
    </row>
    <row r="333" spans="1:7" ht="15" customHeight="1" x14ac:dyDescent="0.15">
      <c r="A333">
        <f>IF(INDEX(Transactions!$J:$J,ROW()-8)="","",INDEX(Transactions!$J:$J,ROW()-8))</f>
      </c>
      <c r="B333" s="297">
        <f>IF($A333="",TODAY(),INDEX(Transactions!$G:$G,ROW()-8))</f>
      </c>
      <c r="C333">
        <f>IF($A333="","",INDEX(Transactions!$A:$A,ROW()-8))</f>
      </c>
      <c r="D333" s="30">
        <f>IF($A333="",0,INDEX(Transactions!$H:$H,ROW()-8))</f>
      </c>
      <c r="E333">
        <f>IF($A333="",1,INDEX(Transactions!$N:$N,ROW()-8))</f>
        <v>1</v>
      </c>
      <c r="F333" s="30">
        <f>IF($A333="",0,INDEX(Transactions!$O:$O,ROW()-8))</f>
      </c>
      <c r="G333" s="30">
        <f>IF($A333="",0,INDEX(Transactions!$P:$P,ROW()-8))</f>
      </c>
    </row>
    <row r="334" spans="1:7" ht="15" customHeight="1" x14ac:dyDescent="0.15">
      <c r="A334">
        <f>IF(INDEX(Transactions!$J:$J,ROW()-8)="","",INDEX(Transactions!$J:$J,ROW()-8))</f>
      </c>
      <c r="B334" s="297">
        <f>IF($A334="",TODAY(),INDEX(Transactions!$G:$G,ROW()-8))</f>
      </c>
      <c r="C334">
        <f>IF($A334="","",INDEX(Transactions!$A:$A,ROW()-8))</f>
      </c>
      <c r="D334" s="30">
        <f>IF($A334="",0,INDEX(Transactions!$H:$H,ROW()-8))</f>
      </c>
      <c r="E334">
        <f>IF($A334="",1,INDEX(Transactions!$N:$N,ROW()-8))</f>
        <v>1</v>
      </c>
      <c r="F334" s="30">
        <f>IF($A334="",0,INDEX(Transactions!$O:$O,ROW()-8))</f>
      </c>
      <c r="G334" s="30">
        <f>IF($A334="",0,INDEX(Transactions!$P:$P,ROW()-8))</f>
      </c>
    </row>
    <row r="335" spans="1:7" ht="15" customHeight="1" x14ac:dyDescent="0.15">
      <c r="A335">
        <f>IF(INDEX(Transactions!$J:$J,ROW()-8)="","",INDEX(Transactions!$J:$J,ROW()-8))</f>
      </c>
      <c r="B335" s="297">
        <f>IF($A335="",TODAY(),INDEX(Transactions!$G:$G,ROW()-8))</f>
      </c>
      <c r="C335">
        <f>IF($A335="","",INDEX(Transactions!$A:$A,ROW()-8))</f>
      </c>
      <c r="D335" s="30">
        <f>IF($A335="",0,INDEX(Transactions!$H:$H,ROW()-8))</f>
      </c>
      <c r="E335">
        <f>IF($A335="",1,INDEX(Transactions!$N:$N,ROW()-8))</f>
        <v>1</v>
      </c>
      <c r="F335" s="30">
        <f>IF($A335="",0,INDEX(Transactions!$O:$O,ROW()-8))</f>
      </c>
      <c r="G335" s="30">
        <f>IF($A335="",0,INDEX(Transactions!$P:$P,ROW()-8))</f>
      </c>
    </row>
    <row r="336" spans="1:7" ht="15" customHeight="1" x14ac:dyDescent="0.15">
      <c r="A336">
        <f>IF(INDEX(Transactions!$J:$J,ROW()-8)="","",INDEX(Transactions!$J:$J,ROW()-8))</f>
      </c>
      <c r="B336" s="297">
        <f>IF($A336="",TODAY(),INDEX(Transactions!$G:$G,ROW()-8))</f>
      </c>
      <c r="C336">
        <f>IF($A336="","",INDEX(Transactions!$A:$A,ROW()-8))</f>
      </c>
      <c r="D336" s="30">
        <f>IF($A336="",0,INDEX(Transactions!$H:$H,ROW()-8))</f>
      </c>
      <c r="E336">
        <f>IF($A336="",1,INDEX(Transactions!$N:$N,ROW()-8))</f>
        <v>1</v>
      </c>
      <c r="F336" s="30">
        <f>IF($A336="",0,INDEX(Transactions!$O:$O,ROW()-8))</f>
      </c>
      <c r="G336" s="30">
        <f>IF($A336="",0,INDEX(Transactions!$P:$P,ROW()-8))</f>
      </c>
    </row>
    <row r="337" spans="1:7" ht="15" customHeight="1" x14ac:dyDescent="0.15">
      <c r="A337">
        <f>IF(INDEX(Transactions!$J:$J,ROW()-8)="","",INDEX(Transactions!$J:$J,ROW()-8))</f>
      </c>
      <c r="B337" s="297">
        <f>IF($A337="",TODAY(),INDEX(Transactions!$G:$G,ROW()-8))</f>
      </c>
      <c r="C337">
        <f>IF($A337="","",INDEX(Transactions!$A:$A,ROW()-8))</f>
      </c>
      <c r="D337" s="30">
        <f>IF($A337="",0,INDEX(Transactions!$H:$H,ROW()-8))</f>
      </c>
      <c r="E337">
        <f>IF($A337="",1,INDEX(Transactions!$N:$N,ROW()-8))</f>
        <v>1</v>
      </c>
      <c r="F337" s="30">
        <f>IF($A337="",0,INDEX(Transactions!$O:$O,ROW()-8))</f>
      </c>
      <c r="G337" s="30">
        <f>IF($A337="",0,INDEX(Transactions!$P:$P,ROW()-8))</f>
      </c>
    </row>
    <row r="338" spans="1:7" ht="15" customHeight="1" x14ac:dyDescent="0.15">
      <c r="A338">
        <f>IF(INDEX(Transactions!$J:$J,ROW()-8)="","",INDEX(Transactions!$J:$J,ROW()-8))</f>
      </c>
      <c r="B338" s="297">
        <f>IF($A338="",TODAY(),INDEX(Transactions!$G:$G,ROW()-8))</f>
      </c>
      <c r="C338">
        <f>IF($A338="","",INDEX(Transactions!$A:$A,ROW()-8))</f>
      </c>
      <c r="D338" s="30">
        <f>IF($A338="",0,INDEX(Transactions!$H:$H,ROW()-8))</f>
      </c>
      <c r="E338">
        <f>IF($A338="",1,INDEX(Transactions!$N:$N,ROW()-8))</f>
        <v>1</v>
      </c>
      <c r="F338" s="30">
        <f>IF($A338="",0,INDEX(Transactions!$O:$O,ROW()-8))</f>
      </c>
      <c r="G338" s="30">
        <f>IF($A338="",0,INDEX(Transactions!$P:$P,ROW()-8))</f>
      </c>
    </row>
    <row r="339" spans="1:7" ht="15" customHeight="1" x14ac:dyDescent="0.15">
      <c r="A339">
        <f>IF(INDEX(Transactions!$J:$J,ROW()-8)="","",INDEX(Transactions!$J:$J,ROW()-8))</f>
      </c>
      <c r="B339" s="297">
        <f>IF($A339="",TODAY(),INDEX(Transactions!$G:$G,ROW()-8))</f>
      </c>
      <c r="C339">
        <f>IF($A339="","",INDEX(Transactions!$A:$A,ROW()-8))</f>
      </c>
      <c r="D339" s="30">
        <f>IF($A339="",0,INDEX(Transactions!$H:$H,ROW()-8))</f>
      </c>
      <c r="E339">
        <f>IF($A339="",1,INDEX(Transactions!$N:$N,ROW()-8))</f>
        <v>1</v>
      </c>
      <c r="F339" s="30">
        <f>IF($A339="",0,INDEX(Transactions!$O:$O,ROW()-8))</f>
      </c>
      <c r="G339" s="30">
        <f>IF($A339="",0,INDEX(Transactions!$P:$P,ROW()-8))</f>
      </c>
    </row>
    <row r="340" spans="1:7" ht="15" customHeight="1" x14ac:dyDescent="0.15">
      <c r="A340">
        <f>IF(INDEX(Transactions!$J:$J,ROW()-8)="","",INDEX(Transactions!$J:$J,ROW()-8))</f>
      </c>
      <c r="B340" s="297">
        <f>IF($A340="",TODAY(),INDEX(Transactions!$G:$G,ROW()-8))</f>
      </c>
      <c r="C340">
        <f>IF($A340="","",INDEX(Transactions!$A:$A,ROW()-8))</f>
      </c>
      <c r="D340" s="30">
        <f>IF($A340="",0,INDEX(Transactions!$H:$H,ROW()-8))</f>
      </c>
      <c r="E340">
        <f>IF($A340="",1,INDEX(Transactions!$N:$N,ROW()-8))</f>
        <v>1</v>
      </c>
      <c r="F340" s="30">
        <f>IF($A340="",0,INDEX(Transactions!$O:$O,ROW()-8))</f>
      </c>
      <c r="G340" s="30">
        <f>IF($A340="",0,INDEX(Transactions!$P:$P,ROW()-8))</f>
      </c>
    </row>
    <row r="341" spans="1:7" ht="15" customHeight="1" x14ac:dyDescent="0.15">
      <c r="A341">
        <f>IF(INDEX(Transactions!$J:$J,ROW()-8)="","",INDEX(Transactions!$J:$J,ROW()-8))</f>
      </c>
      <c r="B341" s="297">
        <f>IF($A341="",TODAY(),INDEX(Transactions!$G:$G,ROW()-8))</f>
      </c>
      <c r="C341">
        <f>IF($A341="","",INDEX(Transactions!$A:$A,ROW()-8))</f>
      </c>
      <c r="D341" s="30">
        <f>IF($A341="",0,INDEX(Transactions!$H:$H,ROW()-8))</f>
      </c>
      <c r="E341">
        <f>IF($A341="",1,INDEX(Transactions!$N:$N,ROW()-8))</f>
        <v>1</v>
      </c>
      <c r="F341" s="30">
        <f>IF($A341="",0,INDEX(Transactions!$O:$O,ROW()-8))</f>
      </c>
      <c r="G341" s="30">
        <f>IF($A341="",0,INDEX(Transactions!$P:$P,ROW()-8))</f>
      </c>
    </row>
    <row r="342" spans="1:7" ht="15" customHeight="1" x14ac:dyDescent="0.15">
      <c r="A342">
        <f>IF(INDEX(Transactions!$J:$J,ROW()-8)="","",INDEX(Transactions!$J:$J,ROW()-8))</f>
      </c>
      <c r="B342" s="297">
        <f>IF($A342="",TODAY(),INDEX(Transactions!$G:$G,ROW()-8))</f>
      </c>
      <c r="C342">
        <f>IF($A342="","",INDEX(Transactions!$A:$A,ROW()-8))</f>
      </c>
      <c r="D342" s="30">
        <f>IF($A342="",0,INDEX(Transactions!$H:$H,ROW()-8))</f>
      </c>
      <c r="E342">
        <f>IF($A342="",1,INDEX(Transactions!$N:$N,ROW()-8))</f>
        <v>1</v>
      </c>
      <c r="F342" s="30">
        <f>IF($A342="",0,INDEX(Transactions!$O:$O,ROW()-8))</f>
      </c>
      <c r="G342" s="30">
        <f>IF($A342="",0,INDEX(Transactions!$P:$P,ROW()-8))</f>
      </c>
    </row>
    <row r="343" spans="1:7" ht="15" customHeight="1" x14ac:dyDescent="0.15">
      <c r="A343">
        <f>IF(INDEX(Transactions!$J:$J,ROW()-8)="","",INDEX(Transactions!$J:$J,ROW()-8))</f>
      </c>
      <c r="B343" s="297">
        <f>IF($A343="",TODAY(),INDEX(Transactions!$G:$G,ROW()-8))</f>
      </c>
      <c r="C343">
        <f>IF($A343="","",INDEX(Transactions!$A:$A,ROW()-8))</f>
      </c>
      <c r="D343" s="30">
        <f>IF($A343="",0,INDEX(Transactions!$H:$H,ROW()-8))</f>
      </c>
      <c r="E343">
        <f>IF($A343="",1,INDEX(Transactions!$N:$N,ROW()-8))</f>
        <v>1</v>
      </c>
      <c r="F343" s="30">
        <f>IF($A343="",0,INDEX(Transactions!$O:$O,ROW()-8))</f>
      </c>
      <c r="G343" s="30">
        <f>IF($A343="",0,INDEX(Transactions!$P:$P,ROW()-8))</f>
      </c>
    </row>
    <row r="344" spans="1:7" ht="15" customHeight="1" x14ac:dyDescent="0.15">
      <c r="A344">
        <f>IF(INDEX(Transactions!$J:$J,ROW()-8)="","",INDEX(Transactions!$J:$J,ROW()-8))</f>
      </c>
      <c r="B344" s="297">
        <f>IF($A344="",TODAY(),INDEX(Transactions!$G:$G,ROW()-8))</f>
      </c>
      <c r="C344">
        <f>IF($A344="","",INDEX(Transactions!$A:$A,ROW()-8))</f>
      </c>
      <c r="D344" s="30">
        <f>IF($A344="",0,INDEX(Transactions!$H:$H,ROW()-8))</f>
      </c>
      <c r="E344">
        <f>IF($A344="",1,INDEX(Transactions!$N:$N,ROW()-8))</f>
        <v>1</v>
      </c>
      <c r="F344" s="30">
        <f>IF($A344="",0,INDEX(Transactions!$O:$O,ROW()-8))</f>
      </c>
      <c r="G344" s="30">
        <f>IF($A344="",0,INDEX(Transactions!$P:$P,ROW()-8))</f>
      </c>
    </row>
    <row r="345" spans="1:7" ht="15" customHeight="1" x14ac:dyDescent="0.15">
      <c r="A345">
        <f>IF(INDEX(Transactions!$J:$J,ROW()-8)="","",INDEX(Transactions!$J:$J,ROW()-8))</f>
      </c>
      <c r="B345" s="297">
        <f>IF($A345="",TODAY(),INDEX(Transactions!$G:$G,ROW()-8))</f>
      </c>
      <c r="C345">
        <f>IF($A345="","",INDEX(Transactions!$A:$A,ROW()-8))</f>
      </c>
      <c r="D345" s="30">
        <f>IF($A345="",0,INDEX(Transactions!$H:$H,ROW()-8))</f>
      </c>
      <c r="E345">
        <f>IF($A345="",1,INDEX(Transactions!$N:$N,ROW()-8))</f>
        <v>1</v>
      </c>
      <c r="F345" s="30">
        <f>IF($A345="",0,INDEX(Transactions!$O:$O,ROW()-8))</f>
      </c>
      <c r="G345" s="30">
        <f>IF($A345="",0,INDEX(Transactions!$P:$P,ROW()-8))</f>
      </c>
    </row>
    <row r="346" spans="1:7" ht="15" customHeight="1" x14ac:dyDescent="0.15">
      <c r="A346">
        <f>IF(INDEX(Transactions!$J:$J,ROW()-8)="","",INDEX(Transactions!$J:$J,ROW()-8))</f>
      </c>
      <c r="B346" s="297">
        <f>IF($A346="",TODAY(),INDEX(Transactions!$G:$G,ROW()-8))</f>
      </c>
      <c r="C346">
        <f>IF($A346="","",INDEX(Transactions!$A:$A,ROW()-8))</f>
      </c>
      <c r="D346" s="30">
        <f>IF($A346="",0,INDEX(Transactions!$H:$H,ROW()-8))</f>
      </c>
      <c r="E346">
        <f>IF($A346="",1,INDEX(Transactions!$N:$N,ROW()-8))</f>
        <v>1</v>
      </c>
      <c r="F346" s="30">
        <f>IF($A346="",0,INDEX(Transactions!$O:$O,ROW()-8))</f>
      </c>
      <c r="G346" s="30">
        <f>IF($A346="",0,INDEX(Transactions!$P:$P,ROW()-8))</f>
      </c>
    </row>
    <row r="347" spans="1:7" ht="15" customHeight="1" x14ac:dyDescent="0.15">
      <c r="A347">
        <f>IF(INDEX(Transactions!$J:$J,ROW()-8)="","",INDEX(Transactions!$J:$J,ROW()-8))</f>
      </c>
      <c r="B347" s="297">
        <f>IF($A347="",TODAY(),INDEX(Transactions!$G:$G,ROW()-8))</f>
      </c>
      <c r="C347">
        <f>IF($A347="","",INDEX(Transactions!$A:$A,ROW()-8))</f>
      </c>
      <c r="D347" s="30">
        <f>IF($A347="",0,INDEX(Transactions!$H:$H,ROW()-8))</f>
      </c>
      <c r="E347">
        <f>IF($A347="",1,INDEX(Transactions!$N:$N,ROW()-8))</f>
        <v>1</v>
      </c>
      <c r="F347" s="30">
        <f>IF($A347="",0,INDEX(Transactions!$O:$O,ROW()-8))</f>
      </c>
      <c r="G347" s="30">
        <f>IF($A347="",0,INDEX(Transactions!$P:$P,ROW()-8))</f>
      </c>
    </row>
    <row r="348" spans="1:7" ht="15" customHeight="1" x14ac:dyDescent="0.15">
      <c r="A348">
        <f>IF(INDEX(Transactions!$J:$J,ROW()-8)="","",INDEX(Transactions!$J:$J,ROW()-8))</f>
      </c>
      <c r="B348" s="297">
        <f>IF($A348="",TODAY(),INDEX(Transactions!$G:$G,ROW()-8))</f>
      </c>
      <c r="C348">
        <f>IF($A348="","",INDEX(Transactions!$A:$A,ROW()-8))</f>
      </c>
      <c r="D348" s="30">
        <f>IF($A348="",0,INDEX(Transactions!$H:$H,ROW()-8))</f>
      </c>
      <c r="E348">
        <f>IF($A348="",1,INDEX(Transactions!$N:$N,ROW()-8))</f>
        <v>1</v>
      </c>
      <c r="F348" s="30">
        <f>IF($A348="",0,INDEX(Transactions!$O:$O,ROW()-8))</f>
      </c>
      <c r="G348" s="30">
        <f>IF($A348="",0,INDEX(Transactions!$P:$P,ROW()-8))</f>
      </c>
    </row>
    <row r="349" spans="1:7" ht="15" customHeight="1" x14ac:dyDescent="0.15">
      <c r="A349">
        <f>IF(INDEX(Transactions!$J:$J,ROW()-8)="","",INDEX(Transactions!$J:$J,ROW()-8))</f>
      </c>
      <c r="B349" s="297">
        <f>IF($A349="",TODAY(),INDEX(Transactions!$G:$G,ROW()-8))</f>
      </c>
      <c r="C349">
        <f>IF($A349="","",INDEX(Transactions!$A:$A,ROW()-8))</f>
      </c>
      <c r="D349" s="30">
        <f>IF($A349="",0,INDEX(Transactions!$H:$H,ROW()-8))</f>
      </c>
      <c r="E349">
        <f>IF($A349="",1,INDEX(Transactions!$N:$N,ROW()-8))</f>
        <v>1</v>
      </c>
      <c r="F349" s="30">
        <f>IF($A349="",0,INDEX(Transactions!$O:$O,ROW()-8))</f>
      </c>
      <c r="G349" s="30">
        <f>IF($A349="",0,INDEX(Transactions!$P:$P,ROW()-8))</f>
      </c>
    </row>
    <row r="350" spans="1:7" ht="15" customHeight="1" x14ac:dyDescent="0.15">
      <c r="A350">
        <f>IF(INDEX(Transactions!$J:$J,ROW()-8)="","",INDEX(Transactions!$J:$J,ROW()-8))</f>
      </c>
      <c r="B350" s="297">
        <f>IF($A350="",TODAY(),INDEX(Transactions!$G:$G,ROW()-8))</f>
      </c>
      <c r="C350">
        <f>IF($A350="","",INDEX(Transactions!$A:$A,ROW()-8))</f>
      </c>
      <c r="D350" s="30">
        <f>IF($A350="",0,INDEX(Transactions!$H:$H,ROW()-8))</f>
      </c>
      <c r="E350">
        <f>IF($A350="",1,INDEX(Transactions!$N:$N,ROW()-8))</f>
        <v>1</v>
      </c>
      <c r="F350" s="30">
        <f>IF($A350="",0,INDEX(Transactions!$O:$O,ROW()-8))</f>
      </c>
      <c r="G350" s="30">
        <f>IF($A350="",0,INDEX(Transactions!$P:$P,ROW()-8))</f>
      </c>
    </row>
    <row r="351" spans="1:7" ht="15" customHeight="1" x14ac:dyDescent="0.15">
      <c r="A351">
        <f>IF(INDEX(Transactions!$J:$J,ROW()-8)="","",INDEX(Transactions!$J:$J,ROW()-8))</f>
      </c>
      <c r="B351" s="297">
        <f>IF($A351="",TODAY(),INDEX(Transactions!$G:$G,ROW()-8))</f>
      </c>
      <c r="C351">
        <f>IF($A351="","",INDEX(Transactions!$A:$A,ROW()-8))</f>
      </c>
      <c r="D351" s="30">
        <f>IF($A351="",0,INDEX(Transactions!$H:$H,ROW()-8))</f>
      </c>
      <c r="E351">
        <f>IF($A351="",1,INDEX(Transactions!$N:$N,ROW()-8))</f>
        <v>1</v>
      </c>
      <c r="F351" s="30">
        <f>IF($A351="",0,INDEX(Transactions!$O:$O,ROW()-8))</f>
      </c>
      <c r="G351" s="30">
        <f>IF($A351="",0,INDEX(Transactions!$P:$P,ROW()-8))</f>
      </c>
    </row>
    <row r="352" spans="1:7" ht="15" customHeight="1" x14ac:dyDescent="0.15">
      <c r="A352">
        <f>IF(INDEX(Transactions!$J:$J,ROW()-8)="","",INDEX(Transactions!$J:$J,ROW()-8))</f>
      </c>
      <c r="B352" s="297">
        <f>IF($A352="",TODAY(),INDEX(Transactions!$G:$G,ROW()-8))</f>
      </c>
      <c r="C352">
        <f>IF($A352="","",INDEX(Transactions!$A:$A,ROW()-8))</f>
      </c>
      <c r="D352" s="30">
        <f>IF($A352="",0,INDEX(Transactions!$H:$H,ROW()-8))</f>
      </c>
      <c r="E352">
        <f>IF($A352="",1,INDEX(Transactions!$N:$N,ROW()-8))</f>
        <v>1</v>
      </c>
      <c r="F352" s="30">
        <f>IF($A352="",0,INDEX(Transactions!$O:$O,ROW()-8))</f>
      </c>
      <c r="G352" s="30">
        <f>IF($A352="",0,INDEX(Transactions!$P:$P,ROW()-8))</f>
      </c>
    </row>
    <row r="353" spans="1:7" ht="15" customHeight="1" x14ac:dyDescent="0.15">
      <c r="A353">
        <f>IF(INDEX(Transactions!$J:$J,ROW()-8)="","",INDEX(Transactions!$J:$J,ROW()-8))</f>
      </c>
      <c r="B353" s="297">
        <f>IF($A353="",TODAY(),INDEX(Transactions!$G:$G,ROW()-8))</f>
      </c>
      <c r="C353">
        <f>IF($A353="","",INDEX(Transactions!$A:$A,ROW()-8))</f>
      </c>
      <c r="D353" s="30">
        <f>IF($A353="",0,INDEX(Transactions!$H:$H,ROW()-8))</f>
      </c>
      <c r="E353">
        <f>IF($A353="",1,INDEX(Transactions!$N:$N,ROW()-8))</f>
        <v>1</v>
      </c>
      <c r="F353" s="30">
        <f>IF($A353="",0,INDEX(Transactions!$O:$O,ROW()-8))</f>
      </c>
      <c r="G353" s="30">
        <f>IF($A353="",0,INDEX(Transactions!$P:$P,ROW()-8))</f>
      </c>
    </row>
    <row r="354" spans="1:7" ht="15" customHeight="1" x14ac:dyDescent="0.15">
      <c r="A354">
        <f>IF(INDEX(Transactions!$J:$J,ROW()-8)="","",INDEX(Transactions!$J:$J,ROW()-8))</f>
      </c>
      <c r="B354" s="297">
        <f>IF($A354="",TODAY(),INDEX(Transactions!$G:$G,ROW()-8))</f>
      </c>
      <c r="C354">
        <f>IF($A354="","",INDEX(Transactions!$A:$A,ROW()-8))</f>
      </c>
      <c r="D354" s="30">
        <f>IF($A354="",0,INDEX(Transactions!$H:$H,ROW()-8))</f>
      </c>
      <c r="E354">
        <f>IF($A354="",1,INDEX(Transactions!$N:$N,ROW()-8))</f>
        <v>1</v>
      </c>
      <c r="F354" s="30">
        <f>IF($A354="",0,INDEX(Transactions!$O:$O,ROW()-8))</f>
      </c>
      <c r="G354" s="30">
        <f>IF($A354="",0,INDEX(Transactions!$P:$P,ROW()-8))</f>
      </c>
    </row>
    <row r="355" spans="1:7" ht="15" customHeight="1" x14ac:dyDescent="0.15">
      <c r="A355">
        <f>IF(INDEX(Transactions!$J:$J,ROW()-8)="","",INDEX(Transactions!$J:$J,ROW()-8))</f>
      </c>
      <c r="B355" s="297">
        <f>IF($A355="",TODAY(),INDEX(Transactions!$G:$G,ROW()-8))</f>
      </c>
      <c r="C355">
        <f>IF($A355="","",INDEX(Transactions!$A:$A,ROW()-8))</f>
      </c>
      <c r="D355" s="30">
        <f>IF($A355="",0,INDEX(Transactions!$H:$H,ROW()-8))</f>
      </c>
      <c r="E355">
        <f>IF($A355="",1,INDEX(Transactions!$N:$N,ROW()-8))</f>
        <v>1</v>
      </c>
      <c r="F355" s="30">
        <f>IF($A355="",0,INDEX(Transactions!$O:$O,ROW()-8))</f>
      </c>
      <c r="G355" s="30">
        <f>IF($A355="",0,INDEX(Transactions!$P:$P,ROW()-8))</f>
      </c>
    </row>
    <row r="356" spans="1:7" ht="15" customHeight="1" x14ac:dyDescent="0.15">
      <c r="A356">
        <f>IF(INDEX(Transactions!$J:$J,ROW()-8)="","",INDEX(Transactions!$J:$J,ROW()-8))</f>
      </c>
      <c r="B356" s="297">
        <f>IF($A356="",TODAY(),INDEX(Transactions!$G:$G,ROW()-8))</f>
      </c>
      <c r="C356">
        <f>IF($A356="","",INDEX(Transactions!$A:$A,ROW()-8))</f>
      </c>
      <c r="D356" s="30">
        <f>IF($A356="",0,INDEX(Transactions!$H:$H,ROW()-8))</f>
      </c>
      <c r="E356">
        <f>IF($A356="",1,INDEX(Transactions!$N:$N,ROW()-8))</f>
        <v>1</v>
      </c>
      <c r="F356" s="30">
        <f>IF($A356="",0,INDEX(Transactions!$O:$O,ROW()-8))</f>
      </c>
      <c r="G356" s="30">
        <f>IF($A356="",0,INDEX(Transactions!$P:$P,ROW()-8))</f>
      </c>
    </row>
    <row r="357" spans="1:7" ht="15" customHeight="1" x14ac:dyDescent="0.15">
      <c r="A357">
        <f>IF(INDEX(Transactions!$J:$J,ROW()-8)="","",INDEX(Transactions!$J:$J,ROW()-8))</f>
      </c>
      <c r="B357" s="297">
        <f>IF($A357="",TODAY(),INDEX(Transactions!$G:$G,ROW()-8))</f>
      </c>
      <c r="C357">
        <f>IF($A357="","",INDEX(Transactions!$A:$A,ROW()-8))</f>
      </c>
      <c r="D357" s="30">
        <f>IF($A357="",0,INDEX(Transactions!$H:$H,ROW()-8))</f>
      </c>
      <c r="E357">
        <f>IF($A357="",1,INDEX(Transactions!$N:$N,ROW()-8))</f>
        <v>1</v>
      </c>
      <c r="F357" s="30">
        <f>IF($A357="",0,INDEX(Transactions!$O:$O,ROW()-8))</f>
      </c>
      <c r="G357" s="30">
        <f>IF($A357="",0,INDEX(Transactions!$P:$P,ROW()-8))</f>
      </c>
    </row>
    <row r="358" spans="1:7" ht="15" customHeight="1" x14ac:dyDescent="0.15">
      <c r="A358">
        <f>IF(INDEX(Transactions!$J:$J,ROW()-8)="","",INDEX(Transactions!$J:$J,ROW()-8))</f>
      </c>
      <c r="B358" s="297">
        <f>IF($A358="",TODAY(),INDEX(Transactions!$G:$G,ROW()-8))</f>
      </c>
      <c r="C358">
        <f>IF($A358="","",INDEX(Transactions!$A:$A,ROW()-8))</f>
      </c>
      <c r="D358" s="30">
        <f>IF($A358="",0,INDEX(Transactions!$H:$H,ROW()-8))</f>
      </c>
      <c r="E358">
        <f>IF($A358="",1,INDEX(Transactions!$N:$N,ROW()-8))</f>
        <v>1</v>
      </c>
      <c r="F358" s="30">
        <f>IF($A358="",0,INDEX(Transactions!$O:$O,ROW()-8))</f>
      </c>
      <c r="G358" s="30">
        <f>IF($A358="",0,INDEX(Transactions!$P:$P,ROW()-8))</f>
      </c>
    </row>
    <row r="359" spans="1:7" ht="15" customHeight="1" x14ac:dyDescent="0.15">
      <c r="A359">
        <f>IF(INDEX(Transactions!$J:$J,ROW()-8)="","",INDEX(Transactions!$J:$J,ROW()-8))</f>
      </c>
      <c r="B359" s="297">
        <f>IF($A359="",TODAY(),INDEX(Transactions!$G:$G,ROW()-8))</f>
      </c>
      <c r="C359">
        <f>IF($A359="","",INDEX(Transactions!$A:$A,ROW()-8))</f>
      </c>
      <c r="D359" s="30">
        <f>IF($A359="",0,INDEX(Transactions!$H:$H,ROW()-8))</f>
      </c>
      <c r="E359">
        <f>IF($A359="",1,INDEX(Transactions!$N:$N,ROW()-8))</f>
        <v>1</v>
      </c>
      <c r="F359" s="30">
        <f>IF($A359="",0,INDEX(Transactions!$O:$O,ROW()-8))</f>
      </c>
      <c r="G359" s="30">
        <f>IF($A359="",0,INDEX(Transactions!$P:$P,ROW()-8))</f>
      </c>
    </row>
    <row r="360" spans="1:7" ht="15" customHeight="1" x14ac:dyDescent="0.15">
      <c r="A360">
        <f>IF(INDEX(Transactions!$J:$J,ROW()-8)="","",INDEX(Transactions!$J:$J,ROW()-8))</f>
      </c>
      <c r="B360" s="297">
        <f>IF($A360="",TODAY(),INDEX(Transactions!$G:$G,ROW()-8))</f>
      </c>
      <c r="C360">
        <f>IF($A360="","",INDEX(Transactions!$A:$A,ROW()-8))</f>
      </c>
      <c r="D360" s="30">
        <f>IF($A360="",0,INDEX(Transactions!$H:$H,ROW()-8))</f>
      </c>
      <c r="E360">
        <f>IF($A360="",1,INDEX(Transactions!$N:$N,ROW()-8))</f>
        <v>1</v>
      </c>
      <c r="F360" s="30">
        <f>IF($A360="",0,INDEX(Transactions!$O:$O,ROW()-8))</f>
      </c>
      <c r="G360" s="30">
        <f>IF($A360="",0,INDEX(Transactions!$P:$P,ROW()-8))</f>
      </c>
    </row>
    <row r="361" spans="1:7" ht="15" customHeight="1" x14ac:dyDescent="0.15">
      <c r="A361">
        <f>IF(INDEX(Transactions!$J:$J,ROW()-8)="","",INDEX(Transactions!$J:$J,ROW()-8))</f>
      </c>
      <c r="B361" s="297">
        <f>IF($A361="",TODAY(),INDEX(Transactions!$G:$G,ROW()-8))</f>
      </c>
      <c r="C361">
        <f>IF($A361="","",INDEX(Transactions!$A:$A,ROW()-8))</f>
      </c>
      <c r="D361" s="30">
        <f>IF($A361="",0,INDEX(Transactions!$H:$H,ROW()-8))</f>
      </c>
      <c r="E361">
        <f>IF($A361="",1,INDEX(Transactions!$N:$N,ROW()-8))</f>
        <v>1</v>
      </c>
      <c r="F361" s="30">
        <f>IF($A361="",0,INDEX(Transactions!$O:$O,ROW()-8))</f>
      </c>
      <c r="G361" s="30">
        <f>IF($A361="",0,INDEX(Transactions!$P:$P,ROW()-8))</f>
      </c>
    </row>
    <row r="362" spans="1:7" ht="15" customHeight="1" x14ac:dyDescent="0.15">
      <c r="A362">
        <f>IF(INDEX(Transactions!$J:$J,ROW()-8)="","",INDEX(Transactions!$J:$J,ROW()-8))</f>
      </c>
      <c r="B362" s="297">
        <f>IF($A362="",TODAY(),INDEX(Transactions!$G:$G,ROW()-8))</f>
      </c>
      <c r="C362">
        <f>IF($A362="","",INDEX(Transactions!$A:$A,ROW()-8))</f>
      </c>
      <c r="D362" s="30">
        <f>IF($A362="",0,INDEX(Transactions!$H:$H,ROW()-8))</f>
      </c>
      <c r="E362">
        <f>IF($A362="",1,INDEX(Transactions!$N:$N,ROW()-8))</f>
        <v>1</v>
      </c>
      <c r="F362" s="30">
        <f>IF($A362="",0,INDEX(Transactions!$O:$O,ROW()-8))</f>
      </c>
      <c r="G362" s="30">
        <f>IF($A362="",0,INDEX(Transactions!$P:$P,ROW()-8))</f>
      </c>
    </row>
    <row r="363" spans="1:7" ht="15" customHeight="1" x14ac:dyDescent="0.15">
      <c r="A363">
        <f>IF(INDEX(Transactions!$J:$J,ROW()-8)="","",INDEX(Transactions!$J:$J,ROW()-8))</f>
      </c>
      <c r="B363" s="297">
        <f>IF($A363="",TODAY(),INDEX(Transactions!$G:$G,ROW()-8))</f>
      </c>
      <c r="C363">
        <f>IF($A363="","",INDEX(Transactions!$A:$A,ROW()-8))</f>
      </c>
      <c r="D363" s="30">
        <f>IF($A363="",0,INDEX(Transactions!$H:$H,ROW()-8))</f>
      </c>
      <c r="E363">
        <f>IF($A363="",1,INDEX(Transactions!$N:$N,ROW()-8))</f>
        <v>1</v>
      </c>
      <c r="F363" s="30">
        <f>IF($A363="",0,INDEX(Transactions!$O:$O,ROW()-8))</f>
      </c>
      <c r="G363" s="30">
        <f>IF($A363="",0,INDEX(Transactions!$P:$P,ROW()-8))</f>
      </c>
    </row>
    <row r="364" spans="1:7" ht="15" customHeight="1" x14ac:dyDescent="0.15">
      <c r="A364">
        <f>IF(INDEX(Transactions!$J:$J,ROW()-8)="","",INDEX(Transactions!$J:$J,ROW()-8))</f>
      </c>
      <c r="B364" s="297">
        <f>IF($A364="",TODAY(),INDEX(Transactions!$G:$G,ROW()-8))</f>
      </c>
      <c r="C364">
        <f>IF($A364="","",INDEX(Transactions!$A:$A,ROW()-8))</f>
      </c>
      <c r="D364" s="30">
        <f>IF($A364="",0,INDEX(Transactions!$H:$H,ROW()-8))</f>
      </c>
      <c r="E364">
        <f>IF($A364="",1,INDEX(Transactions!$N:$N,ROW()-8))</f>
        <v>1</v>
      </c>
      <c r="F364" s="30">
        <f>IF($A364="",0,INDEX(Transactions!$O:$O,ROW()-8))</f>
      </c>
      <c r="G364" s="30">
        <f>IF($A364="",0,INDEX(Transactions!$P:$P,ROW()-8))</f>
      </c>
    </row>
    <row r="365" spans="1:7" ht="15" customHeight="1" x14ac:dyDescent="0.15">
      <c r="A365">
        <f>IF(INDEX(Transactions!$J:$J,ROW()-8)="","",INDEX(Transactions!$J:$J,ROW()-8))</f>
      </c>
      <c r="B365" s="297">
        <f>IF($A365="",TODAY(),INDEX(Transactions!$G:$G,ROW()-8))</f>
      </c>
      <c r="C365">
        <f>IF($A365="","",INDEX(Transactions!$A:$A,ROW()-8))</f>
      </c>
      <c r="D365" s="30">
        <f>IF($A365="",0,INDEX(Transactions!$H:$H,ROW()-8))</f>
      </c>
      <c r="E365">
        <f>IF($A365="",1,INDEX(Transactions!$N:$N,ROW()-8))</f>
        <v>1</v>
      </c>
      <c r="F365" s="30">
        <f>IF($A365="",0,INDEX(Transactions!$O:$O,ROW()-8))</f>
      </c>
      <c r="G365" s="30">
        <f>IF($A365="",0,INDEX(Transactions!$P:$P,ROW()-8))</f>
      </c>
    </row>
    <row r="366" spans="1:7" ht="15" customHeight="1" x14ac:dyDescent="0.15">
      <c r="A366">
        <f>IF(INDEX(Transactions!$J:$J,ROW()-8)="","",INDEX(Transactions!$J:$J,ROW()-8))</f>
      </c>
      <c r="B366" s="297">
        <f>IF($A366="",TODAY(),INDEX(Transactions!$G:$G,ROW()-8))</f>
      </c>
      <c r="C366">
        <f>IF($A366="","",INDEX(Transactions!$A:$A,ROW()-8))</f>
      </c>
      <c r="D366" s="30">
        <f>IF($A366="",0,INDEX(Transactions!$H:$H,ROW()-8))</f>
      </c>
      <c r="E366">
        <f>IF($A366="",1,INDEX(Transactions!$N:$N,ROW()-8))</f>
        <v>1</v>
      </c>
      <c r="F366" s="30">
        <f>IF($A366="",0,INDEX(Transactions!$O:$O,ROW()-8))</f>
      </c>
      <c r="G366" s="30">
        <f>IF($A366="",0,INDEX(Transactions!$P:$P,ROW()-8))</f>
      </c>
    </row>
    <row r="367" spans="1:7" ht="15" customHeight="1" x14ac:dyDescent="0.15">
      <c r="A367">
        <f>IF(INDEX(Transactions!$J:$J,ROW()-8)="","",INDEX(Transactions!$J:$J,ROW()-8))</f>
      </c>
      <c r="B367" s="297">
        <f>IF($A367="",TODAY(),INDEX(Transactions!$G:$G,ROW()-8))</f>
      </c>
      <c r="C367">
        <f>IF($A367="","",INDEX(Transactions!$A:$A,ROW()-8))</f>
      </c>
      <c r="D367" s="30">
        <f>IF($A367="",0,INDEX(Transactions!$H:$H,ROW()-8))</f>
      </c>
      <c r="E367">
        <f>IF($A367="",1,INDEX(Transactions!$N:$N,ROW()-8))</f>
        <v>1</v>
      </c>
      <c r="F367" s="30">
        <f>IF($A367="",0,INDEX(Transactions!$O:$O,ROW()-8))</f>
      </c>
      <c r="G367" s="30">
        <f>IF($A367="",0,INDEX(Transactions!$P:$P,ROW()-8))</f>
      </c>
    </row>
    <row r="368" spans="1:7" ht="15" customHeight="1" x14ac:dyDescent="0.15">
      <c r="A368">
        <f>IF(INDEX(Transactions!$J:$J,ROW()-8)="","",INDEX(Transactions!$J:$J,ROW()-8))</f>
      </c>
      <c r="B368" s="297">
        <f>IF($A368="",TODAY(),INDEX(Transactions!$G:$G,ROW()-8))</f>
      </c>
      <c r="C368">
        <f>IF($A368="","",INDEX(Transactions!$A:$A,ROW()-8))</f>
      </c>
      <c r="D368" s="30">
        <f>IF($A368="",0,INDEX(Transactions!$H:$H,ROW()-8))</f>
      </c>
      <c r="E368">
        <f>IF($A368="",1,INDEX(Transactions!$N:$N,ROW()-8))</f>
        <v>1</v>
      </c>
      <c r="F368" s="30">
        <f>IF($A368="",0,INDEX(Transactions!$O:$O,ROW()-8))</f>
      </c>
      <c r="G368" s="30">
        <f>IF($A368="",0,INDEX(Transactions!$P:$P,ROW()-8))</f>
      </c>
    </row>
    <row r="369" spans="1:7" ht="15" customHeight="1" x14ac:dyDescent="0.15">
      <c r="A369">
        <f>IF(INDEX(Transactions!$J:$J,ROW()-8)="","",INDEX(Transactions!$J:$J,ROW()-8))</f>
      </c>
      <c r="B369" s="297">
        <f>IF($A369="",TODAY(),INDEX(Transactions!$G:$G,ROW()-8))</f>
      </c>
      <c r="C369">
        <f>IF($A369="","",INDEX(Transactions!$A:$A,ROW()-8))</f>
      </c>
      <c r="D369" s="30">
        <f>IF($A369="",0,INDEX(Transactions!$H:$H,ROW()-8))</f>
      </c>
      <c r="E369">
        <f>IF($A369="",1,INDEX(Transactions!$N:$N,ROW()-8))</f>
        <v>1</v>
      </c>
      <c r="F369" s="30">
        <f>IF($A369="",0,INDEX(Transactions!$O:$O,ROW()-8))</f>
      </c>
      <c r="G369" s="30">
        <f>IF($A369="",0,INDEX(Transactions!$P:$P,ROW()-8))</f>
      </c>
    </row>
    <row r="370" spans="1:7" ht="15" customHeight="1" x14ac:dyDescent="0.15">
      <c r="A370">
        <f>IF(INDEX(Transactions!$J:$J,ROW()-8)="","",INDEX(Transactions!$J:$J,ROW()-8))</f>
      </c>
      <c r="B370" s="297">
        <f>IF($A370="",TODAY(),INDEX(Transactions!$G:$G,ROW()-8))</f>
      </c>
      <c r="C370">
        <f>IF($A370="","",INDEX(Transactions!$A:$A,ROW()-8))</f>
      </c>
      <c r="D370" s="30">
        <f>IF($A370="",0,INDEX(Transactions!$H:$H,ROW()-8))</f>
      </c>
      <c r="E370">
        <f>IF($A370="",1,INDEX(Transactions!$N:$N,ROW()-8))</f>
        <v>1</v>
      </c>
      <c r="F370" s="30">
        <f>IF($A370="",0,INDEX(Transactions!$O:$O,ROW()-8))</f>
      </c>
      <c r="G370" s="30">
        <f>IF($A370="",0,INDEX(Transactions!$P:$P,ROW()-8))</f>
      </c>
    </row>
    <row r="371" spans="1:7" ht="15" customHeight="1" x14ac:dyDescent="0.15">
      <c r="A371">
        <f>IF(INDEX(Transactions!$J:$J,ROW()-8)="","",INDEX(Transactions!$J:$J,ROW()-8))</f>
      </c>
      <c r="B371" s="297">
        <f>IF($A371="",TODAY(),INDEX(Transactions!$G:$G,ROW()-8))</f>
      </c>
      <c r="C371">
        <f>IF($A371="","",INDEX(Transactions!$A:$A,ROW()-8))</f>
      </c>
      <c r="D371" s="30">
        <f>IF($A371="",0,INDEX(Transactions!$H:$H,ROW()-8))</f>
      </c>
      <c r="E371">
        <f>IF($A371="",1,INDEX(Transactions!$N:$N,ROW()-8))</f>
        <v>1</v>
      </c>
      <c r="F371" s="30">
        <f>IF($A371="",0,INDEX(Transactions!$O:$O,ROW()-8))</f>
      </c>
      <c r="G371" s="30">
        <f>IF($A371="",0,INDEX(Transactions!$P:$P,ROW()-8))</f>
      </c>
    </row>
    <row r="372" spans="1:7" ht="15" customHeight="1" x14ac:dyDescent="0.15">
      <c r="A372">
        <f>IF(INDEX(Transactions!$J:$J,ROW()-8)="","",INDEX(Transactions!$J:$J,ROW()-8))</f>
      </c>
      <c r="B372" s="297">
        <f>IF($A372="",TODAY(),INDEX(Transactions!$G:$G,ROW()-8))</f>
      </c>
      <c r="C372">
        <f>IF($A372="","",INDEX(Transactions!$A:$A,ROW()-8))</f>
      </c>
      <c r="D372" s="30">
        <f>IF($A372="",0,INDEX(Transactions!$H:$H,ROW()-8))</f>
      </c>
      <c r="E372">
        <f>IF($A372="",1,INDEX(Transactions!$N:$N,ROW()-8))</f>
        <v>1</v>
      </c>
      <c r="F372" s="30">
        <f>IF($A372="",0,INDEX(Transactions!$O:$O,ROW()-8))</f>
      </c>
      <c r="G372" s="30">
        <f>IF($A372="",0,INDEX(Transactions!$P:$P,ROW()-8))</f>
      </c>
    </row>
    <row r="373" spans="1:7" ht="15" customHeight="1" x14ac:dyDescent="0.15">
      <c r="A373">
        <f>IF(INDEX(Transactions!$J:$J,ROW()-8)="","",INDEX(Transactions!$J:$J,ROW()-8))</f>
      </c>
      <c r="B373" s="297">
        <f>IF($A373="",TODAY(),INDEX(Transactions!$G:$G,ROW()-8))</f>
      </c>
      <c r="C373">
        <f>IF($A373="","",INDEX(Transactions!$A:$A,ROW()-8))</f>
      </c>
      <c r="D373" s="30">
        <f>IF($A373="",0,INDEX(Transactions!$H:$H,ROW()-8))</f>
      </c>
      <c r="E373">
        <f>IF($A373="",1,INDEX(Transactions!$N:$N,ROW()-8))</f>
        <v>1</v>
      </c>
      <c r="F373" s="30">
        <f>IF($A373="",0,INDEX(Transactions!$O:$O,ROW()-8))</f>
      </c>
      <c r="G373" s="30">
        <f>IF($A373="",0,INDEX(Transactions!$P:$P,ROW()-8))</f>
      </c>
    </row>
    <row r="374" spans="1:7" ht="15" customHeight="1" x14ac:dyDescent="0.15">
      <c r="A374">
        <f>IF(INDEX(Transactions!$J:$J,ROW()-8)="","",INDEX(Transactions!$J:$J,ROW()-8))</f>
      </c>
      <c r="B374" s="297">
        <f>IF($A374="",TODAY(),INDEX(Transactions!$G:$G,ROW()-8))</f>
      </c>
      <c r="C374">
        <f>IF($A374="","",INDEX(Transactions!$A:$A,ROW()-8))</f>
      </c>
      <c r="D374" s="30">
        <f>IF($A374="",0,INDEX(Transactions!$H:$H,ROW()-8))</f>
      </c>
      <c r="E374">
        <f>IF($A374="",1,INDEX(Transactions!$N:$N,ROW()-8))</f>
        <v>1</v>
      </c>
      <c r="F374" s="30">
        <f>IF($A374="",0,INDEX(Transactions!$O:$O,ROW()-8))</f>
      </c>
      <c r="G374" s="30">
        <f>IF($A374="",0,INDEX(Transactions!$P:$P,ROW()-8))</f>
      </c>
    </row>
    <row r="375" spans="1:7" ht="15" customHeight="1" x14ac:dyDescent="0.15">
      <c r="A375">
        <f>IF(INDEX(Transactions!$J:$J,ROW()-8)="","",INDEX(Transactions!$J:$J,ROW()-8))</f>
      </c>
      <c r="B375" s="297">
        <f>IF($A375="",TODAY(),INDEX(Transactions!$G:$G,ROW()-8))</f>
      </c>
      <c r="C375">
        <f>IF($A375="","",INDEX(Transactions!$A:$A,ROW()-8))</f>
      </c>
      <c r="D375" s="30">
        <f>IF($A375="",0,INDEX(Transactions!$H:$H,ROW()-8))</f>
      </c>
      <c r="E375">
        <f>IF($A375="",1,INDEX(Transactions!$N:$N,ROW()-8))</f>
        <v>1</v>
      </c>
      <c r="F375" s="30">
        <f>IF($A375="",0,INDEX(Transactions!$O:$O,ROW()-8))</f>
      </c>
      <c r="G375" s="30">
        <f>IF($A375="",0,INDEX(Transactions!$P:$P,ROW()-8))</f>
      </c>
    </row>
    <row r="376" spans="1:7" ht="15" customHeight="1" x14ac:dyDescent="0.15">
      <c r="A376">
        <f>IF(INDEX(Transactions!$J:$J,ROW()-8)="","",INDEX(Transactions!$J:$J,ROW()-8))</f>
      </c>
      <c r="B376" s="297">
        <f>IF($A376="",TODAY(),INDEX(Transactions!$G:$G,ROW()-8))</f>
      </c>
      <c r="C376">
        <f>IF($A376="","",INDEX(Transactions!$A:$A,ROW()-8))</f>
      </c>
      <c r="D376" s="30">
        <f>IF($A376="",0,INDEX(Transactions!$H:$H,ROW()-8))</f>
      </c>
      <c r="E376">
        <f>IF($A376="",1,INDEX(Transactions!$N:$N,ROW()-8))</f>
        <v>1</v>
      </c>
      <c r="F376" s="30">
        <f>IF($A376="",0,INDEX(Transactions!$O:$O,ROW()-8))</f>
      </c>
      <c r="G376" s="30">
        <f>IF($A376="",0,INDEX(Transactions!$P:$P,ROW()-8))</f>
      </c>
    </row>
    <row r="377" spans="1:7" ht="15" customHeight="1" x14ac:dyDescent="0.15">
      <c r="A377">
        <f>IF(INDEX(Transactions!$J:$J,ROW()-8)="","",INDEX(Transactions!$J:$J,ROW()-8))</f>
      </c>
      <c r="B377" s="297">
        <f>IF($A377="",TODAY(),INDEX(Transactions!$G:$G,ROW()-8))</f>
      </c>
      <c r="C377">
        <f>IF($A377="","",INDEX(Transactions!$A:$A,ROW()-8))</f>
      </c>
      <c r="D377" s="30">
        <f>IF($A377="",0,INDEX(Transactions!$H:$H,ROW()-8))</f>
      </c>
      <c r="E377">
        <f>IF($A377="",1,INDEX(Transactions!$N:$N,ROW()-8))</f>
        <v>1</v>
      </c>
      <c r="F377" s="30">
        <f>IF($A377="",0,INDEX(Transactions!$O:$O,ROW()-8))</f>
      </c>
      <c r="G377" s="30">
        <f>IF($A377="",0,INDEX(Transactions!$P:$P,ROW()-8))</f>
      </c>
    </row>
    <row r="378" spans="1:7" ht="15" customHeight="1" x14ac:dyDescent="0.15">
      <c r="A378">
        <f>IF(INDEX(Transactions!$J:$J,ROW()-8)="","",INDEX(Transactions!$J:$J,ROW()-8))</f>
      </c>
      <c r="B378" s="297">
        <f>IF($A378="",TODAY(),INDEX(Transactions!$G:$G,ROW()-8))</f>
      </c>
      <c r="C378">
        <f>IF($A378="","",INDEX(Transactions!$A:$A,ROW()-8))</f>
      </c>
      <c r="D378" s="30">
        <f>IF($A378="",0,INDEX(Transactions!$H:$H,ROW()-8))</f>
      </c>
      <c r="E378">
        <f>IF($A378="",1,INDEX(Transactions!$N:$N,ROW()-8))</f>
        <v>1</v>
      </c>
      <c r="F378" s="30">
        <f>IF($A378="",0,INDEX(Transactions!$O:$O,ROW()-8))</f>
      </c>
      <c r="G378" s="30">
        <f>IF($A378="",0,INDEX(Transactions!$P:$P,ROW()-8))</f>
      </c>
    </row>
    <row r="379" spans="1:7" ht="15" customHeight="1" x14ac:dyDescent="0.15">
      <c r="A379">
        <f>IF(INDEX(Transactions!$J:$J,ROW()-8)="","",INDEX(Transactions!$J:$J,ROW()-8))</f>
      </c>
      <c r="B379" s="297">
        <f>IF($A379="",TODAY(),INDEX(Transactions!$G:$G,ROW()-8))</f>
      </c>
      <c r="C379">
        <f>IF($A379="","",INDEX(Transactions!$A:$A,ROW()-8))</f>
      </c>
      <c r="D379" s="30">
        <f>IF($A379="",0,INDEX(Transactions!$H:$H,ROW()-8))</f>
      </c>
      <c r="E379">
        <f>IF($A379="",1,INDEX(Transactions!$N:$N,ROW()-8))</f>
        <v>1</v>
      </c>
      <c r="F379" s="30">
        <f>IF($A379="",0,INDEX(Transactions!$O:$O,ROW()-8))</f>
      </c>
      <c r="G379" s="30">
        <f>IF($A379="",0,INDEX(Transactions!$P:$P,ROW()-8))</f>
      </c>
    </row>
    <row r="380" spans="1:7" ht="15" customHeight="1" x14ac:dyDescent="0.15">
      <c r="A380">
        <f>IF(INDEX(Transactions!$J:$J,ROW()-8)="","",INDEX(Transactions!$J:$J,ROW()-8))</f>
      </c>
      <c r="B380" s="297">
        <f>IF($A380="",TODAY(),INDEX(Transactions!$G:$G,ROW()-8))</f>
      </c>
      <c r="C380">
        <f>IF($A380="","",INDEX(Transactions!$A:$A,ROW()-8))</f>
      </c>
      <c r="D380" s="30">
        <f>IF($A380="",0,INDEX(Transactions!$H:$H,ROW()-8))</f>
      </c>
      <c r="E380">
        <f>IF($A380="",1,INDEX(Transactions!$N:$N,ROW()-8))</f>
        <v>1</v>
      </c>
      <c r="F380" s="30">
        <f>IF($A380="",0,INDEX(Transactions!$O:$O,ROW()-8))</f>
      </c>
      <c r="G380" s="30">
        <f>IF($A380="",0,INDEX(Transactions!$P:$P,ROW()-8))</f>
      </c>
    </row>
    <row r="381" spans="1:7" ht="15" customHeight="1" x14ac:dyDescent="0.15">
      <c r="A381">
        <f>IF(INDEX(Transactions!$J:$J,ROW()-8)="","",INDEX(Transactions!$J:$J,ROW()-8))</f>
      </c>
      <c r="B381" s="297">
        <f>IF($A381="",TODAY(),INDEX(Transactions!$G:$G,ROW()-8))</f>
      </c>
      <c r="C381">
        <f>IF($A381="","",INDEX(Transactions!$A:$A,ROW()-8))</f>
      </c>
      <c r="D381" s="30">
        <f>IF($A381="",0,INDEX(Transactions!$H:$H,ROW()-8))</f>
      </c>
      <c r="E381">
        <f>IF($A381="",1,INDEX(Transactions!$N:$N,ROW()-8))</f>
        <v>1</v>
      </c>
      <c r="F381" s="30">
        <f>IF($A381="",0,INDEX(Transactions!$O:$O,ROW()-8))</f>
      </c>
      <c r="G381" s="30">
        <f>IF($A381="",0,INDEX(Transactions!$P:$P,ROW()-8))</f>
      </c>
    </row>
    <row r="382" spans="1:7" ht="15" customHeight="1" x14ac:dyDescent="0.15">
      <c r="A382">
        <f>IF(INDEX(Transactions!$J:$J,ROW()-8)="","",INDEX(Transactions!$J:$J,ROW()-8))</f>
      </c>
      <c r="B382" s="297">
        <f>IF($A382="",TODAY(),INDEX(Transactions!$G:$G,ROW()-8))</f>
      </c>
      <c r="C382">
        <f>IF($A382="","",INDEX(Transactions!$A:$A,ROW()-8))</f>
      </c>
      <c r="D382" s="30">
        <f>IF($A382="",0,INDEX(Transactions!$H:$H,ROW()-8))</f>
      </c>
      <c r="E382">
        <f>IF($A382="",1,INDEX(Transactions!$N:$N,ROW()-8))</f>
        <v>1</v>
      </c>
      <c r="F382" s="30">
        <f>IF($A382="",0,INDEX(Transactions!$O:$O,ROW()-8))</f>
      </c>
      <c r="G382" s="30">
        <f>IF($A382="",0,INDEX(Transactions!$P:$P,ROW()-8))</f>
      </c>
    </row>
    <row r="383" spans="1:7" ht="15" customHeight="1" x14ac:dyDescent="0.15">
      <c r="A383">
        <f>IF(INDEX(Transactions!$J:$J,ROW()-8)="","",INDEX(Transactions!$J:$J,ROW()-8))</f>
      </c>
      <c r="B383" s="297">
        <f>IF($A383="",TODAY(),INDEX(Transactions!$G:$G,ROW()-8))</f>
      </c>
      <c r="C383">
        <f>IF($A383="","",INDEX(Transactions!$A:$A,ROW()-8))</f>
      </c>
      <c r="D383" s="30">
        <f>IF($A383="",0,INDEX(Transactions!$H:$H,ROW()-8))</f>
      </c>
      <c r="E383">
        <f>IF($A383="",1,INDEX(Transactions!$N:$N,ROW()-8))</f>
        <v>1</v>
      </c>
      <c r="F383" s="30">
        <f>IF($A383="",0,INDEX(Transactions!$O:$O,ROW()-8))</f>
      </c>
      <c r="G383" s="30">
        <f>IF($A383="",0,INDEX(Transactions!$P:$P,ROW()-8))</f>
      </c>
    </row>
    <row r="384" spans="1:7" ht="15" customHeight="1" x14ac:dyDescent="0.15">
      <c r="A384">
        <f>IF(INDEX(Transactions!$J:$J,ROW()-8)="","",INDEX(Transactions!$J:$J,ROW()-8))</f>
      </c>
      <c r="B384" s="297">
        <f>IF($A384="",TODAY(),INDEX(Transactions!$G:$G,ROW()-8))</f>
      </c>
      <c r="C384">
        <f>IF($A384="","",INDEX(Transactions!$A:$A,ROW()-8))</f>
      </c>
      <c r="D384" s="30">
        <f>IF($A384="",0,INDEX(Transactions!$H:$H,ROW()-8))</f>
      </c>
      <c r="E384">
        <f>IF($A384="",1,INDEX(Transactions!$N:$N,ROW()-8))</f>
        <v>1</v>
      </c>
      <c r="F384" s="30">
        <f>IF($A384="",0,INDEX(Transactions!$O:$O,ROW()-8))</f>
      </c>
      <c r="G384" s="30">
        <f>IF($A384="",0,INDEX(Transactions!$P:$P,ROW()-8))</f>
      </c>
    </row>
    <row r="385" spans="1:7" ht="15" customHeight="1" x14ac:dyDescent="0.15">
      <c r="A385">
        <f>IF(INDEX(Transactions!$J:$J,ROW()-8)="","",INDEX(Transactions!$J:$J,ROW()-8))</f>
      </c>
      <c r="B385" s="297">
        <f>IF($A385="",TODAY(),INDEX(Transactions!$G:$G,ROW()-8))</f>
      </c>
      <c r="C385">
        <f>IF($A385="","",INDEX(Transactions!$A:$A,ROW()-8))</f>
      </c>
      <c r="D385" s="30">
        <f>IF($A385="",0,INDEX(Transactions!$H:$H,ROW()-8))</f>
      </c>
      <c r="E385">
        <f>IF($A385="",1,INDEX(Transactions!$N:$N,ROW()-8))</f>
        <v>1</v>
      </c>
      <c r="F385" s="30">
        <f>IF($A385="",0,INDEX(Transactions!$O:$O,ROW()-8))</f>
      </c>
      <c r="G385" s="30">
        <f>IF($A385="",0,INDEX(Transactions!$P:$P,ROW()-8))</f>
      </c>
    </row>
    <row r="386" spans="1:7" ht="15" customHeight="1" x14ac:dyDescent="0.15">
      <c r="A386">
        <f>IF(INDEX(Transactions!$J:$J,ROW()-8)="","",INDEX(Transactions!$J:$J,ROW()-8))</f>
      </c>
      <c r="B386" s="297">
        <f>IF($A386="",TODAY(),INDEX(Transactions!$G:$G,ROW()-8))</f>
      </c>
      <c r="C386">
        <f>IF($A386="","",INDEX(Transactions!$A:$A,ROW()-8))</f>
      </c>
      <c r="D386" s="30">
        <f>IF($A386="",0,INDEX(Transactions!$H:$H,ROW()-8))</f>
      </c>
      <c r="E386">
        <f>IF($A386="",1,INDEX(Transactions!$N:$N,ROW()-8))</f>
        <v>1</v>
      </c>
      <c r="F386" s="30">
        <f>IF($A386="",0,INDEX(Transactions!$O:$O,ROW()-8))</f>
      </c>
      <c r="G386" s="30">
        <f>IF($A386="",0,INDEX(Transactions!$P:$P,ROW()-8))</f>
      </c>
    </row>
    <row r="387" spans="1:7" ht="15" customHeight="1" x14ac:dyDescent="0.15">
      <c r="A387">
        <f>IF(INDEX(Transactions!$J:$J,ROW()-8)="","",INDEX(Transactions!$J:$J,ROW()-8))</f>
      </c>
      <c r="B387" s="297">
        <f>IF($A387="",TODAY(),INDEX(Transactions!$G:$G,ROW()-8))</f>
      </c>
      <c r="C387">
        <f>IF($A387="","",INDEX(Transactions!$A:$A,ROW()-8))</f>
      </c>
      <c r="D387" s="30">
        <f>IF($A387="",0,INDEX(Transactions!$H:$H,ROW()-8))</f>
      </c>
      <c r="E387">
        <f>IF($A387="",1,INDEX(Transactions!$N:$N,ROW()-8))</f>
        <v>1</v>
      </c>
      <c r="F387" s="30">
        <f>IF($A387="",0,INDEX(Transactions!$O:$O,ROW()-8))</f>
      </c>
      <c r="G387" s="30">
        <f>IF($A387="",0,INDEX(Transactions!$P:$P,ROW()-8))</f>
      </c>
    </row>
    <row r="388" spans="1:7" ht="15" customHeight="1" x14ac:dyDescent="0.15">
      <c r="A388">
        <f>IF(INDEX(Transactions!$J:$J,ROW()-8)="","",INDEX(Transactions!$J:$J,ROW()-8))</f>
      </c>
      <c r="B388" s="297">
        <f>IF($A388="",TODAY(),INDEX(Transactions!$G:$G,ROW()-8))</f>
      </c>
      <c r="C388">
        <f>IF($A388="","",INDEX(Transactions!$A:$A,ROW()-8))</f>
      </c>
      <c r="D388" s="30">
        <f>IF($A388="",0,INDEX(Transactions!$H:$H,ROW()-8))</f>
      </c>
      <c r="E388">
        <f>IF($A388="",1,INDEX(Transactions!$N:$N,ROW()-8))</f>
        <v>1</v>
      </c>
      <c r="F388" s="30">
        <f>IF($A388="",0,INDEX(Transactions!$O:$O,ROW()-8))</f>
      </c>
      <c r="G388" s="30">
        <f>IF($A388="",0,INDEX(Transactions!$P:$P,ROW()-8))</f>
      </c>
    </row>
    <row r="389" spans="1:7" ht="15" customHeight="1" x14ac:dyDescent="0.15">
      <c r="A389">
        <f>IF(INDEX(Transactions!$J:$J,ROW()-8)="","",INDEX(Transactions!$J:$J,ROW()-8))</f>
      </c>
      <c r="B389" s="297">
        <f>IF($A389="",TODAY(),INDEX(Transactions!$G:$G,ROW()-8))</f>
      </c>
      <c r="C389">
        <f>IF($A389="","",INDEX(Transactions!$A:$A,ROW()-8))</f>
      </c>
      <c r="D389" s="30">
        <f>IF($A389="",0,INDEX(Transactions!$H:$H,ROW()-8))</f>
      </c>
      <c r="E389">
        <f>IF($A389="",1,INDEX(Transactions!$N:$N,ROW()-8))</f>
        <v>1</v>
      </c>
      <c r="F389" s="30">
        <f>IF($A389="",0,INDEX(Transactions!$O:$O,ROW()-8))</f>
      </c>
      <c r="G389" s="30">
        <f>IF($A389="",0,INDEX(Transactions!$P:$P,ROW()-8))</f>
      </c>
    </row>
    <row r="390" spans="1:7" ht="15" customHeight="1" x14ac:dyDescent="0.15">
      <c r="A390">
        <f>IF(INDEX(Transactions!$J:$J,ROW()-8)="","",INDEX(Transactions!$J:$J,ROW()-8))</f>
      </c>
      <c r="B390" s="297">
        <f>IF($A390="",TODAY(),INDEX(Transactions!$G:$G,ROW()-8))</f>
      </c>
      <c r="C390">
        <f>IF($A390="","",INDEX(Transactions!$A:$A,ROW()-8))</f>
      </c>
      <c r="D390" s="30">
        <f>IF($A390="",0,INDEX(Transactions!$H:$H,ROW()-8))</f>
      </c>
      <c r="E390">
        <f>IF($A390="",1,INDEX(Transactions!$N:$N,ROW()-8))</f>
        <v>1</v>
      </c>
      <c r="F390" s="30">
        <f>IF($A390="",0,INDEX(Transactions!$O:$O,ROW()-8))</f>
      </c>
      <c r="G390" s="30">
        <f>IF($A390="",0,INDEX(Transactions!$P:$P,ROW()-8))</f>
      </c>
    </row>
    <row r="391" spans="1:7" ht="15" customHeight="1" x14ac:dyDescent="0.15">
      <c r="A391">
        <f>IF(INDEX(Transactions!$J:$J,ROW()-8)="","",INDEX(Transactions!$J:$J,ROW()-8))</f>
      </c>
      <c r="B391" s="297">
        <f>IF($A391="",TODAY(),INDEX(Transactions!$G:$G,ROW()-8))</f>
      </c>
      <c r="C391">
        <f>IF($A391="","",INDEX(Transactions!$A:$A,ROW()-8))</f>
      </c>
      <c r="D391" s="30">
        <f>IF($A391="",0,INDEX(Transactions!$H:$H,ROW()-8))</f>
      </c>
      <c r="E391">
        <f>IF($A391="",1,INDEX(Transactions!$N:$N,ROW()-8))</f>
        <v>1</v>
      </c>
      <c r="F391" s="30">
        <f>IF($A391="",0,INDEX(Transactions!$O:$O,ROW()-8))</f>
      </c>
      <c r="G391" s="30">
        <f>IF($A391="",0,INDEX(Transactions!$P:$P,ROW()-8))</f>
      </c>
    </row>
    <row r="392" spans="1:7" ht="15" customHeight="1" x14ac:dyDescent="0.15">
      <c r="A392">
        <f>IF(INDEX(Transactions!$J:$J,ROW()-8)="","",INDEX(Transactions!$J:$J,ROW()-8))</f>
      </c>
      <c r="B392" s="297">
        <f>IF($A392="",TODAY(),INDEX(Transactions!$G:$G,ROW()-8))</f>
      </c>
      <c r="C392">
        <f>IF($A392="","",INDEX(Transactions!$A:$A,ROW()-8))</f>
      </c>
      <c r="D392" s="30">
        <f>IF($A392="",0,INDEX(Transactions!$H:$H,ROW()-8))</f>
      </c>
      <c r="E392">
        <f>IF($A392="",1,INDEX(Transactions!$N:$N,ROW()-8))</f>
        <v>1</v>
      </c>
      <c r="F392" s="30">
        <f>IF($A392="",0,INDEX(Transactions!$O:$O,ROW()-8))</f>
      </c>
      <c r="G392" s="30">
        <f>IF($A392="",0,INDEX(Transactions!$P:$P,ROW()-8))</f>
      </c>
    </row>
    <row r="393" spans="1:7" ht="15" customHeight="1" x14ac:dyDescent="0.15">
      <c r="A393">
        <f>IF(INDEX(Transactions!$J:$J,ROW()-8)="","",INDEX(Transactions!$J:$J,ROW()-8))</f>
      </c>
      <c r="B393" s="297">
        <f>IF($A393="",TODAY(),INDEX(Transactions!$G:$G,ROW()-8))</f>
      </c>
      <c r="C393">
        <f>IF($A393="","",INDEX(Transactions!$A:$A,ROW()-8))</f>
      </c>
      <c r="D393" s="30">
        <f>IF($A393="",0,INDEX(Transactions!$H:$H,ROW()-8))</f>
      </c>
      <c r="E393">
        <f>IF($A393="",1,INDEX(Transactions!$N:$N,ROW()-8))</f>
        <v>1</v>
      </c>
      <c r="F393" s="30">
        <f>IF($A393="",0,INDEX(Transactions!$O:$O,ROW()-8))</f>
      </c>
      <c r="G393" s="30">
        <f>IF($A393="",0,INDEX(Transactions!$P:$P,ROW()-8))</f>
      </c>
    </row>
    <row r="394" spans="1:7" ht="15" customHeight="1" x14ac:dyDescent="0.15">
      <c r="A394">
        <f>IF(INDEX(Transactions!$J:$J,ROW()-8)="","",INDEX(Transactions!$J:$J,ROW()-8))</f>
      </c>
      <c r="B394" s="297">
        <f>IF($A394="",TODAY(),INDEX(Transactions!$G:$G,ROW()-8))</f>
      </c>
      <c r="C394">
        <f>IF($A394="","",INDEX(Transactions!$A:$A,ROW()-8))</f>
      </c>
      <c r="D394" s="30">
        <f>IF($A394="",0,INDEX(Transactions!$H:$H,ROW()-8))</f>
      </c>
      <c r="E394">
        <f>IF($A394="",1,INDEX(Transactions!$N:$N,ROW()-8))</f>
        <v>1</v>
      </c>
      <c r="F394" s="30">
        <f>IF($A394="",0,INDEX(Transactions!$O:$O,ROW()-8))</f>
      </c>
      <c r="G394" s="30">
        <f>IF($A394="",0,INDEX(Transactions!$P:$P,ROW()-8))</f>
      </c>
    </row>
    <row r="395" spans="1:7" ht="15" customHeight="1" x14ac:dyDescent="0.15">
      <c r="A395">
        <f>IF(INDEX(Transactions!$J:$J,ROW()-8)="","",INDEX(Transactions!$J:$J,ROW()-8))</f>
      </c>
      <c r="B395" s="297">
        <f>IF($A395="",TODAY(),INDEX(Transactions!$G:$G,ROW()-8))</f>
      </c>
      <c r="C395">
        <f>IF($A395="","",INDEX(Transactions!$A:$A,ROW()-8))</f>
      </c>
      <c r="D395" s="30">
        <f>IF($A395="",0,INDEX(Transactions!$H:$H,ROW()-8))</f>
      </c>
      <c r="E395">
        <f>IF($A395="",1,INDEX(Transactions!$N:$N,ROW()-8))</f>
        <v>1</v>
      </c>
      <c r="F395" s="30">
        <f>IF($A395="",0,INDEX(Transactions!$O:$O,ROW()-8))</f>
      </c>
      <c r="G395" s="30">
        <f>IF($A395="",0,INDEX(Transactions!$P:$P,ROW()-8))</f>
      </c>
    </row>
    <row r="396" spans="1:7" ht="15" customHeight="1" x14ac:dyDescent="0.15">
      <c r="A396">
        <f>IF(INDEX(Transactions!$J:$J,ROW()-8)="","",INDEX(Transactions!$J:$J,ROW()-8))</f>
      </c>
      <c r="B396" s="297">
        <f>IF($A396="",TODAY(),INDEX(Transactions!$G:$G,ROW()-8))</f>
      </c>
      <c r="C396">
        <f>IF($A396="","",INDEX(Transactions!$A:$A,ROW()-8))</f>
      </c>
      <c r="D396" s="30">
        <f>IF($A396="",0,INDEX(Transactions!$H:$H,ROW()-8))</f>
      </c>
      <c r="E396">
        <f>IF($A396="",1,INDEX(Transactions!$N:$N,ROW()-8))</f>
        <v>1</v>
      </c>
      <c r="F396" s="30">
        <f>IF($A396="",0,INDEX(Transactions!$O:$O,ROW()-8))</f>
      </c>
      <c r="G396" s="30">
        <f>IF($A396="",0,INDEX(Transactions!$P:$P,ROW()-8))</f>
      </c>
    </row>
    <row r="397" spans="1:7" ht="15" customHeight="1" x14ac:dyDescent="0.15">
      <c r="A397">
        <f>IF(INDEX(Transactions!$J:$J,ROW()-8)="","",INDEX(Transactions!$J:$J,ROW()-8))</f>
      </c>
      <c r="B397" s="297">
        <f>IF($A397="",TODAY(),INDEX(Transactions!$G:$G,ROW()-8))</f>
      </c>
      <c r="C397">
        <f>IF($A397="","",INDEX(Transactions!$A:$A,ROW()-8))</f>
      </c>
      <c r="D397" s="30">
        <f>IF($A397="",0,INDEX(Transactions!$H:$H,ROW()-8))</f>
      </c>
      <c r="E397">
        <f>IF($A397="",1,INDEX(Transactions!$N:$N,ROW()-8))</f>
        <v>1</v>
      </c>
      <c r="F397" s="30">
        <f>IF($A397="",0,INDEX(Transactions!$O:$O,ROW()-8))</f>
      </c>
      <c r="G397" s="30">
        <f>IF($A397="",0,INDEX(Transactions!$P:$P,ROW()-8))</f>
      </c>
    </row>
    <row r="398" spans="1:7" ht="15" customHeight="1" x14ac:dyDescent="0.15">
      <c r="A398">
        <f>IF(INDEX(Transactions!$J:$J,ROW()-8)="","",INDEX(Transactions!$J:$J,ROW()-8))</f>
      </c>
      <c r="B398" s="297">
        <f>IF($A398="",TODAY(),INDEX(Transactions!$G:$G,ROW()-8))</f>
      </c>
      <c r="C398">
        <f>IF($A398="","",INDEX(Transactions!$A:$A,ROW()-8))</f>
      </c>
      <c r="D398" s="30">
        <f>IF($A398="",0,INDEX(Transactions!$H:$H,ROW()-8))</f>
      </c>
      <c r="E398">
        <f>IF($A398="",1,INDEX(Transactions!$N:$N,ROW()-8))</f>
        <v>1</v>
      </c>
      <c r="F398" s="30">
        <f>IF($A398="",0,INDEX(Transactions!$O:$O,ROW()-8))</f>
      </c>
      <c r="G398" s="30">
        <f>IF($A398="",0,INDEX(Transactions!$P:$P,ROW()-8))</f>
      </c>
    </row>
    <row r="399" spans="1:7" ht="15" customHeight="1" x14ac:dyDescent="0.15">
      <c r="A399">
        <f>IF(INDEX(Transactions!$J:$J,ROW()-8)="","",INDEX(Transactions!$J:$J,ROW()-8))</f>
      </c>
      <c r="B399" s="297">
        <f>IF($A399="",TODAY(),INDEX(Transactions!$G:$G,ROW()-8))</f>
      </c>
      <c r="C399">
        <f>IF($A399="","",INDEX(Transactions!$A:$A,ROW()-8))</f>
      </c>
      <c r="D399" s="30">
        <f>IF($A399="",0,INDEX(Transactions!$H:$H,ROW()-8))</f>
      </c>
      <c r="E399">
        <f>IF($A399="",1,INDEX(Transactions!$N:$N,ROW()-8))</f>
        <v>1</v>
      </c>
      <c r="F399" s="30">
        <f>IF($A399="",0,INDEX(Transactions!$O:$O,ROW()-8))</f>
      </c>
      <c r="G399" s="30">
        <f>IF($A399="",0,INDEX(Transactions!$P:$P,ROW()-8))</f>
      </c>
    </row>
    <row r="400" spans="1:7" ht="15" customHeight="1" x14ac:dyDescent="0.15">
      <c r="A400">
        <f>IF(INDEX(Transactions!$J:$J,ROW()-8)="","",INDEX(Transactions!$J:$J,ROW()-8))</f>
      </c>
      <c r="B400" s="297">
        <f>IF($A400="",TODAY(),INDEX(Transactions!$G:$G,ROW()-8))</f>
      </c>
      <c r="C400">
        <f>IF($A400="","",INDEX(Transactions!$A:$A,ROW()-8))</f>
      </c>
      <c r="D400" s="30">
        <f>IF($A400="",0,INDEX(Transactions!$H:$H,ROW()-8))</f>
      </c>
      <c r="E400">
        <f>IF($A400="",1,INDEX(Transactions!$N:$N,ROW()-8))</f>
        <v>1</v>
      </c>
      <c r="F400" s="30">
        <f>IF($A400="",0,INDEX(Transactions!$O:$O,ROW()-8))</f>
      </c>
      <c r="G400" s="30">
        <f>IF($A400="",0,INDEX(Transactions!$P:$P,ROW()-8))</f>
      </c>
    </row>
    <row r="401" spans="1:7" ht="15" customHeight="1" x14ac:dyDescent="0.15">
      <c r="A401">
        <f>IF(INDEX(Transactions!$J:$J,ROW()-8)="","",INDEX(Transactions!$J:$J,ROW()-8))</f>
      </c>
      <c r="B401" s="297">
        <f>IF($A401="",TODAY(),INDEX(Transactions!$G:$G,ROW()-8))</f>
      </c>
      <c r="C401">
        <f>IF($A401="","",INDEX(Transactions!$A:$A,ROW()-8))</f>
      </c>
      <c r="D401" s="30">
        <f>IF($A401="",0,INDEX(Transactions!$H:$H,ROW()-8))</f>
      </c>
      <c r="E401">
        <f>IF($A401="",1,INDEX(Transactions!$N:$N,ROW()-8))</f>
        <v>1</v>
      </c>
      <c r="F401" s="30">
        <f>IF($A401="",0,INDEX(Transactions!$O:$O,ROW()-8))</f>
      </c>
      <c r="G401" s="30">
        <f>IF($A401="",0,INDEX(Transactions!$P:$P,ROW()-8))</f>
      </c>
    </row>
    <row r="402" spans="1:7" ht="15" customHeight="1" x14ac:dyDescent="0.15">
      <c r="A402">
        <f>IF(INDEX(Transactions!$J:$J,ROW()-8)="","",INDEX(Transactions!$J:$J,ROW()-8))</f>
      </c>
      <c r="B402" s="297">
        <f>IF($A402="",TODAY(),INDEX(Transactions!$G:$G,ROW()-8))</f>
      </c>
      <c r="C402">
        <f>IF($A402="","",INDEX(Transactions!$A:$A,ROW()-8))</f>
      </c>
      <c r="D402" s="30">
        <f>IF($A402="",0,INDEX(Transactions!$H:$H,ROW()-8))</f>
      </c>
      <c r="E402">
        <f>IF($A402="",1,INDEX(Transactions!$N:$N,ROW()-8))</f>
        <v>1</v>
      </c>
      <c r="F402" s="30">
        <f>IF($A402="",0,INDEX(Transactions!$O:$O,ROW()-8))</f>
      </c>
      <c r="G402" s="30">
        <f>IF($A402="",0,INDEX(Transactions!$P:$P,ROW()-8))</f>
      </c>
    </row>
    <row r="403" spans="1:7" ht="15" customHeight="1" x14ac:dyDescent="0.15">
      <c r="A403">
        <f>IF(INDEX(Transactions!$J:$J,ROW()-8)="","",INDEX(Transactions!$J:$J,ROW()-8))</f>
      </c>
      <c r="B403" s="297">
        <f>IF($A403="",TODAY(),INDEX(Transactions!$G:$G,ROW()-8))</f>
      </c>
      <c r="C403">
        <f>IF($A403="","",INDEX(Transactions!$A:$A,ROW()-8))</f>
      </c>
      <c r="D403" s="30">
        <f>IF($A403="",0,INDEX(Transactions!$H:$H,ROW()-8))</f>
      </c>
      <c r="E403">
        <f>IF($A403="",1,INDEX(Transactions!$N:$N,ROW()-8))</f>
        <v>1</v>
      </c>
      <c r="F403" s="30">
        <f>IF($A403="",0,INDEX(Transactions!$O:$O,ROW()-8))</f>
      </c>
      <c r="G403" s="30">
        <f>IF($A403="",0,INDEX(Transactions!$P:$P,ROW()-8))</f>
      </c>
    </row>
    <row r="404" spans="1:7" ht="15" customHeight="1" x14ac:dyDescent="0.15">
      <c r="A404">
        <f>IF(INDEX(Transactions!$J:$J,ROW()-8)="","",INDEX(Transactions!$J:$J,ROW()-8))</f>
      </c>
      <c r="B404" s="297">
        <f>IF($A404="",TODAY(),INDEX(Transactions!$G:$G,ROW()-8))</f>
      </c>
      <c r="C404">
        <f>IF($A404="","",INDEX(Transactions!$A:$A,ROW()-8))</f>
      </c>
      <c r="D404" s="30">
        <f>IF($A404="",0,INDEX(Transactions!$H:$H,ROW()-8))</f>
      </c>
      <c r="E404">
        <f>IF($A404="",1,INDEX(Transactions!$N:$N,ROW()-8))</f>
        <v>1</v>
      </c>
      <c r="F404" s="30">
        <f>IF($A404="",0,INDEX(Transactions!$O:$O,ROW()-8))</f>
      </c>
      <c r="G404" s="30">
        <f>IF($A404="",0,INDEX(Transactions!$P:$P,ROW()-8))</f>
      </c>
    </row>
    <row r="405" spans="1:7" ht="15" customHeight="1" x14ac:dyDescent="0.15">
      <c r="A405">
        <f>IF(INDEX(Transactions!$J:$J,ROW()-8)="","",INDEX(Transactions!$J:$J,ROW()-8))</f>
      </c>
      <c r="B405" s="297">
        <f>IF($A405="",TODAY(),INDEX(Transactions!$G:$G,ROW()-8))</f>
      </c>
      <c r="C405">
        <f>IF($A405="","",INDEX(Transactions!$A:$A,ROW()-8))</f>
      </c>
      <c r="D405" s="30">
        <f>IF($A405="",0,INDEX(Transactions!$H:$H,ROW()-8))</f>
      </c>
      <c r="E405">
        <f>IF($A405="",1,INDEX(Transactions!$N:$N,ROW()-8))</f>
        <v>1</v>
      </c>
      <c r="F405" s="30">
        <f>IF($A405="",0,INDEX(Transactions!$O:$O,ROW()-8))</f>
      </c>
      <c r="G405" s="30">
        <f>IF($A405="",0,INDEX(Transactions!$P:$P,ROW()-8))</f>
      </c>
    </row>
    <row r="406" spans="1:7" ht="15" customHeight="1" x14ac:dyDescent="0.15">
      <c r="A406">
        <f>IF(INDEX(Transactions!$J:$J,ROW()-8)="","",INDEX(Transactions!$J:$J,ROW()-8))</f>
      </c>
      <c r="B406" s="297">
        <f>IF($A406="",TODAY(),INDEX(Transactions!$G:$G,ROW()-8))</f>
      </c>
      <c r="C406">
        <f>IF($A406="","",INDEX(Transactions!$A:$A,ROW()-8))</f>
      </c>
      <c r="D406" s="30">
        <f>IF($A406="",0,INDEX(Transactions!$H:$H,ROW()-8))</f>
      </c>
      <c r="E406">
        <f>IF($A406="",1,INDEX(Transactions!$N:$N,ROW()-8))</f>
        <v>1</v>
      </c>
      <c r="F406" s="30">
        <f>IF($A406="",0,INDEX(Transactions!$O:$O,ROW()-8))</f>
      </c>
      <c r="G406" s="30">
        <f>IF($A406="",0,INDEX(Transactions!$P:$P,ROW()-8))</f>
      </c>
    </row>
    <row r="407" spans="1:7" ht="15" customHeight="1" x14ac:dyDescent="0.15">
      <c r="A407">
        <f>IF(INDEX(Transactions!$J:$J,ROW()-8)="","",INDEX(Transactions!$J:$J,ROW()-8))</f>
      </c>
      <c r="B407" s="297">
        <f>IF($A407="",TODAY(),INDEX(Transactions!$G:$G,ROW()-8))</f>
      </c>
      <c r="C407">
        <f>IF($A407="","",INDEX(Transactions!$A:$A,ROW()-8))</f>
      </c>
      <c r="D407" s="30">
        <f>IF($A407="",0,INDEX(Transactions!$H:$H,ROW()-8))</f>
      </c>
      <c r="E407">
        <f>IF($A407="",1,INDEX(Transactions!$N:$N,ROW()-8))</f>
        <v>1</v>
      </c>
      <c r="F407" s="30">
        <f>IF($A407="",0,INDEX(Transactions!$O:$O,ROW()-8))</f>
      </c>
      <c r="G407" s="30">
        <f>IF($A407="",0,INDEX(Transactions!$P:$P,ROW()-8))</f>
      </c>
    </row>
    <row r="408" spans="1:7" ht="15" customHeight="1" x14ac:dyDescent="0.15">
      <c r="A408">
        <f>IF(INDEX(Transactions!$J:$J,ROW()-8)="","",INDEX(Transactions!$J:$J,ROW()-8))</f>
      </c>
      <c r="B408" s="297">
        <f>IF($A408="",TODAY(),INDEX(Transactions!$G:$G,ROW()-8))</f>
      </c>
      <c r="C408">
        <f>IF($A408="","",INDEX(Transactions!$A:$A,ROW()-8))</f>
      </c>
      <c r="D408" s="30">
        <f>IF($A408="",0,INDEX(Transactions!$H:$H,ROW()-8))</f>
      </c>
      <c r="E408">
        <f>IF($A408="",1,INDEX(Transactions!$N:$N,ROW()-8))</f>
        <v>1</v>
      </c>
      <c r="F408" s="30">
        <f>IF($A408="",0,INDEX(Transactions!$O:$O,ROW()-8))</f>
      </c>
      <c r="G408" s="30">
        <f>IF($A408="",0,INDEX(Transactions!$P:$P,ROW()-8))</f>
      </c>
    </row>
    <row r="409" spans="1:7" ht="15" customHeight="1" x14ac:dyDescent="0.15">
      <c r="A409">
        <f>IF(INDEX(Transactions!$J:$J,ROW()-8)="","",INDEX(Transactions!$J:$J,ROW()-8))</f>
      </c>
      <c r="B409" s="297">
        <f>IF($A409="",TODAY(),INDEX(Transactions!$G:$G,ROW()-8))</f>
      </c>
      <c r="C409">
        <f>IF($A409="","",INDEX(Transactions!$A:$A,ROW()-8))</f>
      </c>
      <c r="D409" s="30">
        <f>IF($A409="",0,INDEX(Transactions!$H:$H,ROW()-8))</f>
      </c>
      <c r="E409">
        <f>IF($A409="",1,INDEX(Transactions!$N:$N,ROW()-8))</f>
        <v>1</v>
      </c>
      <c r="F409" s="30">
        <f>IF($A409="",0,INDEX(Transactions!$O:$O,ROW()-8))</f>
      </c>
      <c r="G409" s="30">
        <f>IF($A409="",0,INDEX(Transactions!$P:$P,ROW()-8))</f>
      </c>
    </row>
    <row r="410" spans="1:7" ht="15" customHeight="1" x14ac:dyDescent="0.15">
      <c r="A410">
        <f>IF(INDEX(Transactions!$J:$J,ROW()-8)="","",INDEX(Transactions!$J:$J,ROW()-8))</f>
      </c>
      <c r="B410" s="297">
        <f>IF($A410="",TODAY(),INDEX(Transactions!$G:$G,ROW()-8))</f>
      </c>
      <c r="C410">
        <f>IF($A410="","",INDEX(Transactions!$A:$A,ROW()-8))</f>
      </c>
      <c r="D410" s="30">
        <f>IF($A410="",0,INDEX(Transactions!$H:$H,ROW()-8))</f>
      </c>
      <c r="E410">
        <f>IF($A410="",1,INDEX(Transactions!$N:$N,ROW()-8))</f>
        <v>1</v>
      </c>
      <c r="F410" s="30">
        <f>IF($A410="",0,INDEX(Transactions!$O:$O,ROW()-8))</f>
      </c>
      <c r="G410" s="30">
        <f>IF($A410="",0,INDEX(Transactions!$P:$P,ROW()-8))</f>
      </c>
    </row>
    <row r="411" spans="1:7" ht="15" customHeight="1" x14ac:dyDescent="0.15">
      <c r="A411">
        <f>IF(INDEX(Transactions!$J:$J,ROW()-8)="","",INDEX(Transactions!$J:$J,ROW()-8))</f>
      </c>
      <c r="B411" s="297">
        <f>IF($A411="",TODAY(),INDEX(Transactions!$G:$G,ROW()-8))</f>
      </c>
      <c r="C411">
        <f>IF($A411="","",INDEX(Transactions!$A:$A,ROW()-8))</f>
      </c>
      <c r="D411" s="30">
        <f>IF($A411="",0,INDEX(Transactions!$H:$H,ROW()-8))</f>
      </c>
      <c r="E411">
        <f>IF($A411="",1,INDEX(Transactions!$N:$N,ROW()-8))</f>
        <v>1</v>
      </c>
      <c r="F411" s="30">
        <f>IF($A411="",0,INDEX(Transactions!$O:$O,ROW()-8))</f>
      </c>
      <c r="G411" s="30">
        <f>IF($A411="",0,INDEX(Transactions!$P:$P,ROW()-8))</f>
      </c>
    </row>
    <row r="412" spans="1:7" ht="15" customHeight="1" x14ac:dyDescent="0.15">
      <c r="A412">
        <f>IF(INDEX(Transactions!$J:$J,ROW()-8)="","",INDEX(Transactions!$J:$J,ROW()-8))</f>
      </c>
      <c r="B412" s="297">
        <f>IF($A412="",TODAY(),INDEX(Transactions!$G:$G,ROW()-8))</f>
      </c>
      <c r="C412">
        <f>IF($A412="","",INDEX(Transactions!$A:$A,ROW()-8))</f>
      </c>
      <c r="D412" s="30">
        <f>IF($A412="",0,INDEX(Transactions!$H:$H,ROW()-8))</f>
      </c>
      <c r="E412">
        <f>IF($A412="",1,INDEX(Transactions!$N:$N,ROW()-8))</f>
        <v>1</v>
      </c>
      <c r="F412" s="30">
        <f>IF($A412="",0,INDEX(Transactions!$O:$O,ROW()-8))</f>
      </c>
      <c r="G412" s="30">
        <f>IF($A412="",0,INDEX(Transactions!$P:$P,ROW()-8))</f>
      </c>
    </row>
    <row r="413" spans="1:7" ht="15" customHeight="1" x14ac:dyDescent="0.15">
      <c r="A413">
        <f>IF(INDEX(Transactions!$J:$J,ROW()-8)="","",INDEX(Transactions!$J:$J,ROW()-8))</f>
      </c>
      <c r="B413" s="297">
        <f>IF($A413="",TODAY(),INDEX(Transactions!$G:$G,ROW()-8))</f>
      </c>
      <c r="C413">
        <f>IF($A413="","",INDEX(Transactions!$A:$A,ROW()-8))</f>
      </c>
      <c r="D413" s="30">
        <f>IF($A413="",0,INDEX(Transactions!$H:$H,ROW()-8))</f>
      </c>
      <c r="E413">
        <f>IF($A413="",1,INDEX(Transactions!$N:$N,ROW()-8))</f>
        <v>1</v>
      </c>
      <c r="F413" s="30">
        <f>IF($A413="",0,INDEX(Transactions!$O:$O,ROW()-8))</f>
      </c>
      <c r="G413" s="30">
        <f>IF($A413="",0,INDEX(Transactions!$P:$P,ROW()-8))</f>
      </c>
    </row>
    <row r="414" spans="1:7" ht="15" customHeight="1" x14ac:dyDescent="0.15">
      <c r="A414">
        <f>IF(INDEX(Transactions!$J:$J,ROW()-8)="","",INDEX(Transactions!$J:$J,ROW()-8))</f>
      </c>
      <c r="B414" s="297">
        <f>IF($A414="",TODAY(),INDEX(Transactions!$G:$G,ROW()-8))</f>
      </c>
      <c r="C414">
        <f>IF($A414="","",INDEX(Transactions!$A:$A,ROW()-8))</f>
      </c>
      <c r="D414" s="30">
        <f>IF($A414="",0,INDEX(Transactions!$H:$H,ROW()-8))</f>
      </c>
      <c r="E414">
        <f>IF($A414="",1,INDEX(Transactions!$N:$N,ROW()-8))</f>
        <v>1</v>
      </c>
      <c r="F414" s="30">
        <f>IF($A414="",0,INDEX(Transactions!$O:$O,ROW()-8))</f>
      </c>
      <c r="G414" s="30">
        <f>IF($A414="",0,INDEX(Transactions!$P:$P,ROW()-8))</f>
      </c>
    </row>
    <row r="415" spans="1:7" ht="15" customHeight="1" x14ac:dyDescent="0.15">
      <c r="A415">
        <f>IF(INDEX(Transactions!$J:$J,ROW()-8)="","",INDEX(Transactions!$J:$J,ROW()-8))</f>
      </c>
      <c r="B415" s="297">
        <f>IF($A415="",TODAY(),INDEX(Transactions!$G:$G,ROW()-8))</f>
      </c>
      <c r="C415">
        <f>IF($A415="","",INDEX(Transactions!$A:$A,ROW()-8))</f>
      </c>
      <c r="D415" s="30">
        <f>IF($A415="",0,INDEX(Transactions!$H:$H,ROW()-8))</f>
      </c>
      <c r="E415">
        <f>IF($A415="",1,INDEX(Transactions!$N:$N,ROW()-8))</f>
        <v>1</v>
      </c>
      <c r="F415" s="30">
        <f>IF($A415="",0,INDEX(Transactions!$O:$O,ROW()-8))</f>
      </c>
      <c r="G415" s="30">
        <f>IF($A415="",0,INDEX(Transactions!$P:$P,ROW()-8))</f>
      </c>
    </row>
    <row r="416" spans="1:7" ht="15" customHeight="1" x14ac:dyDescent="0.15">
      <c r="A416">
        <f>IF(INDEX(Transactions!$J:$J,ROW()-8)="","",INDEX(Transactions!$J:$J,ROW()-8))</f>
      </c>
      <c r="B416" s="297">
        <f>IF($A416="",TODAY(),INDEX(Transactions!$G:$G,ROW()-8))</f>
      </c>
      <c r="C416">
        <f>IF($A416="","",INDEX(Transactions!$A:$A,ROW()-8))</f>
      </c>
      <c r="D416" s="30">
        <f>IF($A416="",0,INDEX(Transactions!$H:$H,ROW()-8))</f>
      </c>
      <c r="E416">
        <f>IF($A416="",1,INDEX(Transactions!$N:$N,ROW()-8))</f>
        <v>1</v>
      </c>
      <c r="F416" s="30">
        <f>IF($A416="",0,INDEX(Transactions!$O:$O,ROW()-8))</f>
      </c>
      <c r="G416" s="30">
        <f>IF($A416="",0,INDEX(Transactions!$P:$P,ROW()-8))</f>
      </c>
    </row>
    <row r="417" spans="1:7" ht="15" customHeight="1" x14ac:dyDescent="0.15">
      <c r="A417">
        <f>IF(INDEX(Transactions!$J:$J,ROW()-8)="","",INDEX(Transactions!$J:$J,ROW()-8))</f>
      </c>
      <c r="B417" s="297">
        <f>IF($A417="",TODAY(),INDEX(Transactions!$G:$G,ROW()-8))</f>
      </c>
      <c r="C417">
        <f>IF($A417="","",INDEX(Transactions!$A:$A,ROW()-8))</f>
      </c>
      <c r="D417" s="30">
        <f>IF($A417="",0,INDEX(Transactions!$H:$H,ROW()-8))</f>
      </c>
      <c r="E417">
        <f>IF($A417="",1,INDEX(Transactions!$N:$N,ROW()-8))</f>
        <v>1</v>
      </c>
      <c r="F417" s="30">
        <f>IF($A417="",0,INDEX(Transactions!$O:$O,ROW()-8))</f>
      </c>
      <c r="G417" s="30">
        <f>IF($A417="",0,INDEX(Transactions!$P:$P,ROW()-8))</f>
      </c>
    </row>
    <row r="418" spans="1:7" ht="15" customHeight="1" x14ac:dyDescent="0.15">
      <c r="A418">
        <f>IF(INDEX(Transactions!$J:$J,ROW()-8)="","",INDEX(Transactions!$J:$J,ROW()-8))</f>
      </c>
      <c r="B418" s="297">
        <f>IF($A418="",TODAY(),INDEX(Transactions!$G:$G,ROW()-8))</f>
      </c>
      <c r="C418">
        <f>IF($A418="","",INDEX(Transactions!$A:$A,ROW()-8))</f>
      </c>
      <c r="D418" s="30">
        <f>IF($A418="",0,INDEX(Transactions!$H:$H,ROW()-8))</f>
      </c>
      <c r="E418">
        <f>IF($A418="",1,INDEX(Transactions!$N:$N,ROW()-8))</f>
        <v>1</v>
      </c>
      <c r="F418" s="30">
        <f>IF($A418="",0,INDEX(Transactions!$O:$O,ROW()-8))</f>
      </c>
      <c r="G418" s="30">
        <f>IF($A418="",0,INDEX(Transactions!$P:$P,ROW()-8))</f>
      </c>
    </row>
    <row r="419" spans="1:7" ht="15" customHeight="1" x14ac:dyDescent="0.15">
      <c r="A419">
        <f>IF(INDEX(Transactions!$J:$J,ROW()-8)="","",INDEX(Transactions!$J:$J,ROW()-8))</f>
      </c>
      <c r="B419" s="297">
        <f>IF($A419="",TODAY(),INDEX(Transactions!$G:$G,ROW()-8))</f>
      </c>
      <c r="C419">
        <f>IF($A419="","",INDEX(Transactions!$A:$A,ROW()-8))</f>
      </c>
      <c r="D419" s="30">
        <f>IF($A419="",0,INDEX(Transactions!$H:$H,ROW()-8))</f>
      </c>
      <c r="E419">
        <f>IF($A419="",1,INDEX(Transactions!$N:$N,ROW()-8))</f>
        <v>1</v>
      </c>
      <c r="F419" s="30">
        <f>IF($A419="",0,INDEX(Transactions!$O:$O,ROW()-8))</f>
      </c>
      <c r="G419" s="30">
        <f>IF($A419="",0,INDEX(Transactions!$P:$P,ROW()-8))</f>
      </c>
    </row>
    <row r="420" spans="1:7" ht="15" customHeight="1" x14ac:dyDescent="0.15">
      <c r="A420">
        <f>IF(INDEX(Transactions!$J:$J,ROW()-8)="","",INDEX(Transactions!$J:$J,ROW()-8))</f>
      </c>
      <c r="B420" s="297">
        <f>IF($A420="",TODAY(),INDEX(Transactions!$G:$G,ROW()-8))</f>
      </c>
      <c r="C420">
        <f>IF($A420="","",INDEX(Transactions!$A:$A,ROW()-8))</f>
      </c>
      <c r="D420" s="30">
        <f>IF($A420="",0,INDEX(Transactions!$H:$H,ROW()-8))</f>
      </c>
      <c r="E420">
        <f>IF($A420="",1,INDEX(Transactions!$N:$N,ROW()-8))</f>
        <v>1</v>
      </c>
      <c r="F420" s="30">
        <f>IF($A420="",0,INDEX(Transactions!$O:$O,ROW()-8))</f>
      </c>
      <c r="G420" s="30">
        <f>IF($A420="",0,INDEX(Transactions!$P:$P,ROW()-8))</f>
      </c>
    </row>
    <row r="421" spans="1:7" ht="15" customHeight="1" x14ac:dyDescent="0.15">
      <c r="A421">
        <f>IF(INDEX(Transactions!$J:$J,ROW()-8)="","",INDEX(Transactions!$J:$J,ROW()-8))</f>
      </c>
      <c r="B421" s="297">
        <f>IF($A421="",TODAY(),INDEX(Transactions!$G:$G,ROW()-8))</f>
      </c>
      <c r="C421">
        <f>IF($A421="","",INDEX(Transactions!$A:$A,ROW()-8))</f>
      </c>
      <c r="D421" s="30">
        <f>IF($A421="",0,INDEX(Transactions!$H:$H,ROW()-8))</f>
      </c>
      <c r="E421">
        <f>IF($A421="",1,INDEX(Transactions!$N:$N,ROW()-8))</f>
        <v>1</v>
      </c>
      <c r="F421" s="30">
        <f>IF($A421="",0,INDEX(Transactions!$O:$O,ROW()-8))</f>
      </c>
      <c r="G421" s="30">
        <f>IF($A421="",0,INDEX(Transactions!$P:$P,ROW()-8))</f>
      </c>
    </row>
    <row r="422" spans="1:7" ht="15" customHeight="1" x14ac:dyDescent="0.15">
      <c r="A422">
        <f>IF(INDEX(Transactions!$J:$J,ROW()-8)="","",INDEX(Transactions!$J:$J,ROW()-8))</f>
      </c>
      <c r="B422" s="297">
        <f>IF($A422="",TODAY(),INDEX(Transactions!$G:$G,ROW()-8))</f>
      </c>
      <c r="C422">
        <f>IF($A422="","",INDEX(Transactions!$A:$A,ROW()-8))</f>
      </c>
      <c r="D422" s="30">
        <f>IF($A422="",0,INDEX(Transactions!$H:$H,ROW()-8))</f>
      </c>
      <c r="E422">
        <f>IF($A422="",1,INDEX(Transactions!$N:$N,ROW()-8))</f>
        <v>1</v>
      </c>
      <c r="F422" s="30">
        <f>IF($A422="",0,INDEX(Transactions!$O:$O,ROW()-8))</f>
      </c>
      <c r="G422" s="30">
        <f>IF($A422="",0,INDEX(Transactions!$P:$P,ROW()-8))</f>
      </c>
    </row>
    <row r="423" spans="1:7" ht="15" customHeight="1" x14ac:dyDescent="0.15">
      <c r="A423">
        <f>IF(INDEX(Transactions!$J:$J,ROW()-8)="","",INDEX(Transactions!$J:$J,ROW()-8))</f>
      </c>
      <c r="B423" s="297">
        <f>IF($A423="",TODAY(),INDEX(Transactions!$G:$G,ROW()-8))</f>
      </c>
      <c r="C423">
        <f>IF($A423="","",INDEX(Transactions!$A:$A,ROW()-8))</f>
      </c>
      <c r="D423" s="30">
        <f>IF($A423="",0,INDEX(Transactions!$H:$H,ROW()-8))</f>
      </c>
      <c r="E423">
        <f>IF($A423="",1,INDEX(Transactions!$N:$N,ROW()-8))</f>
        <v>1</v>
      </c>
      <c r="F423" s="30">
        <f>IF($A423="",0,INDEX(Transactions!$O:$O,ROW()-8))</f>
      </c>
      <c r="G423" s="30">
        <f>IF($A423="",0,INDEX(Transactions!$P:$P,ROW()-8))</f>
      </c>
    </row>
    <row r="424" spans="1:7" ht="15" customHeight="1" x14ac:dyDescent="0.15">
      <c r="A424">
        <f>IF(INDEX(Transactions!$J:$J,ROW()-8)="","",INDEX(Transactions!$J:$J,ROW()-8))</f>
      </c>
      <c r="B424" s="297">
        <f>IF($A424="",TODAY(),INDEX(Transactions!$G:$G,ROW()-8))</f>
      </c>
      <c r="C424">
        <f>IF($A424="","",INDEX(Transactions!$A:$A,ROW()-8))</f>
      </c>
      <c r="D424" s="30">
        <f>IF($A424="",0,INDEX(Transactions!$H:$H,ROW()-8))</f>
      </c>
      <c r="E424">
        <f>IF($A424="",1,INDEX(Transactions!$N:$N,ROW()-8))</f>
        <v>1</v>
      </c>
      <c r="F424" s="30">
        <f>IF($A424="",0,INDEX(Transactions!$O:$O,ROW()-8))</f>
      </c>
      <c r="G424" s="30">
        <f>IF($A424="",0,INDEX(Transactions!$P:$P,ROW()-8))</f>
      </c>
    </row>
    <row r="425" spans="1:7" ht="15" customHeight="1" x14ac:dyDescent="0.15">
      <c r="A425">
        <f>IF(INDEX(Transactions!$J:$J,ROW()-8)="","",INDEX(Transactions!$J:$J,ROW()-8))</f>
      </c>
      <c r="B425" s="297">
        <f>IF($A425="",TODAY(),INDEX(Transactions!$G:$G,ROW()-8))</f>
      </c>
      <c r="C425">
        <f>IF($A425="","",INDEX(Transactions!$A:$A,ROW()-8))</f>
      </c>
      <c r="D425" s="30">
        <f>IF($A425="",0,INDEX(Transactions!$H:$H,ROW()-8))</f>
      </c>
      <c r="E425">
        <f>IF($A425="",1,INDEX(Transactions!$N:$N,ROW()-8))</f>
        <v>1</v>
      </c>
      <c r="F425" s="30">
        <f>IF($A425="",0,INDEX(Transactions!$O:$O,ROW()-8))</f>
      </c>
      <c r="G425" s="30">
        <f>IF($A425="",0,INDEX(Transactions!$P:$P,ROW()-8))</f>
      </c>
    </row>
    <row r="426" spans="1:7" ht="15" customHeight="1" x14ac:dyDescent="0.15">
      <c r="A426">
        <f>IF(INDEX(Transactions!$J:$J,ROW()-8)="","",INDEX(Transactions!$J:$J,ROW()-8))</f>
      </c>
      <c r="B426" s="297">
        <f>IF($A426="",TODAY(),INDEX(Transactions!$G:$G,ROW()-8))</f>
      </c>
      <c r="C426">
        <f>IF($A426="","",INDEX(Transactions!$A:$A,ROW()-8))</f>
      </c>
      <c r="D426" s="30">
        <f>IF($A426="",0,INDEX(Transactions!$H:$H,ROW()-8))</f>
      </c>
      <c r="E426">
        <f>IF($A426="",1,INDEX(Transactions!$N:$N,ROW()-8))</f>
        <v>1</v>
      </c>
      <c r="F426" s="30">
        <f>IF($A426="",0,INDEX(Transactions!$O:$O,ROW()-8))</f>
      </c>
      <c r="G426" s="30">
        <f>IF($A426="",0,INDEX(Transactions!$P:$P,ROW()-8))</f>
      </c>
    </row>
    <row r="427" spans="1:7" ht="15" customHeight="1" x14ac:dyDescent="0.15">
      <c r="A427">
        <f>IF(INDEX(Transactions!$J:$J,ROW()-8)="","",INDEX(Transactions!$J:$J,ROW()-8))</f>
      </c>
      <c r="B427" s="297">
        <f>IF($A427="",TODAY(),INDEX(Transactions!$G:$G,ROW()-8))</f>
      </c>
      <c r="C427">
        <f>IF($A427="","",INDEX(Transactions!$A:$A,ROW()-8))</f>
      </c>
      <c r="D427" s="30">
        <f>IF($A427="",0,INDEX(Transactions!$H:$H,ROW()-8))</f>
      </c>
      <c r="E427">
        <f>IF($A427="",1,INDEX(Transactions!$N:$N,ROW()-8))</f>
        <v>1</v>
      </c>
      <c r="F427" s="30">
        <f>IF($A427="",0,INDEX(Transactions!$O:$O,ROW()-8))</f>
      </c>
      <c r="G427" s="30">
        <f>IF($A427="",0,INDEX(Transactions!$P:$P,ROW()-8))</f>
      </c>
    </row>
    <row r="428" spans="1:7" ht="15" customHeight="1" x14ac:dyDescent="0.15">
      <c r="A428">
        <f>IF(INDEX(Transactions!$J:$J,ROW()-8)="","",INDEX(Transactions!$J:$J,ROW()-8))</f>
      </c>
      <c r="B428" s="297">
        <f>IF($A428="",TODAY(),INDEX(Transactions!$G:$G,ROW()-8))</f>
      </c>
      <c r="C428">
        <f>IF($A428="","",INDEX(Transactions!$A:$A,ROW()-8))</f>
      </c>
      <c r="D428" s="30">
        <f>IF($A428="",0,INDEX(Transactions!$H:$H,ROW()-8))</f>
      </c>
      <c r="E428">
        <f>IF($A428="",1,INDEX(Transactions!$N:$N,ROW()-8))</f>
        <v>1</v>
      </c>
      <c r="F428" s="30">
        <f>IF($A428="",0,INDEX(Transactions!$O:$O,ROW()-8))</f>
      </c>
      <c r="G428" s="30">
        <f>IF($A428="",0,INDEX(Transactions!$P:$P,ROW()-8))</f>
      </c>
    </row>
    <row r="429" spans="1:7" ht="15" customHeight="1" x14ac:dyDescent="0.15">
      <c r="A429">
        <f>IF(INDEX(Transactions!$J:$J,ROW()-8)="","",INDEX(Transactions!$J:$J,ROW()-8))</f>
      </c>
      <c r="B429" s="297">
        <f>IF($A429="",TODAY(),INDEX(Transactions!$G:$G,ROW()-8))</f>
      </c>
      <c r="C429">
        <f>IF($A429="","",INDEX(Transactions!$A:$A,ROW()-8))</f>
      </c>
      <c r="D429" s="30">
        <f>IF($A429="",0,INDEX(Transactions!$H:$H,ROW()-8))</f>
      </c>
      <c r="E429">
        <f>IF($A429="",1,INDEX(Transactions!$N:$N,ROW()-8))</f>
        <v>1</v>
      </c>
      <c r="F429" s="30">
        <f>IF($A429="",0,INDEX(Transactions!$O:$O,ROW()-8))</f>
      </c>
      <c r="G429" s="30">
        <f>IF($A429="",0,INDEX(Transactions!$P:$P,ROW()-8))</f>
      </c>
    </row>
    <row r="430" spans="1:7" ht="15" customHeight="1" x14ac:dyDescent="0.15">
      <c r="A430">
        <f>IF(INDEX(Transactions!$J:$J,ROW()-8)="","",INDEX(Transactions!$J:$J,ROW()-8))</f>
      </c>
      <c r="B430" s="297">
        <f>IF($A430="",TODAY(),INDEX(Transactions!$G:$G,ROW()-8))</f>
      </c>
      <c r="C430">
        <f>IF($A430="","",INDEX(Transactions!$A:$A,ROW()-8))</f>
      </c>
      <c r="D430" s="30">
        <f>IF($A430="",0,INDEX(Transactions!$H:$H,ROW()-8))</f>
      </c>
      <c r="E430">
        <f>IF($A430="",1,INDEX(Transactions!$N:$N,ROW()-8))</f>
        <v>1</v>
      </c>
      <c r="F430" s="30">
        <f>IF($A430="",0,INDEX(Transactions!$O:$O,ROW()-8))</f>
      </c>
      <c r="G430" s="30">
        <f>IF($A430="",0,INDEX(Transactions!$P:$P,ROW()-8))</f>
      </c>
    </row>
    <row r="431" spans="1:7" ht="15" customHeight="1" x14ac:dyDescent="0.15">
      <c r="A431">
        <f>IF(INDEX(Transactions!$J:$J,ROW()-8)="","",INDEX(Transactions!$J:$J,ROW()-8))</f>
      </c>
      <c r="B431" s="297">
        <f>IF($A431="",TODAY(),INDEX(Transactions!$G:$G,ROW()-8))</f>
      </c>
      <c r="C431">
        <f>IF($A431="","",INDEX(Transactions!$A:$A,ROW()-8))</f>
      </c>
      <c r="D431" s="30">
        <f>IF($A431="",0,INDEX(Transactions!$H:$H,ROW()-8))</f>
      </c>
      <c r="E431">
        <f>IF($A431="",1,INDEX(Transactions!$N:$N,ROW()-8))</f>
        <v>1</v>
      </c>
      <c r="F431" s="30">
        <f>IF($A431="",0,INDEX(Transactions!$O:$O,ROW()-8))</f>
      </c>
      <c r="G431" s="30">
        <f>IF($A431="",0,INDEX(Transactions!$P:$P,ROW()-8))</f>
      </c>
    </row>
    <row r="432" spans="1:7" ht="15" customHeight="1" x14ac:dyDescent="0.15">
      <c r="A432">
        <f>IF(INDEX(Transactions!$J:$J,ROW()-8)="","",INDEX(Transactions!$J:$J,ROW()-8))</f>
      </c>
      <c r="B432" s="297">
        <f>IF($A432="",TODAY(),INDEX(Transactions!$G:$G,ROW()-8))</f>
      </c>
      <c r="C432">
        <f>IF($A432="","",INDEX(Transactions!$A:$A,ROW()-8))</f>
      </c>
      <c r="D432" s="30">
        <f>IF($A432="",0,INDEX(Transactions!$H:$H,ROW()-8))</f>
      </c>
      <c r="E432">
        <f>IF($A432="",1,INDEX(Transactions!$N:$N,ROW()-8))</f>
        <v>1</v>
      </c>
      <c r="F432" s="30">
        <f>IF($A432="",0,INDEX(Transactions!$O:$O,ROW()-8))</f>
      </c>
      <c r="G432" s="30">
        <f>IF($A432="",0,INDEX(Transactions!$P:$P,ROW()-8))</f>
      </c>
    </row>
    <row r="433" spans="1:7" ht="15" customHeight="1" x14ac:dyDescent="0.15">
      <c r="A433">
        <f>IF(INDEX(Transactions!$J:$J,ROW()-8)="","",INDEX(Transactions!$J:$J,ROW()-8))</f>
      </c>
      <c r="B433" s="297">
        <f>IF($A433="",TODAY(),INDEX(Transactions!$G:$G,ROW()-8))</f>
      </c>
      <c r="C433">
        <f>IF($A433="","",INDEX(Transactions!$A:$A,ROW()-8))</f>
      </c>
      <c r="D433" s="30">
        <f>IF($A433="",0,INDEX(Transactions!$H:$H,ROW()-8))</f>
      </c>
      <c r="E433">
        <f>IF($A433="",1,INDEX(Transactions!$N:$N,ROW()-8))</f>
        <v>1</v>
      </c>
      <c r="F433" s="30">
        <f>IF($A433="",0,INDEX(Transactions!$O:$O,ROW()-8))</f>
      </c>
      <c r="G433" s="30">
        <f>IF($A433="",0,INDEX(Transactions!$P:$P,ROW()-8))</f>
      </c>
    </row>
    <row r="434" spans="1:7" ht="15" customHeight="1" x14ac:dyDescent="0.15">
      <c r="A434">
        <f>IF(INDEX(Transactions!$J:$J,ROW()-8)="","",INDEX(Transactions!$J:$J,ROW()-8))</f>
      </c>
      <c r="B434" s="297">
        <f>IF($A434="",TODAY(),INDEX(Transactions!$G:$G,ROW()-8))</f>
      </c>
      <c r="C434">
        <f>IF($A434="","",INDEX(Transactions!$A:$A,ROW()-8))</f>
      </c>
      <c r="D434" s="30">
        <f>IF($A434="",0,INDEX(Transactions!$H:$H,ROW()-8))</f>
      </c>
      <c r="E434">
        <f>IF($A434="",1,INDEX(Transactions!$N:$N,ROW()-8))</f>
        <v>1</v>
      </c>
      <c r="F434" s="30">
        <f>IF($A434="",0,INDEX(Transactions!$O:$O,ROW()-8))</f>
      </c>
      <c r="G434" s="30">
        <f>IF($A434="",0,INDEX(Transactions!$P:$P,ROW()-8))</f>
      </c>
    </row>
    <row r="435" spans="1:7" ht="15" customHeight="1" x14ac:dyDescent="0.15">
      <c r="A435">
        <f>IF(INDEX(Transactions!$J:$J,ROW()-8)="","",INDEX(Transactions!$J:$J,ROW()-8))</f>
      </c>
      <c r="B435" s="297">
        <f>IF($A435="",TODAY(),INDEX(Transactions!$G:$G,ROW()-8))</f>
      </c>
      <c r="C435">
        <f>IF($A435="","",INDEX(Transactions!$A:$A,ROW()-8))</f>
      </c>
      <c r="D435" s="30">
        <f>IF($A435="",0,INDEX(Transactions!$H:$H,ROW()-8))</f>
      </c>
      <c r="E435">
        <f>IF($A435="",1,INDEX(Transactions!$N:$N,ROW()-8))</f>
        <v>1</v>
      </c>
      <c r="F435" s="30">
        <f>IF($A435="",0,INDEX(Transactions!$O:$O,ROW()-8))</f>
      </c>
      <c r="G435" s="30">
        <f>IF($A435="",0,INDEX(Transactions!$P:$P,ROW()-8))</f>
      </c>
    </row>
    <row r="436" spans="1:7" ht="15" customHeight="1" x14ac:dyDescent="0.15">
      <c r="A436">
        <f>IF(INDEX(Transactions!$J:$J,ROW()-8)="","",INDEX(Transactions!$J:$J,ROW()-8))</f>
      </c>
      <c r="B436" s="297">
        <f>IF($A436="",TODAY(),INDEX(Transactions!$G:$G,ROW()-8))</f>
      </c>
      <c r="C436">
        <f>IF($A436="","",INDEX(Transactions!$A:$A,ROW()-8))</f>
      </c>
      <c r="D436" s="30">
        <f>IF($A436="",0,INDEX(Transactions!$H:$H,ROW()-8))</f>
      </c>
      <c r="E436">
        <f>IF($A436="",1,INDEX(Transactions!$N:$N,ROW()-8))</f>
        <v>1</v>
      </c>
      <c r="F436" s="30">
        <f>IF($A436="",0,INDEX(Transactions!$O:$O,ROW()-8))</f>
      </c>
      <c r="G436" s="30">
        <f>IF($A436="",0,INDEX(Transactions!$P:$P,ROW()-8))</f>
      </c>
    </row>
    <row r="437" spans="1:7" ht="15" customHeight="1" x14ac:dyDescent="0.15">
      <c r="A437">
        <f>IF(INDEX(Transactions!$J:$J,ROW()-8)="","",INDEX(Transactions!$J:$J,ROW()-8))</f>
      </c>
      <c r="B437" s="297">
        <f>IF($A437="",TODAY(),INDEX(Transactions!$G:$G,ROW()-8))</f>
      </c>
      <c r="C437">
        <f>IF($A437="","",INDEX(Transactions!$A:$A,ROW()-8))</f>
      </c>
      <c r="D437" s="30">
        <f>IF($A437="",0,INDEX(Transactions!$H:$H,ROW()-8))</f>
      </c>
      <c r="E437">
        <f>IF($A437="",1,INDEX(Transactions!$N:$N,ROW()-8))</f>
        <v>1</v>
      </c>
      <c r="F437" s="30">
        <f>IF($A437="",0,INDEX(Transactions!$O:$O,ROW()-8))</f>
      </c>
      <c r="G437" s="30">
        <f>IF($A437="",0,INDEX(Transactions!$P:$P,ROW()-8))</f>
      </c>
    </row>
    <row r="438" spans="1:7" ht="15" customHeight="1" x14ac:dyDescent="0.15">
      <c r="A438">
        <f>IF(INDEX(Transactions!$J:$J,ROW()-8)="","",INDEX(Transactions!$J:$J,ROW()-8))</f>
      </c>
      <c r="B438" s="297">
        <f>IF($A438="",TODAY(),INDEX(Transactions!$G:$G,ROW()-8))</f>
      </c>
      <c r="C438">
        <f>IF($A438="","",INDEX(Transactions!$A:$A,ROW()-8))</f>
      </c>
      <c r="D438" s="30">
        <f>IF($A438="",0,INDEX(Transactions!$H:$H,ROW()-8))</f>
      </c>
      <c r="E438">
        <f>IF($A438="",1,INDEX(Transactions!$N:$N,ROW()-8))</f>
        <v>1</v>
      </c>
      <c r="F438" s="30">
        <f>IF($A438="",0,INDEX(Transactions!$O:$O,ROW()-8))</f>
      </c>
      <c r="G438" s="30">
        <f>IF($A438="",0,INDEX(Transactions!$P:$P,ROW()-8))</f>
      </c>
    </row>
    <row r="439" spans="1:7" ht="15" customHeight="1" x14ac:dyDescent="0.15">
      <c r="A439">
        <f>IF(INDEX(Transactions!$J:$J,ROW()-8)="","",INDEX(Transactions!$J:$J,ROW()-8))</f>
      </c>
      <c r="B439" s="297">
        <f>IF($A439="",TODAY(),INDEX(Transactions!$G:$G,ROW()-8))</f>
      </c>
      <c r="C439">
        <f>IF($A439="","",INDEX(Transactions!$A:$A,ROW()-8))</f>
      </c>
      <c r="D439" s="30">
        <f>IF($A439="",0,INDEX(Transactions!$H:$H,ROW()-8))</f>
      </c>
      <c r="E439">
        <f>IF($A439="",1,INDEX(Transactions!$N:$N,ROW()-8))</f>
        <v>1</v>
      </c>
      <c r="F439" s="30">
        <f>IF($A439="",0,INDEX(Transactions!$O:$O,ROW()-8))</f>
      </c>
      <c r="G439" s="30">
        <f>IF($A439="",0,INDEX(Transactions!$P:$P,ROW()-8))</f>
      </c>
    </row>
    <row r="440" spans="1:7" ht="15" customHeight="1" x14ac:dyDescent="0.15">
      <c r="A440">
        <f>IF(INDEX(Transactions!$J:$J,ROW()-8)="","",INDEX(Transactions!$J:$J,ROW()-8))</f>
      </c>
      <c r="B440" s="297">
        <f>IF($A440="",TODAY(),INDEX(Transactions!$G:$G,ROW()-8))</f>
      </c>
      <c r="C440">
        <f>IF($A440="","",INDEX(Transactions!$A:$A,ROW()-8))</f>
      </c>
      <c r="D440" s="30">
        <f>IF($A440="",0,INDEX(Transactions!$H:$H,ROW()-8))</f>
      </c>
      <c r="E440">
        <f>IF($A440="",1,INDEX(Transactions!$N:$N,ROW()-8))</f>
        <v>1</v>
      </c>
      <c r="F440" s="30">
        <f>IF($A440="",0,INDEX(Transactions!$O:$O,ROW()-8))</f>
      </c>
      <c r="G440" s="30">
        <f>IF($A440="",0,INDEX(Transactions!$P:$P,ROW()-8))</f>
      </c>
    </row>
    <row r="441" spans="1:7" ht="15" customHeight="1" x14ac:dyDescent="0.15">
      <c r="A441">
        <f>IF(INDEX(Transactions!$J:$J,ROW()-8)="","",INDEX(Transactions!$J:$J,ROW()-8))</f>
      </c>
      <c r="B441" s="297">
        <f>IF($A441="",TODAY(),INDEX(Transactions!$G:$G,ROW()-8))</f>
      </c>
      <c r="C441">
        <f>IF($A441="","",INDEX(Transactions!$A:$A,ROW()-8))</f>
      </c>
      <c r="D441" s="30">
        <f>IF($A441="",0,INDEX(Transactions!$H:$H,ROW()-8))</f>
      </c>
      <c r="E441">
        <f>IF($A441="",1,INDEX(Transactions!$N:$N,ROW()-8))</f>
        <v>1</v>
      </c>
      <c r="F441" s="30">
        <f>IF($A441="",0,INDEX(Transactions!$O:$O,ROW()-8))</f>
      </c>
      <c r="G441" s="30">
        <f>IF($A441="",0,INDEX(Transactions!$P:$P,ROW()-8))</f>
      </c>
    </row>
    <row r="442" spans="1:7" ht="15" customHeight="1" x14ac:dyDescent="0.15">
      <c r="A442">
        <f>IF(INDEX(Transactions!$J:$J,ROW()-8)="","",INDEX(Transactions!$J:$J,ROW()-8))</f>
      </c>
      <c r="B442" s="297">
        <f>IF($A442="",TODAY(),INDEX(Transactions!$G:$G,ROW()-8))</f>
      </c>
      <c r="C442">
        <f>IF($A442="","",INDEX(Transactions!$A:$A,ROW()-8))</f>
      </c>
      <c r="D442" s="30">
        <f>IF($A442="",0,INDEX(Transactions!$H:$H,ROW()-8))</f>
      </c>
      <c r="E442">
        <f>IF($A442="",1,INDEX(Transactions!$N:$N,ROW()-8))</f>
        <v>1</v>
      </c>
      <c r="F442" s="30">
        <f>IF($A442="",0,INDEX(Transactions!$O:$O,ROW()-8))</f>
      </c>
      <c r="G442" s="30">
        <f>IF($A442="",0,INDEX(Transactions!$P:$P,ROW()-8))</f>
      </c>
    </row>
    <row r="443" spans="1:7" ht="15" customHeight="1" x14ac:dyDescent="0.15">
      <c r="A443">
        <f>IF(INDEX(Transactions!$J:$J,ROW()-8)="","",INDEX(Transactions!$J:$J,ROW()-8))</f>
      </c>
      <c r="B443" s="297">
        <f>IF($A443="",TODAY(),INDEX(Transactions!$G:$G,ROW()-8))</f>
      </c>
      <c r="C443">
        <f>IF($A443="","",INDEX(Transactions!$A:$A,ROW()-8))</f>
      </c>
      <c r="D443" s="30">
        <f>IF($A443="",0,INDEX(Transactions!$H:$H,ROW()-8))</f>
      </c>
      <c r="E443">
        <f>IF($A443="",1,INDEX(Transactions!$N:$N,ROW()-8))</f>
        <v>1</v>
      </c>
      <c r="F443" s="30">
        <f>IF($A443="",0,INDEX(Transactions!$O:$O,ROW()-8))</f>
      </c>
      <c r="G443" s="30">
        <f>IF($A443="",0,INDEX(Transactions!$P:$P,ROW()-8))</f>
      </c>
    </row>
    <row r="444" spans="1:7" ht="15" customHeight="1" x14ac:dyDescent="0.15">
      <c r="A444">
        <f>IF(INDEX(Transactions!$J:$J,ROW()-8)="","",INDEX(Transactions!$J:$J,ROW()-8))</f>
      </c>
      <c r="B444" s="297">
        <f>IF($A444="",TODAY(),INDEX(Transactions!$G:$G,ROW()-8))</f>
      </c>
      <c r="C444">
        <f>IF($A444="","",INDEX(Transactions!$A:$A,ROW()-8))</f>
      </c>
      <c r="D444" s="30">
        <f>IF($A444="",0,INDEX(Transactions!$H:$H,ROW()-8))</f>
      </c>
      <c r="E444">
        <f>IF($A444="",1,INDEX(Transactions!$N:$N,ROW()-8))</f>
        <v>1</v>
      </c>
      <c r="F444" s="30">
        <f>IF($A444="",0,INDEX(Transactions!$O:$O,ROW()-8))</f>
      </c>
      <c r="G444" s="30">
        <f>IF($A444="",0,INDEX(Transactions!$P:$P,ROW()-8))</f>
      </c>
    </row>
    <row r="445" spans="1:7" ht="15" customHeight="1" x14ac:dyDescent="0.15">
      <c r="A445">
        <f>IF(INDEX(Transactions!$J:$J,ROW()-8)="","",INDEX(Transactions!$J:$J,ROW()-8))</f>
      </c>
      <c r="B445" s="297">
        <f>IF($A445="",TODAY(),INDEX(Transactions!$G:$G,ROW()-8))</f>
      </c>
      <c r="C445">
        <f>IF($A445="","",INDEX(Transactions!$A:$A,ROW()-8))</f>
      </c>
      <c r="D445" s="30">
        <f>IF($A445="",0,INDEX(Transactions!$H:$H,ROW()-8))</f>
      </c>
      <c r="E445">
        <f>IF($A445="",1,INDEX(Transactions!$N:$N,ROW()-8))</f>
        <v>1</v>
      </c>
      <c r="F445" s="30">
        <f>IF($A445="",0,INDEX(Transactions!$O:$O,ROW()-8))</f>
      </c>
      <c r="G445" s="30">
        <f>IF($A445="",0,INDEX(Transactions!$P:$P,ROW()-8))</f>
      </c>
    </row>
    <row r="446" spans="1:7" ht="15" customHeight="1" x14ac:dyDescent="0.15">
      <c r="A446">
        <f>IF(INDEX(Transactions!$J:$J,ROW()-8)="","",INDEX(Transactions!$J:$J,ROW()-8))</f>
      </c>
      <c r="B446" s="297">
        <f>IF($A446="",TODAY(),INDEX(Transactions!$G:$G,ROW()-8))</f>
      </c>
      <c r="C446">
        <f>IF($A446="","",INDEX(Transactions!$A:$A,ROW()-8))</f>
      </c>
      <c r="D446" s="30">
        <f>IF($A446="",0,INDEX(Transactions!$H:$H,ROW()-8))</f>
      </c>
      <c r="E446">
        <f>IF($A446="",1,INDEX(Transactions!$N:$N,ROW()-8))</f>
        <v>1</v>
      </c>
      <c r="F446" s="30">
        <f>IF($A446="",0,INDEX(Transactions!$O:$O,ROW()-8))</f>
      </c>
      <c r="G446" s="30">
        <f>IF($A446="",0,INDEX(Transactions!$P:$P,ROW()-8))</f>
      </c>
    </row>
    <row r="447" spans="1:7" ht="15" customHeight="1" x14ac:dyDescent="0.15">
      <c r="A447">
        <f>IF(INDEX(Transactions!$J:$J,ROW()-8)="","",INDEX(Transactions!$J:$J,ROW()-8))</f>
      </c>
      <c r="B447" s="297">
        <f>IF($A447="",TODAY(),INDEX(Transactions!$G:$G,ROW()-8))</f>
      </c>
      <c r="C447">
        <f>IF($A447="","",INDEX(Transactions!$A:$A,ROW()-8))</f>
      </c>
      <c r="D447" s="30">
        <f>IF($A447="",0,INDEX(Transactions!$H:$H,ROW()-8))</f>
      </c>
      <c r="E447">
        <f>IF($A447="",1,INDEX(Transactions!$N:$N,ROW()-8))</f>
        <v>1</v>
      </c>
      <c r="F447" s="30">
        <f>IF($A447="",0,INDEX(Transactions!$O:$O,ROW()-8))</f>
      </c>
      <c r="G447" s="30">
        <f>IF($A447="",0,INDEX(Transactions!$P:$P,ROW()-8))</f>
      </c>
    </row>
    <row r="448" spans="1:7" ht="15" customHeight="1" x14ac:dyDescent="0.15">
      <c r="A448">
        <f>IF(INDEX(Transactions!$J:$J,ROW()-8)="","",INDEX(Transactions!$J:$J,ROW()-8))</f>
      </c>
      <c r="B448" s="297">
        <f>IF($A448="",TODAY(),INDEX(Transactions!$G:$G,ROW()-8))</f>
      </c>
      <c r="C448">
        <f>IF($A448="","",INDEX(Transactions!$A:$A,ROW()-8))</f>
      </c>
      <c r="D448" s="30">
        <f>IF($A448="",0,INDEX(Transactions!$H:$H,ROW()-8))</f>
      </c>
      <c r="E448">
        <f>IF($A448="",1,INDEX(Transactions!$N:$N,ROW()-8))</f>
        <v>1</v>
      </c>
      <c r="F448" s="30">
        <f>IF($A448="",0,INDEX(Transactions!$O:$O,ROW()-8))</f>
      </c>
      <c r="G448" s="30">
        <f>IF($A448="",0,INDEX(Transactions!$P:$P,ROW()-8))</f>
      </c>
    </row>
    <row r="449" spans="1:7" ht="15" customHeight="1" x14ac:dyDescent="0.15">
      <c r="A449">
        <f>IF(INDEX(Transactions!$J:$J,ROW()-8)="","",INDEX(Transactions!$J:$J,ROW()-8))</f>
      </c>
      <c r="B449" s="297">
        <f>IF($A449="",TODAY(),INDEX(Transactions!$G:$G,ROW()-8))</f>
      </c>
      <c r="C449">
        <f>IF($A449="","",INDEX(Transactions!$A:$A,ROW()-8))</f>
      </c>
      <c r="D449" s="30">
        <f>IF($A449="",0,INDEX(Transactions!$H:$H,ROW()-8))</f>
      </c>
      <c r="E449">
        <f>IF($A449="",1,INDEX(Transactions!$N:$N,ROW()-8))</f>
        <v>1</v>
      </c>
      <c r="F449" s="30">
        <f>IF($A449="",0,INDEX(Transactions!$O:$O,ROW()-8))</f>
      </c>
      <c r="G449" s="30">
        <f>IF($A449="",0,INDEX(Transactions!$P:$P,ROW()-8))</f>
      </c>
    </row>
    <row r="450" spans="1:7" ht="15" customHeight="1" x14ac:dyDescent="0.15">
      <c r="A450">
        <f>IF(INDEX(Transactions!$J:$J,ROW()-8)="","",INDEX(Transactions!$J:$J,ROW()-8))</f>
      </c>
      <c r="B450" s="297">
        <f>IF($A450="",TODAY(),INDEX(Transactions!$G:$G,ROW()-8))</f>
      </c>
      <c r="C450">
        <f>IF($A450="","",INDEX(Transactions!$A:$A,ROW()-8))</f>
      </c>
      <c r="D450" s="30">
        <f>IF($A450="",0,INDEX(Transactions!$H:$H,ROW()-8))</f>
      </c>
      <c r="E450">
        <f>IF($A450="",1,INDEX(Transactions!$N:$N,ROW()-8))</f>
        <v>1</v>
      </c>
      <c r="F450" s="30">
        <f>IF($A450="",0,INDEX(Transactions!$O:$O,ROW()-8))</f>
      </c>
      <c r="G450" s="30">
        <f>IF($A450="",0,INDEX(Transactions!$P:$P,ROW()-8))</f>
      </c>
    </row>
    <row r="451" spans="1:7" ht="15" customHeight="1" x14ac:dyDescent="0.15">
      <c r="A451">
        <f>IF(INDEX(Transactions!$J:$J,ROW()-8)="","",INDEX(Transactions!$J:$J,ROW()-8))</f>
      </c>
      <c r="B451" s="297">
        <f>IF($A451="",TODAY(),INDEX(Transactions!$G:$G,ROW()-8))</f>
      </c>
      <c r="C451">
        <f>IF($A451="","",INDEX(Transactions!$A:$A,ROW()-8))</f>
      </c>
      <c r="D451" s="30">
        <f>IF($A451="",0,INDEX(Transactions!$H:$H,ROW()-8))</f>
      </c>
      <c r="E451">
        <f>IF($A451="",1,INDEX(Transactions!$N:$N,ROW()-8))</f>
        <v>1</v>
      </c>
      <c r="F451" s="30">
        <f>IF($A451="",0,INDEX(Transactions!$O:$O,ROW()-8))</f>
      </c>
      <c r="G451" s="30">
        <f>IF($A451="",0,INDEX(Transactions!$P:$P,ROW()-8))</f>
      </c>
    </row>
    <row r="452" spans="1:7" ht="15" customHeight="1" x14ac:dyDescent="0.15">
      <c r="A452">
        <f>IF(INDEX(Transactions!$J:$J,ROW()-8)="","",INDEX(Transactions!$J:$J,ROW()-8))</f>
      </c>
      <c r="B452" s="297">
        <f>IF($A452="",TODAY(),INDEX(Transactions!$G:$G,ROW()-8))</f>
      </c>
      <c r="C452">
        <f>IF($A452="","",INDEX(Transactions!$A:$A,ROW()-8))</f>
      </c>
      <c r="D452" s="30">
        <f>IF($A452="",0,INDEX(Transactions!$H:$H,ROW()-8))</f>
      </c>
      <c r="E452">
        <f>IF($A452="",1,INDEX(Transactions!$N:$N,ROW()-8))</f>
        <v>1</v>
      </c>
      <c r="F452" s="30">
        <f>IF($A452="",0,INDEX(Transactions!$O:$O,ROW()-8))</f>
      </c>
      <c r="G452" s="30">
        <f>IF($A452="",0,INDEX(Transactions!$P:$P,ROW()-8))</f>
      </c>
    </row>
    <row r="453" spans="1:7" ht="15" customHeight="1" x14ac:dyDescent="0.15">
      <c r="A453">
        <f>IF(INDEX(Transactions!$J:$J,ROW()-8)="","",INDEX(Transactions!$J:$J,ROW()-8))</f>
      </c>
      <c r="B453" s="297">
        <f>IF($A453="",TODAY(),INDEX(Transactions!$G:$G,ROW()-8))</f>
      </c>
      <c r="C453">
        <f>IF($A453="","",INDEX(Transactions!$A:$A,ROW()-8))</f>
      </c>
      <c r="D453" s="30">
        <f>IF($A453="",0,INDEX(Transactions!$H:$H,ROW()-8))</f>
      </c>
      <c r="E453">
        <f>IF($A453="",1,INDEX(Transactions!$N:$N,ROW()-8))</f>
        <v>1</v>
      </c>
      <c r="F453" s="30">
        <f>IF($A453="",0,INDEX(Transactions!$O:$O,ROW()-8))</f>
      </c>
      <c r="G453" s="30">
        <f>IF($A453="",0,INDEX(Transactions!$P:$P,ROW()-8))</f>
      </c>
    </row>
    <row r="454" spans="1:7" ht="15" customHeight="1" x14ac:dyDescent="0.15">
      <c r="A454">
        <f>IF(INDEX(Transactions!$J:$J,ROW()-8)="","",INDEX(Transactions!$J:$J,ROW()-8))</f>
      </c>
      <c r="B454" s="297">
        <f>IF($A454="",TODAY(),INDEX(Transactions!$G:$G,ROW()-8))</f>
      </c>
      <c r="C454">
        <f>IF($A454="","",INDEX(Transactions!$A:$A,ROW()-8))</f>
      </c>
      <c r="D454" s="30">
        <f>IF($A454="",0,INDEX(Transactions!$H:$H,ROW()-8))</f>
      </c>
      <c r="E454">
        <f>IF($A454="",1,INDEX(Transactions!$N:$N,ROW()-8))</f>
        <v>1</v>
      </c>
      <c r="F454" s="30">
        <f>IF($A454="",0,INDEX(Transactions!$O:$O,ROW()-8))</f>
      </c>
      <c r="G454" s="30">
        <f>IF($A454="",0,INDEX(Transactions!$P:$P,ROW()-8))</f>
      </c>
    </row>
    <row r="455" spans="1:7" ht="15" customHeight="1" x14ac:dyDescent="0.15">
      <c r="A455">
        <f>IF(INDEX(Transactions!$J:$J,ROW()-8)="","",INDEX(Transactions!$J:$J,ROW()-8))</f>
      </c>
      <c r="B455" s="297">
        <f>IF($A455="",TODAY(),INDEX(Transactions!$G:$G,ROW()-8))</f>
      </c>
      <c r="C455">
        <f>IF($A455="","",INDEX(Transactions!$A:$A,ROW()-8))</f>
      </c>
      <c r="D455" s="30">
        <f>IF($A455="",0,INDEX(Transactions!$H:$H,ROW()-8))</f>
      </c>
      <c r="E455">
        <f>IF($A455="",1,INDEX(Transactions!$N:$N,ROW()-8))</f>
        <v>1</v>
      </c>
      <c r="F455" s="30">
        <f>IF($A455="",0,INDEX(Transactions!$O:$O,ROW()-8))</f>
      </c>
      <c r="G455" s="30">
        <f>IF($A455="",0,INDEX(Transactions!$P:$P,ROW()-8))</f>
      </c>
    </row>
    <row r="456" spans="1:7" ht="15" customHeight="1" x14ac:dyDescent="0.15">
      <c r="A456">
        <f>IF(INDEX(Transactions!$J:$J,ROW()-8)="","",INDEX(Transactions!$J:$J,ROW()-8))</f>
      </c>
      <c r="B456" s="297">
        <f>IF($A456="",TODAY(),INDEX(Transactions!$G:$G,ROW()-8))</f>
      </c>
      <c r="C456">
        <f>IF($A456="","",INDEX(Transactions!$A:$A,ROW()-8))</f>
      </c>
      <c r="D456" s="30">
        <f>IF($A456="",0,INDEX(Transactions!$H:$H,ROW()-8))</f>
      </c>
      <c r="E456">
        <f>IF($A456="",1,INDEX(Transactions!$N:$N,ROW()-8))</f>
        <v>1</v>
      </c>
      <c r="F456" s="30">
        <f>IF($A456="",0,INDEX(Transactions!$O:$O,ROW()-8))</f>
      </c>
      <c r="G456" s="30">
        <f>IF($A456="",0,INDEX(Transactions!$P:$P,ROW()-8))</f>
      </c>
    </row>
    <row r="457" spans="1:7" ht="15" customHeight="1" x14ac:dyDescent="0.15">
      <c r="A457">
        <f>IF(INDEX(Transactions!$J:$J,ROW()-8)="","",INDEX(Transactions!$J:$J,ROW()-8))</f>
      </c>
      <c r="B457" s="297">
        <f>IF($A457="",TODAY(),INDEX(Transactions!$G:$G,ROW()-8))</f>
      </c>
      <c r="C457">
        <f>IF($A457="","",INDEX(Transactions!$A:$A,ROW()-8))</f>
      </c>
      <c r="D457" s="30">
        <f>IF($A457="",0,INDEX(Transactions!$H:$H,ROW()-8))</f>
      </c>
      <c r="E457">
        <f>IF($A457="",1,INDEX(Transactions!$N:$N,ROW()-8))</f>
        <v>1</v>
      </c>
      <c r="F457" s="30">
        <f>IF($A457="",0,INDEX(Transactions!$O:$O,ROW()-8))</f>
      </c>
      <c r="G457" s="30">
        <f>IF($A457="",0,INDEX(Transactions!$P:$P,ROW()-8))</f>
      </c>
    </row>
    <row r="458" spans="1:7" ht="15" customHeight="1" x14ac:dyDescent="0.15">
      <c r="A458">
        <f>IF(INDEX(Transactions!$J:$J,ROW()-8)="","",INDEX(Transactions!$J:$J,ROW()-8))</f>
      </c>
      <c r="B458" s="297">
        <f>IF($A458="",TODAY(),INDEX(Transactions!$G:$G,ROW()-8))</f>
      </c>
      <c r="C458">
        <f>IF($A458="","",INDEX(Transactions!$A:$A,ROW()-8))</f>
      </c>
      <c r="D458" s="30">
        <f>IF($A458="",0,INDEX(Transactions!$H:$H,ROW()-8))</f>
      </c>
      <c r="E458">
        <f>IF($A458="",1,INDEX(Transactions!$N:$N,ROW()-8))</f>
        <v>1</v>
      </c>
      <c r="F458" s="30">
        <f>IF($A458="",0,INDEX(Transactions!$O:$O,ROW()-8))</f>
      </c>
      <c r="G458" s="30">
        <f>IF($A458="",0,INDEX(Transactions!$P:$P,ROW()-8))</f>
      </c>
    </row>
    <row r="459" spans="1:7" ht="15" customHeight="1" x14ac:dyDescent="0.15">
      <c r="A459">
        <f>IF(INDEX(Transactions!$J:$J,ROW()-8)="","",INDEX(Transactions!$J:$J,ROW()-8))</f>
      </c>
      <c r="B459" s="297">
        <f>IF($A459="",TODAY(),INDEX(Transactions!$G:$G,ROW()-8))</f>
      </c>
      <c r="C459">
        <f>IF($A459="","",INDEX(Transactions!$A:$A,ROW()-8))</f>
      </c>
      <c r="D459" s="30">
        <f>IF($A459="",0,INDEX(Transactions!$H:$H,ROW()-8))</f>
      </c>
      <c r="E459">
        <f>IF($A459="",1,INDEX(Transactions!$N:$N,ROW()-8))</f>
        <v>1</v>
      </c>
      <c r="F459" s="30">
        <f>IF($A459="",0,INDEX(Transactions!$O:$O,ROW()-8))</f>
      </c>
      <c r="G459" s="30">
        <f>IF($A459="",0,INDEX(Transactions!$P:$P,ROW()-8))</f>
      </c>
    </row>
    <row r="460" spans="1:7" ht="15" customHeight="1" x14ac:dyDescent="0.15">
      <c r="A460">
        <f>IF(INDEX(Transactions!$J:$J,ROW()-8)="","",INDEX(Transactions!$J:$J,ROW()-8))</f>
      </c>
      <c r="B460" s="297">
        <f>IF($A460="",TODAY(),INDEX(Transactions!$G:$G,ROW()-8))</f>
      </c>
      <c r="C460">
        <f>IF($A460="","",INDEX(Transactions!$A:$A,ROW()-8))</f>
      </c>
      <c r="D460" s="30">
        <f>IF($A460="",0,INDEX(Transactions!$H:$H,ROW()-8))</f>
      </c>
      <c r="E460">
        <f>IF($A460="",1,INDEX(Transactions!$N:$N,ROW()-8))</f>
        <v>1</v>
      </c>
      <c r="F460" s="30">
        <f>IF($A460="",0,INDEX(Transactions!$O:$O,ROW()-8))</f>
      </c>
      <c r="G460" s="30">
        <f>IF($A460="",0,INDEX(Transactions!$P:$P,ROW()-8))</f>
      </c>
    </row>
    <row r="461" spans="1:7" ht="15" customHeight="1" x14ac:dyDescent="0.15">
      <c r="A461">
        <f>IF(INDEX(Transactions!$J:$J,ROW()-8)="","",INDEX(Transactions!$J:$J,ROW()-8))</f>
      </c>
      <c r="B461" s="297">
        <f>IF($A461="",TODAY(),INDEX(Transactions!$G:$G,ROW()-8))</f>
      </c>
      <c r="C461">
        <f>IF($A461="","",INDEX(Transactions!$A:$A,ROW()-8))</f>
      </c>
      <c r="D461" s="30">
        <f>IF($A461="",0,INDEX(Transactions!$H:$H,ROW()-8))</f>
      </c>
      <c r="E461">
        <f>IF($A461="",1,INDEX(Transactions!$N:$N,ROW()-8))</f>
        <v>1</v>
      </c>
      <c r="F461" s="30">
        <f>IF($A461="",0,INDEX(Transactions!$O:$O,ROW()-8))</f>
      </c>
      <c r="G461" s="30">
        <f>IF($A461="",0,INDEX(Transactions!$P:$P,ROW()-8))</f>
      </c>
    </row>
    <row r="462" spans="1:7" ht="15" customHeight="1" x14ac:dyDescent="0.15">
      <c r="A462">
        <f>IF(INDEX(Transactions!$J:$J,ROW()-8)="","",INDEX(Transactions!$J:$J,ROW()-8))</f>
      </c>
      <c r="B462" s="297">
        <f>IF($A462="",TODAY(),INDEX(Transactions!$G:$G,ROW()-8))</f>
      </c>
      <c r="C462">
        <f>IF($A462="","",INDEX(Transactions!$A:$A,ROW()-8))</f>
      </c>
      <c r="D462" s="30">
        <f>IF($A462="",0,INDEX(Transactions!$H:$H,ROW()-8))</f>
      </c>
      <c r="E462">
        <f>IF($A462="",1,INDEX(Transactions!$N:$N,ROW()-8))</f>
        <v>1</v>
      </c>
      <c r="F462" s="30">
        <f>IF($A462="",0,INDEX(Transactions!$O:$O,ROW()-8))</f>
      </c>
      <c r="G462" s="30">
        <f>IF($A462="",0,INDEX(Transactions!$P:$P,ROW()-8))</f>
      </c>
    </row>
    <row r="463" spans="1:7" ht="15" customHeight="1" x14ac:dyDescent="0.15">
      <c r="A463">
        <f>IF(INDEX(Transactions!$J:$J,ROW()-8)="","",INDEX(Transactions!$J:$J,ROW()-8))</f>
      </c>
      <c r="B463" s="297">
        <f>IF($A463="",TODAY(),INDEX(Transactions!$G:$G,ROW()-8))</f>
      </c>
      <c r="C463">
        <f>IF($A463="","",INDEX(Transactions!$A:$A,ROW()-8))</f>
      </c>
      <c r="D463" s="30">
        <f>IF($A463="",0,INDEX(Transactions!$H:$H,ROW()-8))</f>
      </c>
      <c r="E463">
        <f>IF($A463="",1,INDEX(Transactions!$N:$N,ROW()-8))</f>
        <v>1</v>
      </c>
      <c r="F463" s="30">
        <f>IF($A463="",0,INDEX(Transactions!$O:$O,ROW()-8))</f>
      </c>
      <c r="G463" s="30">
        <f>IF($A463="",0,INDEX(Transactions!$P:$P,ROW()-8))</f>
      </c>
    </row>
    <row r="464" spans="1:7" ht="15" customHeight="1" x14ac:dyDescent="0.15">
      <c r="A464">
        <f>IF(INDEX(Transactions!$J:$J,ROW()-8)="","",INDEX(Transactions!$J:$J,ROW()-8))</f>
      </c>
      <c r="B464" s="297">
        <f>IF($A464="",TODAY(),INDEX(Transactions!$G:$G,ROW()-8))</f>
      </c>
      <c r="C464">
        <f>IF($A464="","",INDEX(Transactions!$A:$A,ROW()-8))</f>
      </c>
      <c r="D464" s="30">
        <f>IF($A464="",0,INDEX(Transactions!$H:$H,ROW()-8))</f>
      </c>
      <c r="E464">
        <f>IF($A464="",1,INDEX(Transactions!$N:$N,ROW()-8))</f>
        <v>1</v>
      </c>
      <c r="F464" s="30">
        <f>IF($A464="",0,INDEX(Transactions!$O:$O,ROW()-8))</f>
      </c>
      <c r="G464" s="30">
        <f>IF($A464="",0,INDEX(Transactions!$P:$P,ROW()-8))</f>
      </c>
    </row>
    <row r="465" spans="1:7" ht="15" customHeight="1" x14ac:dyDescent="0.15">
      <c r="A465">
        <f>IF(INDEX(Transactions!$J:$J,ROW()-8)="","",INDEX(Transactions!$J:$J,ROW()-8))</f>
      </c>
      <c r="B465" s="297">
        <f>IF($A465="",TODAY(),INDEX(Transactions!$G:$G,ROW()-8))</f>
      </c>
      <c r="C465">
        <f>IF($A465="","",INDEX(Transactions!$A:$A,ROW()-8))</f>
      </c>
      <c r="D465" s="30">
        <f>IF($A465="",0,INDEX(Transactions!$H:$H,ROW()-8))</f>
      </c>
      <c r="E465">
        <f>IF($A465="",1,INDEX(Transactions!$N:$N,ROW()-8))</f>
        <v>1</v>
      </c>
      <c r="F465" s="30">
        <f>IF($A465="",0,INDEX(Transactions!$O:$O,ROW()-8))</f>
      </c>
      <c r="G465" s="30">
        <f>IF($A465="",0,INDEX(Transactions!$P:$P,ROW()-8))</f>
      </c>
    </row>
    <row r="466" spans="1:7" ht="15" customHeight="1" x14ac:dyDescent="0.15">
      <c r="A466">
        <f>IF(INDEX(Transactions!$J:$J,ROW()-8)="","",INDEX(Transactions!$J:$J,ROW()-8))</f>
      </c>
      <c r="B466" s="297">
        <f>IF($A466="",TODAY(),INDEX(Transactions!$G:$G,ROW()-8))</f>
      </c>
      <c r="C466">
        <f>IF($A466="","",INDEX(Transactions!$A:$A,ROW()-8))</f>
      </c>
      <c r="D466" s="30">
        <f>IF($A466="",0,INDEX(Transactions!$H:$H,ROW()-8))</f>
      </c>
      <c r="E466">
        <f>IF($A466="",1,INDEX(Transactions!$N:$N,ROW()-8))</f>
        <v>1</v>
      </c>
      <c r="F466" s="30">
        <f>IF($A466="",0,INDEX(Transactions!$O:$O,ROW()-8))</f>
      </c>
      <c r="G466" s="30">
        <f>IF($A466="",0,INDEX(Transactions!$P:$P,ROW()-8))</f>
      </c>
    </row>
    <row r="467" spans="1:7" ht="15" customHeight="1" x14ac:dyDescent="0.15">
      <c r="A467">
        <f>IF(INDEX(Transactions!$J:$J,ROW()-8)="","",INDEX(Transactions!$J:$J,ROW()-8))</f>
      </c>
      <c r="B467" s="297">
        <f>IF($A467="",TODAY(),INDEX(Transactions!$G:$G,ROW()-8))</f>
      </c>
      <c r="C467">
        <f>IF($A467="","",INDEX(Transactions!$A:$A,ROW()-8))</f>
      </c>
      <c r="D467" s="30">
        <f>IF($A467="",0,INDEX(Transactions!$H:$H,ROW()-8))</f>
      </c>
      <c r="E467">
        <f>IF($A467="",1,INDEX(Transactions!$N:$N,ROW()-8))</f>
        <v>1</v>
      </c>
      <c r="F467" s="30">
        <f>IF($A467="",0,INDEX(Transactions!$O:$O,ROW()-8))</f>
      </c>
      <c r="G467" s="30">
        <f>IF($A467="",0,INDEX(Transactions!$P:$P,ROW()-8))</f>
      </c>
    </row>
    <row r="468" spans="1:7" ht="15" customHeight="1" x14ac:dyDescent="0.15">
      <c r="A468">
        <f>IF(INDEX(Transactions!$J:$J,ROW()-8)="","",INDEX(Transactions!$J:$J,ROW()-8))</f>
      </c>
      <c r="B468" s="297">
        <f>IF($A468="",TODAY(),INDEX(Transactions!$G:$G,ROW()-8))</f>
      </c>
      <c r="C468">
        <f>IF($A468="","",INDEX(Transactions!$A:$A,ROW()-8))</f>
      </c>
      <c r="D468" s="30">
        <f>IF($A468="",0,INDEX(Transactions!$H:$H,ROW()-8))</f>
      </c>
      <c r="E468">
        <f>IF($A468="",1,INDEX(Transactions!$N:$N,ROW()-8))</f>
        <v>1</v>
      </c>
      <c r="F468" s="30">
        <f>IF($A468="",0,INDEX(Transactions!$O:$O,ROW()-8))</f>
      </c>
      <c r="G468" s="30">
        <f>IF($A468="",0,INDEX(Transactions!$P:$P,ROW()-8))</f>
      </c>
    </row>
    <row r="469" spans="1:7" ht="15" customHeight="1" x14ac:dyDescent="0.15">
      <c r="A469">
        <f>IF(INDEX(Transactions!$J:$J,ROW()-8)="","",INDEX(Transactions!$J:$J,ROW()-8))</f>
      </c>
      <c r="B469" s="297">
        <f>IF($A469="",TODAY(),INDEX(Transactions!$G:$G,ROW()-8))</f>
      </c>
      <c r="C469">
        <f>IF($A469="","",INDEX(Transactions!$A:$A,ROW()-8))</f>
      </c>
      <c r="D469" s="30">
        <f>IF($A469="",0,INDEX(Transactions!$H:$H,ROW()-8))</f>
      </c>
      <c r="E469">
        <f>IF($A469="",1,INDEX(Transactions!$N:$N,ROW()-8))</f>
        <v>1</v>
      </c>
      <c r="F469" s="30">
        <f>IF($A469="",0,INDEX(Transactions!$O:$O,ROW()-8))</f>
      </c>
      <c r="G469" s="30">
        <f>IF($A469="",0,INDEX(Transactions!$P:$P,ROW()-8))</f>
      </c>
    </row>
    <row r="470" spans="1:7" ht="15" customHeight="1" x14ac:dyDescent="0.15">
      <c r="A470">
        <f>IF(INDEX(Transactions!$J:$J,ROW()-8)="","",INDEX(Transactions!$J:$J,ROW()-8))</f>
      </c>
      <c r="B470" s="297">
        <f>IF($A470="",TODAY(),INDEX(Transactions!$G:$G,ROW()-8))</f>
      </c>
      <c r="C470">
        <f>IF($A470="","",INDEX(Transactions!$A:$A,ROW()-8))</f>
      </c>
      <c r="D470" s="30">
        <f>IF($A470="",0,INDEX(Transactions!$H:$H,ROW()-8))</f>
      </c>
      <c r="E470">
        <f>IF($A470="",1,INDEX(Transactions!$N:$N,ROW()-8))</f>
        <v>1</v>
      </c>
      <c r="F470" s="30">
        <f>IF($A470="",0,INDEX(Transactions!$O:$O,ROW()-8))</f>
      </c>
      <c r="G470" s="30">
        <f>IF($A470="",0,INDEX(Transactions!$P:$P,ROW()-8))</f>
      </c>
    </row>
    <row r="471" spans="1:7" ht="15" customHeight="1" x14ac:dyDescent="0.15">
      <c r="A471">
        <f>IF(INDEX(Transactions!$J:$J,ROW()-8)="","",INDEX(Transactions!$J:$J,ROW()-8))</f>
      </c>
      <c r="B471" s="297">
        <f>IF($A471="",TODAY(),INDEX(Transactions!$G:$G,ROW()-8))</f>
      </c>
      <c r="C471">
        <f>IF($A471="","",INDEX(Transactions!$A:$A,ROW()-8))</f>
      </c>
      <c r="D471" s="30">
        <f>IF($A471="",0,INDEX(Transactions!$H:$H,ROW()-8))</f>
      </c>
      <c r="E471">
        <f>IF($A471="",1,INDEX(Transactions!$N:$N,ROW()-8))</f>
        <v>1</v>
      </c>
      <c r="F471" s="30">
        <f>IF($A471="",0,INDEX(Transactions!$O:$O,ROW()-8))</f>
      </c>
      <c r="G471" s="30">
        <f>IF($A471="",0,INDEX(Transactions!$P:$P,ROW()-8))</f>
      </c>
    </row>
    <row r="472" spans="1:7" ht="15" customHeight="1" x14ac:dyDescent="0.15">
      <c r="A472">
        <f>IF(INDEX(Transactions!$J:$J,ROW()-8)="","",INDEX(Transactions!$J:$J,ROW()-8))</f>
      </c>
      <c r="B472" s="297">
        <f>IF($A472="",TODAY(),INDEX(Transactions!$G:$G,ROW()-8))</f>
      </c>
      <c r="C472">
        <f>IF($A472="","",INDEX(Transactions!$A:$A,ROW()-8))</f>
      </c>
      <c r="D472" s="30">
        <f>IF($A472="",0,INDEX(Transactions!$H:$H,ROW()-8))</f>
      </c>
      <c r="E472">
        <f>IF($A472="",1,INDEX(Transactions!$N:$N,ROW()-8))</f>
        <v>1</v>
      </c>
      <c r="F472" s="30">
        <f>IF($A472="",0,INDEX(Transactions!$O:$O,ROW()-8))</f>
      </c>
      <c r="G472" s="30">
        <f>IF($A472="",0,INDEX(Transactions!$P:$P,ROW()-8))</f>
      </c>
    </row>
    <row r="473" spans="1:7" ht="15" customHeight="1" x14ac:dyDescent="0.15">
      <c r="A473">
        <f>IF(INDEX(Transactions!$J:$J,ROW()-8)="","",INDEX(Transactions!$J:$J,ROW()-8))</f>
      </c>
      <c r="B473" s="297">
        <f>IF($A473="",TODAY(),INDEX(Transactions!$G:$G,ROW()-8))</f>
      </c>
      <c r="C473">
        <f>IF($A473="","",INDEX(Transactions!$A:$A,ROW()-8))</f>
      </c>
      <c r="D473" s="30">
        <f>IF($A473="",0,INDEX(Transactions!$H:$H,ROW()-8))</f>
      </c>
      <c r="E473">
        <f>IF($A473="",1,INDEX(Transactions!$N:$N,ROW()-8))</f>
        <v>1</v>
      </c>
      <c r="F473" s="30">
        <f>IF($A473="",0,INDEX(Transactions!$O:$O,ROW()-8))</f>
      </c>
      <c r="G473" s="30">
        <f>IF($A473="",0,INDEX(Transactions!$P:$P,ROW()-8))</f>
      </c>
    </row>
    <row r="474" spans="1:7" ht="15" customHeight="1" x14ac:dyDescent="0.15">
      <c r="A474">
        <f>IF(INDEX(Transactions!$J:$J,ROW()-8)="","",INDEX(Transactions!$J:$J,ROW()-8))</f>
      </c>
      <c r="B474" s="297">
        <f>IF($A474="",TODAY(),INDEX(Transactions!$G:$G,ROW()-8))</f>
      </c>
      <c r="C474">
        <f>IF($A474="","",INDEX(Transactions!$A:$A,ROW()-8))</f>
      </c>
      <c r="D474" s="30">
        <f>IF($A474="",0,INDEX(Transactions!$H:$H,ROW()-8))</f>
      </c>
      <c r="E474">
        <f>IF($A474="",1,INDEX(Transactions!$N:$N,ROW()-8))</f>
        <v>1</v>
      </c>
      <c r="F474" s="30">
        <f>IF($A474="",0,INDEX(Transactions!$O:$O,ROW()-8))</f>
      </c>
      <c r="G474" s="30">
        <f>IF($A474="",0,INDEX(Transactions!$P:$P,ROW()-8))</f>
      </c>
    </row>
    <row r="475" spans="1:7" ht="15" customHeight="1" x14ac:dyDescent="0.15">
      <c r="A475">
        <f>IF(INDEX(Transactions!$J:$J,ROW()-8)="","",INDEX(Transactions!$J:$J,ROW()-8))</f>
      </c>
      <c r="B475" s="297">
        <f>IF($A475="",TODAY(),INDEX(Transactions!$G:$G,ROW()-8))</f>
      </c>
      <c r="C475">
        <f>IF($A475="","",INDEX(Transactions!$A:$A,ROW()-8))</f>
      </c>
      <c r="D475" s="30">
        <f>IF($A475="",0,INDEX(Transactions!$H:$H,ROW()-8))</f>
      </c>
      <c r="E475">
        <f>IF($A475="",1,INDEX(Transactions!$N:$N,ROW()-8))</f>
        <v>1</v>
      </c>
      <c r="F475" s="30">
        <f>IF($A475="",0,INDEX(Transactions!$O:$O,ROW()-8))</f>
      </c>
      <c r="G475" s="30">
        <f>IF($A475="",0,INDEX(Transactions!$P:$P,ROW()-8))</f>
      </c>
    </row>
    <row r="476" spans="1:7" ht="15" customHeight="1" x14ac:dyDescent="0.15">
      <c r="A476">
        <f>IF(INDEX(Transactions!$J:$J,ROW()-8)="","",INDEX(Transactions!$J:$J,ROW()-8))</f>
      </c>
      <c r="B476" s="297">
        <f>IF($A476="",TODAY(),INDEX(Transactions!$G:$G,ROW()-8))</f>
      </c>
      <c r="C476">
        <f>IF($A476="","",INDEX(Transactions!$A:$A,ROW()-8))</f>
      </c>
      <c r="D476" s="30">
        <f>IF($A476="",0,INDEX(Transactions!$H:$H,ROW()-8))</f>
      </c>
      <c r="E476">
        <f>IF($A476="",1,INDEX(Transactions!$N:$N,ROW()-8))</f>
        <v>1</v>
      </c>
      <c r="F476" s="30">
        <f>IF($A476="",0,INDEX(Transactions!$O:$O,ROW()-8))</f>
      </c>
      <c r="G476" s="30">
        <f>IF($A476="",0,INDEX(Transactions!$P:$P,ROW()-8))</f>
      </c>
    </row>
    <row r="477" spans="1:7" ht="15" customHeight="1" x14ac:dyDescent="0.15">
      <c r="A477">
        <f>IF(INDEX(Transactions!$J:$J,ROW()-8)="","",INDEX(Transactions!$J:$J,ROW()-8))</f>
      </c>
      <c r="B477" s="297">
        <f>IF($A477="",TODAY(),INDEX(Transactions!$G:$G,ROW()-8))</f>
      </c>
      <c r="C477">
        <f>IF($A477="","",INDEX(Transactions!$A:$A,ROW()-8))</f>
      </c>
      <c r="D477" s="30">
        <f>IF($A477="",0,INDEX(Transactions!$H:$H,ROW()-8))</f>
      </c>
      <c r="E477">
        <f>IF($A477="",1,INDEX(Transactions!$N:$N,ROW()-8))</f>
        <v>1</v>
      </c>
      <c r="F477" s="30">
        <f>IF($A477="",0,INDEX(Transactions!$O:$O,ROW()-8))</f>
      </c>
      <c r="G477" s="30">
        <f>IF($A477="",0,INDEX(Transactions!$P:$P,ROW()-8))</f>
      </c>
    </row>
    <row r="478" spans="1:7" ht="15" customHeight="1" x14ac:dyDescent="0.15">
      <c r="A478">
        <f>IF(INDEX(Transactions!$J:$J,ROW()-8)="","",INDEX(Transactions!$J:$J,ROW()-8))</f>
      </c>
      <c r="B478" s="297">
        <f>IF($A478="",TODAY(),INDEX(Transactions!$G:$G,ROW()-8))</f>
      </c>
      <c r="C478">
        <f>IF($A478="","",INDEX(Transactions!$A:$A,ROW()-8))</f>
      </c>
      <c r="D478" s="30">
        <f>IF($A478="",0,INDEX(Transactions!$H:$H,ROW()-8))</f>
      </c>
      <c r="E478">
        <f>IF($A478="",1,INDEX(Transactions!$N:$N,ROW()-8))</f>
        <v>1</v>
      </c>
      <c r="F478" s="30">
        <f>IF($A478="",0,INDEX(Transactions!$O:$O,ROW()-8))</f>
      </c>
      <c r="G478" s="30">
        <f>IF($A478="",0,INDEX(Transactions!$P:$P,ROW()-8))</f>
      </c>
    </row>
    <row r="479" spans="1:7" ht="15" customHeight="1" x14ac:dyDescent="0.15">
      <c r="A479">
        <f>IF(INDEX(Transactions!$J:$J,ROW()-8)="","",INDEX(Transactions!$J:$J,ROW()-8))</f>
      </c>
      <c r="B479" s="297">
        <f>IF($A479="",TODAY(),INDEX(Transactions!$G:$G,ROW()-8))</f>
      </c>
      <c r="C479">
        <f>IF($A479="","",INDEX(Transactions!$A:$A,ROW()-8))</f>
      </c>
      <c r="D479" s="30">
        <f>IF($A479="",0,INDEX(Transactions!$H:$H,ROW()-8))</f>
      </c>
      <c r="E479">
        <f>IF($A479="",1,INDEX(Transactions!$N:$N,ROW()-8))</f>
        <v>1</v>
      </c>
      <c r="F479" s="30">
        <f>IF($A479="",0,INDEX(Transactions!$O:$O,ROW()-8))</f>
      </c>
      <c r="G479" s="30">
        <f>IF($A479="",0,INDEX(Transactions!$P:$P,ROW()-8))</f>
      </c>
    </row>
    <row r="480" spans="1:7" ht="15" customHeight="1" x14ac:dyDescent="0.15">
      <c r="A480">
        <f>IF(INDEX(Transactions!$J:$J,ROW()-8)="","",INDEX(Transactions!$J:$J,ROW()-8))</f>
      </c>
      <c r="B480" s="297">
        <f>IF($A480="",TODAY(),INDEX(Transactions!$G:$G,ROW()-8))</f>
      </c>
      <c r="C480">
        <f>IF($A480="","",INDEX(Transactions!$A:$A,ROW()-8))</f>
      </c>
      <c r="D480" s="30">
        <f>IF($A480="",0,INDEX(Transactions!$H:$H,ROW()-8))</f>
      </c>
      <c r="E480">
        <f>IF($A480="",1,INDEX(Transactions!$N:$N,ROW()-8))</f>
        <v>1</v>
      </c>
      <c r="F480" s="30">
        <f>IF($A480="",0,INDEX(Transactions!$O:$O,ROW()-8))</f>
      </c>
      <c r="G480" s="30">
        <f>IF($A480="",0,INDEX(Transactions!$P:$P,ROW()-8))</f>
      </c>
    </row>
    <row r="481" spans="1:7" ht="15" customHeight="1" x14ac:dyDescent="0.15">
      <c r="A481">
        <f>IF(INDEX(Transactions!$J:$J,ROW()-8)="","",INDEX(Transactions!$J:$J,ROW()-8))</f>
      </c>
      <c r="B481" s="297">
        <f>IF($A481="",TODAY(),INDEX(Transactions!$G:$G,ROW()-8))</f>
      </c>
      <c r="C481">
        <f>IF($A481="","",INDEX(Transactions!$A:$A,ROW()-8))</f>
      </c>
      <c r="D481" s="30">
        <f>IF($A481="",0,INDEX(Transactions!$H:$H,ROW()-8))</f>
      </c>
      <c r="E481">
        <f>IF($A481="",1,INDEX(Transactions!$N:$N,ROW()-8))</f>
        <v>1</v>
      </c>
      <c r="F481" s="30">
        <f>IF($A481="",0,INDEX(Transactions!$O:$O,ROW()-8))</f>
      </c>
      <c r="G481" s="30">
        <f>IF($A481="",0,INDEX(Transactions!$P:$P,ROW()-8))</f>
      </c>
    </row>
    <row r="482" spans="1:7" ht="15" customHeight="1" x14ac:dyDescent="0.15">
      <c r="A482">
        <f>IF(INDEX(Transactions!$J:$J,ROW()-8)="","",INDEX(Transactions!$J:$J,ROW()-8))</f>
      </c>
      <c r="B482" s="297">
        <f>IF($A482="",TODAY(),INDEX(Transactions!$G:$G,ROW()-8))</f>
      </c>
      <c r="C482">
        <f>IF($A482="","",INDEX(Transactions!$A:$A,ROW()-8))</f>
      </c>
      <c r="D482" s="30">
        <f>IF($A482="",0,INDEX(Transactions!$H:$H,ROW()-8))</f>
      </c>
      <c r="E482">
        <f>IF($A482="",1,INDEX(Transactions!$N:$N,ROW()-8))</f>
        <v>1</v>
      </c>
      <c r="F482" s="30">
        <f>IF($A482="",0,INDEX(Transactions!$O:$O,ROW()-8))</f>
      </c>
      <c r="G482" s="30">
        <f>IF($A482="",0,INDEX(Transactions!$P:$P,ROW()-8))</f>
      </c>
    </row>
    <row r="483" spans="1:7" ht="15" customHeight="1" x14ac:dyDescent="0.15">
      <c r="A483">
        <f>IF(INDEX(Transactions!$J:$J,ROW()-8)="","",INDEX(Transactions!$J:$J,ROW()-8))</f>
      </c>
      <c r="B483" s="297">
        <f>IF($A483="",TODAY(),INDEX(Transactions!$G:$G,ROW()-8))</f>
      </c>
      <c r="C483">
        <f>IF($A483="","",INDEX(Transactions!$A:$A,ROW()-8))</f>
      </c>
      <c r="D483" s="30">
        <f>IF($A483="",0,INDEX(Transactions!$H:$H,ROW()-8))</f>
      </c>
      <c r="E483">
        <f>IF($A483="",1,INDEX(Transactions!$N:$N,ROW()-8))</f>
        <v>1</v>
      </c>
      <c r="F483" s="30">
        <f>IF($A483="",0,INDEX(Transactions!$O:$O,ROW()-8))</f>
      </c>
      <c r="G483" s="30">
        <f>IF($A483="",0,INDEX(Transactions!$P:$P,ROW()-8))</f>
      </c>
    </row>
    <row r="484" spans="1:7" ht="15" customHeight="1" x14ac:dyDescent="0.15">
      <c r="A484">
        <f>IF(INDEX(Transactions!$J:$J,ROW()-8)="","",INDEX(Transactions!$J:$J,ROW()-8))</f>
      </c>
      <c r="B484" s="297">
        <f>IF($A484="",TODAY(),INDEX(Transactions!$G:$G,ROW()-8))</f>
      </c>
      <c r="C484">
        <f>IF($A484="","",INDEX(Transactions!$A:$A,ROW()-8))</f>
      </c>
      <c r="D484" s="30">
        <f>IF($A484="",0,INDEX(Transactions!$H:$H,ROW()-8))</f>
      </c>
      <c r="E484">
        <f>IF($A484="",1,INDEX(Transactions!$N:$N,ROW()-8))</f>
        <v>1</v>
      </c>
      <c r="F484" s="30">
        <f>IF($A484="",0,INDEX(Transactions!$O:$O,ROW()-8))</f>
      </c>
      <c r="G484" s="30">
        <f>IF($A484="",0,INDEX(Transactions!$P:$P,ROW()-8))</f>
      </c>
    </row>
    <row r="485" spans="1:7" ht="15" customHeight="1" x14ac:dyDescent="0.15">
      <c r="A485">
        <f>IF(INDEX(Transactions!$J:$J,ROW()-8)="","",INDEX(Transactions!$J:$J,ROW()-8))</f>
      </c>
      <c r="B485" s="297">
        <f>IF($A485="",TODAY(),INDEX(Transactions!$G:$G,ROW()-8))</f>
      </c>
      <c r="C485">
        <f>IF($A485="","",INDEX(Transactions!$A:$A,ROW()-8))</f>
      </c>
      <c r="D485" s="30">
        <f>IF($A485="",0,INDEX(Transactions!$H:$H,ROW()-8))</f>
      </c>
      <c r="E485">
        <f>IF($A485="",1,INDEX(Transactions!$N:$N,ROW()-8))</f>
        <v>1</v>
      </c>
      <c r="F485" s="30">
        <f>IF($A485="",0,INDEX(Transactions!$O:$O,ROW()-8))</f>
      </c>
      <c r="G485" s="30">
        <f>IF($A485="",0,INDEX(Transactions!$P:$P,ROW()-8))</f>
      </c>
    </row>
    <row r="486" spans="1:7" ht="15" customHeight="1" x14ac:dyDescent="0.15">
      <c r="A486">
        <f>IF(INDEX(Transactions!$J:$J,ROW()-8)="","",INDEX(Transactions!$J:$J,ROW()-8))</f>
      </c>
      <c r="B486" s="297">
        <f>IF($A486="",TODAY(),INDEX(Transactions!$G:$G,ROW()-8))</f>
      </c>
      <c r="C486">
        <f>IF($A486="","",INDEX(Transactions!$A:$A,ROW()-8))</f>
      </c>
      <c r="D486" s="30">
        <f>IF($A486="",0,INDEX(Transactions!$H:$H,ROW()-8))</f>
      </c>
      <c r="E486">
        <f>IF($A486="",1,INDEX(Transactions!$N:$N,ROW()-8))</f>
        <v>1</v>
      </c>
      <c r="F486" s="30">
        <f>IF($A486="",0,INDEX(Transactions!$O:$O,ROW()-8))</f>
      </c>
      <c r="G486" s="30">
        <f>IF($A486="",0,INDEX(Transactions!$P:$P,ROW()-8))</f>
      </c>
    </row>
    <row r="487" spans="1:7" ht="15" customHeight="1" x14ac:dyDescent="0.15">
      <c r="A487">
        <f>IF(INDEX(Transactions!$J:$J,ROW()-8)="","",INDEX(Transactions!$J:$J,ROW()-8))</f>
      </c>
      <c r="B487" s="297">
        <f>IF($A487="",TODAY(),INDEX(Transactions!$G:$G,ROW()-8))</f>
      </c>
      <c r="C487">
        <f>IF($A487="","",INDEX(Transactions!$A:$A,ROW()-8))</f>
      </c>
      <c r="D487" s="30">
        <f>IF($A487="",0,INDEX(Transactions!$H:$H,ROW()-8))</f>
      </c>
      <c r="E487">
        <f>IF($A487="",1,INDEX(Transactions!$N:$N,ROW()-8))</f>
        <v>1</v>
      </c>
      <c r="F487" s="30">
        <f>IF($A487="",0,INDEX(Transactions!$O:$O,ROW()-8))</f>
      </c>
      <c r="G487" s="30">
        <f>IF($A487="",0,INDEX(Transactions!$P:$P,ROW()-8))</f>
      </c>
    </row>
    <row r="488" spans="1:7" ht="15" customHeight="1" x14ac:dyDescent="0.15">
      <c r="A488">
        <f>IF(INDEX(Transactions!$J:$J,ROW()-8)="","",INDEX(Transactions!$J:$J,ROW()-8))</f>
      </c>
      <c r="B488" s="297">
        <f>IF($A488="",TODAY(),INDEX(Transactions!$G:$G,ROW()-8))</f>
      </c>
      <c r="C488">
        <f>IF($A488="","",INDEX(Transactions!$A:$A,ROW()-8))</f>
      </c>
      <c r="D488" s="30">
        <f>IF($A488="",0,INDEX(Transactions!$H:$H,ROW()-8))</f>
      </c>
      <c r="E488">
        <f>IF($A488="",1,INDEX(Transactions!$N:$N,ROW()-8))</f>
        <v>1</v>
      </c>
      <c r="F488" s="30">
        <f>IF($A488="",0,INDEX(Transactions!$O:$O,ROW()-8))</f>
      </c>
      <c r="G488" s="30">
        <f>IF($A488="",0,INDEX(Transactions!$P:$P,ROW()-8))</f>
      </c>
    </row>
    <row r="489" spans="1:7" ht="15" customHeight="1" x14ac:dyDescent="0.15">
      <c r="A489">
        <f>IF(INDEX(Transactions!$J:$J,ROW()-8)="","",INDEX(Transactions!$J:$J,ROW()-8))</f>
      </c>
      <c r="B489" s="297">
        <f>IF($A489="",TODAY(),INDEX(Transactions!$G:$G,ROW()-8))</f>
      </c>
      <c r="C489">
        <f>IF($A489="","",INDEX(Transactions!$A:$A,ROW()-8))</f>
      </c>
      <c r="D489" s="30">
        <f>IF($A489="",0,INDEX(Transactions!$H:$H,ROW()-8))</f>
      </c>
      <c r="E489">
        <f>IF($A489="",1,INDEX(Transactions!$N:$N,ROW()-8))</f>
        <v>1</v>
      </c>
      <c r="F489" s="30">
        <f>IF($A489="",0,INDEX(Transactions!$O:$O,ROW()-8))</f>
      </c>
      <c r="G489" s="30">
        <f>IF($A489="",0,INDEX(Transactions!$P:$P,ROW()-8))</f>
      </c>
    </row>
    <row r="490" spans="1:7" ht="15" customHeight="1" x14ac:dyDescent="0.15">
      <c r="A490">
        <f>IF(INDEX(Transactions!$J:$J,ROW()-8)="","",INDEX(Transactions!$J:$J,ROW()-8))</f>
      </c>
      <c r="B490" s="297">
        <f>IF($A490="",TODAY(),INDEX(Transactions!$G:$G,ROW()-8))</f>
      </c>
      <c r="C490">
        <f>IF($A490="","",INDEX(Transactions!$A:$A,ROW()-8))</f>
      </c>
      <c r="D490" s="30">
        <f>IF($A490="",0,INDEX(Transactions!$H:$H,ROW()-8))</f>
      </c>
      <c r="E490">
        <f>IF($A490="",1,INDEX(Transactions!$N:$N,ROW()-8))</f>
        <v>1</v>
      </c>
      <c r="F490" s="30">
        <f>IF($A490="",0,INDEX(Transactions!$O:$O,ROW()-8))</f>
      </c>
      <c r="G490" s="30">
        <f>IF($A490="",0,INDEX(Transactions!$P:$P,ROW()-8))</f>
      </c>
    </row>
    <row r="491" spans="1:7" ht="15" customHeight="1" x14ac:dyDescent="0.15">
      <c r="A491">
        <f>IF(INDEX(Transactions!$J:$J,ROW()-8)="","",INDEX(Transactions!$J:$J,ROW()-8))</f>
      </c>
      <c r="B491" s="297">
        <f>IF($A491="",TODAY(),INDEX(Transactions!$G:$G,ROW()-8))</f>
      </c>
      <c r="C491">
        <f>IF($A491="","",INDEX(Transactions!$A:$A,ROW()-8))</f>
      </c>
      <c r="D491" s="30">
        <f>IF($A491="",0,INDEX(Transactions!$H:$H,ROW()-8))</f>
      </c>
      <c r="E491">
        <f>IF($A491="",1,INDEX(Transactions!$N:$N,ROW()-8))</f>
        <v>1</v>
      </c>
      <c r="F491" s="30">
        <f>IF($A491="",0,INDEX(Transactions!$O:$O,ROW()-8))</f>
      </c>
      <c r="G491" s="30">
        <f>IF($A491="",0,INDEX(Transactions!$P:$P,ROW()-8))</f>
      </c>
    </row>
    <row r="492" spans="1:7" ht="15" customHeight="1" x14ac:dyDescent="0.15">
      <c r="A492">
        <f>IF(INDEX(Transactions!$J:$J,ROW()-8)="","",INDEX(Transactions!$J:$J,ROW()-8))</f>
      </c>
      <c r="B492" s="297">
        <f>IF($A492="",TODAY(),INDEX(Transactions!$G:$G,ROW()-8))</f>
      </c>
      <c r="C492">
        <f>IF($A492="","",INDEX(Transactions!$A:$A,ROW()-8))</f>
      </c>
      <c r="D492" s="30">
        <f>IF($A492="",0,INDEX(Transactions!$H:$H,ROW()-8))</f>
      </c>
      <c r="E492">
        <f>IF($A492="",1,INDEX(Transactions!$N:$N,ROW()-8))</f>
        <v>1</v>
      </c>
      <c r="F492" s="30">
        <f>IF($A492="",0,INDEX(Transactions!$O:$O,ROW()-8))</f>
      </c>
      <c r="G492" s="30">
        <f>IF($A492="",0,INDEX(Transactions!$P:$P,ROW()-8))</f>
      </c>
    </row>
    <row r="493" spans="1:7" ht="15" customHeight="1" x14ac:dyDescent="0.15">
      <c r="A493">
        <f>IF(INDEX(Transactions!$J:$J,ROW()-8)="","",INDEX(Transactions!$J:$J,ROW()-8))</f>
      </c>
      <c r="B493" s="297">
        <f>IF($A493="",TODAY(),INDEX(Transactions!$G:$G,ROW()-8))</f>
      </c>
      <c r="C493">
        <f>IF($A493="","",INDEX(Transactions!$A:$A,ROW()-8))</f>
      </c>
      <c r="D493" s="30">
        <f>IF($A493="",0,INDEX(Transactions!$H:$H,ROW()-8))</f>
      </c>
      <c r="E493">
        <f>IF($A493="",1,INDEX(Transactions!$N:$N,ROW()-8))</f>
        <v>1</v>
      </c>
      <c r="F493" s="30">
        <f>IF($A493="",0,INDEX(Transactions!$O:$O,ROW()-8))</f>
      </c>
      <c r="G493" s="30">
        <f>IF($A493="",0,INDEX(Transactions!$P:$P,ROW()-8))</f>
      </c>
    </row>
    <row r="494" spans="1:7" ht="15" customHeight="1" x14ac:dyDescent="0.15">
      <c r="A494">
        <f>IF(INDEX(Transactions!$J:$J,ROW()-8)="","",INDEX(Transactions!$J:$J,ROW()-8))</f>
      </c>
      <c r="B494" s="297">
        <f>IF($A494="",TODAY(),INDEX(Transactions!$G:$G,ROW()-8))</f>
      </c>
      <c r="C494">
        <f>IF($A494="","",INDEX(Transactions!$A:$A,ROW()-8))</f>
      </c>
      <c r="D494" s="30">
        <f>IF($A494="",0,INDEX(Transactions!$H:$H,ROW()-8))</f>
      </c>
      <c r="E494">
        <f>IF($A494="",1,INDEX(Transactions!$N:$N,ROW()-8))</f>
        <v>1</v>
      </c>
      <c r="F494" s="30">
        <f>IF($A494="",0,INDEX(Transactions!$O:$O,ROW()-8))</f>
      </c>
      <c r="G494" s="30">
        <f>IF($A494="",0,INDEX(Transactions!$P:$P,ROW()-8))</f>
      </c>
    </row>
    <row r="495" spans="1:7" ht="15" customHeight="1" x14ac:dyDescent="0.15">
      <c r="A495">
        <f>IF(INDEX(Transactions!$J:$J,ROW()-8)="","",INDEX(Transactions!$J:$J,ROW()-8))</f>
      </c>
      <c r="B495" s="297">
        <f>IF($A495="",TODAY(),INDEX(Transactions!$G:$G,ROW()-8))</f>
      </c>
      <c r="C495">
        <f>IF($A495="","",INDEX(Transactions!$A:$A,ROW()-8))</f>
      </c>
      <c r="D495" s="30">
        <f>IF($A495="",0,INDEX(Transactions!$H:$H,ROW()-8))</f>
      </c>
      <c r="E495">
        <f>IF($A495="",1,INDEX(Transactions!$N:$N,ROW()-8))</f>
        <v>1</v>
      </c>
      <c r="F495" s="30">
        <f>IF($A495="",0,INDEX(Transactions!$O:$O,ROW()-8))</f>
      </c>
      <c r="G495" s="30">
        <f>IF($A495="",0,INDEX(Transactions!$P:$P,ROW()-8))</f>
      </c>
    </row>
    <row r="496" spans="1:7" ht="15" customHeight="1" x14ac:dyDescent="0.15">
      <c r="A496">
        <f>IF(INDEX(Transactions!$J:$J,ROW()-8)="","",INDEX(Transactions!$J:$J,ROW()-8))</f>
      </c>
      <c r="B496" s="297">
        <f>IF($A496="",TODAY(),INDEX(Transactions!$G:$G,ROW()-8))</f>
      </c>
      <c r="C496">
        <f>IF($A496="","",INDEX(Transactions!$A:$A,ROW()-8))</f>
      </c>
      <c r="D496" s="30">
        <f>IF($A496="",0,INDEX(Transactions!$H:$H,ROW()-8))</f>
      </c>
      <c r="E496">
        <f>IF($A496="",1,INDEX(Transactions!$N:$N,ROW()-8))</f>
        <v>1</v>
      </c>
      <c r="F496" s="30">
        <f>IF($A496="",0,INDEX(Transactions!$O:$O,ROW()-8))</f>
      </c>
      <c r="G496" s="30">
        <f>IF($A496="",0,INDEX(Transactions!$P:$P,ROW()-8))</f>
      </c>
    </row>
    <row r="497" spans="1:7" ht="15" customHeight="1" x14ac:dyDescent="0.15">
      <c r="A497">
        <f>IF(INDEX(Transactions!$J:$J,ROW()-8)="","",INDEX(Transactions!$J:$J,ROW()-8))</f>
      </c>
      <c r="B497" s="297">
        <f>IF($A497="",TODAY(),INDEX(Transactions!$G:$G,ROW()-8))</f>
      </c>
      <c r="C497">
        <f>IF($A497="","",INDEX(Transactions!$A:$A,ROW()-8))</f>
      </c>
      <c r="D497" s="30">
        <f>IF($A497="",0,INDEX(Transactions!$H:$H,ROW()-8))</f>
      </c>
      <c r="E497">
        <f>IF($A497="",1,INDEX(Transactions!$N:$N,ROW()-8))</f>
        <v>1</v>
      </c>
      <c r="F497" s="30">
        <f>IF($A497="",0,INDEX(Transactions!$O:$O,ROW()-8))</f>
      </c>
      <c r="G497" s="30">
        <f>IF($A497="",0,INDEX(Transactions!$P:$P,ROW()-8))</f>
      </c>
    </row>
    <row r="498" spans="1:7" ht="15" customHeight="1" x14ac:dyDescent="0.15">
      <c r="A498">
        <f>IF(INDEX(Transactions!$J:$J,ROW()-8)="","",INDEX(Transactions!$J:$J,ROW()-8))</f>
      </c>
      <c r="B498" s="297">
        <f>IF($A498="",TODAY(),INDEX(Transactions!$G:$G,ROW()-8))</f>
      </c>
      <c r="C498">
        <f>IF($A498="","",INDEX(Transactions!$A:$A,ROW()-8))</f>
      </c>
      <c r="D498" s="30">
        <f>IF($A498="",0,INDEX(Transactions!$H:$H,ROW()-8))</f>
      </c>
      <c r="E498">
        <f>IF($A498="",1,INDEX(Transactions!$N:$N,ROW()-8))</f>
        <v>1</v>
      </c>
      <c r="F498" s="30">
        <f>IF($A498="",0,INDEX(Transactions!$O:$O,ROW()-8))</f>
      </c>
      <c r="G498" s="30">
        <f>IF($A498="",0,INDEX(Transactions!$P:$P,ROW()-8))</f>
      </c>
    </row>
    <row r="499" spans="1:7" ht="15" customHeight="1" x14ac:dyDescent="0.15">
      <c r="A499">
        <f>IF(INDEX(Transactions!$J:$J,ROW()-8)="","",INDEX(Transactions!$J:$J,ROW()-8))</f>
      </c>
      <c r="B499" s="297">
        <f>IF($A499="",TODAY(),INDEX(Transactions!$G:$G,ROW()-8))</f>
      </c>
      <c r="C499">
        <f>IF($A499="","",INDEX(Transactions!$A:$A,ROW()-8))</f>
      </c>
      <c r="D499" s="30">
        <f>IF($A499="",0,INDEX(Transactions!$H:$H,ROW()-8))</f>
      </c>
      <c r="E499">
        <f>IF($A499="",1,INDEX(Transactions!$N:$N,ROW()-8))</f>
        <v>1</v>
      </c>
      <c r="F499" s="30">
        <f>IF($A499="",0,INDEX(Transactions!$O:$O,ROW()-8))</f>
      </c>
      <c r="G499" s="30">
        <f>IF($A499="",0,INDEX(Transactions!$P:$P,ROW()-8))</f>
      </c>
    </row>
    <row r="500" spans="1:7" ht="15" customHeight="1" x14ac:dyDescent="0.15">
      <c r="A500">
        <f>IF(INDEX(Transactions!$J:$J,ROW()-8)="","",INDEX(Transactions!$J:$J,ROW()-8))</f>
      </c>
      <c r="B500" s="297">
        <f>IF($A500="",TODAY(),INDEX(Transactions!$G:$G,ROW()-8))</f>
      </c>
      <c r="C500">
        <f>IF($A500="","",INDEX(Transactions!$A:$A,ROW()-8))</f>
      </c>
      <c r="D500" s="30">
        <f>IF($A500="",0,INDEX(Transactions!$H:$H,ROW()-8))</f>
      </c>
      <c r="E500">
        <f>IF($A500="",1,INDEX(Transactions!$N:$N,ROW()-8))</f>
        <v>1</v>
      </c>
      <c r="F500" s="30">
        <f>IF($A500="",0,INDEX(Transactions!$O:$O,ROW()-8))</f>
      </c>
      <c r="G500" s="30">
        <f>IF($A500="",0,INDEX(Transactions!$P:$P,ROW()-8))</f>
      </c>
    </row>
    <row r="501" spans="1:7" ht="15" customHeight="1" x14ac:dyDescent="0.15">
      <c r="A501">
        <f>IF(INDEX(Transactions!$J:$J,ROW()-8)="","",INDEX(Transactions!$J:$J,ROW()-8))</f>
      </c>
      <c r="B501" s="297">
        <f>IF($A501="",TODAY(),INDEX(Transactions!$G:$G,ROW()-8))</f>
      </c>
      <c r="C501">
        <f>IF($A501="","",INDEX(Transactions!$A:$A,ROW()-8))</f>
      </c>
      <c r="D501" s="30">
        <f>IF($A501="",0,INDEX(Transactions!$H:$H,ROW()-8))</f>
      </c>
      <c r="E501">
        <f>IF($A501="",1,INDEX(Transactions!$N:$N,ROW()-8))</f>
        <v>1</v>
      </c>
      <c r="F501" s="30">
        <f>IF($A501="",0,INDEX(Transactions!$O:$O,ROW()-8))</f>
      </c>
      <c r="G501" s="30">
        <f>IF($A501="",0,INDEX(Transactions!$P:$P,ROW()-8))</f>
      </c>
    </row>
    <row r="502" spans="1:7" ht="15" customHeight="1" x14ac:dyDescent="0.15">
      <c r="A502">
        <f>IF(INDEX(Transactions!$J:$J,ROW()-8)="","",INDEX(Transactions!$J:$J,ROW()-8))</f>
      </c>
      <c r="B502" s="297">
        <f>IF($A502="",TODAY(),INDEX(Transactions!$G:$G,ROW()-8))</f>
      </c>
      <c r="C502">
        <f>IF($A502="","",INDEX(Transactions!$A:$A,ROW()-8))</f>
      </c>
      <c r="D502" s="30">
        <f>IF($A502="",0,INDEX(Transactions!$H:$H,ROW()-8))</f>
      </c>
      <c r="E502">
        <f>IF($A502="",1,INDEX(Transactions!$N:$N,ROW()-8))</f>
        <v>1</v>
      </c>
      <c r="F502" s="30">
        <f>IF($A502="",0,INDEX(Transactions!$O:$O,ROW()-8))</f>
      </c>
      <c r="G502" s="30">
        <f>IF($A502="",0,INDEX(Transactions!$P:$P,ROW()-8))</f>
      </c>
    </row>
    <row r="503" spans="1:7" ht="15" customHeight="1" x14ac:dyDescent="0.15">
      <c r="A503">
        <f>IF(INDEX(Transactions!$J:$J,ROW()-8)="","",INDEX(Transactions!$J:$J,ROW()-8))</f>
      </c>
      <c r="B503" s="297">
        <f>IF($A503="",TODAY(),INDEX(Transactions!$G:$G,ROW()-8))</f>
      </c>
      <c r="C503">
        <f>IF($A503="","",INDEX(Transactions!$A:$A,ROW()-8))</f>
      </c>
      <c r="D503" s="30">
        <f>IF($A503="",0,INDEX(Transactions!$H:$H,ROW()-8))</f>
      </c>
      <c r="E503">
        <f>IF($A503="",1,INDEX(Transactions!$N:$N,ROW()-8))</f>
        <v>1</v>
      </c>
      <c r="F503" s="30">
        <f>IF($A503="",0,INDEX(Transactions!$O:$O,ROW()-8))</f>
      </c>
      <c r="G503" s="30">
        <f>IF($A503="",0,INDEX(Transactions!$P:$P,ROW()-8))</f>
      </c>
    </row>
    <row r="504" spans="1:7" ht="15" customHeight="1" x14ac:dyDescent="0.15">
      <c r="A504">
        <f>IF(INDEX(Transactions!$J:$J,ROW()-8)="","",INDEX(Transactions!$J:$J,ROW()-8))</f>
      </c>
      <c r="B504" s="297">
        <f>IF($A504="",TODAY(),INDEX(Transactions!$G:$G,ROW()-8))</f>
      </c>
      <c r="C504">
        <f>IF($A504="","",INDEX(Transactions!$A:$A,ROW()-8))</f>
      </c>
      <c r="D504" s="30">
        <f>IF($A504="",0,INDEX(Transactions!$H:$H,ROW()-8))</f>
      </c>
      <c r="E504">
        <f>IF($A504="",1,INDEX(Transactions!$N:$N,ROW()-8))</f>
        <v>1</v>
      </c>
      <c r="F504" s="30">
        <f>IF($A504="",0,INDEX(Transactions!$O:$O,ROW()-8))</f>
      </c>
      <c r="G504" s="30">
        <f>IF($A504="",0,INDEX(Transactions!$P:$P,ROW()-8))</f>
      </c>
    </row>
    <row r="505" spans="1:7" ht="15" customHeight="1" x14ac:dyDescent="0.15">
      <c r="A505">
        <f>IF(INDEX(Transactions!$J:$J,ROW()-8)="","",INDEX(Transactions!$J:$J,ROW()-8))</f>
      </c>
      <c r="B505" s="297">
        <f>IF($A505="",TODAY(),INDEX(Transactions!$G:$G,ROW()-8))</f>
      </c>
      <c r="C505">
        <f>IF($A505="","",INDEX(Transactions!$A:$A,ROW()-8))</f>
      </c>
      <c r="D505" s="30">
        <f>IF($A505="",0,INDEX(Transactions!$H:$H,ROW()-8))</f>
      </c>
      <c r="E505">
        <f>IF($A505="",1,INDEX(Transactions!$N:$N,ROW()-8))</f>
        <v>1</v>
      </c>
      <c r="F505" s="30">
        <f>IF($A505="",0,INDEX(Transactions!$O:$O,ROW()-8))</f>
      </c>
      <c r="G505" s="30">
        <f>IF($A505="",0,INDEX(Transactions!$P:$P,ROW()-8))</f>
      </c>
    </row>
    <row r="506" spans="1:7" ht="15" customHeight="1" x14ac:dyDescent="0.15">
      <c r="A506">
        <f>IF(INDEX(Transactions!$J:$J,ROW()-8)="","",INDEX(Transactions!$J:$J,ROW()-8))</f>
      </c>
      <c r="B506" s="297">
        <f>IF($A506="",TODAY(),INDEX(Transactions!$G:$G,ROW()-8))</f>
      </c>
      <c r="C506">
        <f>IF($A506="","",INDEX(Transactions!$A:$A,ROW()-8))</f>
      </c>
      <c r="D506" s="30">
        <f>IF($A506="",0,INDEX(Transactions!$H:$H,ROW()-8))</f>
      </c>
      <c r="E506">
        <f>IF($A506="",1,INDEX(Transactions!$N:$N,ROW()-8))</f>
        <v>1</v>
      </c>
      <c r="F506" s="30">
        <f>IF($A506="",0,INDEX(Transactions!$O:$O,ROW()-8))</f>
      </c>
      <c r="G506" s="30">
        <f>IF($A506="",0,INDEX(Transactions!$P:$P,ROW()-8))</f>
      </c>
    </row>
    <row r="507" spans="1:7" ht="15" customHeight="1" x14ac:dyDescent="0.15">
      <c r="A507">
        <f>IF(INDEX(Transactions!$J:$J,ROW()-8)="","",INDEX(Transactions!$J:$J,ROW()-8))</f>
      </c>
      <c r="B507" s="297">
        <f>IF($A507="",TODAY(),INDEX(Transactions!$G:$G,ROW()-8))</f>
      </c>
      <c r="C507">
        <f>IF($A507="","",INDEX(Transactions!$A:$A,ROW()-8))</f>
      </c>
      <c r="D507" s="30">
        <f>IF($A507="",0,INDEX(Transactions!$H:$H,ROW()-8))</f>
      </c>
      <c r="E507">
        <f>IF($A507="",1,INDEX(Transactions!$N:$N,ROW()-8))</f>
        <v>1</v>
      </c>
      <c r="F507" s="30">
        <f>IF($A507="",0,INDEX(Transactions!$O:$O,ROW()-8))</f>
      </c>
      <c r="G507" s="30">
        <f>IF($A507="",0,INDEX(Transactions!$P:$P,ROW()-8))</f>
      </c>
    </row>
    <row r="508" spans="1:7" ht="15" customHeight="1" x14ac:dyDescent="0.15">
      <c r="A508">
        <f>IF(INDEX(Transactions!$J:$J,ROW()-8)="","",INDEX(Transactions!$J:$J,ROW()-8))</f>
      </c>
      <c r="B508" s="297">
        <f>IF($A508="",TODAY(),INDEX(Transactions!$G:$G,ROW()-8))</f>
      </c>
      <c r="C508">
        <f>IF($A508="","",INDEX(Transactions!$A:$A,ROW()-8))</f>
      </c>
      <c r="D508" s="30">
        <f>IF($A508="",0,INDEX(Transactions!$H:$H,ROW()-8))</f>
      </c>
      <c r="E508">
        <f>IF($A508="",1,INDEX(Transactions!$N:$N,ROW()-8))</f>
        <v>1</v>
      </c>
      <c r="F508" s="30">
        <f>IF($A508="",0,INDEX(Transactions!$O:$O,ROW()-8))</f>
      </c>
      <c r="G508" s="30">
        <f>IF($A508="",0,INDEX(Transactions!$P:$P,ROW()-8))</f>
      </c>
    </row>
    <row r="509" spans="1:7" ht="15" customHeight="1" x14ac:dyDescent="0.15">
      <c r="A509">
        <f>IF(INDEX(Transactions!$J:$J,ROW()-8)="","",INDEX(Transactions!$J:$J,ROW()-8))</f>
      </c>
      <c r="B509" s="297">
        <f>IF($A509="",TODAY(),INDEX(Transactions!$G:$G,ROW()-8))</f>
      </c>
      <c r="C509">
        <f>IF($A509="","",INDEX(Transactions!$A:$A,ROW()-8))</f>
      </c>
      <c r="D509" s="30">
        <f>IF($A509="",0,INDEX(Transactions!$H:$H,ROW()-8))</f>
      </c>
      <c r="E509">
        <f>IF($A509="",1,INDEX(Transactions!$N:$N,ROW()-8))</f>
        <v>1</v>
      </c>
      <c r="F509" s="30">
        <f>IF($A509="",0,INDEX(Transactions!$O:$O,ROW()-8))</f>
      </c>
      <c r="G509" s="30">
        <f>IF($A509="",0,INDEX(Transactions!$P:$P,ROW()-8))</f>
      </c>
    </row>
    <row r="510" spans="1:7" ht="15" customHeight="1" x14ac:dyDescent="0.15">
      <c r="A510">
        <f>IF(INDEX(Transactions!$J:$J,ROW()-8)="","",INDEX(Transactions!$J:$J,ROW()-8))</f>
      </c>
      <c r="B510" s="297">
        <f>IF($A510="",TODAY(),INDEX(Transactions!$G:$G,ROW()-8))</f>
      </c>
      <c r="C510">
        <f>IF($A510="","",INDEX(Transactions!$A:$A,ROW()-8))</f>
      </c>
      <c r="D510" s="30">
        <f>IF($A510="",0,INDEX(Transactions!$H:$H,ROW()-8))</f>
      </c>
      <c r="E510">
        <f>IF($A510="",1,INDEX(Transactions!$N:$N,ROW()-8))</f>
        <v>1</v>
      </c>
      <c r="F510" s="30">
        <f>IF($A510="",0,INDEX(Transactions!$O:$O,ROW()-8))</f>
      </c>
      <c r="G510" s="30">
        <f>IF($A510="",0,INDEX(Transactions!$P:$P,ROW()-8))</f>
      </c>
    </row>
    <row r="511" spans="1:7" ht="15" customHeight="1" x14ac:dyDescent="0.15">
      <c r="A511">
        <f>IF(INDEX(Transactions!$J:$J,ROW()-8)="","",INDEX(Transactions!$J:$J,ROW()-8))</f>
      </c>
      <c r="B511" s="297">
        <f>IF($A511="",TODAY(),INDEX(Transactions!$G:$G,ROW()-8))</f>
      </c>
      <c r="C511">
        <f>IF($A511="","",INDEX(Transactions!$A:$A,ROW()-8))</f>
      </c>
      <c r="D511" s="30">
        <f>IF($A511="",0,INDEX(Transactions!$H:$H,ROW()-8))</f>
      </c>
      <c r="E511">
        <f>IF($A511="",1,INDEX(Transactions!$N:$N,ROW()-8))</f>
        <v>1</v>
      </c>
      <c r="F511" s="30">
        <f>IF($A511="",0,INDEX(Transactions!$O:$O,ROW()-8))</f>
      </c>
      <c r="G511" s="30">
        <f>IF($A511="",0,INDEX(Transactions!$P:$P,ROW()-8))</f>
      </c>
    </row>
    <row r="512" spans="1:7" ht="15" customHeight="1" x14ac:dyDescent="0.15">
      <c r="A512">
        <f>IF(INDEX(Transactions!$J:$J,ROW()-8)="","",INDEX(Transactions!$J:$J,ROW()-8))</f>
      </c>
      <c r="B512" s="297">
        <f>IF($A512="",TODAY(),INDEX(Transactions!$G:$G,ROW()-8))</f>
      </c>
      <c r="C512">
        <f>IF($A512="","",INDEX(Transactions!$A:$A,ROW()-8))</f>
      </c>
      <c r="D512" s="30">
        <f>IF($A512="",0,INDEX(Transactions!$H:$H,ROW()-8))</f>
      </c>
      <c r="E512">
        <f>IF($A512="",1,INDEX(Transactions!$N:$N,ROW()-8))</f>
        <v>1</v>
      </c>
      <c r="F512" s="30">
        <f>IF($A512="",0,INDEX(Transactions!$O:$O,ROW()-8))</f>
      </c>
      <c r="G512" s="30">
        <f>IF($A512="",0,INDEX(Transactions!$P:$P,ROW()-8))</f>
      </c>
    </row>
    <row r="513" spans="1:7" ht="15" customHeight="1" x14ac:dyDescent="0.15">
      <c r="A513">
        <f>IF(INDEX(Transactions!$J:$J,ROW()-8)="","",INDEX(Transactions!$J:$J,ROW()-8))</f>
      </c>
      <c r="B513" s="297">
        <f>IF($A513="",TODAY(),INDEX(Transactions!$G:$G,ROW()-8))</f>
      </c>
      <c r="C513">
        <f>IF($A513="","",INDEX(Transactions!$A:$A,ROW()-8))</f>
      </c>
      <c r="D513" s="30">
        <f>IF($A513="",0,INDEX(Transactions!$H:$H,ROW()-8))</f>
      </c>
      <c r="E513">
        <f>IF($A513="",1,INDEX(Transactions!$N:$N,ROW()-8))</f>
        <v>1</v>
      </c>
      <c r="F513" s="30">
        <f>IF($A513="",0,INDEX(Transactions!$O:$O,ROW()-8))</f>
      </c>
      <c r="G513" s="30">
        <f>IF($A513="",0,INDEX(Transactions!$P:$P,ROW()-8))</f>
      </c>
    </row>
    <row r="514" spans="1:7" ht="15" customHeight="1" x14ac:dyDescent="0.15">
      <c r="A514">
        <f>IF(INDEX(Transactions!$J:$J,ROW()-8)="","",INDEX(Transactions!$J:$J,ROW()-8))</f>
      </c>
      <c r="B514" s="297">
        <f>IF($A514="",TODAY(),INDEX(Transactions!$G:$G,ROW()-8))</f>
      </c>
      <c r="C514">
        <f>IF($A514="","",INDEX(Transactions!$A:$A,ROW()-8))</f>
      </c>
      <c r="D514" s="30">
        <f>IF($A514="",0,INDEX(Transactions!$H:$H,ROW()-8))</f>
      </c>
      <c r="E514">
        <f>IF($A514="",1,INDEX(Transactions!$N:$N,ROW()-8))</f>
        <v>1</v>
      </c>
      <c r="F514" s="30">
        <f>IF($A514="",0,INDEX(Transactions!$O:$O,ROW()-8))</f>
      </c>
      <c r="G514" s="30">
        <f>IF($A514="",0,INDEX(Transactions!$P:$P,ROW()-8))</f>
      </c>
    </row>
    <row r="515" spans="1:7" ht="15" customHeight="1" x14ac:dyDescent="0.15">
      <c r="A515">
        <f>IF(INDEX(Transactions!$J:$J,ROW()-8)="","",INDEX(Transactions!$J:$J,ROW()-8))</f>
      </c>
      <c r="B515" s="297">
        <f>IF($A515="",TODAY(),INDEX(Transactions!$G:$G,ROW()-8))</f>
      </c>
      <c r="C515">
        <f>IF($A515="","",INDEX(Transactions!$A:$A,ROW()-8))</f>
      </c>
      <c r="D515" s="30">
        <f>IF($A515="",0,INDEX(Transactions!$H:$H,ROW()-8))</f>
      </c>
      <c r="E515">
        <f>IF($A515="",1,INDEX(Transactions!$N:$N,ROW()-8))</f>
        <v>1</v>
      </c>
      <c r="F515" s="30">
        <f>IF($A515="",0,INDEX(Transactions!$O:$O,ROW()-8))</f>
      </c>
      <c r="G515" s="30">
        <f>IF($A515="",0,INDEX(Transactions!$P:$P,ROW()-8))</f>
      </c>
    </row>
    <row r="516" spans="1:7" ht="15" customHeight="1" x14ac:dyDescent="0.15">
      <c r="A516">
        <f>IF(INDEX(Transactions!$J:$J,ROW()-8)="","",INDEX(Transactions!$J:$J,ROW()-8))</f>
      </c>
      <c r="B516" s="297">
        <f>IF($A516="",TODAY(),INDEX(Transactions!$G:$G,ROW()-8))</f>
      </c>
      <c r="C516">
        <f>IF($A516="","",INDEX(Transactions!$A:$A,ROW()-8))</f>
      </c>
      <c r="D516" s="30">
        <f>IF($A516="",0,INDEX(Transactions!$H:$H,ROW()-8))</f>
      </c>
      <c r="E516">
        <f>IF($A516="",1,INDEX(Transactions!$N:$N,ROW()-8))</f>
        <v>1</v>
      </c>
      <c r="F516" s="30">
        <f>IF($A516="",0,INDEX(Transactions!$O:$O,ROW()-8))</f>
      </c>
      <c r="G516" s="30">
        <f>IF($A516="",0,INDEX(Transactions!$P:$P,ROW()-8))</f>
      </c>
    </row>
    <row r="517" spans="1:7" ht="15" customHeight="1" x14ac:dyDescent="0.15">
      <c r="A517">
        <f>IF(INDEX(Transactions!$J:$J,ROW()-8)="","",INDEX(Transactions!$J:$J,ROW()-8))</f>
      </c>
      <c r="B517" s="297">
        <f>IF($A517="",TODAY(),INDEX(Transactions!$G:$G,ROW()-8))</f>
      </c>
      <c r="C517">
        <f>IF($A517="","",INDEX(Transactions!$A:$A,ROW()-8))</f>
      </c>
      <c r="D517" s="30">
        <f>IF($A517="",0,INDEX(Transactions!$H:$H,ROW()-8))</f>
      </c>
      <c r="E517">
        <f>IF($A517="",1,INDEX(Transactions!$N:$N,ROW()-8))</f>
        <v>1</v>
      </c>
      <c r="F517" s="30">
        <f>IF($A517="",0,INDEX(Transactions!$O:$O,ROW()-8))</f>
      </c>
      <c r="G517" s="30">
        <f>IF($A517="",0,INDEX(Transactions!$P:$P,ROW()-8))</f>
      </c>
    </row>
    <row r="518" spans="1:7" ht="15" customHeight="1" x14ac:dyDescent="0.15">
      <c r="A518">
        <f>IF(INDEX(Transactions!$J:$J,ROW()-8)="","",INDEX(Transactions!$J:$J,ROW()-8))</f>
      </c>
      <c r="B518" s="297">
        <f>IF($A518="",TODAY(),INDEX(Transactions!$G:$G,ROW()-8))</f>
      </c>
      <c r="C518">
        <f>IF($A518="","",INDEX(Transactions!$A:$A,ROW()-8))</f>
      </c>
      <c r="D518" s="30">
        <f>IF($A518="",0,INDEX(Transactions!$H:$H,ROW()-8))</f>
      </c>
      <c r="E518">
        <f>IF($A518="",1,INDEX(Transactions!$N:$N,ROW()-8))</f>
        <v>1</v>
      </c>
      <c r="F518" s="30">
        <f>IF($A518="",0,INDEX(Transactions!$O:$O,ROW()-8))</f>
      </c>
      <c r="G518" s="30">
        <f>IF($A518="",0,INDEX(Transactions!$P:$P,ROW()-8))</f>
      </c>
    </row>
    <row r="519" spans="1:7" ht="15" customHeight="1" x14ac:dyDescent="0.15">
      <c r="A519">
        <f>IF(INDEX(Transactions!$J:$J,ROW()-8)="","",INDEX(Transactions!$J:$J,ROW()-8))</f>
      </c>
      <c r="B519" s="297">
        <f>IF($A519="",TODAY(),INDEX(Transactions!$G:$G,ROW()-8))</f>
      </c>
      <c r="C519">
        <f>IF($A519="","",INDEX(Transactions!$A:$A,ROW()-8))</f>
      </c>
      <c r="D519" s="30">
        <f>IF($A519="",0,INDEX(Transactions!$H:$H,ROW()-8))</f>
      </c>
      <c r="E519">
        <f>IF($A519="",1,INDEX(Transactions!$N:$N,ROW()-8))</f>
        <v>1</v>
      </c>
      <c r="F519" s="30">
        <f>IF($A519="",0,INDEX(Transactions!$O:$O,ROW()-8))</f>
      </c>
      <c r="G519" s="30">
        <f>IF($A519="",0,INDEX(Transactions!$P:$P,ROW()-8))</f>
      </c>
    </row>
    <row r="520" spans="1:7" ht="15" customHeight="1" x14ac:dyDescent="0.15">
      <c r="A520">
        <f>IF(INDEX(Transactions!$J:$J,ROW()-8)="","",INDEX(Transactions!$J:$J,ROW()-8))</f>
      </c>
      <c r="B520" s="297">
        <f>IF($A520="",TODAY(),INDEX(Transactions!$G:$G,ROW()-8))</f>
      </c>
      <c r="C520">
        <f>IF($A520="","",INDEX(Transactions!$A:$A,ROW()-8))</f>
      </c>
      <c r="D520" s="30">
        <f>IF($A520="",0,INDEX(Transactions!$H:$H,ROW()-8))</f>
      </c>
      <c r="E520">
        <f>IF($A520="",1,INDEX(Transactions!$N:$N,ROW()-8))</f>
        <v>1</v>
      </c>
      <c r="F520" s="30">
        <f>IF($A520="",0,INDEX(Transactions!$O:$O,ROW()-8))</f>
      </c>
      <c r="G520" s="30">
        <f>IF($A520="",0,INDEX(Transactions!$P:$P,ROW()-8))</f>
      </c>
    </row>
    <row r="521" spans="1:7" ht="15" customHeight="1" x14ac:dyDescent="0.15">
      <c r="A521">
        <f>IF(INDEX(Transactions!$J:$J,ROW()-8)="","",INDEX(Transactions!$J:$J,ROW()-8))</f>
      </c>
      <c r="B521" s="297">
        <f>IF($A521="",TODAY(),INDEX(Transactions!$G:$G,ROW()-8))</f>
      </c>
      <c r="C521">
        <f>IF($A521="","",INDEX(Transactions!$A:$A,ROW()-8))</f>
      </c>
      <c r="D521" s="30">
        <f>IF($A521="",0,INDEX(Transactions!$H:$H,ROW()-8))</f>
      </c>
      <c r="E521">
        <f>IF($A521="",1,INDEX(Transactions!$N:$N,ROW()-8))</f>
        <v>1</v>
      </c>
      <c r="F521" s="30">
        <f>IF($A521="",0,INDEX(Transactions!$O:$O,ROW()-8))</f>
      </c>
      <c r="G521" s="30">
        <f>IF($A521="",0,INDEX(Transactions!$P:$P,ROW()-8))</f>
      </c>
    </row>
    <row r="522" spans="1:7" ht="15" customHeight="1" x14ac:dyDescent="0.15">
      <c r="A522">
        <f>IF(INDEX(Transactions!$J:$J,ROW()-8)="","",INDEX(Transactions!$J:$J,ROW()-8))</f>
      </c>
      <c r="B522" s="297">
        <f>IF($A522="",TODAY(),INDEX(Transactions!$G:$G,ROW()-8))</f>
      </c>
      <c r="C522">
        <f>IF($A522="","",INDEX(Transactions!$A:$A,ROW()-8))</f>
      </c>
      <c r="D522" s="30">
        <f>IF($A522="",0,INDEX(Transactions!$H:$H,ROW()-8))</f>
      </c>
      <c r="E522">
        <f>IF($A522="",1,INDEX(Transactions!$N:$N,ROW()-8))</f>
        <v>1</v>
      </c>
      <c r="F522" s="30">
        <f>IF($A522="",0,INDEX(Transactions!$O:$O,ROW()-8))</f>
      </c>
      <c r="G522" s="30">
        <f>IF($A522="",0,INDEX(Transactions!$P:$P,ROW()-8))</f>
      </c>
    </row>
    <row r="523" spans="1:7" ht="15" customHeight="1" x14ac:dyDescent="0.15">
      <c r="A523">
        <f>IF(INDEX(Transactions!$J:$J,ROW()-8)="","",INDEX(Transactions!$J:$J,ROW()-8))</f>
      </c>
      <c r="B523" s="297">
        <f>IF($A523="",TODAY(),INDEX(Transactions!$G:$G,ROW()-8))</f>
      </c>
      <c r="C523">
        <f>IF($A523="","",INDEX(Transactions!$A:$A,ROW()-8))</f>
      </c>
      <c r="D523" s="30">
        <f>IF($A523="",0,INDEX(Transactions!$H:$H,ROW()-8))</f>
      </c>
      <c r="E523">
        <f>IF($A523="",1,INDEX(Transactions!$N:$N,ROW()-8))</f>
        <v>1</v>
      </c>
      <c r="F523" s="30">
        <f>IF($A523="",0,INDEX(Transactions!$O:$O,ROW()-8))</f>
      </c>
      <c r="G523" s="30">
        <f>IF($A523="",0,INDEX(Transactions!$P:$P,ROW()-8))</f>
      </c>
    </row>
    <row r="524" spans="1:7" ht="15" customHeight="1" x14ac:dyDescent="0.15">
      <c r="A524">
        <f>IF(INDEX(Transactions!$J:$J,ROW()-8)="","",INDEX(Transactions!$J:$J,ROW()-8))</f>
      </c>
      <c r="B524" s="297">
        <f>IF($A524="",TODAY(),INDEX(Transactions!$G:$G,ROW()-8))</f>
      </c>
      <c r="C524">
        <f>IF($A524="","",INDEX(Transactions!$A:$A,ROW()-8))</f>
      </c>
      <c r="D524" s="30">
        <f>IF($A524="",0,INDEX(Transactions!$H:$H,ROW()-8))</f>
      </c>
      <c r="E524">
        <f>IF($A524="",1,INDEX(Transactions!$N:$N,ROW()-8))</f>
        <v>1</v>
      </c>
      <c r="F524" s="30">
        <f>IF($A524="",0,INDEX(Transactions!$O:$O,ROW()-8))</f>
      </c>
      <c r="G524" s="30">
        <f>IF($A524="",0,INDEX(Transactions!$P:$P,ROW()-8))</f>
      </c>
    </row>
    <row r="525" spans="1:7" ht="15" customHeight="1" x14ac:dyDescent="0.15">
      <c r="A525">
        <f>IF(INDEX(Transactions!$J:$J,ROW()-8)="","",INDEX(Transactions!$J:$J,ROW()-8))</f>
      </c>
      <c r="B525" s="297">
        <f>IF($A525="",TODAY(),INDEX(Transactions!$G:$G,ROW()-8))</f>
      </c>
      <c r="C525">
        <f>IF($A525="","",INDEX(Transactions!$A:$A,ROW()-8))</f>
      </c>
      <c r="D525" s="30">
        <f>IF($A525="",0,INDEX(Transactions!$H:$H,ROW()-8))</f>
      </c>
      <c r="E525">
        <f>IF($A525="",1,INDEX(Transactions!$N:$N,ROW()-8))</f>
        <v>1</v>
      </c>
      <c r="F525" s="30">
        <f>IF($A525="",0,INDEX(Transactions!$O:$O,ROW()-8))</f>
      </c>
      <c r="G525" s="30">
        <f>IF($A525="",0,INDEX(Transactions!$P:$P,ROW()-8))</f>
      </c>
    </row>
    <row r="526" spans="1:7" ht="15" customHeight="1" x14ac:dyDescent="0.15">
      <c r="A526">
        <f>IF(INDEX(Transactions!$J:$J,ROW()-8)="","",INDEX(Transactions!$J:$J,ROW()-8))</f>
      </c>
      <c r="B526" s="297">
        <f>IF($A526="",TODAY(),INDEX(Transactions!$G:$G,ROW()-8))</f>
      </c>
      <c r="C526">
        <f>IF($A526="","",INDEX(Transactions!$A:$A,ROW()-8))</f>
      </c>
      <c r="D526" s="30">
        <f>IF($A526="",0,INDEX(Transactions!$H:$H,ROW()-8))</f>
      </c>
      <c r="E526">
        <f>IF($A526="",1,INDEX(Transactions!$N:$N,ROW()-8))</f>
        <v>1</v>
      </c>
      <c r="F526" s="30">
        <f>IF($A526="",0,INDEX(Transactions!$O:$O,ROW()-8))</f>
      </c>
      <c r="G526" s="30">
        <f>IF($A526="",0,INDEX(Transactions!$P:$P,ROW()-8))</f>
      </c>
    </row>
    <row r="527" spans="1:7" ht="15" customHeight="1" x14ac:dyDescent="0.15">
      <c r="A527">
        <f>IF(INDEX(Transactions!$J:$J,ROW()-8)="","",INDEX(Transactions!$J:$J,ROW()-8))</f>
      </c>
      <c r="B527" s="297">
        <f>IF($A527="",TODAY(),INDEX(Transactions!$G:$G,ROW()-8))</f>
      </c>
      <c r="C527">
        <f>IF($A527="","",INDEX(Transactions!$A:$A,ROW()-8))</f>
      </c>
      <c r="D527" s="30">
        <f>IF($A527="",0,INDEX(Transactions!$H:$H,ROW()-8))</f>
      </c>
      <c r="E527">
        <f>IF($A527="",1,INDEX(Transactions!$N:$N,ROW()-8))</f>
        <v>1</v>
      </c>
      <c r="F527" s="30">
        <f>IF($A527="",0,INDEX(Transactions!$O:$O,ROW()-8))</f>
      </c>
      <c r="G527" s="30">
        <f>IF($A527="",0,INDEX(Transactions!$P:$P,ROW()-8))</f>
      </c>
    </row>
    <row r="528" spans="1:7" ht="15" customHeight="1" x14ac:dyDescent="0.15">
      <c r="A528">
        <f>IF(INDEX(Transactions!$J:$J,ROW()-8)="","",INDEX(Transactions!$J:$J,ROW()-8))</f>
      </c>
      <c r="B528" s="297">
        <f>IF($A528="",TODAY(),INDEX(Transactions!$G:$G,ROW()-8))</f>
      </c>
      <c r="C528">
        <f>IF($A528="","",INDEX(Transactions!$A:$A,ROW()-8))</f>
      </c>
      <c r="D528" s="30">
        <f>IF($A528="",0,INDEX(Transactions!$H:$H,ROW()-8))</f>
      </c>
      <c r="E528">
        <f>IF($A528="",1,INDEX(Transactions!$N:$N,ROW()-8))</f>
        <v>1</v>
      </c>
      <c r="F528" s="30">
        <f>IF($A528="",0,INDEX(Transactions!$O:$O,ROW()-8))</f>
      </c>
      <c r="G528" s="30">
        <f>IF($A528="",0,INDEX(Transactions!$P:$P,ROW()-8))</f>
      </c>
    </row>
    <row r="529" spans="1:7" ht="15" customHeight="1" x14ac:dyDescent="0.15">
      <c r="A529">
        <f>IF(INDEX(Transactions!$J:$J,ROW()-8)="","",INDEX(Transactions!$J:$J,ROW()-8))</f>
      </c>
      <c r="B529" s="297">
        <f>IF($A529="",TODAY(),INDEX(Transactions!$G:$G,ROW()-8))</f>
      </c>
      <c r="C529">
        <f>IF($A529="","",INDEX(Transactions!$A:$A,ROW()-8))</f>
      </c>
      <c r="D529" s="30">
        <f>IF($A529="",0,INDEX(Transactions!$H:$H,ROW()-8))</f>
      </c>
      <c r="E529">
        <f>IF($A529="",1,INDEX(Transactions!$N:$N,ROW()-8))</f>
        <v>1</v>
      </c>
      <c r="F529" s="30">
        <f>IF($A529="",0,INDEX(Transactions!$O:$O,ROW()-8))</f>
      </c>
      <c r="G529" s="30">
        <f>IF($A529="",0,INDEX(Transactions!$P:$P,ROW()-8))</f>
      </c>
    </row>
    <row r="530" spans="1:7" ht="15" customHeight="1" x14ac:dyDescent="0.15">
      <c r="A530">
        <f>IF(INDEX(Transactions!$J:$J,ROW()-8)="","",INDEX(Transactions!$J:$J,ROW()-8))</f>
      </c>
      <c r="B530" s="297">
        <f>IF($A530="",TODAY(),INDEX(Transactions!$G:$G,ROW()-8))</f>
      </c>
      <c r="C530">
        <f>IF($A530="","",INDEX(Transactions!$A:$A,ROW()-8))</f>
      </c>
      <c r="D530" s="30">
        <f>IF($A530="",0,INDEX(Transactions!$H:$H,ROW()-8))</f>
      </c>
      <c r="E530">
        <f>IF($A530="",1,INDEX(Transactions!$N:$N,ROW()-8))</f>
        <v>1</v>
      </c>
      <c r="F530" s="30">
        <f>IF($A530="",0,INDEX(Transactions!$O:$O,ROW()-8))</f>
      </c>
      <c r="G530" s="30">
        <f>IF($A530="",0,INDEX(Transactions!$P:$P,ROW()-8))</f>
      </c>
    </row>
    <row r="531" spans="1:7" ht="15" customHeight="1" x14ac:dyDescent="0.15">
      <c r="A531">
        <f>IF(INDEX(Transactions!$J:$J,ROW()-8)="","",INDEX(Transactions!$J:$J,ROW()-8))</f>
      </c>
      <c r="B531" s="297">
        <f>IF($A531="",TODAY(),INDEX(Transactions!$G:$G,ROW()-8))</f>
      </c>
      <c r="C531">
        <f>IF($A531="","",INDEX(Transactions!$A:$A,ROW()-8))</f>
      </c>
      <c r="D531" s="30">
        <f>IF($A531="",0,INDEX(Transactions!$H:$H,ROW()-8))</f>
      </c>
      <c r="E531">
        <f>IF($A531="",1,INDEX(Transactions!$N:$N,ROW()-8))</f>
        <v>1</v>
      </c>
      <c r="F531" s="30">
        <f>IF($A531="",0,INDEX(Transactions!$O:$O,ROW()-8))</f>
      </c>
      <c r="G531" s="30">
        <f>IF($A531="",0,INDEX(Transactions!$P:$P,ROW()-8))</f>
      </c>
    </row>
    <row r="532" spans="1:7" ht="15" customHeight="1" x14ac:dyDescent="0.15">
      <c r="A532">
        <f>IF(INDEX(Transactions!$J:$J,ROW()-8)="","",INDEX(Transactions!$J:$J,ROW()-8))</f>
      </c>
      <c r="B532" s="297">
        <f>IF($A532="",TODAY(),INDEX(Transactions!$G:$G,ROW()-8))</f>
      </c>
      <c r="C532">
        <f>IF($A532="","",INDEX(Transactions!$A:$A,ROW()-8))</f>
      </c>
      <c r="D532" s="30">
        <f>IF($A532="",0,INDEX(Transactions!$H:$H,ROW()-8))</f>
      </c>
      <c r="E532">
        <f>IF($A532="",1,INDEX(Transactions!$N:$N,ROW()-8))</f>
        <v>1</v>
      </c>
      <c r="F532" s="30">
        <f>IF($A532="",0,INDEX(Transactions!$O:$O,ROW()-8))</f>
      </c>
      <c r="G532" s="30">
        <f>IF($A532="",0,INDEX(Transactions!$P:$P,ROW()-8))</f>
      </c>
    </row>
    <row r="533" spans="1:7" ht="15" customHeight="1" x14ac:dyDescent="0.15">
      <c r="A533">
        <f>IF(INDEX(Transactions!$J:$J,ROW()-8)="","",INDEX(Transactions!$J:$J,ROW()-8))</f>
      </c>
      <c r="B533" s="297">
        <f>IF($A533="",TODAY(),INDEX(Transactions!$G:$G,ROW()-8))</f>
      </c>
      <c r="C533">
        <f>IF($A533="","",INDEX(Transactions!$A:$A,ROW()-8))</f>
      </c>
      <c r="D533" s="30">
        <f>IF($A533="",0,INDEX(Transactions!$H:$H,ROW()-8))</f>
      </c>
      <c r="E533">
        <f>IF($A533="",1,INDEX(Transactions!$N:$N,ROW()-8))</f>
        <v>1</v>
      </c>
      <c r="F533" s="30">
        <f>IF($A533="",0,INDEX(Transactions!$O:$O,ROW()-8))</f>
      </c>
      <c r="G533" s="30">
        <f>IF($A533="",0,INDEX(Transactions!$P:$P,ROW()-8))</f>
      </c>
    </row>
    <row r="534" spans="1:7" ht="15" customHeight="1" x14ac:dyDescent="0.15">
      <c r="A534">
        <f>IF(INDEX(Transactions!$J:$J,ROW()-8)="","",INDEX(Transactions!$J:$J,ROW()-8))</f>
      </c>
      <c r="B534" s="297">
        <f>IF($A534="",TODAY(),INDEX(Transactions!$G:$G,ROW()-8))</f>
      </c>
      <c r="C534">
        <f>IF($A534="","",INDEX(Transactions!$A:$A,ROW()-8))</f>
      </c>
      <c r="D534" s="30">
        <f>IF($A534="",0,INDEX(Transactions!$H:$H,ROW()-8))</f>
      </c>
      <c r="E534">
        <f>IF($A534="",1,INDEX(Transactions!$N:$N,ROW()-8))</f>
        <v>1</v>
      </c>
      <c r="F534" s="30">
        <f>IF($A534="",0,INDEX(Transactions!$O:$O,ROW()-8))</f>
      </c>
      <c r="G534" s="30">
        <f>IF($A534="",0,INDEX(Transactions!$P:$P,ROW()-8))</f>
      </c>
    </row>
    <row r="535" spans="1:7" ht="15" customHeight="1" x14ac:dyDescent="0.15">
      <c r="A535">
        <f>IF(INDEX(Transactions!$J:$J,ROW()-8)="","",INDEX(Transactions!$J:$J,ROW()-8))</f>
      </c>
      <c r="B535" s="297">
        <f>IF($A535="",TODAY(),INDEX(Transactions!$G:$G,ROW()-8))</f>
      </c>
      <c r="C535">
        <f>IF($A535="","",INDEX(Transactions!$A:$A,ROW()-8))</f>
      </c>
      <c r="D535" s="30">
        <f>IF($A535="",0,INDEX(Transactions!$H:$H,ROW()-8))</f>
      </c>
      <c r="E535">
        <f>IF($A535="",1,INDEX(Transactions!$N:$N,ROW()-8))</f>
        <v>1</v>
      </c>
      <c r="F535" s="30">
        <f>IF($A535="",0,INDEX(Transactions!$O:$O,ROW()-8))</f>
      </c>
      <c r="G535" s="30">
        <f>IF($A535="",0,INDEX(Transactions!$P:$P,ROW()-8))</f>
      </c>
    </row>
    <row r="536" spans="1:7" ht="15" customHeight="1" x14ac:dyDescent="0.15">
      <c r="A536">
        <f>IF(INDEX(Transactions!$J:$J,ROW()-8)="","",INDEX(Transactions!$J:$J,ROW()-8))</f>
      </c>
      <c r="B536" s="297">
        <f>IF($A536="",TODAY(),INDEX(Transactions!$G:$G,ROW()-8))</f>
      </c>
      <c r="C536">
        <f>IF($A536="","",INDEX(Transactions!$A:$A,ROW()-8))</f>
      </c>
      <c r="D536" s="30">
        <f>IF($A536="",0,INDEX(Transactions!$H:$H,ROW()-8))</f>
      </c>
      <c r="E536">
        <f>IF($A536="",1,INDEX(Transactions!$N:$N,ROW()-8))</f>
        <v>1</v>
      </c>
      <c r="F536" s="30">
        <f>IF($A536="",0,INDEX(Transactions!$O:$O,ROW()-8))</f>
      </c>
      <c r="G536" s="30">
        <f>IF($A536="",0,INDEX(Transactions!$P:$P,ROW()-8))</f>
      </c>
    </row>
    <row r="537" spans="1:7" ht="15" customHeight="1" x14ac:dyDescent="0.15">
      <c r="A537">
        <f>IF(INDEX(Transactions!$J:$J,ROW()-8)="","",INDEX(Transactions!$J:$J,ROW()-8))</f>
      </c>
      <c r="B537" s="297">
        <f>IF($A537="",TODAY(),INDEX(Transactions!$G:$G,ROW()-8))</f>
      </c>
      <c r="C537">
        <f>IF($A537="","",INDEX(Transactions!$A:$A,ROW()-8))</f>
      </c>
      <c r="D537" s="30">
        <f>IF($A537="",0,INDEX(Transactions!$H:$H,ROW()-8))</f>
      </c>
      <c r="E537">
        <f>IF($A537="",1,INDEX(Transactions!$N:$N,ROW()-8))</f>
        <v>1</v>
      </c>
      <c r="F537" s="30">
        <f>IF($A537="",0,INDEX(Transactions!$O:$O,ROW()-8))</f>
      </c>
      <c r="G537" s="30">
        <f>IF($A537="",0,INDEX(Transactions!$P:$P,ROW()-8))</f>
      </c>
    </row>
    <row r="538" spans="1:7" ht="15" customHeight="1" x14ac:dyDescent="0.15">
      <c r="A538">
        <f>IF(INDEX(Transactions!$J:$J,ROW()-8)="","",INDEX(Transactions!$J:$J,ROW()-8))</f>
      </c>
      <c r="B538" s="297">
        <f>IF($A538="",TODAY(),INDEX(Transactions!$G:$G,ROW()-8))</f>
      </c>
      <c r="C538">
        <f>IF($A538="","",INDEX(Transactions!$A:$A,ROW()-8))</f>
      </c>
      <c r="D538" s="30">
        <f>IF($A538="",0,INDEX(Transactions!$H:$H,ROW()-8))</f>
      </c>
      <c r="E538">
        <f>IF($A538="",1,INDEX(Transactions!$N:$N,ROW()-8))</f>
        <v>1</v>
      </c>
      <c r="F538" s="30">
        <f>IF($A538="",0,INDEX(Transactions!$O:$O,ROW()-8))</f>
      </c>
      <c r="G538" s="30">
        <f>IF($A538="",0,INDEX(Transactions!$P:$P,ROW()-8))</f>
      </c>
    </row>
    <row r="539" spans="1:7" ht="15" customHeight="1" x14ac:dyDescent="0.15">
      <c r="A539">
        <f>IF(INDEX(Transactions!$J:$J,ROW()-8)="","",INDEX(Transactions!$J:$J,ROW()-8))</f>
      </c>
      <c r="B539" s="297">
        <f>IF($A539="",TODAY(),INDEX(Transactions!$G:$G,ROW()-8))</f>
      </c>
      <c r="C539">
        <f>IF($A539="","",INDEX(Transactions!$A:$A,ROW()-8))</f>
      </c>
      <c r="D539" s="30">
        <f>IF($A539="",0,INDEX(Transactions!$H:$H,ROW()-8))</f>
      </c>
      <c r="E539">
        <f>IF($A539="",1,INDEX(Transactions!$N:$N,ROW()-8))</f>
        <v>1</v>
      </c>
      <c r="F539" s="30">
        <f>IF($A539="",0,INDEX(Transactions!$O:$O,ROW()-8))</f>
      </c>
      <c r="G539" s="30">
        <f>IF($A539="",0,INDEX(Transactions!$P:$P,ROW()-8))</f>
      </c>
    </row>
    <row r="540" spans="1:7" ht="15" customHeight="1" x14ac:dyDescent="0.15">
      <c r="A540">
        <f>IF(INDEX(Transactions!$J:$J,ROW()-8)="","",INDEX(Transactions!$J:$J,ROW()-8))</f>
      </c>
      <c r="B540" s="297">
        <f>IF($A540="",TODAY(),INDEX(Transactions!$G:$G,ROW()-8))</f>
      </c>
      <c r="C540">
        <f>IF($A540="","",INDEX(Transactions!$A:$A,ROW()-8))</f>
      </c>
      <c r="D540" s="30">
        <f>IF($A540="",0,INDEX(Transactions!$H:$H,ROW()-8))</f>
      </c>
      <c r="E540">
        <f>IF($A540="",1,INDEX(Transactions!$N:$N,ROW()-8))</f>
        <v>1</v>
      </c>
      <c r="F540" s="30">
        <f>IF($A540="",0,INDEX(Transactions!$O:$O,ROW()-8))</f>
      </c>
      <c r="G540" s="30">
        <f>IF($A540="",0,INDEX(Transactions!$P:$P,ROW()-8))</f>
      </c>
    </row>
    <row r="541" spans="1:7" ht="15" customHeight="1" x14ac:dyDescent="0.15">
      <c r="A541">
        <f>IF(INDEX(Transactions!$J:$J,ROW()-8)="","",INDEX(Transactions!$J:$J,ROW()-8))</f>
      </c>
      <c r="B541" s="297">
        <f>IF($A541="",TODAY(),INDEX(Transactions!$G:$G,ROW()-8))</f>
      </c>
      <c r="C541">
        <f>IF($A541="","",INDEX(Transactions!$A:$A,ROW()-8))</f>
      </c>
      <c r="D541" s="30">
        <f>IF($A541="",0,INDEX(Transactions!$H:$H,ROW()-8))</f>
      </c>
      <c r="E541">
        <f>IF($A541="",1,INDEX(Transactions!$N:$N,ROW()-8))</f>
        <v>1</v>
      </c>
      <c r="F541" s="30">
        <f>IF($A541="",0,INDEX(Transactions!$O:$O,ROW()-8))</f>
      </c>
      <c r="G541" s="30">
        <f>IF($A541="",0,INDEX(Transactions!$P:$P,ROW()-8))</f>
      </c>
    </row>
    <row r="542" spans="1:7" ht="15" customHeight="1" x14ac:dyDescent="0.15">
      <c r="A542">
        <f>IF(INDEX(Transactions!$J:$J,ROW()-8)="","",INDEX(Transactions!$J:$J,ROW()-8))</f>
      </c>
      <c r="B542" s="297">
        <f>IF($A542="",TODAY(),INDEX(Transactions!$G:$G,ROW()-8))</f>
      </c>
      <c r="C542">
        <f>IF($A542="","",INDEX(Transactions!$A:$A,ROW()-8))</f>
      </c>
      <c r="D542" s="30">
        <f>IF($A542="",0,INDEX(Transactions!$H:$H,ROW()-8))</f>
      </c>
      <c r="E542">
        <f>IF($A542="",1,INDEX(Transactions!$N:$N,ROW()-8))</f>
        <v>1</v>
      </c>
      <c r="F542" s="30">
        <f>IF($A542="",0,INDEX(Transactions!$O:$O,ROW()-8))</f>
      </c>
      <c r="G542" s="30">
        <f>IF($A542="",0,INDEX(Transactions!$P:$P,ROW()-8))</f>
      </c>
    </row>
    <row r="543" spans="1:7" ht="15" customHeight="1" x14ac:dyDescent="0.15">
      <c r="A543">
        <f>IF(INDEX(Transactions!$J:$J,ROW()-8)="","",INDEX(Transactions!$J:$J,ROW()-8))</f>
      </c>
      <c r="B543" s="297">
        <f>IF($A543="",TODAY(),INDEX(Transactions!$G:$G,ROW()-8))</f>
      </c>
      <c r="C543">
        <f>IF($A543="","",INDEX(Transactions!$A:$A,ROW()-8))</f>
      </c>
      <c r="D543" s="30">
        <f>IF($A543="",0,INDEX(Transactions!$H:$H,ROW()-8))</f>
      </c>
      <c r="E543">
        <f>IF($A543="",1,INDEX(Transactions!$N:$N,ROW()-8))</f>
        <v>1</v>
      </c>
      <c r="F543" s="30">
        <f>IF($A543="",0,INDEX(Transactions!$O:$O,ROW()-8))</f>
      </c>
      <c r="G543" s="30">
        <f>IF($A543="",0,INDEX(Transactions!$P:$P,ROW()-8))</f>
      </c>
    </row>
    <row r="544" spans="1:7" ht="15" customHeight="1" x14ac:dyDescent="0.15">
      <c r="A544">
        <f>IF(INDEX(Transactions!$J:$J,ROW()-8)="","",INDEX(Transactions!$J:$J,ROW()-8))</f>
      </c>
      <c r="B544" s="297">
        <f>IF($A544="",TODAY(),INDEX(Transactions!$G:$G,ROW()-8))</f>
      </c>
      <c r="C544">
        <f>IF($A544="","",INDEX(Transactions!$A:$A,ROW()-8))</f>
      </c>
      <c r="D544" s="30">
        <f>IF($A544="",0,INDEX(Transactions!$H:$H,ROW()-8))</f>
      </c>
      <c r="E544">
        <f>IF($A544="",1,INDEX(Transactions!$N:$N,ROW()-8))</f>
        <v>1</v>
      </c>
      <c r="F544" s="30">
        <f>IF($A544="",0,INDEX(Transactions!$O:$O,ROW()-8))</f>
      </c>
      <c r="G544" s="30">
        <f>IF($A544="",0,INDEX(Transactions!$P:$P,ROW()-8))</f>
      </c>
    </row>
    <row r="545" spans="1:7" ht="15" customHeight="1" x14ac:dyDescent="0.15">
      <c r="A545">
        <f>IF(INDEX(Transactions!$J:$J,ROW()-8)="","",INDEX(Transactions!$J:$J,ROW()-8))</f>
      </c>
      <c r="B545" s="297">
        <f>IF($A545="",TODAY(),INDEX(Transactions!$G:$G,ROW()-8))</f>
      </c>
      <c r="C545">
        <f>IF($A545="","",INDEX(Transactions!$A:$A,ROW()-8))</f>
      </c>
      <c r="D545" s="30">
        <f>IF($A545="",0,INDEX(Transactions!$H:$H,ROW()-8))</f>
      </c>
      <c r="E545">
        <f>IF($A545="",1,INDEX(Transactions!$N:$N,ROW()-8))</f>
        <v>1</v>
      </c>
      <c r="F545" s="30">
        <f>IF($A545="",0,INDEX(Transactions!$O:$O,ROW()-8))</f>
      </c>
      <c r="G545" s="30">
        <f>IF($A545="",0,INDEX(Transactions!$P:$P,ROW()-8))</f>
      </c>
    </row>
    <row r="546" spans="1:7" ht="15" customHeight="1" x14ac:dyDescent="0.15">
      <c r="A546">
        <f>IF(INDEX(Transactions!$J:$J,ROW()-8)="","",INDEX(Transactions!$J:$J,ROW()-8))</f>
      </c>
      <c r="B546" s="297">
        <f>IF($A546="",TODAY(),INDEX(Transactions!$G:$G,ROW()-8))</f>
      </c>
      <c r="C546">
        <f>IF($A546="","",INDEX(Transactions!$A:$A,ROW()-8))</f>
      </c>
      <c r="D546" s="30">
        <f>IF($A546="",0,INDEX(Transactions!$H:$H,ROW()-8))</f>
      </c>
      <c r="E546">
        <f>IF($A546="",1,INDEX(Transactions!$N:$N,ROW()-8))</f>
        <v>1</v>
      </c>
      <c r="F546" s="30">
        <f>IF($A546="",0,INDEX(Transactions!$O:$O,ROW()-8))</f>
      </c>
      <c r="G546" s="30">
        <f>IF($A546="",0,INDEX(Transactions!$P:$P,ROW()-8))</f>
      </c>
    </row>
    <row r="547" spans="1:7" ht="15" customHeight="1" x14ac:dyDescent="0.15">
      <c r="A547">
        <f>IF(INDEX(Transactions!$J:$J,ROW()-8)="","",INDEX(Transactions!$J:$J,ROW()-8))</f>
      </c>
      <c r="B547" s="297">
        <f>IF($A547="",TODAY(),INDEX(Transactions!$G:$G,ROW()-8))</f>
      </c>
      <c r="C547">
        <f>IF($A547="","",INDEX(Transactions!$A:$A,ROW()-8))</f>
      </c>
      <c r="D547" s="30">
        <f>IF($A547="",0,INDEX(Transactions!$H:$H,ROW()-8))</f>
      </c>
      <c r="E547">
        <f>IF($A547="",1,INDEX(Transactions!$N:$N,ROW()-8))</f>
        <v>1</v>
      </c>
      <c r="F547" s="30">
        <f>IF($A547="",0,INDEX(Transactions!$O:$O,ROW()-8))</f>
      </c>
      <c r="G547" s="30">
        <f>IF($A547="",0,INDEX(Transactions!$P:$P,ROW()-8))</f>
      </c>
    </row>
    <row r="548" spans="1:7" ht="15" customHeight="1" x14ac:dyDescent="0.15">
      <c r="A548">
        <f>IF(INDEX(Transactions!$J:$J,ROW()-8)="","",INDEX(Transactions!$J:$J,ROW()-8))</f>
      </c>
      <c r="B548" s="297">
        <f>IF($A548="",TODAY(),INDEX(Transactions!$G:$G,ROW()-8))</f>
      </c>
      <c r="C548">
        <f>IF($A548="","",INDEX(Transactions!$A:$A,ROW()-8))</f>
      </c>
      <c r="D548" s="30">
        <f>IF($A548="",0,INDEX(Transactions!$H:$H,ROW()-8))</f>
      </c>
      <c r="E548">
        <f>IF($A548="",1,INDEX(Transactions!$N:$N,ROW()-8))</f>
        <v>1</v>
      </c>
      <c r="F548" s="30">
        <f>IF($A548="",0,INDEX(Transactions!$O:$O,ROW()-8))</f>
      </c>
      <c r="G548" s="30">
        <f>IF($A548="",0,INDEX(Transactions!$P:$P,ROW()-8))</f>
      </c>
    </row>
    <row r="549" spans="1:7" ht="15" customHeight="1" x14ac:dyDescent="0.15">
      <c r="A549">
        <f>IF(INDEX(Transactions!$J:$J,ROW()-8)="","",INDEX(Transactions!$J:$J,ROW()-8))</f>
      </c>
      <c r="B549" s="297">
        <f>IF($A549="",TODAY(),INDEX(Transactions!$G:$G,ROW()-8))</f>
      </c>
      <c r="C549">
        <f>IF($A549="","",INDEX(Transactions!$A:$A,ROW()-8))</f>
      </c>
      <c r="D549" s="30">
        <f>IF($A549="",0,INDEX(Transactions!$H:$H,ROW()-8))</f>
      </c>
      <c r="E549">
        <f>IF($A549="",1,INDEX(Transactions!$N:$N,ROW()-8))</f>
        <v>1</v>
      </c>
      <c r="F549" s="30">
        <f>IF($A549="",0,INDEX(Transactions!$O:$O,ROW()-8))</f>
      </c>
      <c r="G549" s="30">
        <f>IF($A549="",0,INDEX(Transactions!$P:$P,ROW()-8))</f>
      </c>
    </row>
    <row r="550" spans="1:7" ht="15" customHeight="1" x14ac:dyDescent="0.15">
      <c r="A550">
        <f>IF(INDEX(Transactions!$J:$J,ROW()-8)="","",INDEX(Transactions!$J:$J,ROW()-8))</f>
      </c>
      <c r="B550" s="297">
        <f>IF($A550="",TODAY(),INDEX(Transactions!$G:$G,ROW()-8))</f>
      </c>
      <c r="C550">
        <f>IF($A550="","",INDEX(Transactions!$A:$A,ROW()-8))</f>
      </c>
      <c r="D550" s="30">
        <f>IF($A550="",0,INDEX(Transactions!$H:$H,ROW()-8))</f>
      </c>
      <c r="E550">
        <f>IF($A550="",1,INDEX(Transactions!$N:$N,ROW()-8))</f>
        <v>1</v>
      </c>
      <c r="F550" s="30">
        <f>IF($A550="",0,INDEX(Transactions!$O:$O,ROW()-8))</f>
      </c>
      <c r="G550" s="30">
        <f>IF($A550="",0,INDEX(Transactions!$P:$P,ROW()-8))</f>
      </c>
    </row>
    <row r="551" spans="1:7" ht="15" customHeight="1" x14ac:dyDescent="0.15">
      <c r="A551">
        <f>IF(INDEX(Transactions!$J:$J,ROW()-8)="","",INDEX(Transactions!$J:$J,ROW()-8))</f>
      </c>
      <c r="B551" s="297">
        <f>IF($A551="",TODAY(),INDEX(Transactions!$G:$G,ROW()-8))</f>
      </c>
      <c r="C551">
        <f>IF($A551="","",INDEX(Transactions!$A:$A,ROW()-8))</f>
      </c>
      <c r="D551" s="30">
        <f>IF($A551="",0,INDEX(Transactions!$H:$H,ROW()-8))</f>
      </c>
      <c r="E551">
        <f>IF($A551="",1,INDEX(Transactions!$N:$N,ROW()-8))</f>
        <v>1</v>
      </c>
      <c r="F551" s="30">
        <f>IF($A551="",0,INDEX(Transactions!$O:$O,ROW()-8))</f>
      </c>
      <c r="G551" s="30">
        <f>IF($A551="",0,INDEX(Transactions!$P:$P,ROW()-8))</f>
      </c>
    </row>
    <row r="552" spans="1:7" ht="15" customHeight="1" x14ac:dyDescent="0.15">
      <c r="A552">
        <f>IF(INDEX(Transactions!$J:$J,ROW()-8)="","",INDEX(Transactions!$J:$J,ROW()-8))</f>
      </c>
      <c r="B552" s="297">
        <f>IF($A552="",TODAY(),INDEX(Transactions!$G:$G,ROW()-8))</f>
      </c>
      <c r="C552">
        <f>IF($A552="","",INDEX(Transactions!$A:$A,ROW()-8))</f>
      </c>
      <c r="D552" s="30">
        <f>IF($A552="",0,INDEX(Transactions!$H:$H,ROW()-8))</f>
      </c>
      <c r="E552">
        <f>IF($A552="",1,INDEX(Transactions!$N:$N,ROW()-8))</f>
        <v>1</v>
      </c>
      <c r="F552" s="30">
        <f>IF($A552="",0,INDEX(Transactions!$O:$O,ROW()-8))</f>
      </c>
      <c r="G552" s="30">
        <f>IF($A552="",0,INDEX(Transactions!$P:$P,ROW()-8))</f>
      </c>
    </row>
    <row r="553" spans="1:7" ht="15" customHeight="1" x14ac:dyDescent="0.15">
      <c r="A553">
        <f>IF(INDEX(Transactions!$J:$J,ROW()-8)="","",INDEX(Transactions!$J:$J,ROW()-8))</f>
      </c>
      <c r="B553" s="297">
        <f>IF($A553="",TODAY(),INDEX(Transactions!$G:$G,ROW()-8))</f>
      </c>
      <c r="C553">
        <f>IF($A553="","",INDEX(Transactions!$A:$A,ROW()-8))</f>
      </c>
      <c r="D553" s="30">
        <f>IF($A553="",0,INDEX(Transactions!$H:$H,ROW()-8))</f>
      </c>
      <c r="E553">
        <f>IF($A553="",1,INDEX(Transactions!$N:$N,ROW()-8))</f>
        <v>1</v>
      </c>
      <c r="F553" s="30">
        <f>IF($A553="",0,INDEX(Transactions!$O:$O,ROW()-8))</f>
      </c>
      <c r="G553" s="30">
        <f>IF($A553="",0,INDEX(Transactions!$P:$P,ROW()-8))</f>
      </c>
    </row>
    <row r="554" spans="1:7" ht="15" customHeight="1" x14ac:dyDescent="0.15">
      <c r="A554">
        <f>IF(INDEX(Transactions!$J:$J,ROW()-8)="","",INDEX(Transactions!$J:$J,ROW()-8))</f>
      </c>
      <c r="B554" s="297">
        <f>IF($A554="",TODAY(),INDEX(Transactions!$G:$G,ROW()-8))</f>
      </c>
      <c r="C554">
        <f>IF($A554="","",INDEX(Transactions!$A:$A,ROW()-8))</f>
      </c>
      <c r="D554" s="30">
        <f>IF($A554="",0,INDEX(Transactions!$H:$H,ROW()-8))</f>
      </c>
      <c r="E554">
        <f>IF($A554="",1,INDEX(Transactions!$N:$N,ROW()-8))</f>
        <v>1</v>
      </c>
      <c r="F554" s="30">
        <f>IF($A554="",0,INDEX(Transactions!$O:$O,ROW()-8))</f>
      </c>
      <c r="G554" s="30">
        <f>IF($A554="",0,INDEX(Transactions!$P:$P,ROW()-8))</f>
      </c>
    </row>
    <row r="555" spans="1:7" ht="15" customHeight="1" x14ac:dyDescent="0.15">
      <c r="A555">
        <f>IF(INDEX(Transactions!$J:$J,ROW()-8)="","",INDEX(Transactions!$J:$J,ROW()-8))</f>
      </c>
      <c r="B555" s="297">
        <f>IF($A555="",TODAY(),INDEX(Transactions!$G:$G,ROW()-8))</f>
      </c>
      <c r="C555">
        <f>IF($A555="","",INDEX(Transactions!$A:$A,ROW()-8))</f>
      </c>
      <c r="D555" s="30">
        <f>IF($A555="",0,INDEX(Transactions!$H:$H,ROW()-8))</f>
      </c>
      <c r="E555">
        <f>IF($A555="",1,INDEX(Transactions!$N:$N,ROW()-8))</f>
        <v>1</v>
      </c>
      <c r="F555" s="30">
        <f>IF($A555="",0,INDEX(Transactions!$O:$O,ROW()-8))</f>
      </c>
      <c r="G555" s="30">
        <f>IF($A555="",0,INDEX(Transactions!$P:$P,ROW()-8))</f>
      </c>
    </row>
    <row r="556" spans="1:7" ht="15" customHeight="1" x14ac:dyDescent="0.15">
      <c r="A556">
        <f>IF(INDEX(Transactions!$J:$J,ROW()-8)="","",INDEX(Transactions!$J:$J,ROW()-8))</f>
      </c>
      <c r="B556" s="297">
        <f>IF($A556="",TODAY(),INDEX(Transactions!$G:$G,ROW()-8))</f>
      </c>
      <c r="C556">
        <f>IF($A556="","",INDEX(Transactions!$A:$A,ROW()-8))</f>
      </c>
      <c r="D556" s="30">
        <f>IF($A556="",0,INDEX(Transactions!$H:$H,ROW()-8))</f>
      </c>
      <c r="E556">
        <f>IF($A556="",1,INDEX(Transactions!$N:$N,ROW()-8))</f>
        <v>1</v>
      </c>
      <c r="F556" s="30">
        <f>IF($A556="",0,INDEX(Transactions!$O:$O,ROW()-8))</f>
      </c>
      <c r="G556" s="30">
        <f>IF($A556="",0,INDEX(Transactions!$P:$P,ROW()-8))</f>
      </c>
    </row>
    <row r="557" spans="1:7" ht="15" customHeight="1" x14ac:dyDescent="0.15">
      <c r="A557">
        <f>IF(INDEX(Transactions!$J:$J,ROW()-8)="","",INDEX(Transactions!$J:$J,ROW()-8))</f>
      </c>
      <c r="B557" s="297">
        <f>IF($A557="",TODAY(),INDEX(Transactions!$G:$G,ROW()-8))</f>
      </c>
      <c r="C557">
        <f>IF($A557="","",INDEX(Transactions!$A:$A,ROW()-8))</f>
      </c>
      <c r="D557" s="30">
        <f>IF($A557="",0,INDEX(Transactions!$H:$H,ROW()-8))</f>
      </c>
      <c r="E557">
        <f>IF($A557="",1,INDEX(Transactions!$N:$N,ROW()-8))</f>
        <v>1</v>
      </c>
      <c r="F557" s="30">
        <f>IF($A557="",0,INDEX(Transactions!$O:$O,ROW()-8))</f>
      </c>
      <c r="G557" s="30">
        <f>IF($A557="",0,INDEX(Transactions!$P:$P,ROW()-8))</f>
      </c>
    </row>
    <row r="558" spans="1:7" ht="15" customHeight="1" x14ac:dyDescent="0.15">
      <c r="A558">
        <f>IF(INDEX(Transactions!$J:$J,ROW()-8)="","",INDEX(Transactions!$J:$J,ROW()-8))</f>
      </c>
      <c r="B558" s="297">
        <f>IF($A558="",TODAY(),INDEX(Transactions!$G:$G,ROW()-8))</f>
      </c>
      <c r="C558">
        <f>IF($A558="","",INDEX(Transactions!$A:$A,ROW()-8))</f>
      </c>
      <c r="D558" s="30">
        <f>IF($A558="",0,INDEX(Transactions!$H:$H,ROW()-8))</f>
      </c>
      <c r="E558">
        <f>IF($A558="",1,INDEX(Transactions!$N:$N,ROW()-8))</f>
        <v>1</v>
      </c>
      <c r="F558" s="30">
        <f>IF($A558="",0,INDEX(Transactions!$O:$O,ROW()-8))</f>
      </c>
      <c r="G558" s="30">
        <f>IF($A558="",0,INDEX(Transactions!$P:$P,ROW()-8))</f>
      </c>
    </row>
    <row r="559" spans="1:7" ht="15" customHeight="1" x14ac:dyDescent="0.15">
      <c r="A559">
        <f>IF(INDEX(Transactions!$J:$J,ROW()-8)="","",INDEX(Transactions!$J:$J,ROW()-8))</f>
      </c>
      <c r="B559" s="297">
        <f>IF($A559="",TODAY(),INDEX(Transactions!$G:$G,ROW()-8))</f>
      </c>
      <c r="C559">
        <f>IF($A559="","",INDEX(Transactions!$A:$A,ROW()-8))</f>
      </c>
      <c r="D559" s="30">
        <f>IF($A559="",0,INDEX(Transactions!$H:$H,ROW()-8))</f>
      </c>
      <c r="E559">
        <f>IF($A559="",1,INDEX(Transactions!$N:$N,ROW()-8))</f>
        <v>1</v>
      </c>
      <c r="F559" s="30">
        <f>IF($A559="",0,INDEX(Transactions!$O:$O,ROW()-8))</f>
      </c>
      <c r="G559" s="30">
        <f>IF($A559="",0,INDEX(Transactions!$P:$P,ROW()-8))</f>
      </c>
    </row>
    <row r="560" spans="1:7" ht="15" customHeight="1" x14ac:dyDescent="0.15">
      <c r="A560">
        <f>IF(INDEX(Transactions!$J:$J,ROW()-8)="","",INDEX(Transactions!$J:$J,ROW()-8))</f>
      </c>
      <c r="B560" s="297">
        <f>IF($A560="",TODAY(),INDEX(Transactions!$G:$G,ROW()-8))</f>
      </c>
      <c r="C560">
        <f>IF($A560="","",INDEX(Transactions!$A:$A,ROW()-8))</f>
      </c>
      <c r="D560" s="30">
        <f>IF($A560="",0,INDEX(Transactions!$H:$H,ROW()-8))</f>
      </c>
      <c r="E560">
        <f>IF($A560="",1,INDEX(Transactions!$N:$N,ROW()-8))</f>
        <v>1</v>
      </c>
      <c r="F560" s="30">
        <f>IF($A560="",0,INDEX(Transactions!$O:$O,ROW()-8))</f>
      </c>
      <c r="G560" s="30">
        <f>IF($A560="",0,INDEX(Transactions!$P:$P,ROW()-8))</f>
      </c>
    </row>
    <row r="561" spans="1:7" ht="15" customHeight="1" x14ac:dyDescent="0.15">
      <c r="A561">
        <f>IF(INDEX(Transactions!$J:$J,ROW()-8)="","",INDEX(Transactions!$J:$J,ROW()-8))</f>
      </c>
      <c r="B561" s="297">
        <f>IF($A561="",TODAY(),INDEX(Transactions!$G:$G,ROW()-8))</f>
      </c>
      <c r="C561">
        <f>IF($A561="","",INDEX(Transactions!$A:$A,ROW()-8))</f>
      </c>
      <c r="D561" s="30">
        <f>IF($A561="",0,INDEX(Transactions!$H:$H,ROW()-8))</f>
      </c>
      <c r="E561">
        <f>IF($A561="",1,INDEX(Transactions!$N:$N,ROW()-8))</f>
        <v>1</v>
      </c>
      <c r="F561" s="30">
        <f>IF($A561="",0,INDEX(Transactions!$O:$O,ROW()-8))</f>
      </c>
      <c r="G561" s="30">
        <f>IF($A561="",0,INDEX(Transactions!$P:$P,ROW()-8))</f>
      </c>
    </row>
    <row r="562" spans="1:7" ht="15" customHeight="1" x14ac:dyDescent="0.15">
      <c r="A562">
        <f>IF(INDEX(Transactions!$J:$J,ROW()-8)="","",INDEX(Transactions!$J:$J,ROW()-8))</f>
      </c>
      <c r="B562" s="297">
        <f>IF($A562="",TODAY(),INDEX(Transactions!$G:$G,ROW()-8))</f>
      </c>
      <c r="C562">
        <f>IF($A562="","",INDEX(Transactions!$A:$A,ROW()-8))</f>
      </c>
      <c r="D562" s="30">
        <f>IF($A562="",0,INDEX(Transactions!$H:$H,ROW()-8))</f>
      </c>
      <c r="E562">
        <f>IF($A562="",1,INDEX(Transactions!$N:$N,ROW()-8))</f>
        <v>1</v>
      </c>
      <c r="F562" s="30">
        <f>IF($A562="",0,INDEX(Transactions!$O:$O,ROW()-8))</f>
      </c>
      <c r="G562" s="30">
        <f>IF($A562="",0,INDEX(Transactions!$P:$P,ROW()-8))</f>
      </c>
    </row>
    <row r="563" spans="1:7" ht="15" customHeight="1" x14ac:dyDescent="0.15">
      <c r="A563">
        <f>IF(INDEX(Transactions!$J:$J,ROW()-8)="","",INDEX(Transactions!$J:$J,ROW()-8))</f>
      </c>
      <c r="B563" s="297">
        <f>IF($A563="",TODAY(),INDEX(Transactions!$G:$G,ROW()-8))</f>
      </c>
      <c r="C563">
        <f>IF($A563="","",INDEX(Transactions!$A:$A,ROW()-8))</f>
      </c>
      <c r="D563" s="30">
        <f>IF($A563="",0,INDEX(Transactions!$H:$H,ROW()-8))</f>
      </c>
      <c r="E563">
        <f>IF($A563="",1,INDEX(Transactions!$N:$N,ROW()-8))</f>
        <v>1</v>
      </c>
      <c r="F563" s="30">
        <f>IF($A563="",0,INDEX(Transactions!$O:$O,ROW()-8))</f>
      </c>
      <c r="G563" s="30">
        <f>IF($A563="",0,INDEX(Transactions!$P:$P,ROW()-8))</f>
      </c>
    </row>
    <row r="564" spans="1:7" ht="15" customHeight="1" x14ac:dyDescent="0.15">
      <c r="A564">
        <f>IF(INDEX(Transactions!$J:$J,ROW()-8)="","",INDEX(Transactions!$J:$J,ROW()-8))</f>
      </c>
      <c r="B564" s="297">
        <f>IF($A564="",TODAY(),INDEX(Transactions!$G:$G,ROW()-8))</f>
      </c>
      <c r="C564">
        <f>IF($A564="","",INDEX(Transactions!$A:$A,ROW()-8))</f>
      </c>
      <c r="D564" s="30">
        <f>IF($A564="",0,INDEX(Transactions!$H:$H,ROW()-8))</f>
      </c>
      <c r="E564">
        <f>IF($A564="",1,INDEX(Transactions!$N:$N,ROW()-8))</f>
        <v>1</v>
      </c>
      <c r="F564" s="30">
        <f>IF($A564="",0,INDEX(Transactions!$O:$O,ROW()-8))</f>
      </c>
      <c r="G564" s="30">
        <f>IF($A564="",0,INDEX(Transactions!$P:$P,ROW()-8))</f>
      </c>
    </row>
    <row r="565" spans="1:7" ht="15" customHeight="1" x14ac:dyDescent="0.15">
      <c r="A565">
        <f>IF(INDEX(Transactions!$J:$J,ROW()-8)="","",INDEX(Transactions!$J:$J,ROW()-8))</f>
      </c>
      <c r="B565" s="297">
        <f>IF($A565="",TODAY(),INDEX(Transactions!$G:$G,ROW()-8))</f>
      </c>
      <c r="C565">
        <f>IF($A565="","",INDEX(Transactions!$A:$A,ROW()-8))</f>
      </c>
      <c r="D565" s="30">
        <f>IF($A565="",0,INDEX(Transactions!$H:$H,ROW()-8))</f>
      </c>
      <c r="E565">
        <f>IF($A565="",1,INDEX(Transactions!$N:$N,ROW()-8))</f>
        <v>1</v>
      </c>
      <c r="F565" s="30">
        <f>IF($A565="",0,INDEX(Transactions!$O:$O,ROW()-8))</f>
      </c>
      <c r="G565" s="30">
        <f>IF($A565="",0,INDEX(Transactions!$P:$P,ROW()-8))</f>
      </c>
    </row>
    <row r="566" spans="1:7" ht="15" customHeight="1" x14ac:dyDescent="0.15">
      <c r="A566">
        <f>IF(INDEX(Transactions!$J:$J,ROW()-8)="","",INDEX(Transactions!$J:$J,ROW()-8))</f>
      </c>
      <c r="B566" s="297">
        <f>IF($A566="",TODAY(),INDEX(Transactions!$G:$G,ROW()-8))</f>
      </c>
      <c r="C566">
        <f>IF($A566="","",INDEX(Transactions!$A:$A,ROW()-8))</f>
      </c>
      <c r="D566" s="30">
        <f>IF($A566="",0,INDEX(Transactions!$H:$H,ROW()-8))</f>
      </c>
      <c r="E566">
        <f>IF($A566="",1,INDEX(Transactions!$N:$N,ROW()-8))</f>
        <v>1</v>
      </c>
      <c r="F566" s="30">
        <f>IF($A566="",0,INDEX(Transactions!$O:$O,ROW()-8))</f>
      </c>
      <c r="G566" s="30">
        <f>IF($A566="",0,INDEX(Transactions!$P:$P,ROW()-8))</f>
      </c>
    </row>
    <row r="567" spans="1:7" ht="15" customHeight="1" x14ac:dyDescent="0.15">
      <c r="A567">
        <f>IF(INDEX(Transactions!$J:$J,ROW()-8)="","",INDEX(Transactions!$J:$J,ROW()-8))</f>
      </c>
      <c r="B567" s="297">
        <f>IF($A567="",TODAY(),INDEX(Transactions!$G:$G,ROW()-8))</f>
      </c>
      <c r="C567">
        <f>IF($A567="","",INDEX(Transactions!$A:$A,ROW()-8))</f>
      </c>
      <c r="D567" s="30">
        <f>IF($A567="",0,INDEX(Transactions!$H:$H,ROW()-8))</f>
      </c>
      <c r="E567">
        <f>IF($A567="",1,INDEX(Transactions!$N:$N,ROW()-8))</f>
        <v>1</v>
      </c>
      <c r="F567" s="30">
        <f>IF($A567="",0,INDEX(Transactions!$O:$O,ROW()-8))</f>
      </c>
      <c r="G567" s="30">
        <f>IF($A567="",0,INDEX(Transactions!$P:$P,ROW()-8))</f>
      </c>
    </row>
    <row r="568" spans="1:7" ht="15" customHeight="1" x14ac:dyDescent="0.15">
      <c r="A568">
        <f>IF(INDEX(Transactions!$J:$J,ROW()-8)="","",INDEX(Transactions!$J:$J,ROW()-8))</f>
      </c>
      <c r="B568" s="297">
        <f>IF($A568="",TODAY(),INDEX(Transactions!$G:$G,ROW()-8))</f>
      </c>
      <c r="C568">
        <f>IF($A568="","",INDEX(Transactions!$A:$A,ROW()-8))</f>
      </c>
      <c r="D568" s="30">
        <f>IF($A568="",0,INDEX(Transactions!$H:$H,ROW()-8))</f>
      </c>
      <c r="E568">
        <f>IF($A568="",1,INDEX(Transactions!$N:$N,ROW()-8))</f>
        <v>1</v>
      </c>
      <c r="F568" s="30">
        <f>IF($A568="",0,INDEX(Transactions!$O:$O,ROW()-8))</f>
      </c>
      <c r="G568" s="30">
        <f>IF($A568="",0,INDEX(Transactions!$P:$P,ROW()-8))</f>
      </c>
    </row>
    <row r="569" spans="1:7" ht="15" customHeight="1" x14ac:dyDescent="0.15">
      <c r="A569">
        <f>IF(INDEX(Transactions!$J:$J,ROW()-8)="","",INDEX(Transactions!$J:$J,ROW()-8))</f>
      </c>
      <c r="B569" s="297">
        <f>IF($A569="",TODAY(),INDEX(Transactions!$G:$G,ROW()-8))</f>
      </c>
      <c r="C569">
        <f>IF($A569="","",INDEX(Transactions!$A:$A,ROW()-8))</f>
      </c>
      <c r="D569" s="30">
        <f>IF($A569="",0,INDEX(Transactions!$H:$H,ROW()-8))</f>
      </c>
      <c r="E569">
        <f>IF($A569="",1,INDEX(Transactions!$N:$N,ROW()-8))</f>
        <v>1</v>
      </c>
      <c r="F569" s="30">
        <f>IF($A569="",0,INDEX(Transactions!$O:$O,ROW()-8))</f>
      </c>
      <c r="G569" s="30">
        <f>IF($A569="",0,INDEX(Transactions!$P:$P,ROW()-8))</f>
      </c>
    </row>
    <row r="570" spans="1:7" ht="15" customHeight="1" x14ac:dyDescent="0.15">
      <c r="A570">
        <f>IF(INDEX(Transactions!$J:$J,ROW()-8)="","",INDEX(Transactions!$J:$J,ROW()-8))</f>
      </c>
      <c r="B570" s="297">
        <f>IF($A570="",TODAY(),INDEX(Transactions!$G:$G,ROW()-8))</f>
      </c>
      <c r="C570">
        <f>IF($A570="","",INDEX(Transactions!$A:$A,ROW()-8))</f>
      </c>
      <c r="D570" s="30">
        <f>IF($A570="",0,INDEX(Transactions!$H:$H,ROW()-8))</f>
      </c>
      <c r="E570">
        <f>IF($A570="",1,INDEX(Transactions!$N:$N,ROW()-8))</f>
        <v>1</v>
      </c>
      <c r="F570" s="30">
        <f>IF($A570="",0,INDEX(Transactions!$O:$O,ROW()-8))</f>
      </c>
      <c r="G570" s="30">
        <f>IF($A570="",0,INDEX(Transactions!$P:$P,ROW()-8))</f>
      </c>
    </row>
    <row r="571" spans="1:7" ht="15" customHeight="1" x14ac:dyDescent="0.15">
      <c r="A571">
        <f>IF(INDEX(Transactions!$J:$J,ROW()-8)="","",INDEX(Transactions!$J:$J,ROW()-8))</f>
      </c>
      <c r="B571" s="297">
        <f>IF($A571="",TODAY(),INDEX(Transactions!$G:$G,ROW()-8))</f>
      </c>
      <c r="C571">
        <f>IF($A571="","",INDEX(Transactions!$A:$A,ROW()-8))</f>
      </c>
      <c r="D571" s="30">
        <f>IF($A571="",0,INDEX(Transactions!$H:$H,ROW()-8))</f>
      </c>
      <c r="E571">
        <f>IF($A571="",1,INDEX(Transactions!$N:$N,ROW()-8))</f>
        <v>1</v>
      </c>
      <c r="F571" s="30">
        <f>IF($A571="",0,INDEX(Transactions!$O:$O,ROW()-8))</f>
      </c>
      <c r="G571" s="30">
        <f>IF($A571="",0,INDEX(Transactions!$P:$P,ROW()-8))</f>
      </c>
    </row>
    <row r="572" spans="1:7" ht="15" customHeight="1" x14ac:dyDescent="0.15">
      <c r="A572">
        <f>IF(INDEX(Transactions!$J:$J,ROW()-8)="","",INDEX(Transactions!$J:$J,ROW()-8))</f>
      </c>
      <c r="B572" s="297">
        <f>IF($A572="",TODAY(),INDEX(Transactions!$G:$G,ROW()-8))</f>
      </c>
      <c r="C572">
        <f>IF($A572="","",INDEX(Transactions!$A:$A,ROW()-8))</f>
      </c>
      <c r="D572" s="30">
        <f>IF($A572="",0,INDEX(Transactions!$H:$H,ROW()-8))</f>
      </c>
      <c r="E572">
        <f>IF($A572="",1,INDEX(Transactions!$N:$N,ROW()-8))</f>
        <v>1</v>
      </c>
      <c r="F572" s="30">
        <f>IF($A572="",0,INDEX(Transactions!$O:$O,ROW()-8))</f>
      </c>
      <c r="G572" s="30">
        <f>IF($A572="",0,INDEX(Transactions!$P:$P,ROW()-8))</f>
      </c>
    </row>
    <row r="573" spans="1:7" ht="15" customHeight="1" x14ac:dyDescent="0.15">
      <c r="A573">
        <f>IF(INDEX(Transactions!$J:$J,ROW()-8)="","",INDEX(Transactions!$J:$J,ROW()-8))</f>
      </c>
      <c r="B573" s="297">
        <f>IF($A573="",TODAY(),INDEX(Transactions!$G:$G,ROW()-8))</f>
      </c>
      <c r="C573">
        <f>IF($A573="","",INDEX(Transactions!$A:$A,ROW()-8))</f>
      </c>
      <c r="D573" s="30">
        <f>IF($A573="",0,INDEX(Transactions!$H:$H,ROW()-8))</f>
      </c>
      <c r="E573">
        <f>IF($A573="",1,INDEX(Transactions!$N:$N,ROW()-8))</f>
        <v>1</v>
      </c>
      <c r="F573" s="30">
        <f>IF($A573="",0,INDEX(Transactions!$O:$O,ROW()-8))</f>
      </c>
      <c r="G573" s="30">
        <f>IF($A573="",0,INDEX(Transactions!$P:$P,ROW()-8))</f>
      </c>
    </row>
    <row r="574" spans="1:7" ht="15" customHeight="1" x14ac:dyDescent="0.15">
      <c r="A574">
        <f>IF(INDEX(Transactions!$J:$J,ROW()-8)="","",INDEX(Transactions!$J:$J,ROW()-8))</f>
      </c>
      <c r="B574" s="297">
        <f>IF($A574="",TODAY(),INDEX(Transactions!$G:$G,ROW()-8))</f>
      </c>
      <c r="C574">
        <f>IF($A574="","",INDEX(Transactions!$A:$A,ROW()-8))</f>
      </c>
      <c r="D574" s="30">
        <f>IF($A574="",0,INDEX(Transactions!$H:$H,ROW()-8))</f>
      </c>
      <c r="E574">
        <f>IF($A574="",1,INDEX(Transactions!$N:$N,ROW()-8))</f>
        <v>1</v>
      </c>
      <c r="F574" s="30">
        <f>IF($A574="",0,INDEX(Transactions!$O:$O,ROW()-8))</f>
      </c>
      <c r="G574" s="30">
        <f>IF($A574="",0,INDEX(Transactions!$P:$P,ROW()-8))</f>
      </c>
    </row>
    <row r="575" spans="1:7" ht="15" customHeight="1" x14ac:dyDescent="0.15">
      <c r="A575">
        <f>IF(INDEX(Transactions!$J:$J,ROW()-8)="","",INDEX(Transactions!$J:$J,ROW()-8))</f>
      </c>
      <c r="B575" s="297">
        <f>IF($A575="",TODAY(),INDEX(Transactions!$G:$G,ROW()-8))</f>
      </c>
      <c r="C575">
        <f>IF($A575="","",INDEX(Transactions!$A:$A,ROW()-8))</f>
      </c>
      <c r="D575" s="30">
        <f>IF($A575="",0,INDEX(Transactions!$H:$H,ROW()-8))</f>
      </c>
      <c r="E575">
        <f>IF($A575="",1,INDEX(Transactions!$N:$N,ROW()-8))</f>
        <v>1</v>
      </c>
      <c r="F575" s="30">
        <f>IF($A575="",0,INDEX(Transactions!$O:$O,ROW()-8))</f>
      </c>
      <c r="G575" s="30">
        <f>IF($A575="",0,INDEX(Transactions!$P:$P,ROW()-8))</f>
      </c>
    </row>
    <row r="576" spans="1:7" ht="15" customHeight="1" x14ac:dyDescent="0.15">
      <c r="A576">
        <f>IF(INDEX(Transactions!$J:$J,ROW()-8)="","",INDEX(Transactions!$J:$J,ROW()-8))</f>
      </c>
      <c r="B576" s="297">
        <f>IF($A576="",TODAY(),INDEX(Transactions!$G:$G,ROW()-8))</f>
      </c>
      <c r="C576">
        <f>IF($A576="","",INDEX(Transactions!$A:$A,ROW()-8))</f>
      </c>
      <c r="D576" s="30">
        <f>IF($A576="",0,INDEX(Transactions!$H:$H,ROW()-8))</f>
      </c>
      <c r="E576">
        <f>IF($A576="",1,INDEX(Transactions!$N:$N,ROW()-8))</f>
        <v>1</v>
      </c>
      <c r="F576" s="30">
        <f>IF($A576="",0,INDEX(Transactions!$O:$O,ROW()-8))</f>
      </c>
      <c r="G576" s="30">
        <f>IF($A576="",0,INDEX(Transactions!$P:$P,ROW()-8))</f>
      </c>
    </row>
    <row r="577" spans="1:7" ht="15" customHeight="1" x14ac:dyDescent="0.15">
      <c r="A577">
        <f>IF(INDEX(Transactions!$J:$J,ROW()-8)="","",INDEX(Transactions!$J:$J,ROW()-8))</f>
      </c>
      <c r="B577" s="297">
        <f>IF($A577="",TODAY(),INDEX(Transactions!$G:$G,ROW()-8))</f>
      </c>
      <c r="C577">
        <f>IF($A577="","",INDEX(Transactions!$A:$A,ROW()-8))</f>
      </c>
      <c r="D577" s="30">
        <f>IF($A577="",0,INDEX(Transactions!$H:$H,ROW()-8))</f>
      </c>
      <c r="E577">
        <f>IF($A577="",1,INDEX(Transactions!$N:$N,ROW()-8))</f>
        <v>1</v>
      </c>
      <c r="F577" s="30">
        <f>IF($A577="",0,INDEX(Transactions!$O:$O,ROW()-8))</f>
      </c>
      <c r="G577" s="30">
        <f>IF($A577="",0,INDEX(Transactions!$P:$P,ROW()-8))</f>
      </c>
    </row>
    <row r="578" spans="1:7" ht="15" customHeight="1" x14ac:dyDescent="0.15">
      <c r="A578">
        <f>IF(INDEX(Transactions!$J:$J,ROW()-8)="","",INDEX(Transactions!$J:$J,ROW()-8))</f>
      </c>
      <c r="B578" s="297">
        <f>IF($A578="",TODAY(),INDEX(Transactions!$G:$G,ROW()-8))</f>
      </c>
      <c r="C578">
        <f>IF($A578="","",INDEX(Transactions!$A:$A,ROW()-8))</f>
      </c>
      <c r="D578" s="30">
        <f>IF($A578="",0,INDEX(Transactions!$H:$H,ROW()-8))</f>
      </c>
      <c r="E578">
        <f>IF($A578="",1,INDEX(Transactions!$N:$N,ROW()-8))</f>
        <v>1</v>
      </c>
      <c r="F578" s="30">
        <f>IF($A578="",0,INDEX(Transactions!$O:$O,ROW()-8))</f>
      </c>
      <c r="G578" s="30">
        <f>IF($A578="",0,INDEX(Transactions!$P:$P,ROW()-8))</f>
      </c>
    </row>
    <row r="579" spans="1:7" ht="15" customHeight="1" x14ac:dyDescent="0.15">
      <c r="A579">
        <f>IF(INDEX(Transactions!$J:$J,ROW()-8)="","",INDEX(Transactions!$J:$J,ROW()-8))</f>
      </c>
      <c r="B579" s="297">
        <f>IF($A579="",TODAY(),INDEX(Transactions!$G:$G,ROW()-8))</f>
      </c>
      <c r="C579">
        <f>IF($A579="","",INDEX(Transactions!$A:$A,ROW()-8))</f>
      </c>
      <c r="D579" s="30">
        <f>IF($A579="",0,INDEX(Transactions!$H:$H,ROW()-8))</f>
      </c>
      <c r="E579">
        <f>IF($A579="",1,INDEX(Transactions!$N:$N,ROW()-8))</f>
        <v>1</v>
      </c>
      <c r="F579" s="30">
        <f>IF($A579="",0,INDEX(Transactions!$O:$O,ROW()-8))</f>
      </c>
      <c r="G579" s="30">
        <f>IF($A579="",0,INDEX(Transactions!$P:$P,ROW()-8))</f>
      </c>
    </row>
    <row r="580" spans="1:7" ht="15" customHeight="1" x14ac:dyDescent="0.15">
      <c r="A580">
        <f>IF(INDEX(Transactions!$J:$J,ROW()-8)="","",INDEX(Transactions!$J:$J,ROW()-8))</f>
      </c>
      <c r="B580" s="297">
        <f>IF($A580="",TODAY(),INDEX(Transactions!$G:$G,ROW()-8))</f>
      </c>
      <c r="C580">
        <f>IF($A580="","",INDEX(Transactions!$A:$A,ROW()-8))</f>
      </c>
      <c r="D580" s="30">
        <f>IF($A580="",0,INDEX(Transactions!$H:$H,ROW()-8))</f>
      </c>
      <c r="E580">
        <f>IF($A580="",1,INDEX(Transactions!$N:$N,ROW()-8))</f>
        <v>1</v>
      </c>
      <c r="F580" s="30">
        <f>IF($A580="",0,INDEX(Transactions!$O:$O,ROW()-8))</f>
      </c>
      <c r="G580" s="30">
        <f>IF($A580="",0,INDEX(Transactions!$P:$P,ROW()-8))</f>
      </c>
    </row>
    <row r="581" spans="1:7" ht="15" customHeight="1" x14ac:dyDescent="0.15">
      <c r="A581">
        <f>IF(INDEX(Transactions!$J:$J,ROW()-8)="","",INDEX(Transactions!$J:$J,ROW()-8))</f>
      </c>
      <c r="B581" s="297">
        <f>IF($A581="",TODAY(),INDEX(Transactions!$G:$G,ROW()-8))</f>
      </c>
      <c r="C581">
        <f>IF($A581="","",INDEX(Transactions!$A:$A,ROW()-8))</f>
      </c>
      <c r="D581" s="30">
        <f>IF($A581="",0,INDEX(Transactions!$H:$H,ROW()-8))</f>
      </c>
      <c r="E581">
        <f>IF($A581="",1,INDEX(Transactions!$N:$N,ROW()-8))</f>
        <v>1</v>
      </c>
      <c r="F581" s="30">
        <f>IF($A581="",0,INDEX(Transactions!$O:$O,ROW()-8))</f>
      </c>
      <c r="G581" s="30">
        <f>IF($A581="",0,INDEX(Transactions!$P:$P,ROW()-8))</f>
      </c>
    </row>
    <row r="582" spans="1:7" ht="15" customHeight="1" x14ac:dyDescent="0.15">
      <c r="A582">
        <f>IF(INDEX(Transactions!$J:$J,ROW()-8)="","",INDEX(Transactions!$J:$J,ROW()-8))</f>
      </c>
      <c r="B582" s="297">
        <f>IF($A582="",TODAY(),INDEX(Transactions!$G:$G,ROW()-8))</f>
      </c>
      <c r="C582">
        <f>IF($A582="","",INDEX(Transactions!$A:$A,ROW()-8))</f>
      </c>
      <c r="D582" s="30">
        <f>IF($A582="",0,INDEX(Transactions!$H:$H,ROW()-8))</f>
      </c>
      <c r="E582">
        <f>IF($A582="",1,INDEX(Transactions!$N:$N,ROW()-8))</f>
        <v>1</v>
      </c>
      <c r="F582" s="30">
        <f>IF($A582="",0,INDEX(Transactions!$O:$O,ROW()-8))</f>
      </c>
      <c r="G582" s="30">
        <f>IF($A582="",0,INDEX(Transactions!$P:$P,ROW()-8))</f>
      </c>
    </row>
    <row r="583" spans="1:7" ht="15" customHeight="1" x14ac:dyDescent="0.15">
      <c r="A583">
        <f>IF(INDEX(Transactions!$J:$J,ROW()-8)="","",INDEX(Transactions!$J:$J,ROW()-8))</f>
      </c>
      <c r="B583" s="297">
        <f>IF($A583="",TODAY(),INDEX(Transactions!$G:$G,ROW()-8))</f>
      </c>
      <c r="C583">
        <f>IF($A583="","",INDEX(Transactions!$A:$A,ROW()-8))</f>
      </c>
      <c r="D583" s="30">
        <f>IF($A583="",0,INDEX(Transactions!$H:$H,ROW()-8))</f>
      </c>
      <c r="E583">
        <f>IF($A583="",1,INDEX(Transactions!$N:$N,ROW()-8))</f>
        <v>1</v>
      </c>
      <c r="F583" s="30">
        <f>IF($A583="",0,INDEX(Transactions!$O:$O,ROW()-8))</f>
      </c>
      <c r="G583" s="30">
        <f>IF($A583="",0,INDEX(Transactions!$P:$P,ROW()-8))</f>
      </c>
    </row>
    <row r="584" spans="1:7" ht="15" customHeight="1" x14ac:dyDescent="0.15">
      <c r="A584">
        <f>IF(INDEX(Transactions!$J:$J,ROW()-8)="","",INDEX(Transactions!$J:$J,ROW()-8))</f>
      </c>
      <c r="B584" s="297">
        <f>IF($A584="",TODAY(),INDEX(Transactions!$G:$G,ROW()-8))</f>
      </c>
      <c r="C584">
        <f>IF($A584="","",INDEX(Transactions!$A:$A,ROW()-8))</f>
      </c>
      <c r="D584" s="30">
        <f>IF($A584="",0,INDEX(Transactions!$H:$H,ROW()-8))</f>
      </c>
      <c r="E584">
        <f>IF($A584="",1,INDEX(Transactions!$N:$N,ROW()-8))</f>
        <v>1</v>
      </c>
      <c r="F584" s="30">
        <f>IF($A584="",0,INDEX(Transactions!$O:$O,ROW()-8))</f>
      </c>
      <c r="G584" s="30">
        <f>IF($A584="",0,INDEX(Transactions!$P:$P,ROW()-8))</f>
      </c>
    </row>
    <row r="585" spans="1:7" ht="15" customHeight="1" x14ac:dyDescent="0.15">
      <c r="A585">
        <f>IF(INDEX(Transactions!$J:$J,ROW()-8)="","",INDEX(Transactions!$J:$J,ROW()-8))</f>
      </c>
      <c r="B585" s="297">
        <f>IF($A585="",TODAY(),INDEX(Transactions!$G:$G,ROW()-8))</f>
      </c>
      <c r="C585">
        <f>IF($A585="","",INDEX(Transactions!$A:$A,ROW()-8))</f>
      </c>
      <c r="D585" s="30">
        <f>IF($A585="",0,INDEX(Transactions!$H:$H,ROW()-8))</f>
      </c>
      <c r="E585">
        <f>IF($A585="",1,INDEX(Transactions!$N:$N,ROW()-8))</f>
        <v>1</v>
      </c>
      <c r="F585" s="30">
        <f>IF($A585="",0,INDEX(Transactions!$O:$O,ROW()-8))</f>
      </c>
      <c r="G585" s="30">
        <f>IF($A585="",0,INDEX(Transactions!$P:$P,ROW()-8))</f>
      </c>
    </row>
    <row r="586" spans="1:7" ht="15" customHeight="1" x14ac:dyDescent="0.15">
      <c r="A586">
        <f>IF(INDEX(Transactions!$J:$J,ROW()-8)="","",INDEX(Transactions!$J:$J,ROW()-8))</f>
      </c>
      <c r="B586" s="297">
        <f>IF($A586="",TODAY(),INDEX(Transactions!$G:$G,ROW()-8))</f>
      </c>
      <c r="C586">
        <f>IF($A586="","",INDEX(Transactions!$A:$A,ROW()-8))</f>
      </c>
      <c r="D586" s="30">
        <f>IF($A586="",0,INDEX(Transactions!$H:$H,ROW()-8))</f>
      </c>
      <c r="E586">
        <f>IF($A586="",1,INDEX(Transactions!$N:$N,ROW()-8))</f>
        <v>1</v>
      </c>
      <c r="F586" s="30">
        <f>IF($A586="",0,INDEX(Transactions!$O:$O,ROW()-8))</f>
      </c>
      <c r="G586" s="30">
        <f>IF($A586="",0,INDEX(Transactions!$P:$P,ROW()-8))</f>
      </c>
    </row>
    <row r="587" spans="1:7" ht="15" customHeight="1" x14ac:dyDescent="0.15">
      <c r="A587">
        <f>IF(INDEX(Transactions!$J:$J,ROW()-8)="","",INDEX(Transactions!$J:$J,ROW()-8))</f>
      </c>
      <c r="B587" s="297">
        <f>IF($A587="",TODAY(),INDEX(Transactions!$G:$G,ROW()-8))</f>
      </c>
      <c r="C587">
        <f>IF($A587="","",INDEX(Transactions!$A:$A,ROW()-8))</f>
      </c>
      <c r="D587" s="30">
        <f>IF($A587="",0,INDEX(Transactions!$H:$H,ROW()-8))</f>
      </c>
      <c r="E587">
        <f>IF($A587="",1,INDEX(Transactions!$N:$N,ROW()-8))</f>
        <v>1</v>
      </c>
      <c r="F587" s="30">
        <f>IF($A587="",0,INDEX(Transactions!$O:$O,ROW()-8))</f>
      </c>
      <c r="G587" s="30">
        <f>IF($A587="",0,INDEX(Transactions!$P:$P,ROW()-8))</f>
      </c>
    </row>
    <row r="588" spans="1:7" ht="15" customHeight="1" x14ac:dyDescent="0.15">
      <c r="A588">
        <f>IF(INDEX(Transactions!$J:$J,ROW()-8)="","",INDEX(Transactions!$J:$J,ROW()-8))</f>
      </c>
      <c r="B588" s="297">
        <f>IF($A588="",TODAY(),INDEX(Transactions!$G:$G,ROW()-8))</f>
      </c>
      <c r="C588">
        <f>IF($A588="","",INDEX(Transactions!$A:$A,ROW()-8))</f>
      </c>
      <c r="D588" s="30">
        <f>IF($A588="",0,INDEX(Transactions!$H:$H,ROW()-8))</f>
      </c>
      <c r="E588">
        <f>IF($A588="",1,INDEX(Transactions!$N:$N,ROW()-8))</f>
        <v>1</v>
      </c>
      <c r="F588" s="30">
        <f>IF($A588="",0,INDEX(Transactions!$O:$O,ROW()-8))</f>
      </c>
      <c r="G588" s="30">
        <f>IF($A588="",0,INDEX(Transactions!$P:$P,ROW()-8))</f>
      </c>
    </row>
    <row r="589" spans="1:7" ht="15" customHeight="1" x14ac:dyDescent="0.15">
      <c r="A589">
        <f>IF(INDEX(Transactions!$J:$J,ROW()-8)="","",INDEX(Transactions!$J:$J,ROW()-8))</f>
      </c>
      <c r="B589" s="297">
        <f>IF($A589="",TODAY(),INDEX(Transactions!$G:$G,ROW()-8))</f>
      </c>
      <c r="C589">
        <f>IF($A589="","",INDEX(Transactions!$A:$A,ROW()-8))</f>
      </c>
      <c r="D589" s="30">
        <f>IF($A589="",0,INDEX(Transactions!$H:$H,ROW()-8))</f>
      </c>
      <c r="E589">
        <f>IF($A589="",1,INDEX(Transactions!$N:$N,ROW()-8))</f>
        <v>1</v>
      </c>
      <c r="F589" s="30">
        <f>IF($A589="",0,INDEX(Transactions!$O:$O,ROW()-8))</f>
      </c>
      <c r="G589" s="30">
        <f>IF($A589="",0,INDEX(Transactions!$P:$P,ROW()-8))</f>
      </c>
    </row>
    <row r="590" spans="1:7" ht="15" customHeight="1" x14ac:dyDescent="0.15">
      <c r="A590">
        <f>IF(INDEX(Transactions!$J:$J,ROW()-8)="","",INDEX(Transactions!$J:$J,ROW()-8))</f>
      </c>
      <c r="B590" s="297">
        <f>IF($A590="",TODAY(),INDEX(Transactions!$G:$G,ROW()-8))</f>
      </c>
      <c r="C590">
        <f>IF($A590="","",INDEX(Transactions!$A:$A,ROW()-8))</f>
      </c>
      <c r="D590" s="30">
        <f>IF($A590="",0,INDEX(Transactions!$H:$H,ROW()-8))</f>
      </c>
      <c r="E590">
        <f>IF($A590="",1,INDEX(Transactions!$N:$N,ROW()-8))</f>
        <v>1</v>
      </c>
      <c r="F590" s="30">
        <f>IF($A590="",0,INDEX(Transactions!$O:$O,ROW()-8))</f>
      </c>
      <c r="G590" s="30">
        <f>IF($A590="",0,INDEX(Transactions!$P:$P,ROW()-8))</f>
      </c>
    </row>
    <row r="591" spans="1:7" ht="15" customHeight="1" x14ac:dyDescent="0.15">
      <c r="A591">
        <f>IF(INDEX(Transactions!$J:$J,ROW()-8)="","",INDEX(Transactions!$J:$J,ROW()-8))</f>
      </c>
      <c r="B591" s="297">
        <f>IF($A591="",TODAY(),INDEX(Transactions!$G:$G,ROW()-8))</f>
      </c>
      <c r="C591">
        <f>IF($A591="","",INDEX(Transactions!$A:$A,ROW()-8))</f>
      </c>
      <c r="D591" s="30">
        <f>IF($A591="",0,INDEX(Transactions!$H:$H,ROW()-8))</f>
      </c>
      <c r="E591">
        <f>IF($A591="",1,INDEX(Transactions!$N:$N,ROW()-8))</f>
        <v>1</v>
      </c>
      <c r="F591" s="30">
        <f>IF($A591="",0,INDEX(Transactions!$O:$O,ROW()-8))</f>
      </c>
      <c r="G591" s="30">
        <f>IF($A591="",0,INDEX(Transactions!$P:$P,ROW()-8))</f>
      </c>
    </row>
    <row r="592" spans="1:7" ht="15" customHeight="1" x14ac:dyDescent="0.15">
      <c r="A592">
        <f>IF(INDEX(Transactions!$J:$J,ROW()-8)="","",INDEX(Transactions!$J:$J,ROW()-8))</f>
      </c>
      <c r="B592" s="297">
        <f>IF($A592="",TODAY(),INDEX(Transactions!$G:$G,ROW()-8))</f>
      </c>
      <c r="C592">
        <f>IF($A592="","",INDEX(Transactions!$A:$A,ROW()-8))</f>
      </c>
      <c r="D592" s="30">
        <f>IF($A592="",0,INDEX(Transactions!$H:$H,ROW()-8))</f>
      </c>
      <c r="E592">
        <f>IF($A592="",1,INDEX(Transactions!$N:$N,ROW()-8))</f>
        <v>1</v>
      </c>
      <c r="F592" s="30">
        <f>IF($A592="",0,INDEX(Transactions!$O:$O,ROW()-8))</f>
      </c>
      <c r="G592" s="30">
        <f>IF($A592="",0,INDEX(Transactions!$P:$P,ROW()-8))</f>
      </c>
    </row>
    <row r="593" spans="1:7" ht="15" customHeight="1" x14ac:dyDescent="0.15">
      <c r="A593">
        <f>IF(INDEX(Transactions!$J:$J,ROW()-8)="","",INDEX(Transactions!$J:$J,ROW()-8))</f>
      </c>
      <c r="B593" s="297">
        <f>IF($A593="",TODAY(),INDEX(Transactions!$G:$G,ROW()-8))</f>
      </c>
      <c r="C593">
        <f>IF($A593="","",INDEX(Transactions!$A:$A,ROW()-8))</f>
      </c>
      <c r="D593" s="30">
        <f>IF($A593="",0,INDEX(Transactions!$H:$H,ROW()-8))</f>
      </c>
      <c r="E593">
        <f>IF($A593="",1,INDEX(Transactions!$N:$N,ROW()-8))</f>
        <v>1</v>
      </c>
      <c r="F593" s="30">
        <f>IF($A593="",0,INDEX(Transactions!$O:$O,ROW()-8))</f>
      </c>
      <c r="G593" s="30">
        <f>IF($A593="",0,INDEX(Transactions!$P:$P,ROW()-8))</f>
      </c>
    </row>
    <row r="594" spans="1:7" ht="15" customHeight="1" x14ac:dyDescent="0.15">
      <c r="A594">
        <f>IF(INDEX(Transactions!$J:$J,ROW()-8)="","",INDEX(Transactions!$J:$J,ROW()-8))</f>
      </c>
      <c r="B594" s="297">
        <f>IF($A594="",TODAY(),INDEX(Transactions!$G:$G,ROW()-8))</f>
      </c>
      <c r="C594">
        <f>IF($A594="","",INDEX(Transactions!$A:$A,ROW()-8))</f>
      </c>
      <c r="D594" s="30">
        <f>IF($A594="",0,INDEX(Transactions!$H:$H,ROW()-8))</f>
      </c>
      <c r="E594">
        <f>IF($A594="",1,INDEX(Transactions!$N:$N,ROW()-8))</f>
        <v>1</v>
      </c>
      <c r="F594" s="30">
        <f>IF($A594="",0,INDEX(Transactions!$O:$O,ROW()-8))</f>
      </c>
      <c r="G594" s="30">
        <f>IF($A594="",0,INDEX(Transactions!$P:$P,ROW()-8))</f>
      </c>
    </row>
    <row r="595" spans="1:7" ht="15" customHeight="1" x14ac:dyDescent="0.15">
      <c r="A595">
        <f>IF(INDEX(Transactions!$J:$J,ROW()-8)="","",INDEX(Transactions!$J:$J,ROW()-8))</f>
      </c>
      <c r="B595" s="297">
        <f>IF($A595="",TODAY(),INDEX(Transactions!$G:$G,ROW()-8))</f>
      </c>
      <c r="C595">
        <f>IF($A595="","",INDEX(Transactions!$A:$A,ROW()-8))</f>
      </c>
      <c r="D595" s="30">
        <f>IF($A595="",0,INDEX(Transactions!$H:$H,ROW()-8))</f>
      </c>
      <c r="E595">
        <f>IF($A595="",1,INDEX(Transactions!$N:$N,ROW()-8))</f>
        <v>1</v>
      </c>
      <c r="F595" s="30">
        <f>IF($A595="",0,INDEX(Transactions!$O:$O,ROW()-8))</f>
      </c>
      <c r="G595" s="30">
        <f>IF($A595="",0,INDEX(Transactions!$P:$P,ROW()-8))</f>
      </c>
    </row>
    <row r="596" spans="1:7" ht="15" customHeight="1" x14ac:dyDescent="0.15">
      <c r="A596">
        <f>IF(INDEX(Transactions!$J:$J,ROW()-8)="","",INDEX(Transactions!$J:$J,ROW()-8))</f>
      </c>
      <c r="B596" s="297">
        <f>IF($A596="",TODAY(),INDEX(Transactions!$G:$G,ROW()-8))</f>
      </c>
      <c r="C596">
        <f>IF($A596="","",INDEX(Transactions!$A:$A,ROW()-8))</f>
      </c>
      <c r="D596" s="30">
        <f>IF($A596="",0,INDEX(Transactions!$H:$H,ROW()-8))</f>
      </c>
      <c r="E596">
        <f>IF($A596="",1,INDEX(Transactions!$N:$N,ROW()-8))</f>
        <v>1</v>
      </c>
      <c r="F596" s="30">
        <f>IF($A596="",0,INDEX(Transactions!$O:$O,ROW()-8))</f>
      </c>
      <c r="G596" s="30">
        <f>IF($A596="",0,INDEX(Transactions!$P:$P,ROW()-8))</f>
      </c>
    </row>
    <row r="597" spans="1:7" ht="15" customHeight="1" x14ac:dyDescent="0.15">
      <c r="A597">
        <f>IF(INDEX(Transactions!$J:$J,ROW()-8)="","",INDEX(Transactions!$J:$J,ROW()-8))</f>
      </c>
      <c r="B597" s="297">
        <f>IF($A597="",TODAY(),INDEX(Transactions!$G:$G,ROW()-8))</f>
      </c>
      <c r="C597">
        <f>IF($A597="","",INDEX(Transactions!$A:$A,ROW()-8))</f>
      </c>
      <c r="D597" s="30">
        <f>IF($A597="",0,INDEX(Transactions!$H:$H,ROW()-8))</f>
      </c>
      <c r="E597">
        <f>IF($A597="",1,INDEX(Transactions!$N:$N,ROW()-8))</f>
        <v>1</v>
      </c>
      <c r="F597" s="30">
        <f>IF($A597="",0,INDEX(Transactions!$O:$O,ROW()-8))</f>
      </c>
      <c r="G597" s="30">
        <f>IF($A597="",0,INDEX(Transactions!$P:$P,ROW()-8))</f>
      </c>
    </row>
    <row r="598" spans="1:7" ht="15" customHeight="1" x14ac:dyDescent="0.15">
      <c r="A598">
        <f>IF(INDEX(Transactions!$J:$J,ROW()-8)="","",INDEX(Transactions!$J:$J,ROW()-8))</f>
      </c>
      <c r="B598" s="297">
        <f>IF($A598="",TODAY(),INDEX(Transactions!$G:$G,ROW()-8))</f>
      </c>
      <c r="C598">
        <f>IF($A598="","",INDEX(Transactions!$A:$A,ROW()-8))</f>
      </c>
      <c r="D598" s="30">
        <f>IF($A598="",0,INDEX(Transactions!$H:$H,ROW()-8))</f>
      </c>
      <c r="E598">
        <f>IF($A598="",1,INDEX(Transactions!$N:$N,ROW()-8))</f>
        <v>1</v>
      </c>
      <c r="F598" s="30">
        <f>IF($A598="",0,INDEX(Transactions!$O:$O,ROW()-8))</f>
      </c>
      <c r="G598" s="30">
        <f>IF($A598="",0,INDEX(Transactions!$P:$P,ROW()-8))</f>
      </c>
    </row>
    <row r="599" spans="1:7" ht="15" customHeight="1" x14ac:dyDescent="0.15">
      <c r="A599">
        <f>IF(INDEX(Transactions!$J:$J,ROW()-8)="","",INDEX(Transactions!$J:$J,ROW()-8))</f>
      </c>
      <c r="B599" s="297">
        <f>IF($A599="",TODAY(),INDEX(Transactions!$G:$G,ROW()-8))</f>
      </c>
      <c r="C599">
        <f>IF($A599="","",INDEX(Transactions!$A:$A,ROW()-8))</f>
      </c>
      <c r="D599" s="30">
        <f>IF($A599="",0,INDEX(Transactions!$H:$H,ROW()-8))</f>
      </c>
      <c r="E599">
        <f>IF($A599="",1,INDEX(Transactions!$N:$N,ROW()-8))</f>
        <v>1</v>
      </c>
      <c r="F599" s="30">
        <f>IF($A599="",0,INDEX(Transactions!$O:$O,ROW()-8))</f>
      </c>
      <c r="G599" s="30">
        <f>IF($A599="",0,INDEX(Transactions!$P:$P,ROW()-8))</f>
      </c>
    </row>
    <row r="600" spans="1:7" ht="15" customHeight="1" x14ac:dyDescent="0.15">
      <c r="A600">
        <f>IF(INDEX(Transactions!$J:$J,ROW()-8)="","",INDEX(Transactions!$J:$J,ROW()-8))</f>
      </c>
      <c r="B600" s="297">
        <f>IF($A600="",TODAY(),INDEX(Transactions!$G:$G,ROW()-8))</f>
      </c>
      <c r="C600">
        <f>IF($A600="","",INDEX(Transactions!$A:$A,ROW()-8))</f>
      </c>
      <c r="D600" s="30">
        <f>IF($A600="",0,INDEX(Transactions!$H:$H,ROW()-8))</f>
      </c>
      <c r="E600">
        <f>IF($A600="",1,INDEX(Transactions!$N:$N,ROW()-8))</f>
        <v>1</v>
      </c>
      <c r="F600" s="30">
        <f>IF($A600="",0,INDEX(Transactions!$O:$O,ROW()-8))</f>
      </c>
      <c r="G600" s="30">
        <f>IF($A600="",0,INDEX(Transactions!$P:$P,ROW()-8))</f>
      </c>
    </row>
    <row r="601" spans="1:7" ht="15" customHeight="1" x14ac:dyDescent="0.15">
      <c r="A601">
        <f>IF(INDEX(Transactions!$J:$J,ROW()-8)="","",INDEX(Transactions!$J:$J,ROW()-8))</f>
      </c>
      <c r="B601" s="297">
        <f>IF($A601="",TODAY(),INDEX(Transactions!$G:$G,ROW()-8))</f>
      </c>
      <c r="C601">
        <f>IF($A601="","",INDEX(Transactions!$A:$A,ROW()-8))</f>
      </c>
      <c r="D601" s="30">
        <f>IF($A601="",0,INDEX(Transactions!$H:$H,ROW()-8))</f>
      </c>
      <c r="E601">
        <f>IF($A601="",1,INDEX(Transactions!$N:$N,ROW()-8))</f>
        <v>1</v>
      </c>
      <c r="F601" s="30">
        <f>IF($A601="",0,INDEX(Transactions!$O:$O,ROW()-8))</f>
      </c>
      <c r="G601" s="30">
        <f>IF($A601="",0,INDEX(Transactions!$P:$P,ROW()-8))</f>
      </c>
    </row>
    <row r="602" spans="1:7" ht="15" customHeight="1" x14ac:dyDescent="0.15">
      <c r="A602">
        <f>IF(INDEX(Transactions!$J:$J,ROW()-8)="","",INDEX(Transactions!$J:$J,ROW()-8))</f>
      </c>
      <c r="B602" s="297">
        <f>IF($A602="",TODAY(),INDEX(Transactions!$G:$G,ROW()-8))</f>
      </c>
      <c r="C602">
        <f>IF($A602="","",INDEX(Transactions!$A:$A,ROW()-8))</f>
      </c>
      <c r="D602" s="30">
        <f>IF($A602="",0,INDEX(Transactions!$H:$H,ROW()-8))</f>
      </c>
      <c r="E602">
        <f>IF($A602="",1,INDEX(Transactions!$N:$N,ROW()-8))</f>
        <v>1</v>
      </c>
      <c r="F602" s="30">
        <f>IF($A602="",0,INDEX(Transactions!$O:$O,ROW()-8))</f>
      </c>
      <c r="G602" s="30">
        <f>IF($A602="",0,INDEX(Transactions!$P:$P,ROW()-8))</f>
      </c>
    </row>
    <row r="603" spans="1:7" ht="15" customHeight="1" x14ac:dyDescent="0.15">
      <c r="A603">
        <f>IF(INDEX(Transactions!$J:$J,ROW()-8)="","",INDEX(Transactions!$J:$J,ROW()-8))</f>
      </c>
      <c r="B603" s="297">
        <f>IF($A603="",TODAY(),INDEX(Transactions!$G:$G,ROW()-8))</f>
      </c>
      <c r="C603">
        <f>IF($A603="","",INDEX(Transactions!$A:$A,ROW()-8))</f>
      </c>
      <c r="D603" s="30">
        <f>IF($A603="",0,INDEX(Transactions!$H:$H,ROW()-8))</f>
      </c>
      <c r="E603">
        <f>IF($A603="",1,INDEX(Transactions!$N:$N,ROW()-8))</f>
        <v>1</v>
      </c>
      <c r="F603" s="30">
        <f>IF($A603="",0,INDEX(Transactions!$O:$O,ROW()-8))</f>
      </c>
      <c r="G603" s="30">
        <f>IF($A603="",0,INDEX(Transactions!$P:$P,ROW()-8))</f>
      </c>
    </row>
    <row r="604" spans="1:7" ht="15" customHeight="1" x14ac:dyDescent="0.15">
      <c r="A604">
        <f>IF(INDEX(Transactions!$J:$J,ROW()-8)="","",INDEX(Transactions!$J:$J,ROW()-8))</f>
      </c>
      <c r="B604" s="297">
        <f>IF($A604="",TODAY(),INDEX(Transactions!$G:$G,ROW()-8))</f>
      </c>
      <c r="C604">
        <f>IF($A604="","",INDEX(Transactions!$A:$A,ROW()-8))</f>
      </c>
      <c r="D604" s="30">
        <f>IF($A604="",0,INDEX(Transactions!$H:$H,ROW()-8))</f>
      </c>
      <c r="E604">
        <f>IF($A604="",1,INDEX(Transactions!$N:$N,ROW()-8))</f>
        <v>1</v>
      </c>
      <c r="F604" s="30">
        <f>IF($A604="",0,INDEX(Transactions!$O:$O,ROW()-8))</f>
      </c>
      <c r="G604" s="30">
        <f>IF($A604="",0,INDEX(Transactions!$P:$P,ROW()-8))</f>
      </c>
    </row>
    <row r="605" spans="1:7" ht="15" customHeight="1" x14ac:dyDescent="0.15">
      <c r="A605">
        <f>IF(INDEX(Transactions!$J:$J,ROW()-8)="","",INDEX(Transactions!$J:$J,ROW()-8))</f>
      </c>
      <c r="B605" s="297">
        <f>IF($A605="",TODAY(),INDEX(Transactions!$G:$G,ROW()-8))</f>
      </c>
      <c r="C605">
        <f>IF($A605="","",INDEX(Transactions!$A:$A,ROW()-8))</f>
      </c>
      <c r="D605" s="30">
        <f>IF($A605="",0,INDEX(Transactions!$H:$H,ROW()-8))</f>
      </c>
      <c r="E605">
        <f>IF($A605="",1,INDEX(Transactions!$N:$N,ROW()-8))</f>
        <v>1</v>
      </c>
      <c r="F605" s="30">
        <f>IF($A605="",0,INDEX(Transactions!$O:$O,ROW()-8))</f>
      </c>
      <c r="G605" s="30">
        <f>IF($A605="",0,INDEX(Transactions!$P:$P,ROW()-8))</f>
      </c>
    </row>
    <row r="606" spans="1:7" ht="15" customHeight="1" x14ac:dyDescent="0.15">
      <c r="A606">
        <f>IF(INDEX(Transactions!$J:$J,ROW()-8)="","",INDEX(Transactions!$J:$J,ROW()-8))</f>
      </c>
      <c r="B606" s="297">
        <f>IF($A606="",TODAY(),INDEX(Transactions!$G:$G,ROW()-8))</f>
      </c>
      <c r="C606">
        <f>IF($A606="","",INDEX(Transactions!$A:$A,ROW()-8))</f>
      </c>
      <c r="D606" s="30">
        <f>IF($A606="",0,INDEX(Transactions!$H:$H,ROW()-8))</f>
      </c>
      <c r="E606">
        <f>IF($A606="",1,INDEX(Transactions!$N:$N,ROW()-8))</f>
        <v>1</v>
      </c>
      <c r="F606" s="30">
        <f>IF($A606="",0,INDEX(Transactions!$O:$O,ROW()-8))</f>
      </c>
      <c r="G606" s="30">
        <f>IF($A606="",0,INDEX(Transactions!$P:$P,ROW()-8))</f>
      </c>
    </row>
    <row r="607" spans="1:7" ht="15" customHeight="1" x14ac:dyDescent="0.15">
      <c r="A607">
        <f>IF(INDEX(Transactions!$J:$J,ROW()-8)="","",INDEX(Transactions!$J:$J,ROW()-8))</f>
      </c>
      <c r="B607" s="297">
        <f>IF($A607="",TODAY(),INDEX(Transactions!$G:$G,ROW()-8))</f>
      </c>
      <c r="C607">
        <f>IF($A607="","",INDEX(Transactions!$A:$A,ROW()-8))</f>
      </c>
      <c r="D607" s="30">
        <f>IF($A607="",0,INDEX(Transactions!$H:$H,ROW()-8))</f>
      </c>
      <c r="E607">
        <f>IF($A607="",1,INDEX(Transactions!$N:$N,ROW()-8))</f>
        <v>1</v>
      </c>
      <c r="F607" s="30">
        <f>IF($A607="",0,INDEX(Transactions!$O:$O,ROW()-8))</f>
      </c>
      <c r="G607" s="30">
        <f>IF($A607="",0,INDEX(Transactions!$P:$P,ROW()-8))</f>
      </c>
    </row>
    <row r="608" spans="1:7" ht="15" customHeight="1" x14ac:dyDescent="0.15">
      <c r="A608">
        <f>IF(INDEX(Transactions!$J:$J,ROW()-8)="","",INDEX(Transactions!$J:$J,ROW()-8))</f>
      </c>
      <c r="B608" s="297">
        <f>IF($A608="",TODAY(),INDEX(Transactions!$G:$G,ROW()-8))</f>
      </c>
      <c r="C608">
        <f>IF($A608="","",INDEX(Transactions!$A:$A,ROW()-8))</f>
      </c>
      <c r="D608" s="30">
        <f>IF($A608="",0,INDEX(Transactions!$H:$H,ROW()-8))</f>
      </c>
      <c r="E608">
        <f>IF($A608="",1,INDEX(Transactions!$N:$N,ROW()-8))</f>
        <v>1</v>
      </c>
      <c r="F608" s="30">
        <f>IF($A608="",0,INDEX(Transactions!$O:$O,ROW()-8))</f>
      </c>
      <c r="G608" s="30">
        <f>IF($A608="",0,INDEX(Transactions!$P:$P,ROW()-8))</f>
      </c>
    </row>
    <row r="609" spans="1:7" ht="15" customHeight="1" x14ac:dyDescent="0.15">
      <c r="A609">
        <f>IF(INDEX(Transactions!$J:$J,ROW()-8)="","",INDEX(Transactions!$J:$J,ROW()-8))</f>
      </c>
      <c r="B609" s="297">
        <f>IF($A609="",TODAY(),INDEX(Transactions!$G:$G,ROW()-8))</f>
      </c>
      <c r="C609">
        <f>IF($A609="","",INDEX(Transactions!$A:$A,ROW()-8))</f>
      </c>
      <c r="D609" s="30">
        <f>IF($A609="",0,INDEX(Transactions!$H:$H,ROW()-8))</f>
      </c>
      <c r="E609">
        <f>IF($A609="",1,INDEX(Transactions!$N:$N,ROW()-8))</f>
        <v>1</v>
      </c>
      <c r="F609" s="30">
        <f>IF($A609="",0,INDEX(Transactions!$O:$O,ROW()-8))</f>
      </c>
      <c r="G609" s="30">
        <f>IF($A609="",0,INDEX(Transactions!$P:$P,ROW()-8))</f>
      </c>
    </row>
    <row r="610" spans="1:7" ht="15" customHeight="1" x14ac:dyDescent="0.15">
      <c r="A610">
        <f>IF(INDEX(Transactions!$J:$J,ROW()-8)="","",INDEX(Transactions!$J:$J,ROW()-8))</f>
      </c>
      <c r="B610" s="297">
        <f>IF($A610="",TODAY(),INDEX(Transactions!$G:$G,ROW()-8))</f>
      </c>
      <c r="C610">
        <f>IF($A610="","",INDEX(Transactions!$A:$A,ROW()-8))</f>
      </c>
      <c r="D610" s="30">
        <f>IF($A610="",0,INDEX(Transactions!$H:$H,ROW()-8))</f>
      </c>
      <c r="E610">
        <f>IF($A610="",1,INDEX(Transactions!$N:$N,ROW()-8))</f>
        <v>1</v>
      </c>
      <c r="F610" s="30">
        <f>IF($A610="",0,INDEX(Transactions!$O:$O,ROW()-8))</f>
      </c>
      <c r="G610" s="30">
        <f>IF($A610="",0,INDEX(Transactions!$P:$P,ROW()-8))</f>
      </c>
    </row>
    <row r="611" spans="1:7" ht="15" customHeight="1" x14ac:dyDescent="0.15">
      <c r="A611">
        <f>IF(INDEX(Transactions!$J:$J,ROW()-8)="","",INDEX(Transactions!$J:$J,ROW()-8))</f>
      </c>
      <c r="B611" s="297">
        <f>IF($A611="",TODAY(),INDEX(Transactions!$G:$G,ROW()-8))</f>
      </c>
      <c r="C611">
        <f>IF($A611="","",INDEX(Transactions!$A:$A,ROW()-8))</f>
      </c>
      <c r="D611" s="30">
        <f>IF($A611="",0,INDEX(Transactions!$H:$H,ROW()-8))</f>
      </c>
      <c r="E611">
        <f>IF($A611="",1,INDEX(Transactions!$N:$N,ROW()-8))</f>
        <v>1</v>
      </c>
      <c r="F611" s="30">
        <f>IF($A611="",0,INDEX(Transactions!$O:$O,ROW()-8))</f>
      </c>
      <c r="G611" s="30">
        <f>IF($A611="",0,INDEX(Transactions!$P:$P,ROW()-8))</f>
      </c>
    </row>
    <row r="612" spans="1:7" ht="15" customHeight="1" x14ac:dyDescent="0.15">
      <c r="A612">
        <f>IF(INDEX(Transactions!$J:$J,ROW()-8)="","",INDEX(Transactions!$J:$J,ROW()-8))</f>
      </c>
      <c r="B612" s="297">
        <f>IF($A612="",TODAY(),INDEX(Transactions!$G:$G,ROW()-8))</f>
      </c>
      <c r="C612">
        <f>IF($A612="","",INDEX(Transactions!$A:$A,ROW()-8))</f>
      </c>
      <c r="D612" s="30">
        <f>IF($A612="",0,INDEX(Transactions!$H:$H,ROW()-8))</f>
      </c>
      <c r="E612">
        <f>IF($A612="",1,INDEX(Transactions!$N:$N,ROW()-8))</f>
        <v>1</v>
      </c>
      <c r="F612" s="30">
        <f>IF($A612="",0,INDEX(Transactions!$O:$O,ROW()-8))</f>
      </c>
      <c r="G612" s="30">
        <f>IF($A612="",0,INDEX(Transactions!$P:$P,ROW()-8))</f>
      </c>
    </row>
    <row r="613" spans="1:7" ht="15" customHeight="1" x14ac:dyDescent="0.15">
      <c r="A613">
        <f>IF(INDEX(Transactions!$J:$J,ROW()-8)="","",INDEX(Transactions!$J:$J,ROW()-8))</f>
      </c>
      <c r="B613" s="297">
        <f>IF($A613="",TODAY(),INDEX(Transactions!$G:$G,ROW()-8))</f>
      </c>
      <c r="C613">
        <f>IF($A613="","",INDEX(Transactions!$A:$A,ROW()-8))</f>
      </c>
      <c r="D613" s="30">
        <f>IF($A613="",0,INDEX(Transactions!$H:$H,ROW()-8))</f>
      </c>
      <c r="E613">
        <f>IF($A613="",1,INDEX(Transactions!$N:$N,ROW()-8))</f>
        <v>1</v>
      </c>
      <c r="F613" s="30">
        <f>IF($A613="",0,INDEX(Transactions!$O:$O,ROW()-8))</f>
      </c>
      <c r="G613" s="30">
        <f>IF($A613="",0,INDEX(Transactions!$P:$P,ROW()-8))</f>
      </c>
    </row>
    <row r="614" spans="1:7" ht="15" customHeight="1" x14ac:dyDescent="0.15">
      <c r="A614">
        <f>IF(INDEX(Transactions!$J:$J,ROW()-8)="","",INDEX(Transactions!$J:$J,ROW()-8))</f>
      </c>
      <c r="B614" s="297">
        <f>IF($A614="",TODAY(),INDEX(Transactions!$G:$G,ROW()-8))</f>
      </c>
      <c r="C614">
        <f>IF($A614="","",INDEX(Transactions!$A:$A,ROW()-8))</f>
      </c>
      <c r="D614" s="30">
        <f>IF($A614="",0,INDEX(Transactions!$H:$H,ROW()-8))</f>
      </c>
      <c r="E614">
        <f>IF($A614="",1,INDEX(Transactions!$N:$N,ROW()-8))</f>
        <v>1</v>
      </c>
      <c r="F614" s="30">
        <f>IF($A614="",0,INDEX(Transactions!$O:$O,ROW()-8))</f>
      </c>
      <c r="G614" s="30">
        <f>IF($A614="",0,INDEX(Transactions!$P:$P,ROW()-8))</f>
      </c>
    </row>
    <row r="615" spans="1:7" ht="15" customHeight="1" x14ac:dyDescent="0.15">
      <c r="A615">
        <f>IF(INDEX(Transactions!$J:$J,ROW()-8)="","",INDEX(Transactions!$J:$J,ROW()-8))</f>
      </c>
      <c r="B615" s="297">
        <f>IF($A615="",TODAY(),INDEX(Transactions!$G:$G,ROW()-8))</f>
      </c>
      <c r="C615">
        <f>IF($A615="","",INDEX(Transactions!$A:$A,ROW()-8))</f>
      </c>
      <c r="D615" s="30">
        <f>IF($A615="",0,INDEX(Transactions!$H:$H,ROW()-8))</f>
      </c>
      <c r="E615">
        <f>IF($A615="",1,INDEX(Transactions!$N:$N,ROW()-8))</f>
        <v>1</v>
      </c>
      <c r="F615" s="30">
        <f>IF($A615="",0,INDEX(Transactions!$O:$O,ROW()-8))</f>
      </c>
      <c r="G615" s="30">
        <f>IF($A615="",0,INDEX(Transactions!$P:$P,ROW()-8))</f>
      </c>
    </row>
    <row r="616" spans="1:7" ht="15" customHeight="1" x14ac:dyDescent="0.15">
      <c r="A616">
        <f>IF(INDEX(Transactions!$J:$J,ROW()-8)="","",INDEX(Transactions!$J:$J,ROW()-8))</f>
      </c>
      <c r="B616" s="297">
        <f>IF($A616="",TODAY(),INDEX(Transactions!$G:$G,ROW()-8))</f>
      </c>
      <c r="C616">
        <f>IF($A616="","",INDEX(Transactions!$A:$A,ROW()-8))</f>
      </c>
      <c r="D616" s="30">
        <f>IF($A616="",0,INDEX(Transactions!$H:$H,ROW()-8))</f>
      </c>
      <c r="E616">
        <f>IF($A616="",1,INDEX(Transactions!$N:$N,ROW()-8))</f>
        <v>1</v>
      </c>
      <c r="F616" s="30">
        <f>IF($A616="",0,INDEX(Transactions!$O:$O,ROW()-8))</f>
      </c>
      <c r="G616" s="30">
        <f>IF($A616="",0,INDEX(Transactions!$P:$P,ROW()-8))</f>
      </c>
    </row>
    <row r="617" spans="1:7" ht="15" customHeight="1" x14ac:dyDescent="0.15">
      <c r="A617">
        <f>IF(INDEX(Transactions!$J:$J,ROW()-8)="","",INDEX(Transactions!$J:$J,ROW()-8))</f>
      </c>
      <c r="B617" s="297">
        <f>IF($A617="",TODAY(),INDEX(Transactions!$G:$G,ROW()-8))</f>
      </c>
      <c r="C617">
        <f>IF($A617="","",INDEX(Transactions!$A:$A,ROW()-8))</f>
      </c>
      <c r="D617" s="30">
        <f>IF($A617="",0,INDEX(Transactions!$H:$H,ROW()-8))</f>
      </c>
      <c r="E617">
        <f>IF($A617="",1,INDEX(Transactions!$N:$N,ROW()-8))</f>
        <v>1</v>
      </c>
      <c r="F617" s="30">
        <f>IF($A617="",0,INDEX(Transactions!$O:$O,ROW()-8))</f>
      </c>
      <c r="G617" s="30">
        <f>IF($A617="",0,INDEX(Transactions!$P:$P,ROW()-8))</f>
      </c>
    </row>
    <row r="618" spans="1:7" ht="15" customHeight="1" x14ac:dyDescent="0.15">
      <c r="A618">
        <f>IF(INDEX(Transactions!$J:$J,ROW()-8)="","",INDEX(Transactions!$J:$J,ROW()-8))</f>
      </c>
      <c r="B618" s="297">
        <f>IF($A618="",TODAY(),INDEX(Transactions!$G:$G,ROW()-8))</f>
      </c>
      <c r="C618">
        <f>IF($A618="","",INDEX(Transactions!$A:$A,ROW()-8))</f>
      </c>
      <c r="D618" s="30">
        <f>IF($A618="",0,INDEX(Transactions!$H:$H,ROW()-8))</f>
      </c>
      <c r="E618">
        <f>IF($A618="",1,INDEX(Transactions!$N:$N,ROW()-8))</f>
        <v>1</v>
      </c>
      <c r="F618" s="30">
        <f>IF($A618="",0,INDEX(Transactions!$O:$O,ROW()-8))</f>
      </c>
      <c r="G618" s="30">
        <f>IF($A618="",0,INDEX(Transactions!$P:$P,ROW()-8))</f>
      </c>
    </row>
    <row r="619" spans="1:7" ht="15" customHeight="1" x14ac:dyDescent="0.15">
      <c r="A619">
        <f>IF(INDEX(Transactions!$J:$J,ROW()-8)="","",INDEX(Transactions!$J:$J,ROW()-8))</f>
      </c>
      <c r="B619" s="297">
        <f>IF($A619="",TODAY(),INDEX(Transactions!$G:$G,ROW()-8))</f>
      </c>
      <c r="C619">
        <f>IF($A619="","",INDEX(Transactions!$A:$A,ROW()-8))</f>
      </c>
      <c r="D619" s="30">
        <f>IF($A619="",0,INDEX(Transactions!$H:$H,ROW()-8))</f>
      </c>
      <c r="E619">
        <f>IF($A619="",1,INDEX(Transactions!$N:$N,ROW()-8))</f>
        <v>1</v>
      </c>
      <c r="F619" s="30">
        <f>IF($A619="",0,INDEX(Transactions!$O:$O,ROW()-8))</f>
      </c>
      <c r="G619" s="30">
        <f>IF($A619="",0,INDEX(Transactions!$P:$P,ROW()-8))</f>
      </c>
    </row>
    <row r="620" spans="1:7" ht="15" customHeight="1" x14ac:dyDescent="0.15">
      <c r="A620">
        <f>IF(INDEX(Transactions!$J:$J,ROW()-8)="","",INDEX(Transactions!$J:$J,ROW()-8))</f>
      </c>
      <c r="B620" s="297">
        <f>IF($A620="",TODAY(),INDEX(Transactions!$G:$G,ROW()-8))</f>
      </c>
      <c r="C620">
        <f>IF($A620="","",INDEX(Transactions!$A:$A,ROW()-8))</f>
      </c>
      <c r="D620" s="30">
        <f>IF($A620="",0,INDEX(Transactions!$H:$H,ROW()-8))</f>
      </c>
      <c r="E620">
        <f>IF($A620="",1,INDEX(Transactions!$N:$N,ROW()-8))</f>
        <v>1</v>
      </c>
      <c r="F620" s="30">
        <f>IF($A620="",0,INDEX(Transactions!$O:$O,ROW()-8))</f>
      </c>
      <c r="G620" s="30">
        <f>IF($A620="",0,INDEX(Transactions!$P:$P,ROW()-8))</f>
      </c>
    </row>
    <row r="621" spans="1:7" ht="15" customHeight="1" x14ac:dyDescent="0.15">
      <c r="A621">
        <f>IF(INDEX(Transactions!$J:$J,ROW()-8)="","",INDEX(Transactions!$J:$J,ROW()-8))</f>
      </c>
      <c r="B621" s="297">
        <f>IF($A621="",TODAY(),INDEX(Transactions!$G:$G,ROW()-8))</f>
      </c>
      <c r="C621">
        <f>IF($A621="","",INDEX(Transactions!$A:$A,ROW()-8))</f>
      </c>
      <c r="D621" s="30">
        <f>IF($A621="",0,INDEX(Transactions!$H:$H,ROW()-8))</f>
      </c>
      <c r="E621">
        <f>IF($A621="",1,INDEX(Transactions!$N:$N,ROW()-8))</f>
        <v>1</v>
      </c>
      <c r="F621" s="30">
        <f>IF($A621="",0,INDEX(Transactions!$O:$O,ROW()-8))</f>
      </c>
      <c r="G621" s="30">
        <f>IF($A621="",0,INDEX(Transactions!$P:$P,ROW()-8))</f>
      </c>
    </row>
    <row r="622" spans="1:7" ht="15" customHeight="1" x14ac:dyDescent="0.15">
      <c r="A622">
        <f>IF(INDEX(Transactions!$J:$J,ROW()-8)="","",INDEX(Transactions!$J:$J,ROW()-8))</f>
      </c>
      <c r="B622" s="297">
        <f>IF($A622="",TODAY(),INDEX(Transactions!$G:$G,ROW()-8))</f>
      </c>
      <c r="C622">
        <f>IF($A622="","",INDEX(Transactions!$A:$A,ROW()-8))</f>
      </c>
      <c r="D622" s="30">
        <f>IF($A622="",0,INDEX(Transactions!$H:$H,ROW()-8))</f>
      </c>
      <c r="E622">
        <f>IF($A622="",1,INDEX(Transactions!$N:$N,ROW()-8))</f>
        <v>1</v>
      </c>
      <c r="F622" s="30">
        <f>IF($A622="",0,INDEX(Transactions!$O:$O,ROW()-8))</f>
      </c>
      <c r="G622" s="30">
        <f>IF($A622="",0,INDEX(Transactions!$P:$P,ROW()-8))</f>
      </c>
    </row>
    <row r="623" spans="1:7" ht="15" customHeight="1" x14ac:dyDescent="0.15">
      <c r="A623">
        <f>IF(INDEX(Transactions!$J:$J,ROW()-8)="","",INDEX(Transactions!$J:$J,ROW()-8))</f>
      </c>
      <c r="B623" s="297">
        <f>IF($A623="",TODAY(),INDEX(Transactions!$G:$G,ROW()-8))</f>
      </c>
      <c r="C623">
        <f>IF($A623="","",INDEX(Transactions!$A:$A,ROW()-8))</f>
      </c>
      <c r="D623" s="30">
        <f>IF($A623="",0,INDEX(Transactions!$H:$H,ROW()-8))</f>
      </c>
      <c r="E623">
        <f>IF($A623="",1,INDEX(Transactions!$N:$N,ROW()-8))</f>
        <v>1</v>
      </c>
      <c r="F623" s="30">
        <f>IF($A623="",0,INDEX(Transactions!$O:$O,ROW()-8))</f>
      </c>
      <c r="G623" s="30">
        <f>IF($A623="",0,INDEX(Transactions!$P:$P,ROW()-8))</f>
      </c>
    </row>
    <row r="624" spans="1:7" ht="15" customHeight="1" x14ac:dyDescent="0.15">
      <c r="A624">
        <f>IF(INDEX(Transactions!$J:$J,ROW()-8)="","",INDEX(Transactions!$J:$J,ROW()-8))</f>
      </c>
      <c r="B624" s="297">
        <f>IF($A624="",TODAY(),INDEX(Transactions!$G:$G,ROW()-8))</f>
      </c>
      <c r="C624">
        <f>IF($A624="","",INDEX(Transactions!$A:$A,ROW()-8))</f>
      </c>
      <c r="D624" s="30">
        <f>IF($A624="",0,INDEX(Transactions!$H:$H,ROW()-8))</f>
      </c>
      <c r="E624">
        <f>IF($A624="",1,INDEX(Transactions!$N:$N,ROW()-8))</f>
        <v>1</v>
      </c>
      <c r="F624" s="30">
        <f>IF($A624="",0,INDEX(Transactions!$O:$O,ROW()-8))</f>
      </c>
      <c r="G624" s="30">
        <f>IF($A624="",0,INDEX(Transactions!$P:$P,ROW()-8))</f>
      </c>
    </row>
    <row r="625" spans="1:7" ht="15" customHeight="1" x14ac:dyDescent="0.15">
      <c r="A625">
        <f>IF(INDEX(Transactions!$J:$J,ROW()-8)="","",INDEX(Transactions!$J:$J,ROW()-8))</f>
      </c>
      <c r="B625" s="297">
        <f>IF($A625="",TODAY(),INDEX(Transactions!$G:$G,ROW()-8))</f>
      </c>
      <c r="C625">
        <f>IF($A625="","",INDEX(Transactions!$A:$A,ROW()-8))</f>
      </c>
      <c r="D625" s="30">
        <f>IF($A625="",0,INDEX(Transactions!$H:$H,ROW()-8))</f>
      </c>
      <c r="E625">
        <f>IF($A625="",1,INDEX(Transactions!$N:$N,ROW()-8))</f>
        <v>1</v>
      </c>
      <c r="F625" s="30">
        <f>IF($A625="",0,INDEX(Transactions!$O:$O,ROW()-8))</f>
      </c>
      <c r="G625" s="30">
        <f>IF($A625="",0,INDEX(Transactions!$P:$P,ROW()-8))</f>
      </c>
    </row>
    <row r="626" spans="1:7" ht="15" customHeight="1" x14ac:dyDescent="0.15">
      <c r="A626">
        <f>IF(INDEX(Transactions!$J:$J,ROW()-8)="","",INDEX(Transactions!$J:$J,ROW()-8))</f>
      </c>
      <c r="B626" s="297">
        <f>IF($A626="",TODAY(),INDEX(Transactions!$G:$G,ROW()-8))</f>
      </c>
      <c r="C626">
        <f>IF($A626="","",INDEX(Transactions!$A:$A,ROW()-8))</f>
      </c>
      <c r="D626" s="30">
        <f>IF($A626="",0,INDEX(Transactions!$H:$H,ROW()-8))</f>
      </c>
      <c r="E626">
        <f>IF($A626="",1,INDEX(Transactions!$N:$N,ROW()-8))</f>
        <v>1</v>
      </c>
      <c r="F626" s="30">
        <f>IF($A626="",0,INDEX(Transactions!$O:$O,ROW()-8))</f>
      </c>
      <c r="G626" s="30">
        <f>IF($A626="",0,INDEX(Transactions!$P:$P,ROW()-8))</f>
      </c>
    </row>
    <row r="627" spans="1:7" ht="15" customHeight="1" x14ac:dyDescent="0.15">
      <c r="A627">
        <f>IF(INDEX(Transactions!$J:$J,ROW()-8)="","",INDEX(Transactions!$J:$J,ROW()-8))</f>
      </c>
      <c r="B627" s="297">
        <f>IF($A627="",TODAY(),INDEX(Transactions!$G:$G,ROW()-8))</f>
      </c>
      <c r="C627">
        <f>IF($A627="","",INDEX(Transactions!$A:$A,ROW()-8))</f>
      </c>
      <c r="D627" s="30">
        <f>IF($A627="",0,INDEX(Transactions!$H:$H,ROW()-8))</f>
      </c>
      <c r="E627">
        <f>IF($A627="",1,INDEX(Transactions!$N:$N,ROW()-8))</f>
        <v>1</v>
      </c>
      <c r="F627" s="30">
        <f>IF($A627="",0,INDEX(Transactions!$O:$O,ROW()-8))</f>
      </c>
      <c r="G627" s="30">
        <f>IF($A627="",0,INDEX(Transactions!$P:$P,ROW()-8))</f>
      </c>
    </row>
    <row r="628" spans="1:7" ht="15" customHeight="1" x14ac:dyDescent="0.15">
      <c r="A628">
        <f>IF(INDEX(Transactions!$J:$J,ROW()-8)="","",INDEX(Transactions!$J:$J,ROW()-8))</f>
      </c>
      <c r="B628" s="297">
        <f>IF($A628="",TODAY(),INDEX(Transactions!$G:$G,ROW()-8))</f>
      </c>
      <c r="C628">
        <f>IF($A628="","",INDEX(Transactions!$A:$A,ROW()-8))</f>
      </c>
      <c r="D628" s="30">
        <f>IF($A628="",0,INDEX(Transactions!$H:$H,ROW()-8))</f>
      </c>
      <c r="E628">
        <f>IF($A628="",1,INDEX(Transactions!$N:$N,ROW()-8))</f>
        <v>1</v>
      </c>
      <c r="F628" s="30">
        <f>IF($A628="",0,INDEX(Transactions!$O:$O,ROW()-8))</f>
      </c>
      <c r="G628" s="30">
        <f>IF($A628="",0,INDEX(Transactions!$P:$P,ROW()-8))</f>
      </c>
    </row>
    <row r="629" spans="1:7" ht="15" customHeight="1" x14ac:dyDescent="0.15">
      <c r="A629">
        <f>IF(INDEX(Transactions!$J:$J,ROW()-8)="","",INDEX(Transactions!$J:$J,ROW()-8))</f>
      </c>
      <c r="B629" s="297">
        <f>IF($A629="",TODAY(),INDEX(Transactions!$G:$G,ROW()-8))</f>
      </c>
      <c r="C629">
        <f>IF($A629="","",INDEX(Transactions!$A:$A,ROW()-8))</f>
      </c>
      <c r="D629" s="30">
        <f>IF($A629="",0,INDEX(Transactions!$H:$H,ROW()-8))</f>
      </c>
      <c r="E629">
        <f>IF($A629="",1,INDEX(Transactions!$N:$N,ROW()-8))</f>
        <v>1</v>
      </c>
      <c r="F629" s="30">
        <f>IF($A629="",0,INDEX(Transactions!$O:$O,ROW()-8))</f>
      </c>
      <c r="G629" s="30">
        <f>IF($A629="",0,INDEX(Transactions!$P:$P,ROW()-8))</f>
      </c>
    </row>
    <row r="630" spans="1:7" ht="15" customHeight="1" x14ac:dyDescent="0.15">
      <c r="A630">
        <f>IF(INDEX(Transactions!$J:$J,ROW()-8)="","",INDEX(Transactions!$J:$J,ROW()-8))</f>
      </c>
      <c r="B630" s="297">
        <f>IF($A630="",TODAY(),INDEX(Transactions!$G:$G,ROW()-8))</f>
      </c>
      <c r="C630">
        <f>IF($A630="","",INDEX(Transactions!$A:$A,ROW()-8))</f>
      </c>
      <c r="D630" s="30">
        <f>IF($A630="",0,INDEX(Transactions!$H:$H,ROW()-8))</f>
      </c>
      <c r="E630">
        <f>IF($A630="",1,INDEX(Transactions!$N:$N,ROW()-8))</f>
        <v>1</v>
      </c>
      <c r="F630" s="30">
        <f>IF($A630="",0,INDEX(Transactions!$O:$O,ROW()-8))</f>
      </c>
      <c r="G630" s="30">
        <f>IF($A630="",0,INDEX(Transactions!$P:$P,ROW()-8))</f>
      </c>
    </row>
    <row r="631" spans="1:7" ht="15" customHeight="1" x14ac:dyDescent="0.15">
      <c r="A631">
        <f>IF(INDEX(Transactions!$J:$J,ROW()-8)="","",INDEX(Transactions!$J:$J,ROW()-8))</f>
      </c>
      <c r="B631" s="297">
        <f>IF($A631="",TODAY(),INDEX(Transactions!$G:$G,ROW()-8))</f>
      </c>
      <c r="C631">
        <f>IF($A631="","",INDEX(Transactions!$A:$A,ROW()-8))</f>
      </c>
      <c r="D631" s="30">
        <f>IF($A631="",0,INDEX(Transactions!$H:$H,ROW()-8))</f>
      </c>
      <c r="E631">
        <f>IF($A631="",1,INDEX(Transactions!$N:$N,ROW()-8))</f>
        <v>1</v>
      </c>
      <c r="F631" s="30">
        <f>IF($A631="",0,INDEX(Transactions!$O:$O,ROW()-8))</f>
      </c>
      <c r="G631" s="30">
        <f>IF($A631="",0,INDEX(Transactions!$P:$P,ROW()-8))</f>
      </c>
    </row>
    <row r="632" spans="1:7" ht="15" customHeight="1" x14ac:dyDescent="0.15">
      <c r="A632">
        <f>IF(INDEX(Transactions!$J:$J,ROW()-8)="","",INDEX(Transactions!$J:$J,ROW()-8))</f>
      </c>
      <c r="B632" s="297">
        <f>IF($A632="",TODAY(),INDEX(Transactions!$G:$G,ROW()-8))</f>
      </c>
      <c r="C632">
        <f>IF($A632="","",INDEX(Transactions!$A:$A,ROW()-8))</f>
      </c>
      <c r="D632" s="30">
        <f>IF($A632="",0,INDEX(Transactions!$H:$H,ROW()-8))</f>
      </c>
      <c r="E632">
        <f>IF($A632="",1,INDEX(Transactions!$N:$N,ROW()-8))</f>
        <v>1</v>
      </c>
      <c r="F632" s="30">
        <f>IF($A632="",0,INDEX(Transactions!$O:$O,ROW()-8))</f>
      </c>
      <c r="G632" s="30">
        <f>IF($A632="",0,INDEX(Transactions!$P:$P,ROW()-8))</f>
      </c>
    </row>
    <row r="633" spans="1:7" ht="15" customHeight="1" x14ac:dyDescent="0.15">
      <c r="A633">
        <f>IF(INDEX(Transactions!$J:$J,ROW()-8)="","",INDEX(Transactions!$J:$J,ROW()-8))</f>
      </c>
      <c r="B633" s="297">
        <f>IF($A633="",TODAY(),INDEX(Transactions!$G:$G,ROW()-8))</f>
      </c>
      <c r="C633">
        <f>IF($A633="","",INDEX(Transactions!$A:$A,ROW()-8))</f>
      </c>
      <c r="D633" s="30">
        <f>IF($A633="",0,INDEX(Transactions!$H:$H,ROW()-8))</f>
      </c>
      <c r="E633">
        <f>IF($A633="",1,INDEX(Transactions!$N:$N,ROW()-8))</f>
        <v>1</v>
      </c>
      <c r="F633" s="30">
        <f>IF($A633="",0,INDEX(Transactions!$O:$O,ROW()-8))</f>
      </c>
      <c r="G633" s="30">
        <f>IF($A633="",0,INDEX(Transactions!$P:$P,ROW()-8))</f>
      </c>
    </row>
    <row r="634" spans="1:7" ht="15" customHeight="1" x14ac:dyDescent="0.15">
      <c r="A634">
        <f>IF(INDEX(Transactions!$J:$J,ROW()-8)="","",INDEX(Transactions!$J:$J,ROW()-8))</f>
      </c>
      <c r="B634" s="297">
        <f>IF($A634="",TODAY(),INDEX(Transactions!$G:$G,ROW()-8))</f>
      </c>
      <c r="C634">
        <f>IF($A634="","",INDEX(Transactions!$A:$A,ROW()-8))</f>
      </c>
      <c r="D634" s="30">
        <f>IF($A634="",0,INDEX(Transactions!$H:$H,ROW()-8))</f>
      </c>
      <c r="E634">
        <f>IF($A634="",1,INDEX(Transactions!$N:$N,ROW()-8))</f>
        <v>1</v>
      </c>
      <c r="F634" s="30">
        <f>IF($A634="",0,INDEX(Transactions!$O:$O,ROW()-8))</f>
      </c>
      <c r="G634" s="30">
        <f>IF($A634="",0,INDEX(Transactions!$P:$P,ROW()-8))</f>
      </c>
    </row>
    <row r="635" spans="1:7" ht="15" customHeight="1" x14ac:dyDescent="0.15">
      <c r="A635">
        <f>IF(INDEX(Transactions!$J:$J,ROW()-8)="","",INDEX(Transactions!$J:$J,ROW()-8))</f>
      </c>
      <c r="B635" s="297">
        <f>IF($A635="",TODAY(),INDEX(Transactions!$G:$G,ROW()-8))</f>
      </c>
      <c r="C635">
        <f>IF($A635="","",INDEX(Transactions!$A:$A,ROW()-8))</f>
      </c>
      <c r="D635" s="30">
        <f>IF($A635="",0,INDEX(Transactions!$H:$H,ROW()-8))</f>
      </c>
      <c r="E635">
        <f>IF($A635="",1,INDEX(Transactions!$N:$N,ROW()-8))</f>
        <v>1</v>
      </c>
      <c r="F635" s="30">
        <f>IF($A635="",0,INDEX(Transactions!$O:$O,ROW()-8))</f>
      </c>
      <c r="G635" s="30">
        <f>IF($A635="",0,INDEX(Transactions!$P:$P,ROW()-8))</f>
      </c>
    </row>
    <row r="636" spans="1:7" ht="15" customHeight="1" x14ac:dyDescent="0.15">
      <c r="A636">
        <f>IF(INDEX(Transactions!$J:$J,ROW()-8)="","",INDEX(Transactions!$J:$J,ROW()-8))</f>
      </c>
      <c r="B636" s="297">
        <f>IF($A636="",TODAY(),INDEX(Transactions!$G:$G,ROW()-8))</f>
      </c>
      <c r="C636">
        <f>IF($A636="","",INDEX(Transactions!$A:$A,ROW()-8))</f>
      </c>
      <c r="D636" s="30">
        <f>IF($A636="",0,INDEX(Transactions!$H:$H,ROW()-8))</f>
      </c>
      <c r="E636">
        <f>IF($A636="",1,INDEX(Transactions!$N:$N,ROW()-8))</f>
        <v>1</v>
      </c>
      <c r="F636" s="30">
        <f>IF($A636="",0,INDEX(Transactions!$O:$O,ROW()-8))</f>
      </c>
      <c r="G636" s="30">
        <f>IF($A636="",0,INDEX(Transactions!$P:$P,ROW()-8))</f>
      </c>
    </row>
    <row r="637" spans="1:7" ht="15" customHeight="1" x14ac:dyDescent="0.15">
      <c r="A637">
        <f>IF(INDEX(Transactions!$J:$J,ROW()-8)="","",INDEX(Transactions!$J:$J,ROW()-8))</f>
      </c>
      <c r="B637" s="297">
        <f>IF($A637="",TODAY(),INDEX(Transactions!$G:$G,ROW()-8))</f>
      </c>
      <c r="C637">
        <f>IF($A637="","",INDEX(Transactions!$A:$A,ROW()-8))</f>
      </c>
      <c r="D637" s="30">
        <f>IF($A637="",0,INDEX(Transactions!$H:$H,ROW()-8))</f>
      </c>
      <c r="E637">
        <f>IF($A637="",1,INDEX(Transactions!$N:$N,ROW()-8))</f>
        <v>1</v>
      </c>
      <c r="F637" s="30">
        <f>IF($A637="",0,INDEX(Transactions!$O:$O,ROW()-8))</f>
      </c>
      <c r="G637" s="30">
        <f>IF($A637="",0,INDEX(Transactions!$P:$P,ROW()-8))</f>
      </c>
    </row>
    <row r="638" spans="1:7" ht="15" customHeight="1" x14ac:dyDescent="0.15">
      <c r="A638">
        <f>IF(INDEX(Transactions!$J:$J,ROW()-8)="","",INDEX(Transactions!$J:$J,ROW()-8))</f>
      </c>
      <c r="B638" s="297">
        <f>IF($A638="",TODAY(),INDEX(Transactions!$G:$G,ROW()-8))</f>
      </c>
      <c r="C638">
        <f>IF($A638="","",INDEX(Transactions!$A:$A,ROW()-8))</f>
      </c>
      <c r="D638" s="30">
        <f>IF($A638="",0,INDEX(Transactions!$H:$H,ROW()-8))</f>
      </c>
      <c r="E638">
        <f>IF($A638="",1,INDEX(Transactions!$N:$N,ROW()-8))</f>
        <v>1</v>
      </c>
      <c r="F638" s="30">
        <f>IF($A638="",0,INDEX(Transactions!$O:$O,ROW()-8))</f>
      </c>
      <c r="G638" s="30">
        <f>IF($A638="",0,INDEX(Transactions!$P:$P,ROW()-8))</f>
      </c>
    </row>
    <row r="639" spans="1:7" ht="15" customHeight="1" x14ac:dyDescent="0.15">
      <c r="A639">
        <f>IF(INDEX(Transactions!$J:$J,ROW()-8)="","",INDEX(Transactions!$J:$J,ROW()-8))</f>
      </c>
      <c r="B639" s="297">
        <f>IF($A639="",TODAY(),INDEX(Transactions!$G:$G,ROW()-8))</f>
      </c>
      <c r="C639">
        <f>IF($A639="","",INDEX(Transactions!$A:$A,ROW()-8))</f>
      </c>
      <c r="D639" s="30">
        <f>IF($A639="",0,INDEX(Transactions!$H:$H,ROW()-8))</f>
      </c>
      <c r="E639">
        <f>IF($A639="",1,INDEX(Transactions!$N:$N,ROW()-8))</f>
        <v>1</v>
      </c>
      <c r="F639" s="30">
        <f>IF($A639="",0,INDEX(Transactions!$O:$O,ROW()-8))</f>
      </c>
      <c r="G639" s="30">
        <f>IF($A639="",0,INDEX(Transactions!$P:$P,ROW()-8))</f>
      </c>
    </row>
    <row r="640" spans="1:7" ht="15" customHeight="1" x14ac:dyDescent="0.15">
      <c r="A640">
        <f>IF(INDEX(Transactions!$J:$J,ROW()-8)="","",INDEX(Transactions!$J:$J,ROW()-8))</f>
      </c>
      <c r="B640" s="297">
        <f>IF($A640="",TODAY(),INDEX(Transactions!$G:$G,ROW()-8))</f>
      </c>
      <c r="C640">
        <f>IF($A640="","",INDEX(Transactions!$A:$A,ROW()-8))</f>
      </c>
      <c r="D640" s="30">
        <f>IF($A640="",0,INDEX(Transactions!$H:$H,ROW()-8))</f>
      </c>
      <c r="E640">
        <f>IF($A640="",1,INDEX(Transactions!$N:$N,ROW()-8))</f>
        <v>1</v>
      </c>
      <c r="F640" s="30">
        <f>IF($A640="",0,INDEX(Transactions!$O:$O,ROW()-8))</f>
      </c>
      <c r="G640" s="30">
        <f>IF($A640="",0,INDEX(Transactions!$P:$P,ROW()-8))</f>
      </c>
    </row>
    <row r="641" spans="1:7" ht="15" customHeight="1" x14ac:dyDescent="0.15">
      <c r="A641">
        <f>IF(INDEX(Transactions!$J:$J,ROW()-8)="","",INDEX(Transactions!$J:$J,ROW()-8))</f>
      </c>
      <c r="B641" s="297">
        <f>IF($A641="",TODAY(),INDEX(Transactions!$G:$G,ROW()-8))</f>
      </c>
      <c r="C641">
        <f>IF($A641="","",INDEX(Transactions!$A:$A,ROW()-8))</f>
      </c>
      <c r="D641" s="30">
        <f>IF($A641="",0,INDEX(Transactions!$H:$H,ROW()-8))</f>
      </c>
      <c r="E641">
        <f>IF($A641="",1,INDEX(Transactions!$N:$N,ROW()-8))</f>
        <v>1</v>
      </c>
      <c r="F641" s="30">
        <f>IF($A641="",0,INDEX(Transactions!$O:$O,ROW()-8))</f>
      </c>
      <c r="G641" s="30">
        <f>IF($A641="",0,INDEX(Transactions!$P:$P,ROW()-8))</f>
      </c>
    </row>
    <row r="642" spans="1:7" ht="15" customHeight="1" x14ac:dyDescent="0.15">
      <c r="A642">
        <f>IF(INDEX(Transactions!$J:$J,ROW()-8)="","",INDEX(Transactions!$J:$J,ROW()-8))</f>
      </c>
      <c r="B642" s="297">
        <f>IF($A642="",TODAY(),INDEX(Transactions!$G:$G,ROW()-8))</f>
      </c>
      <c r="C642">
        <f>IF($A642="","",INDEX(Transactions!$A:$A,ROW()-8))</f>
      </c>
      <c r="D642" s="30">
        <f>IF($A642="",0,INDEX(Transactions!$H:$H,ROW()-8))</f>
      </c>
      <c r="E642">
        <f>IF($A642="",1,INDEX(Transactions!$N:$N,ROW()-8))</f>
        <v>1</v>
      </c>
      <c r="F642" s="30">
        <f>IF($A642="",0,INDEX(Transactions!$O:$O,ROW()-8))</f>
      </c>
      <c r="G642" s="30">
        <f>IF($A642="",0,INDEX(Transactions!$P:$P,ROW()-8))</f>
      </c>
    </row>
    <row r="643" spans="1:7" ht="15" customHeight="1" x14ac:dyDescent="0.15">
      <c r="A643">
        <f>IF(INDEX(Transactions!$J:$J,ROW()-8)="","",INDEX(Transactions!$J:$J,ROW()-8))</f>
      </c>
      <c r="B643" s="297">
        <f>IF($A643="",TODAY(),INDEX(Transactions!$G:$G,ROW()-8))</f>
      </c>
      <c r="C643">
        <f>IF($A643="","",INDEX(Transactions!$A:$A,ROW()-8))</f>
      </c>
      <c r="D643" s="30">
        <f>IF($A643="",0,INDEX(Transactions!$H:$H,ROW()-8))</f>
      </c>
      <c r="E643">
        <f>IF($A643="",1,INDEX(Transactions!$N:$N,ROW()-8))</f>
        <v>1</v>
      </c>
      <c r="F643" s="30">
        <f>IF($A643="",0,INDEX(Transactions!$O:$O,ROW()-8))</f>
      </c>
      <c r="G643" s="30">
        <f>IF($A643="",0,INDEX(Transactions!$P:$P,ROW()-8))</f>
      </c>
    </row>
    <row r="644" spans="1:7" ht="15" customHeight="1" x14ac:dyDescent="0.15">
      <c r="A644">
        <f>IF(INDEX(Transactions!$J:$J,ROW()-8)="","",INDEX(Transactions!$J:$J,ROW()-8))</f>
      </c>
      <c r="B644" s="297">
        <f>IF($A644="",TODAY(),INDEX(Transactions!$G:$G,ROW()-8))</f>
      </c>
      <c r="C644">
        <f>IF($A644="","",INDEX(Transactions!$A:$A,ROW()-8))</f>
      </c>
      <c r="D644" s="30">
        <f>IF($A644="",0,INDEX(Transactions!$H:$H,ROW()-8))</f>
      </c>
      <c r="E644">
        <f>IF($A644="",1,INDEX(Transactions!$N:$N,ROW()-8))</f>
        <v>1</v>
      </c>
      <c r="F644" s="30">
        <f>IF($A644="",0,INDEX(Transactions!$O:$O,ROW()-8))</f>
      </c>
      <c r="G644" s="30">
        <f>IF($A644="",0,INDEX(Transactions!$P:$P,ROW()-8))</f>
      </c>
    </row>
    <row r="645" spans="1:7" ht="15" customHeight="1" x14ac:dyDescent="0.15">
      <c r="A645">
        <f>IF(INDEX(Transactions!$J:$J,ROW()-8)="","",INDEX(Transactions!$J:$J,ROW()-8))</f>
      </c>
      <c r="B645" s="297">
        <f>IF($A645="",TODAY(),INDEX(Transactions!$G:$G,ROW()-8))</f>
      </c>
      <c r="C645">
        <f>IF($A645="","",INDEX(Transactions!$A:$A,ROW()-8))</f>
      </c>
      <c r="D645" s="30">
        <f>IF($A645="",0,INDEX(Transactions!$H:$H,ROW()-8))</f>
      </c>
      <c r="E645">
        <f>IF($A645="",1,INDEX(Transactions!$N:$N,ROW()-8))</f>
        <v>1</v>
      </c>
      <c r="F645" s="30">
        <f>IF($A645="",0,INDEX(Transactions!$O:$O,ROW()-8))</f>
      </c>
      <c r="G645" s="30">
        <f>IF($A645="",0,INDEX(Transactions!$P:$P,ROW()-8))</f>
      </c>
    </row>
    <row r="646" spans="1:7" ht="15" customHeight="1" x14ac:dyDescent="0.15">
      <c r="A646">
        <f>IF(INDEX(Transactions!$J:$J,ROW()-8)="","",INDEX(Transactions!$J:$J,ROW()-8))</f>
      </c>
      <c r="B646" s="297">
        <f>IF($A646="",TODAY(),INDEX(Transactions!$G:$G,ROW()-8))</f>
      </c>
      <c r="C646">
        <f>IF($A646="","",INDEX(Transactions!$A:$A,ROW()-8))</f>
      </c>
      <c r="D646" s="30">
        <f>IF($A646="",0,INDEX(Transactions!$H:$H,ROW()-8))</f>
      </c>
      <c r="E646">
        <f>IF($A646="",1,INDEX(Transactions!$N:$N,ROW()-8))</f>
        <v>1</v>
      </c>
      <c r="F646" s="30">
        <f>IF($A646="",0,INDEX(Transactions!$O:$O,ROW()-8))</f>
      </c>
      <c r="G646" s="30">
        <f>IF($A646="",0,INDEX(Transactions!$P:$P,ROW()-8))</f>
      </c>
    </row>
    <row r="647" spans="1:7" ht="15" customHeight="1" x14ac:dyDescent="0.15">
      <c r="A647">
        <f>IF(INDEX(Transactions!$J:$J,ROW()-8)="","",INDEX(Transactions!$J:$J,ROW()-8))</f>
      </c>
      <c r="B647" s="297">
        <f>IF($A647="",TODAY(),INDEX(Transactions!$G:$G,ROW()-8))</f>
      </c>
      <c r="C647">
        <f>IF($A647="","",INDEX(Transactions!$A:$A,ROW()-8))</f>
      </c>
      <c r="D647" s="30">
        <f>IF($A647="",0,INDEX(Transactions!$H:$H,ROW()-8))</f>
      </c>
      <c r="E647">
        <f>IF($A647="",1,INDEX(Transactions!$N:$N,ROW()-8))</f>
        <v>1</v>
      </c>
      <c r="F647" s="30">
        <f>IF($A647="",0,INDEX(Transactions!$O:$O,ROW()-8))</f>
      </c>
      <c r="G647" s="30">
        <f>IF($A647="",0,INDEX(Transactions!$P:$P,ROW()-8))</f>
      </c>
    </row>
    <row r="648" spans="1:7" ht="15" customHeight="1" x14ac:dyDescent="0.15">
      <c r="A648">
        <f>IF(INDEX(Transactions!$J:$J,ROW()-8)="","",INDEX(Transactions!$J:$J,ROW()-8))</f>
      </c>
      <c r="B648" s="297">
        <f>IF($A648="",TODAY(),INDEX(Transactions!$G:$G,ROW()-8))</f>
      </c>
      <c r="C648">
        <f>IF($A648="","",INDEX(Transactions!$A:$A,ROW()-8))</f>
      </c>
      <c r="D648" s="30">
        <f>IF($A648="",0,INDEX(Transactions!$H:$H,ROW()-8))</f>
      </c>
      <c r="E648">
        <f>IF($A648="",1,INDEX(Transactions!$N:$N,ROW()-8))</f>
        <v>1</v>
      </c>
      <c r="F648" s="30">
        <f>IF($A648="",0,INDEX(Transactions!$O:$O,ROW()-8))</f>
      </c>
      <c r="G648" s="30">
        <f>IF($A648="",0,INDEX(Transactions!$P:$P,ROW()-8))</f>
      </c>
    </row>
    <row r="649" spans="1:7" ht="15" customHeight="1" x14ac:dyDescent="0.15">
      <c r="A649">
        <f>IF(INDEX(Transactions!$J:$J,ROW()-8)="","",INDEX(Transactions!$J:$J,ROW()-8))</f>
      </c>
      <c r="B649" s="297">
        <f>IF($A649="",TODAY(),INDEX(Transactions!$G:$G,ROW()-8))</f>
      </c>
      <c r="C649">
        <f>IF($A649="","",INDEX(Transactions!$A:$A,ROW()-8))</f>
      </c>
      <c r="D649" s="30">
        <f>IF($A649="",0,INDEX(Transactions!$H:$H,ROW()-8))</f>
      </c>
      <c r="E649">
        <f>IF($A649="",1,INDEX(Transactions!$N:$N,ROW()-8))</f>
        <v>1</v>
      </c>
      <c r="F649" s="30">
        <f>IF($A649="",0,INDEX(Transactions!$O:$O,ROW()-8))</f>
      </c>
      <c r="G649" s="30">
        <f>IF($A649="",0,INDEX(Transactions!$P:$P,ROW()-8))</f>
      </c>
    </row>
    <row r="650" spans="1:7" ht="15" customHeight="1" x14ac:dyDescent="0.15">
      <c r="A650">
        <f>IF(INDEX(Transactions!$J:$J,ROW()-8)="","",INDEX(Transactions!$J:$J,ROW()-8))</f>
      </c>
      <c r="B650" s="297">
        <f>IF($A650="",TODAY(),INDEX(Transactions!$G:$G,ROW()-8))</f>
      </c>
      <c r="C650">
        <f>IF($A650="","",INDEX(Transactions!$A:$A,ROW()-8))</f>
      </c>
      <c r="D650" s="30">
        <f>IF($A650="",0,INDEX(Transactions!$H:$H,ROW()-8))</f>
      </c>
      <c r="E650">
        <f>IF($A650="",1,INDEX(Transactions!$N:$N,ROW()-8))</f>
        <v>1</v>
      </c>
      <c r="F650" s="30">
        <f>IF($A650="",0,INDEX(Transactions!$O:$O,ROW()-8))</f>
      </c>
      <c r="G650" s="30">
        <f>IF($A650="",0,INDEX(Transactions!$P:$P,ROW()-8))</f>
      </c>
    </row>
    <row r="651" spans="1:7" ht="15" customHeight="1" x14ac:dyDescent="0.15">
      <c r="A651">
        <f>IF(INDEX(Transactions!$J:$J,ROW()-8)="","",INDEX(Transactions!$J:$J,ROW()-8))</f>
      </c>
      <c r="B651" s="297">
        <f>IF($A651="",TODAY(),INDEX(Transactions!$G:$G,ROW()-8))</f>
      </c>
      <c r="C651">
        <f>IF($A651="","",INDEX(Transactions!$A:$A,ROW()-8))</f>
      </c>
      <c r="D651" s="30">
        <f>IF($A651="",0,INDEX(Transactions!$H:$H,ROW()-8))</f>
      </c>
      <c r="E651">
        <f>IF($A651="",1,INDEX(Transactions!$N:$N,ROW()-8))</f>
        <v>1</v>
      </c>
      <c r="F651" s="30">
        <f>IF($A651="",0,INDEX(Transactions!$O:$O,ROW()-8))</f>
      </c>
      <c r="G651" s="30">
        <f>IF($A651="",0,INDEX(Transactions!$P:$P,ROW()-8))</f>
      </c>
    </row>
    <row r="652" spans="1:7" ht="15" customHeight="1" x14ac:dyDescent="0.15">
      <c r="A652">
        <f>IF(INDEX(Transactions!$J:$J,ROW()-8)="","",INDEX(Transactions!$J:$J,ROW()-8))</f>
      </c>
      <c r="B652" s="297">
        <f>IF($A652="",TODAY(),INDEX(Transactions!$G:$G,ROW()-8))</f>
      </c>
      <c r="C652">
        <f>IF($A652="","",INDEX(Transactions!$A:$A,ROW()-8))</f>
      </c>
      <c r="D652" s="30">
        <f>IF($A652="",0,INDEX(Transactions!$H:$H,ROW()-8))</f>
      </c>
      <c r="E652">
        <f>IF($A652="",1,INDEX(Transactions!$N:$N,ROW()-8))</f>
        <v>1</v>
      </c>
      <c r="F652" s="30">
        <f>IF($A652="",0,INDEX(Transactions!$O:$O,ROW()-8))</f>
      </c>
      <c r="G652" s="30">
        <f>IF($A652="",0,INDEX(Transactions!$P:$P,ROW()-8))</f>
      </c>
    </row>
    <row r="653" spans="1:7" ht="15" customHeight="1" x14ac:dyDescent="0.15">
      <c r="A653">
        <f>IF(INDEX(Transactions!$J:$J,ROW()-8)="","",INDEX(Transactions!$J:$J,ROW()-8))</f>
      </c>
      <c r="B653" s="297">
        <f>IF($A653="",TODAY(),INDEX(Transactions!$G:$G,ROW()-8))</f>
      </c>
      <c r="C653">
        <f>IF($A653="","",INDEX(Transactions!$A:$A,ROW()-8))</f>
      </c>
      <c r="D653" s="30">
        <f>IF($A653="",0,INDEX(Transactions!$H:$H,ROW()-8))</f>
      </c>
      <c r="E653">
        <f>IF($A653="",1,INDEX(Transactions!$N:$N,ROW()-8))</f>
        <v>1</v>
      </c>
      <c r="F653" s="30">
        <f>IF($A653="",0,INDEX(Transactions!$O:$O,ROW()-8))</f>
      </c>
      <c r="G653" s="30">
        <f>IF($A653="",0,INDEX(Transactions!$P:$P,ROW()-8))</f>
      </c>
    </row>
    <row r="654" spans="1:7" ht="15" customHeight="1" x14ac:dyDescent="0.15">
      <c r="A654">
        <f>IF(INDEX(Transactions!$J:$J,ROW()-8)="","",INDEX(Transactions!$J:$J,ROW()-8))</f>
      </c>
      <c r="B654" s="297">
        <f>IF($A654="",TODAY(),INDEX(Transactions!$G:$G,ROW()-8))</f>
      </c>
      <c r="C654">
        <f>IF($A654="","",INDEX(Transactions!$A:$A,ROW()-8))</f>
      </c>
      <c r="D654" s="30">
        <f>IF($A654="",0,INDEX(Transactions!$H:$H,ROW()-8))</f>
      </c>
      <c r="E654">
        <f>IF($A654="",1,INDEX(Transactions!$N:$N,ROW()-8))</f>
        <v>1</v>
      </c>
      <c r="F654" s="30">
        <f>IF($A654="",0,INDEX(Transactions!$O:$O,ROW()-8))</f>
      </c>
      <c r="G654" s="30">
        <f>IF($A654="",0,INDEX(Transactions!$P:$P,ROW()-8))</f>
      </c>
    </row>
    <row r="655" spans="1:7" ht="15" customHeight="1" x14ac:dyDescent="0.15">
      <c r="A655">
        <f>IF(INDEX(Transactions!$J:$J,ROW()-8)="","",INDEX(Transactions!$J:$J,ROW()-8))</f>
      </c>
      <c r="B655" s="297">
        <f>IF($A655="",TODAY(),INDEX(Transactions!$G:$G,ROW()-8))</f>
      </c>
      <c r="C655">
        <f>IF($A655="","",INDEX(Transactions!$A:$A,ROW()-8))</f>
      </c>
      <c r="D655" s="30">
        <f>IF($A655="",0,INDEX(Transactions!$H:$H,ROW()-8))</f>
      </c>
      <c r="E655">
        <f>IF($A655="",1,INDEX(Transactions!$N:$N,ROW()-8))</f>
        <v>1</v>
      </c>
      <c r="F655" s="30">
        <f>IF($A655="",0,INDEX(Transactions!$O:$O,ROW()-8))</f>
      </c>
      <c r="G655" s="30">
        <f>IF($A655="",0,INDEX(Transactions!$P:$P,ROW()-8))</f>
      </c>
    </row>
    <row r="656" spans="1:7" ht="15" customHeight="1" x14ac:dyDescent="0.15">
      <c r="A656">
        <f>IF(INDEX(Transactions!$J:$J,ROW()-8)="","",INDEX(Transactions!$J:$J,ROW()-8))</f>
      </c>
      <c r="B656" s="297">
        <f>IF($A656="",TODAY(),INDEX(Transactions!$G:$G,ROW()-8))</f>
      </c>
      <c r="C656">
        <f>IF($A656="","",INDEX(Transactions!$A:$A,ROW()-8))</f>
      </c>
      <c r="D656" s="30">
        <f>IF($A656="",0,INDEX(Transactions!$H:$H,ROW()-8))</f>
      </c>
      <c r="E656">
        <f>IF($A656="",1,INDEX(Transactions!$N:$N,ROW()-8))</f>
        <v>1</v>
      </c>
      <c r="F656" s="30">
        <f>IF($A656="",0,INDEX(Transactions!$O:$O,ROW()-8))</f>
      </c>
      <c r="G656" s="30">
        <f>IF($A656="",0,INDEX(Transactions!$P:$P,ROW()-8))</f>
      </c>
    </row>
    <row r="657" spans="1:7" ht="15" customHeight="1" x14ac:dyDescent="0.15">
      <c r="A657">
        <f>IF(INDEX(Transactions!$J:$J,ROW()-8)="","",INDEX(Transactions!$J:$J,ROW()-8))</f>
      </c>
      <c r="B657" s="297">
        <f>IF($A657="",TODAY(),INDEX(Transactions!$G:$G,ROW()-8))</f>
      </c>
      <c r="C657">
        <f>IF($A657="","",INDEX(Transactions!$A:$A,ROW()-8))</f>
      </c>
      <c r="D657" s="30">
        <f>IF($A657="",0,INDEX(Transactions!$H:$H,ROW()-8))</f>
      </c>
      <c r="E657">
        <f>IF($A657="",1,INDEX(Transactions!$N:$N,ROW()-8))</f>
        <v>1</v>
      </c>
      <c r="F657" s="30">
        <f>IF($A657="",0,INDEX(Transactions!$O:$O,ROW()-8))</f>
      </c>
      <c r="G657" s="30">
        <f>IF($A657="",0,INDEX(Transactions!$P:$P,ROW()-8))</f>
      </c>
    </row>
    <row r="658" spans="1:7" ht="15" customHeight="1" x14ac:dyDescent="0.15">
      <c r="A658">
        <f>IF(INDEX(Transactions!$J:$J,ROW()-8)="","",INDEX(Transactions!$J:$J,ROW()-8))</f>
      </c>
      <c r="B658" s="297">
        <f>IF($A658="",TODAY(),INDEX(Transactions!$G:$G,ROW()-8))</f>
      </c>
      <c r="C658">
        <f>IF($A658="","",INDEX(Transactions!$A:$A,ROW()-8))</f>
      </c>
      <c r="D658" s="30">
        <f>IF($A658="",0,INDEX(Transactions!$H:$H,ROW()-8))</f>
      </c>
      <c r="E658">
        <f>IF($A658="",1,INDEX(Transactions!$N:$N,ROW()-8))</f>
        <v>1</v>
      </c>
      <c r="F658" s="30">
        <f>IF($A658="",0,INDEX(Transactions!$O:$O,ROW()-8))</f>
      </c>
      <c r="G658" s="30">
        <f>IF($A658="",0,INDEX(Transactions!$P:$P,ROW()-8))</f>
      </c>
    </row>
    <row r="659" spans="1:7" ht="15" customHeight="1" x14ac:dyDescent="0.15">
      <c r="A659">
        <f>IF(INDEX(Transactions!$J:$J,ROW()-8)="","",INDEX(Transactions!$J:$J,ROW()-8))</f>
      </c>
      <c r="B659" s="297">
        <f>IF($A659="",TODAY(),INDEX(Transactions!$G:$G,ROW()-8))</f>
      </c>
      <c r="C659">
        <f>IF($A659="","",INDEX(Transactions!$A:$A,ROW()-8))</f>
      </c>
      <c r="D659" s="30">
        <f>IF($A659="",0,INDEX(Transactions!$H:$H,ROW()-8))</f>
      </c>
      <c r="E659">
        <f>IF($A659="",1,INDEX(Transactions!$N:$N,ROW()-8))</f>
        <v>1</v>
      </c>
      <c r="F659" s="30">
        <f>IF($A659="",0,INDEX(Transactions!$O:$O,ROW()-8))</f>
      </c>
      <c r="G659" s="30">
        <f>IF($A659="",0,INDEX(Transactions!$P:$P,ROW()-8))</f>
      </c>
    </row>
    <row r="660" spans="1:7" ht="15" customHeight="1" x14ac:dyDescent="0.15">
      <c r="A660">
        <f>IF(INDEX(Transactions!$J:$J,ROW()-8)="","",INDEX(Transactions!$J:$J,ROW()-8))</f>
      </c>
      <c r="B660" s="297">
        <f>IF($A660="",TODAY(),INDEX(Transactions!$G:$G,ROW()-8))</f>
      </c>
      <c r="C660">
        <f>IF($A660="","",INDEX(Transactions!$A:$A,ROW()-8))</f>
      </c>
      <c r="D660" s="30">
        <f>IF($A660="",0,INDEX(Transactions!$H:$H,ROW()-8))</f>
      </c>
      <c r="E660">
        <f>IF($A660="",1,INDEX(Transactions!$N:$N,ROW()-8))</f>
        <v>1</v>
      </c>
      <c r="F660" s="30">
        <f>IF($A660="",0,INDEX(Transactions!$O:$O,ROW()-8))</f>
      </c>
      <c r="G660" s="30">
        <f>IF($A660="",0,INDEX(Transactions!$P:$P,ROW()-8))</f>
      </c>
    </row>
    <row r="661" spans="1:7" ht="15" customHeight="1" x14ac:dyDescent="0.15">
      <c r="A661">
        <f>IF(INDEX(Transactions!$J:$J,ROW()-8)="","",INDEX(Transactions!$J:$J,ROW()-8))</f>
      </c>
      <c r="B661" s="297">
        <f>IF($A661="",TODAY(),INDEX(Transactions!$G:$G,ROW()-8))</f>
      </c>
      <c r="C661">
        <f>IF($A661="","",INDEX(Transactions!$A:$A,ROW()-8))</f>
      </c>
      <c r="D661" s="30">
        <f>IF($A661="",0,INDEX(Transactions!$H:$H,ROW()-8))</f>
      </c>
      <c r="E661">
        <f>IF($A661="",1,INDEX(Transactions!$N:$N,ROW()-8))</f>
        <v>1</v>
      </c>
      <c r="F661" s="30">
        <f>IF($A661="",0,INDEX(Transactions!$O:$O,ROW()-8))</f>
      </c>
      <c r="G661" s="30">
        <f>IF($A661="",0,INDEX(Transactions!$P:$P,ROW()-8))</f>
      </c>
    </row>
    <row r="662" spans="1:7" ht="15" customHeight="1" x14ac:dyDescent="0.15">
      <c r="A662">
        <f>IF(INDEX(Transactions!$J:$J,ROW()-8)="","",INDEX(Transactions!$J:$J,ROW()-8))</f>
      </c>
      <c r="B662" s="297">
        <f>IF($A662="",TODAY(),INDEX(Transactions!$G:$G,ROW()-8))</f>
      </c>
      <c r="C662">
        <f>IF($A662="","",INDEX(Transactions!$A:$A,ROW()-8))</f>
      </c>
      <c r="D662" s="30">
        <f>IF($A662="",0,INDEX(Transactions!$H:$H,ROW()-8))</f>
      </c>
      <c r="E662">
        <f>IF($A662="",1,INDEX(Transactions!$N:$N,ROW()-8))</f>
        <v>1</v>
      </c>
      <c r="F662" s="30">
        <f>IF($A662="",0,INDEX(Transactions!$O:$O,ROW()-8))</f>
      </c>
      <c r="G662" s="30">
        <f>IF($A662="",0,INDEX(Transactions!$P:$P,ROW()-8))</f>
      </c>
    </row>
    <row r="663" spans="1:7" ht="15" customHeight="1" x14ac:dyDescent="0.15">
      <c r="A663">
        <f>IF(INDEX(Transactions!$J:$J,ROW()-8)="","",INDEX(Transactions!$J:$J,ROW()-8))</f>
      </c>
      <c r="B663" s="297">
        <f>IF($A663="",TODAY(),INDEX(Transactions!$G:$G,ROW()-8))</f>
      </c>
      <c r="C663">
        <f>IF($A663="","",INDEX(Transactions!$A:$A,ROW()-8))</f>
      </c>
      <c r="D663" s="30">
        <f>IF($A663="",0,INDEX(Transactions!$H:$H,ROW()-8))</f>
      </c>
      <c r="E663">
        <f>IF($A663="",1,INDEX(Transactions!$N:$N,ROW()-8))</f>
        <v>1</v>
      </c>
      <c r="F663" s="30">
        <f>IF($A663="",0,INDEX(Transactions!$O:$O,ROW()-8))</f>
      </c>
      <c r="G663" s="30">
        <f>IF($A663="",0,INDEX(Transactions!$P:$P,ROW()-8))</f>
      </c>
    </row>
    <row r="664" spans="1:7" ht="15" customHeight="1" x14ac:dyDescent="0.15">
      <c r="A664">
        <f>IF(INDEX(Transactions!$J:$J,ROW()-8)="","",INDEX(Transactions!$J:$J,ROW()-8))</f>
      </c>
      <c r="B664" s="297">
        <f>IF($A664="",TODAY(),INDEX(Transactions!$G:$G,ROW()-8))</f>
      </c>
      <c r="C664">
        <f>IF($A664="","",INDEX(Transactions!$A:$A,ROW()-8))</f>
      </c>
      <c r="D664" s="30">
        <f>IF($A664="",0,INDEX(Transactions!$H:$H,ROW()-8))</f>
      </c>
      <c r="E664">
        <f>IF($A664="",1,INDEX(Transactions!$N:$N,ROW()-8))</f>
        <v>1</v>
      </c>
      <c r="F664" s="30">
        <f>IF($A664="",0,INDEX(Transactions!$O:$O,ROW()-8))</f>
      </c>
      <c r="G664" s="30">
        <f>IF($A664="",0,INDEX(Transactions!$P:$P,ROW()-8))</f>
      </c>
    </row>
    <row r="665" spans="1:7" ht="15" customHeight="1" x14ac:dyDescent="0.15">
      <c r="A665">
        <f>IF(INDEX(Transactions!$J:$J,ROW()-8)="","",INDEX(Transactions!$J:$J,ROW()-8))</f>
      </c>
      <c r="B665" s="297">
        <f>IF($A665="",TODAY(),INDEX(Transactions!$G:$G,ROW()-8))</f>
      </c>
      <c r="C665">
        <f>IF($A665="","",INDEX(Transactions!$A:$A,ROW()-8))</f>
      </c>
      <c r="D665" s="30">
        <f>IF($A665="",0,INDEX(Transactions!$H:$H,ROW()-8))</f>
      </c>
      <c r="E665">
        <f>IF($A665="",1,INDEX(Transactions!$N:$N,ROW()-8))</f>
        <v>1</v>
      </c>
      <c r="F665" s="30">
        <f>IF($A665="",0,INDEX(Transactions!$O:$O,ROW()-8))</f>
      </c>
      <c r="G665" s="30">
        <f>IF($A665="",0,INDEX(Transactions!$P:$P,ROW()-8))</f>
      </c>
    </row>
    <row r="666" spans="1:7" ht="15" customHeight="1" x14ac:dyDescent="0.15">
      <c r="A666">
        <f>IF(INDEX(Transactions!$J:$J,ROW()-8)="","",INDEX(Transactions!$J:$J,ROW()-8))</f>
      </c>
      <c r="B666" s="297">
        <f>IF($A666="",TODAY(),INDEX(Transactions!$G:$G,ROW()-8))</f>
      </c>
      <c r="C666">
        <f>IF($A666="","",INDEX(Transactions!$A:$A,ROW()-8))</f>
      </c>
      <c r="D666" s="30">
        <f>IF($A666="",0,INDEX(Transactions!$H:$H,ROW()-8))</f>
      </c>
      <c r="E666">
        <f>IF($A666="",1,INDEX(Transactions!$N:$N,ROW()-8))</f>
        <v>1</v>
      </c>
      <c r="F666" s="30">
        <f>IF($A666="",0,INDEX(Transactions!$O:$O,ROW()-8))</f>
      </c>
      <c r="G666" s="30">
        <f>IF($A666="",0,INDEX(Transactions!$P:$P,ROW()-8))</f>
      </c>
    </row>
    <row r="667" spans="1:7" ht="15" customHeight="1" x14ac:dyDescent="0.15">
      <c r="A667">
        <f>IF(INDEX(Transactions!$J:$J,ROW()-8)="","",INDEX(Transactions!$J:$J,ROW()-8))</f>
      </c>
      <c r="B667" s="297">
        <f>IF($A667="",TODAY(),INDEX(Transactions!$G:$G,ROW()-8))</f>
      </c>
      <c r="C667">
        <f>IF($A667="","",INDEX(Transactions!$A:$A,ROW()-8))</f>
      </c>
      <c r="D667" s="30">
        <f>IF($A667="",0,INDEX(Transactions!$H:$H,ROW()-8))</f>
      </c>
      <c r="E667">
        <f>IF($A667="",1,INDEX(Transactions!$N:$N,ROW()-8))</f>
        <v>1</v>
      </c>
      <c r="F667" s="30">
        <f>IF($A667="",0,INDEX(Transactions!$O:$O,ROW()-8))</f>
      </c>
      <c r="G667" s="30">
        <f>IF($A667="",0,INDEX(Transactions!$P:$P,ROW()-8))</f>
      </c>
    </row>
    <row r="668" spans="1:7" ht="15" customHeight="1" x14ac:dyDescent="0.15">
      <c r="A668">
        <f>IF(INDEX(Transactions!$J:$J,ROW()-8)="","",INDEX(Transactions!$J:$J,ROW()-8))</f>
      </c>
      <c r="B668" s="297">
        <f>IF($A668="",TODAY(),INDEX(Transactions!$G:$G,ROW()-8))</f>
      </c>
      <c r="C668">
        <f>IF($A668="","",INDEX(Transactions!$A:$A,ROW()-8))</f>
      </c>
      <c r="D668" s="30">
        <f>IF($A668="",0,INDEX(Transactions!$H:$H,ROW()-8))</f>
      </c>
      <c r="E668">
        <f>IF($A668="",1,INDEX(Transactions!$N:$N,ROW()-8))</f>
        <v>1</v>
      </c>
      <c r="F668" s="30">
        <f>IF($A668="",0,INDEX(Transactions!$O:$O,ROW()-8))</f>
      </c>
      <c r="G668" s="30">
        <f>IF($A668="",0,INDEX(Transactions!$P:$P,ROW()-8))</f>
      </c>
    </row>
    <row r="669" spans="1:7" ht="15" customHeight="1" x14ac:dyDescent="0.15">
      <c r="A669">
        <f>IF(INDEX(Transactions!$J:$J,ROW()-8)="","",INDEX(Transactions!$J:$J,ROW()-8))</f>
      </c>
      <c r="B669" s="297">
        <f>IF($A669="",TODAY(),INDEX(Transactions!$G:$G,ROW()-8))</f>
      </c>
      <c r="C669">
        <f>IF($A669="","",INDEX(Transactions!$A:$A,ROW()-8))</f>
      </c>
      <c r="D669" s="30">
        <f>IF($A669="",0,INDEX(Transactions!$H:$H,ROW()-8))</f>
      </c>
      <c r="E669">
        <f>IF($A669="",1,INDEX(Transactions!$N:$N,ROW()-8))</f>
        <v>1</v>
      </c>
      <c r="F669" s="30">
        <f>IF($A669="",0,INDEX(Transactions!$O:$O,ROW()-8))</f>
      </c>
      <c r="G669" s="30">
        <f>IF($A669="",0,INDEX(Transactions!$P:$P,ROW()-8))</f>
      </c>
    </row>
    <row r="670" spans="1:7" ht="15" customHeight="1" x14ac:dyDescent="0.15">
      <c r="A670">
        <f>IF(INDEX(Transactions!$J:$J,ROW()-8)="","",INDEX(Transactions!$J:$J,ROW()-8))</f>
      </c>
      <c r="B670" s="297">
        <f>IF($A670="",TODAY(),INDEX(Transactions!$G:$G,ROW()-8))</f>
      </c>
      <c r="C670">
        <f>IF($A670="","",INDEX(Transactions!$A:$A,ROW()-8))</f>
      </c>
      <c r="D670" s="30">
        <f>IF($A670="",0,INDEX(Transactions!$H:$H,ROW()-8))</f>
      </c>
      <c r="E670">
        <f>IF($A670="",1,INDEX(Transactions!$N:$N,ROW()-8))</f>
        <v>1</v>
      </c>
      <c r="F670" s="30">
        <f>IF($A670="",0,INDEX(Transactions!$O:$O,ROW()-8))</f>
      </c>
      <c r="G670" s="30">
        <f>IF($A670="",0,INDEX(Transactions!$P:$P,ROW()-8))</f>
      </c>
    </row>
    <row r="671" spans="1:7" ht="15" customHeight="1" x14ac:dyDescent="0.15">
      <c r="A671">
        <f>IF(INDEX(Transactions!$J:$J,ROW()-8)="","",INDEX(Transactions!$J:$J,ROW()-8))</f>
      </c>
      <c r="B671" s="297">
        <f>IF($A671="",TODAY(),INDEX(Transactions!$G:$G,ROW()-8))</f>
      </c>
      <c r="C671">
        <f>IF($A671="","",INDEX(Transactions!$A:$A,ROW()-8))</f>
      </c>
      <c r="D671" s="30">
        <f>IF($A671="",0,INDEX(Transactions!$H:$H,ROW()-8))</f>
      </c>
      <c r="E671">
        <f>IF($A671="",1,INDEX(Transactions!$N:$N,ROW()-8))</f>
        <v>1</v>
      </c>
      <c r="F671" s="30">
        <f>IF($A671="",0,INDEX(Transactions!$O:$O,ROW()-8))</f>
      </c>
      <c r="G671" s="30">
        <f>IF($A671="",0,INDEX(Transactions!$P:$P,ROW()-8))</f>
      </c>
    </row>
    <row r="672" spans="1:7" ht="15" customHeight="1" x14ac:dyDescent="0.15">
      <c r="A672">
        <f>IF(INDEX(Transactions!$J:$J,ROW()-8)="","",INDEX(Transactions!$J:$J,ROW()-8))</f>
      </c>
      <c r="B672" s="297">
        <f>IF($A672="",TODAY(),INDEX(Transactions!$G:$G,ROW()-8))</f>
      </c>
      <c r="C672">
        <f>IF($A672="","",INDEX(Transactions!$A:$A,ROW()-8))</f>
      </c>
      <c r="D672" s="30">
        <f>IF($A672="",0,INDEX(Transactions!$H:$H,ROW()-8))</f>
      </c>
      <c r="E672">
        <f>IF($A672="",1,INDEX(Transactions!$N:$N,ROW()-8))</f>
        <v>1</v>
      </c>
      <c r="F672" s="30">
        <f>IF($A672="",0,INDEX(Transactions!$O:$O,ROW()-8))</f>
      </c>
      <c r="G672" s="30">
        <f>IF($A672="",0,INDEX(Transactions!$P:$P,ROW()-8))</f>
      </c>
    </row>
    <row r="673" spans="1:7" ht="15" customHeight="1" x14ac:dyDescent="0.15">
      <c r="A673">
        <f>IF(INDEX(Transactions!$J:$J,ROW()-8)="","",INDEX(Transactions!$J:$J,ROW()-8))</f>
      </c>
      <c r="B673" s="297">
        <f>IF($A673="",TODAY(),INDEX(Transactions!$G:$G,ROW()-8))</f>
      </c>
      <c r="C673">
        <f>IF($A673="","",INDEX(Transactions!$A:$A,ROW()-8))</f>
      </c>
      <c r="D673" s="30">
        <f>IF($A673="",0,INDEX(Transactions!$H:$H,ROW()-8))</f>
      </c>
      <c r="E673">
        <f>IF($A673="",1,INDEX(Transactions!$N:$N,ROW()-8))</f>
        <v>1</v>
      </c>
      <c r="F673" s="30">
        <f>IF($A673="",0,INDEX(Transactions!$O:$O,ROW()-8))</f>
      </c>
      <c r="G673" s="30">
        <f>IF($A673="",0,INDEX(Transactions!$P:$P,ROW()-8))</f>
      </c>
    </row>
    <row r="674" spans="1:7" ht="15" customHeight="1" x14ac:dyDescent="0.15">
      <c r="A674">
        <f>IF(INDEX(Transactions!$J:$J,ROW()-8)="","",INDEX(Transactions!$J:$J,ROW()-8))</f>
      </c>
      <c r="B674" s="297">
        <f>IF($A674="",TODAY(),INDEX(Transactions!$G:$G,ROW()-8))</f>
      </c>
      <c r="C674">
        <f>IF($A674="","",INDEX(Transactions!$A:$A,ROW()-8))</f>
      </c>
      <c r="D674" s="30">
        <f>IF($A674="",0,INDEX(Transactions!$H:$H,ROW()-8))</f>
      </c>
      <c r="E674">
        <f>IF($A674="",1,INDEX(Transactions!$N:$N,ROW()-8))</f>
        <v>1</v>
      </c>
      <c r="F674" s="30">
        <f>IF($A674="",0,INDEX(Transactions!$O:$O,ROW()-8))</f>
      </c>
      <c r="G674" s="30">
        <f>IF($A674="",0,INDEX(Transactions!$P:$P,ROW()-8))</f>
      </c>
    </row>
    <row r="675" spans="1:7" ht="15" customHeight="1" x14ac:dyDescent="0.15">
      <c r="A675">
        <f>IF(INDEX(Transactions!$J:$J,ROW()-8)="","",INDEX(Transactions!$J:$J,ROW()-8))</f>
      </c>
      <c r="B675" s="297">
        <f>IF($A675="",TODAY(),INDEX(Transactions!$G:$G,ROW()-8))</f>
      </c>
      <c r="C675">
        <f>IF($A675="","",INDEX(Transactions!$A:$A,ROW()-8))</f>
      </c>
      <c r="D675" s="30">
        <f>IF($A675="",0,INDEX(Transactions!$H:$H,ROW()-8))</f>
      </c>
      <c r="E675">
        <f>IF($A675="",1,INDEX(Transactions!$N:$N,ROW()-8))</f>
        <v>1</v>
      </c>
      <c r="F675" s="30">
        <f>IF($A675="",0,INDEX(Transactions!$O:$O,ROW()-8))</f>
      </c>
      <c r="G675" s="30">
        <f>IF($A675="",0,INDEX(Transactions!$P:$P,ROW()-8))</f>
      </c>
    </row>
    <row r="676" spans="1:7" ht="15" customHeight="1" x14ac:dyDescent="0.15">
      <c r="A676">
        <f>IF(INDEX(Transactions!$J:$J,ROW()-8)="","",INDEX(Transactions!$J:$J,ROW()-8))</f>
      </c>
      <c r="B676" s="297">
        <f>IF($A676="",TODAY(),INDEX(Transactions!$G:$G,ROW()-8))</f>
      </c>
      <c r="C676">
        <f>IF($A676="","",INDEX(Transactions!$A:$A,ROW()-8))</f>
      </c>
      <c r="D676" s="30">
        <f>IF($A676="",0,INDEX(Transactions!$H:$H,ROW()-8))</f>
      </c>
      <c r="E676">
        <f>IF($A676="",1,INDEX(Transactions!$N:$N,ROW()-8))</f>
        <v>1</v>
      </c>
      <c r="F676" s="30">
        <f>IF($A676="",0,INDEX(Transactions!$O:$O,ROW()-8))</f>
      </c>
      <c r="G676" s="30">
        <f>IF($A676="",0,INDEX(Transactions!$P:$P,ROW()-8))</f>
      </c>
    </row>
    <row r="677" spans="1:7" ht="15" customHeight="1" x14ac:dyDescent="0.15">
      <c r="A677">
        <f>IF(INDEX(Transactions!$J:$J,ROW()-8)="","",INDEX(Transactions!$J:$J,ROW()-8))</f>
      </c>
      <c r="B677" s="297">
        <f>IF($A677="",TODAY(),INDEX(Transactions!$G:$G,ROW()-8))</f>
      </c>
      <c r="C677">
        <f>IF($A677="","",INDEX(Transactions!$A:$A,ROW()-8))</f>
      </c>
      <c r="D677" s="30">
        <f>IF($A677="",0,INDEX(Transactions!$H:$H,ROW()-8))</f>
      </c>
      <c r="E677">
        <f>IF($A677="",1,INDEX(Transactions!$N:$N,ROW()-8))</f>
        <v>1</v>
      </c>
      <c r="F677" s="30">
        <f>IF($A677="",0,INDEX(Transactions!$O:$O,ROW()-8))</f>
      </c>
      <c r="G677" s="30">
        <f>IF($A677="",0,INDEX(Transactions!$P:$P,ROW()-8))</f>
      </c>
    </row>
    <row r="678" spans="1:7" ht="15" customHeight="1" x14ac:dyDescent="0.15">
      <c r="A678">
        <f>IF(INDEX(Transactions!$J:$J,ROW()-8)="","",INDEX(Transactions!$J:$J,ROW()-8))</f>
      </c>
      <c r="B678" s="297">
        <f>IF($A678="",TODAY(),INDEX(Transactions!$G:$G,ROW()-8))</f>
      </c>
      <c r="C678">
        <f>IF($A678="","",INDEX(Transactions!$A:$A,ROW()-8))</f>
      </c>
      <c r="D678" s="30">
        <f>IF($A678="",0,INDEX(Transactions!$H:$H,ROW()-8))</f>
      </c>
      <c r="E678">
        <f>IF($A678="",1,INDEX(Transactions!$N:$N,ROW()-8))</f>
        <v>1</v>
      </c>
      <c r="F678" s="30">
        <f>IF($A678="",0,INDEX(Transactions!$O:$O,ROW()-8))</f>
      </c>
      <c r="G678" s="30">
        <f>IF($A678="",0,INDEX(Transactions!$P:$P,ROW()-8))</f>
      </c>
    </row>
    <row r="679" spans="1:7" ht="15" customHeight="1" x14ac:dyDescent="0.15">
      <c r="A679">
        <f>IF(INDEX(Transactions!$J:$J,ROW()-8)="","",INDEX(Transactions!$J:$J,ROW()-8))</f>
      </c>
      <c r="B679" s="297">
        <f>IF($A679="",TODAY(),INDEX(Transactions!$G:$G,ROW()-8))</f>
      </c>
      <c r="C679">
        <f>IF($A679="","",INDEX(Transactions!$A:$A,ROW()-8))</f>
      </c>
      <c r="D679" s="30">
        <f>IF($A679="",0,INDEX(Transactions!$H:$H,ROW()-8))</f>
      </c>
      <c r="E679">
        <f>IF($A679="",1,INDEX(Transactions!$N:$N,ROW()-8))</f>
        <v>1</v>
      </c>
      <c r="F679" s="30">
        <f>IF($A679="",0,INDEX(Transactions!$O:$O,ROW()-8))</f>
      </c>
      <c r="G679" s="30">
        <f>IF($A679="",0,INDEX(Transactions!$P:$P,ROW()-8))</f>
      </c>
    </row>
    <row r="680" spans="1:7" ht="15" customHeight="1" x14ac:dyDescent="0.15">
      <c r="A680">
        <f>IF(INDEX(Transactions!$J:$J,ROW()-8)="","",INDEX(Transactions!$J:$J,ROW()-8))</f>
      </c>
      <c r="B680" s="297">
        <f>IF($A680="",TODAY(),INDEX(Transactions!$G:$G,ROW()-8))</f>
      </c>
      <c r="C680">
        <f>IF($A680="","",INDEX(Transactions!$A:$A,ROW()-8))</f>
      </c>
      <c r="D680" s="30">
        <f>IF($A680="",0,INDEX(Transactions!$H:$H,ROW()-8))</f>
      </c>
      <c r="E680">
        <f>IF($A680="",1,INDEX(Transactions!$N:$N,ROW()-8))</f>
        <v>1</v>
      </c>
      <c r="F680" s="30">
        <f>IF($A680="",0,INDEX(Transactions!$O:$O,ROW()-8))</f>
      </c>
      <c r="G680" s="30">
        <f>IF($A680="",0,INDEX(Transactions!$P:$P,ROW()-8))</f>
      </c>
    </row>
    <row r="681" spans="1:7" ht="15" customHeight="1" x14ac:dyDescent="0.15">
      <c r="A681">
        <f>IF(INDEX(Transactions!$J:$J,ROW()-8)="","",INDEX(Transactions!$J:$J,ROW()-8))</f>
      </c>
      <c r="B681" s="297">
        <f>IF($A681="",TODAY(),INDEX(Transactions!$G:$G,ROW()-8))</f>
      </c>
      <c r="C681">
        <f>IF($A681="","",INDEX(Transactions!$A:$A,ROW()-8))</f>
      </c>
      <c r="D681" s="30">
        <f>IF($A681="",0,INDEX(Transactions!$H:$H,ROW()-8))</f>
      </c>
      <c r="E681">
        <f>IF($A681="",1,INDEX(Transactions!$N:$N,ROW()-8))</f>
        <v>1</v>
      </c>
      <c r="F681" s="30">
        <f>IF($A681="",0,INDEX(Transactions!$O:$O,ROW()-8))</f>
      </c>
      <c r="G681" s="30">
        <f>IF($A681="",0,INDEX(Transactions!$P:$P,ROW()-8))</f>
      </c>
    </row>
    <row r="682" spans="1:7" ht="15" customHeight="1" x14ac:dyDescent="0.15">
      <c r="A682">
        <f>IF(INDEX(Transactions!$J:$J,ROW()-8)="","",INDEX(Transactions!$J:$J,ROW()-8))</f>
      </c>
      <c r="B682" s="297">
        <f>IF($A682="",TODAY(),INDEX(Transactions!$G:$G,ROW()-8))</f>
      </c>
      <c r="C682">
        <f>IF($A682="","",INDEX(Transactions!$A:$A,ROW()-8))</f>
      </c>
      <c r="D682" s="30">
        <f>IF($A682="",0,INDEX(Transactions!$H:$H,ROW()-8))</f>
      </c>
      <c r="E682">
        <f>IF($A682="",1,INDEX(Transactions!$N:$N,ROW()-8))</f>
        <v>1</v>
      </c>
      <c r="F682" s="30">
        <f>IF($A682="",0,INDEX(Transactions!$O:$O,ROW()-8))</f>
      </c>
      <c r="G682" s="30">
        <f>IF($A682="",0,INDEX(Transactions!$P:$P,ROW()-8))</f>
      </c>
    </row>
    <row r="683" spans="1:7" ht="15" customHeight="1" x14ac:dyDescent="0.15">
      <c r="A683">
        <f>IF(INDEX(Transactions!$J:$J,ROW()-8)="","",INDEX(Transactions!$J:$J,ROW()-8))</f>
      </c>
      <c r="B683" s="297">
        <f>IF($A683="",TODAY(),INDEX(Transactions!$G:$G,ROW()-8))</f>
      </c>
      <c r="C683">
        <f>IF($A683="","",INDEX(Transactions!$A:$A,ROW()-8))</f>
      </c>
      <c r="D683" s="30">
        <f>IF($A683="",0,INDEX(Transactions!$H:$H,ROW()-8))</f>
      </c>
      <c r="E683">
        <f>IF($A683="",1,INDEX(Transactions!$N:$N,ROW()-8))</f>
        <v>1</v>
      </c>
      <c r="F683" s="30">
        <f>IF($A683="",0,INDEX(Transactions!$O:$O,ROW()-8))</f>
      </c>
      <c r="G683" s="30">
        <f>IF($A683="",0,INDEX(Transactions!$P:$P,ROW()-8))</f>
      </c>
    </row>
    <row r="684" spans="1:7" ht="15" customHeight="1" x14ac:dyDescent="0.15">
      <c r="A684">
        <f>IF(INDEX(Transactions!$J:$J,ROW()-8)="","",INDEX(Transactions!$J:$J,ROW()-8))</f>
      </c>
      <c r="B684" s="297">
        <f>IF($A684="",TODAY(),INDEX(Transactions!$G:$G,ROW()-8))</f>
      </c>
      <c r="C684">
        <f>IF($A684="","",INDEX(Transactions!$A:$A,ROW()-8))</f>
      </c>
      <c r="D684" s="30">
        <f>IF($A684="",0,INDEX(Transactions!$H:$H,ROW()-8))</f>
      </c>
      <c r="E684">
        <f>IF($A684="",1,INDEX(Transactions!$N:$N,ROW()-8))</f>
        <v>1</v>
      </c>
      <c r="F684" s="30">
        <f>IF($A684="",0,INDEX(Transactions!$O:$O,ROW()-8))</f>
      </c>
      <c r="G684" s="30">
        <f>IF($A684="",0,INDEX(Transactions!$P:$P,ROW()-8))</f>
      </c>
    </row>
    <row r="685" spans="1:7" ht="15" customHeight="1" x14ac:dyDescent="0.15">
      <c r="A685">
        <f>IF(INDEX(Transactions!$J:$J,ROW()-8)="","",INDEX(Transactions!$J:$J,ROW()-8))</f>
      </c>
      <c r="B685" s="297">
        <f>IF($A685="",TODAY(),INDEX(Transactions!$G:$G,ROW()-8))</f>
      </c>
      <c r="C685">
        <f>IF($A685="","",INDEX(Transactions!$A:$A,ROW()-8))</f>
      </c>
      <c r="D685" s="30">
        <f>IF($A685="",0,INDEX(Transactions!$H:$H,ROW()-8))</f>
      </c>
      <c r="E685">
        <f>IF($A685="",1,INDEX(Transactions!$N:$N,ROW()-8))</f>
        <v>1</v>
      </c>
      <c r="F685" s="30">
        <f>IF($A685="",0,INDEX(Transactions!$O:$O,ROW()-8))</f>
      </c>
      <c r="G685" s="30">
        <f>IF($A685="",0,INDEX(Transactions!$P:$P,ROW()-8))</f>
      </c>
    </row>
    <row r="686" spans="1:7" ht="15" customHeight="1" x14ac:dyDescent="0.15">
      <c r="A686">
        <f>IF(INDEX(Transactions!$J:$J,ROW()-8)="","",INDEX(Transactions!$J:$J,ROW()-8))</f>
      </c>
      <c r="B686" s="297">
        <f>IF($A686="",TODAY(),INDEX(Transactions!$G:$G,ROW()-8))</f>
      </c>
      <c r="C686">
        <f>IF($A686="","",INDEX(Transactions!$A:$A,ROW()-8))</f>
      </c>
      <c r="D686" s="30">
        <f>IF($A686="",0,INDEX(Transactions!$H:$H,ROW()-8))</f>
      </c>
      <c r="E686">
        <f>IF($A686="",1,INDEX(Transactions!$N:$N,ROW()-8))</f>
        <v>1</v>
      </c>
      <c r="F686" s="30">
        <f>IF($A686="",0,INDEX(Transactions!$O:$O,ROW()-8))</f>
      </c>
      <c r="G686" s="30">
        <f>IF($A686="",0,INDEX(Transactions!$P:$P,ROW()-8))</f>
      </c>
    </row>
    <row r="687" spans="1:7" ht="15" customHeight="1" x14ac:dyDescent="0.15">
      <c r="A687">
        <f>IF(INDEX(Transactions!$J:$J,ROW()-8)="","",INDEX(Transactions!$J:$J,ROW()-8))</f>
      </c>
      <c r="B687" s="297">
        <f>IF($A687="",TODAY(),INDEX(Transactions!$G:$G,ROW()-8))</f>
      </c>
      <c r="C687">
        <f>IF($A687="","",INDEX(Transactions!$A:$A,ROW()-8))</f>
      </c>
      <c r="D687" s="30">
        <f>IF($A687="",0,INDEX(Transactions!$H:$H,ROW()-8))</f>
      </c>
      <c r="E687">
        <f>IF($A687="",1,INDEX(Transactions!$N:$N,ROW()-8))</f>
        <v>1</v>
      </c>
      <c r="F687" s="30">
        <f>IF($A687="",0,INDEX(Transactions!$O:$O,ROW()-8))</f>
      </c>
      <c r="G687" s="30">
        <f>IF($A687="",0,INDEX(Transactions!$P:$P,ROW()-8))</f>
      </c>
    </row>
    <row r="688" spans="1:7" ht="15" customHeight="1" x14ac:dyDescent="0.15">
      <c r="A688">
        <f>IF(INDEX(Transactions!$J:$J,ROW()-8)="","",INDEX(Transactions!$J:$J,ROW()-8))</f>
      </c>
      <c r="B688" s="297">
        <f>IF($A688="",TODAY(),INDEX(Transactions!$G:$G,ROW()-8))</f>
      </c>
      <c r="C688">
        <f>IF($A688="","",INDEX(Transactions!$A:$A,ROW()-8))</f>
      </c>
      <c r="D688" s="30">
        <f>IF($A688="",0,INDEX(Transactions!$H:$H,ROW()-8))</f>
      </c>
      <c r="E688">
        <f>IF($A688="",1,INDEX(Transactions!$N:$N,ROW()-8))</f>
        <v>1</v>
      </c>
      <c r="F688" s="30">
        <f>IF($A688="",0,INDEX(Transactions!$O:$O,ROW()-8))</f>
      </c>
      <c r="G688" s="30">
        <f>IF($A688="",0,INDEX(Transactions!$P:$P,ROW()-8))</f>
      </c>
    </row>
    <row r="689" spans="1:7" ht="15" customHeight="1" x14ac:dyDescent="0.15">
      <c r="A689">
        <f>IF(INDEX(Transactions!$J:$J,ROW()-8)="","",INDEX(Transactions!$J:$J,ROW()-8))</f>
      </c>
      <c r="B689" s="297">
        <f>IF($A689="",TODAY(),INDEX(Transactions!$G:$G,ROW()-8))</f>
      </c>
      <c r="C689">
        <f>IF($A689="","",INDEX(Transactions!$A:$A,ROW()-8))</f>
      </c>
      <c r="D689" s="30">
        <f>IF($A689="",0,INDEX(Transactions!$H:$H,ROW()-8))</f>
      </c>
      <c r="E689">
        <f>IF($A689="",1,INDEX(Transactions!$N:$N,ROW()-8))</f>
        <v>1</v>
      </c>
      <c r="F689" s="30">
        <f>IF($A689="",0,INDEX(Transactions!$O:$O,ROW()-8))</f>
      </c>
      <c r="G689" s="30">
        <f>IF($A689="",0,INDEX(Transactions!$P:$P,ROW()-8))</f>
      </c>
    </row>
    <row r="690" spans="1:7" ht="15" customHeight="1" x14ac:dyDescent="0.15">
      <c r="A690">
        <f>IF(INDEX(Transactions!$J:$J,ROW()-8)="","",INDEX(Transactions!$J:$J,ROW()-8))</f>
      </c>
      <c r="B690" s="297">
        <f>IF($A690="",TODAY(),INDEX(Transactions!$G:$G,ROW()-8))</f>
      </c>
      <c r="C690">
        <f>IF($A690="","",INDEX(Transactions!$A:$A,ROW()-8))</f>
      </c>
      <c r="D690" s="30">
        <f>IF($A690="",0,INDEX(Transactions!$H:$H,ROW()-8))</f>
      </c>
      <c r="E690">
        <f>IF($A690="",1,INDEX(Transactions!$N:$N,ROW()-8))</f>
        <v>1</v>
      </c>
      <c r="F690" s="30">
        <f>IF($A690="",0,INDEX(Transactions!$O:$O,ROW()-8))</f>
      </c>
      <c r="G690" s="30">
        <f>IF($A690="",0,INDEX(Transactions!$P:$P,ROW()-8))</f>
      </c>
    </row>
    <row r="691" spans="1:7" ht="15" customHeight="1" x14ac:dyDescent="0.15">
      <c r="A691">
        <f>IF(INDEX(Transactions!$J:$J,ROW()-8)="","",INDEX(Transactions!$J:$J,ROW()-8))</f>
      </c>
      <c r="B691" s="297">
        <f>IF($A691="",TODAY(),INDEX(Transactions!$G:$G,ROW()-8))</f>
      </c>
      <c r="C691">
        <f>IF($A691="","",INDEX(Transactions!$A:$A,ROW()-8))</f>
      </c>
      <c r="D691" s="30">
        <f>IF($A691="",0,INDEX(Transactions!$H:$H,ROW()-8))</f>
      </c>
      <c r="E691">
        <f>IF($A691="",1,INDEX(Transactions!$N:$N,ROW()-8))</f>
        <v>1</v>
      </c>
      <c r="F691" s="30">
        <f>IF($A691="",0,INDEX(Transactions!$O:$O,ROW()-8))</f>
      </c>
      <c r="G691" s="30">
        <f>IF($A691="",0,INDEX(Transactions!$P:$P,ROW()-8))</f>
      </c>
    </row>
    <row r="692" spans="1:7" ht="15" customHeight="1" x14ac:dyDescent="0.15">
      <c r="A692">
        <f>IF(INDEX(Transactions!$J:$J,ROW()-8)="","",INDEX(Transactions!$J:$J,ROW()-8))</f>
      </c>
      <c r="B692" s="297">
        <f>IF($A692="",TODAY(),INDEX(Transactions!$G:$G,ROW()-8))</f>
      </c>
      <c r="C692">
        <f>IF($A692="","",INDEX(Transactions!$A:$A,ROW()-8))</f>
      </c>
      <c r="D692" s="30">
        <f>IF($A692="",0,INDEX(Transactions!$H:$H,ROW()-8))</f>
      </c>
      <c r="E692">
        <f>IF($A692="",1,INDEX(Transactions!$N:$N,ROW()-8))</f>
        <v>1</v>
      </c>
      <c r="F692" s="30">
        <f>IF($A692="",0,INDEX(Transactions!$O:$O,ROW()-8))</f>
      </c>
      <c r="G692" s="30">
        <f>IF($A692="",0,INDEX(Transactions!$P:$P,ROW()-8))</f>
      </c>
    </row>
    <row r="693" spans="1:7" ht="15" customHeight="1" x14ac:dyDescent="0.15">
      <c r="A693">
        <f>IF(INDEX(Transactions!$J:$J,ROW()-8)="","",INDEX(Transactions!$J:$J,ROW()-8))</f>
      </c>
      <c r="B693" s="297">
        <f>IF($A693="",TODAY(),INDEX(Transactions!$G:$G,ROW()-8))</f>
      </c>
      <c r="C693">
        <f>IF($A693="","",INDEX(Transactions!$A:$A,ROW()-8))</f>
      </c>
      <c r="D693" s="30">
        <f>IF($A693="",0,INDEX(Transactions!$H:$H,ROW()-8))</f>
      </c>
      <c r="E693">
        <f>IF($A693="",1,INDEX(Transactions!$N:$N,ROW()-8))</f>
        <v>1</v>
      </c>
      <c r="F693" s="30">
        <f>IF($A693="",0,INDEX(Transactions!$O:$O,ROW()-8))</f>
      </c>
      <c r="G693" s="30">
        <f>IF($A693="",0,INDEX(Transactions!$P:$P,ROW()-8))</f>
      </c>
    </row>
    <row r="694" spans="1:7" ht="15" customHeight="1" x14ac:dyDescent="0.15">
      <c r="A694">
        <f>IF(INDEX(Transactions!$J:$J,ROW()-8)="","",INDEX(Transactions!$J:$J,ROW()-8))</f>
      </c>
      <c r="B694" s="297">
        <f>IF($A694="",TODAY(),INDEX(Transactions!$G:$G,ROW()-8))</f>
      </c>
      <c r="C694">
        <f>IF($A694="","",INDEX(Transactions!$A:$A,ROW()-8))</f>
      </c>
      <c r="D694" s="30">
        <f>IF($A694="",0,INDEX(Transactions!$H:$H,ROW()-8))</f>
      </c>
      <c r="E694">
        <f>IF($A694="",1,INDEX(Transactions!$N:$N,ROW()-8))</f>
        <v>1</v>
      </c>
      <c r="F694" s="30">
        <f>IF($A694="",0,INDEX(Transactions!$O:$O,ROW()-8))</f>
      </c>
      <c r="G694" s="30">
        <f>IF($A694="",0,INDEX(Transactions!$P:$P,ROW()-8))</f>
      </c>
    </row>
    <row r="695" spans="1:7" ht="15" customHeight="1" x14ac:dyDescent="0.15">
      <c r="A695">
        <f>IF(INDEX(Transactions!$J:$J,ROW()-8)="","",INDEX(Transactions!$J:$J,ROW()-8))</f>
      </c>
      <c r="B695" s="297">
        <f>IF($A695="",TODAY(),INDEX(Transactions!$G:$G,ROW()-8))</f>
      </c>
      <c r="C695">
        <f>IF($A695="","",INDEX(Transactions!$A:$A,ROW()-8))</f>
      </c>
      <c r="D695" s="30">
        <f>IF($A695="",0,INDEX(Transactions!$H:$H,ROW()-8))</f>
      </c>
      <c r="E695">
        <f>IF($A695="",1,INDEX(Transactions!$N:$N,ROW()-8))</f>
        <v>1</v>
      </c>
      <c r="F695" s="30">
        <f>IF($A695="",0,INDEX(Transactions!$O:$O,ROW()-8))</f>
      </c>
      <c r="G695" s="30">
        <f>IF($A695="",0,INDEX(Transactions!$P:$P,ROW()-8))</f>
      </c>
    </row>
    <row r="696" spans="1:7" ht="15" customHeight="1" x14ac:dyDescent="0.15">
      <c r="A696">
        <f>IF(INDEX(Transactions!$J:$J,ROW()-8)="","",INDEX(Transactions!$J:$J,ROW()-8))</f>
      </c>
      <c r="B696" s="297">
        <f>IF($A696="",TODAY(),INDEX(Transactions!$G:$G,ROW()-8))</f>
      </c>
      <c r="C696">
        <f>IF($A696="","",INDEX(Transactions!$A:$A,ROW()-8))</f>
      </c>
      <c r="D696" s="30">
        <f>IF($A696="",0,INDEX(Transactions!$H:$H,ROW()-8))</f>
      </c>
      <c r="E696">
        <f>IF($A696="",1,INDEX(Transactions!$N:$N,ROW()-8))</f>
        <v>1</v>
      </c>
      <c r="F696" s="30">
        <f>IF($A696="",0,INDEX(Transactions!$O:$O,ROW()-8))</f>
      </c>
      <c r="G696" s="30">
        <f>IF($A696="",0,INDEX(Transactions!$P:$P,ROW()-8))</f>
      </c>
    </row>
    <row r="697" spans="1:7" ht="15" customHeight="1" x14ac:dyDescent="0.15">
      <c r="A697">
        <f>IF(INDEX(Transactions!$J:$J,ROW()-8)="","",INDEX(Transactions!$J:$J,ROW()-8))</f>
      </c>
      <c r="B697" s="297">
        <f>IF($A697="",TODAY(),INDEX(Transactions!$G:$G,ROW()-8))</f>
      </c>
      <c r="C697">
        <f>IF($A697="","",INDEX(Transactions!$A:$A,ROW()-8))</f>
      </c>
      <c r="D697" s="30">
        <f>IF($A697="",0,INDEX(Transactions!$H:$H,ROW()-8))</f>
      </c>
      <c r="E697">
        <f>IF($A697="",1,INDEX(Transactions!$N:$N,ROW()-8))</f>
        <v>1</v>
      </c>
      <c r="F697" s="30">
        <f>IF($A697="",0,INDEX(Transactions!$O:$O,ROW()-8))</f>
      </c>
      <c r="G697" s="30">
        <f>IF($A697="",0,INDEX(Transactions!$P:$P,ROW()-8))</f>
      </c>
    </row>
    <row r="698" spans="1:7" ht="15" customHeight="1" x14ac:dyDescent="0.15">
      <c r="A698">
        <f>IF(INDEX(Transactions!$J:$J,ROW()-8)="","",INDEX(Transactions!$J:$J,ROW()-8))</f>
      </c>
      <c r="B698" s="297">
        <f>IF($A698="",TODAY(),INDEX(Transactions!$G:$G,ROW()-8))</f>
      </c>
      <c r="C698">
        <f>IF($A698="","",INDEX(Transactions!$A:$A,ROW()-8))</f>
      </c>
      <c r="D698" s="30">
        <f>IF($A698="",0,INDEX(Transactions!$H:$H,ROW()-8))</f>
      </c>
      <c r="E698">
        <f>IF($A698="",1,INDEX(Transactions!$N:$N,ROW()-8))</f>
        <v>1</v>
      </c>
      <c r="F698" s="30">
        <f>IF($A698="",0,INDEX(Transactions!$O:$O,ROW()-8))</f>
      </c>
      <c r="G698" s="30">
        <f>IF($A698="",0,INDEX(Transactions!$P:$P,ROW()-8))</f>
      </c>
    </row>
    <row r="699" spans="1:7" ht="15" customHeight="1" x14ac:dyDescent="0.15">
      <c r="A699">
        <f>IF(INDEX(Transactions!$J:$J,ROW()-8)="","",INDEX(Transactions!$J:$J,ROW()-8))</f>
      </c>
      <c r="B699" s="297">
        <f>IF($A699="",TODAY(),INDEX(Transactions!$G:$G,ROW()-8))</f>
      </c>
      <c r="C699">
        <f>IF($A699="","",INDEX(Transactions!$A:$A,ROW()-8))</f>
      </c>
      <c r="D699" s="30">
        <f>IF($A699="",0,INDEX(Transactions!$H:$H,ROW()-8))</f>
      </c>
      <c r="E699">
        <f>IF($A699="",1,INDEX(Transactions!$N:$N,ROW()-8))</f>
        <v>1</v>
      </c>
      <c r="F699" s="30">
        <f>IF($A699="",0,INDEX(Transactions!$O:$O,ROW()-8))</f>
      </c>
      <c r="G699" s="30">
        <f>IF($A699="",0,INDEX(Transactions!$P:$P,ROW()-8))</f>
      </c>
    </row>
    <row r="700" spans="1:7" ht="15" customHeight="1" x14ac:dyDescent="0.15">
      <c r="A700">
        <f>IF(INDEX(Transactions!$J:$J,ROW()-8)="","",INDEX(Transactions!$J:$J,ROW()-8))</f>
      </c>
      <c r="B700" s="297">
        <f>IF($A700="",TODAY(),INDEX(Transactions!$G:$G,ROW()-8))</f>
      </c>
      <c r="C700">
        <f>IF($A700="","",INDEX(Transactions!$A:$A,ROW()-8))</f>
      </c>
      <c r="D700" s="30">
        <f>IF($A700="",0,INDEX(Transactions!$H:$H,ROW()-8))</f>
      </c>
      <c r="E700">
        <f>IF($A700="",1,INDEX(Transactions!$N:$N,ROW()-8))</f>
        <v>1</v>
      </c>
      <c r="F700" s="30">
        <f>IF($A700="",0,INDEX(Transactions!$O:$O,ROW()-8))</f>
      </c>
      <c r="G700" s="30">
        <f>IF($A700="",0,INDEX(Transactions!$P:$P,ROW()-8))</f>
      </c>
    </row>
    <row r="701" spans="1:7" ht="15" customHeight="1" x14ac:dyDescent="0.15">
      <c r="A701">
        <f>IF(INDEX(Transactions!$J:$J,ROW()-8)="","",INDEX(Transactions!$J:$J,ROW()-8))</f>
      </c>
      <c r="B701" s="297">
        <f>IF($A701="",TODAY(),INDEX(Transactions!$G:$G,ROW()-8))</f>
      </c>
      <c r="C701">
        <f>IF($A701="","",INDEX(Transactions!$A:$A,ROW()-8))</f>
      </c>
      <c r="D701" s="30">
        <f>IF($A701="",0,INDEX(Transactions!$H:$H,ROW()-8))</f>
      </c>
      <c r="E701">
        <f>IF($A701="",1,INDEX(Transactions!$N:$N,ROW()-8))</f>
        <v>1</v>
      </c>
      <c r="F701" s="30">
        <f>IF($A701="",0,INDEX(Transactions!$O:$O,ROW()-8))</f>
      </c>
      <c r="G701" s="30">
        <f>IF($A701="",0,INDEX(Transactions!$P:$P,ROW()-8))</f>
      </c>
    </row>
    <row r="702" spans="1:7" ht="15" customHeight="1" x14ac:dyDescent="0.15">
      <c r="A702">
        <f>IF(INDEX(Transactions!$J:$J,ROW()-8)="","",INDEX(Transactions!$J:$J,ROW()-8))</f>
      </c>
      <c r="B702" s="297">
        <f>IF($A702="",TODAY(),INDEX(Transactions!$G:$G,ROW()-8))</f>
      </c>
      <c r="C702">
        <f>IF($A702="","",INDEX(Transactions!$A:$A,ROW()-8))</f>
      </c>
      <c r="D702" s="30">
        <f>IF($A702="",0,INDEX(Transactions!$H:$H,ROW()-8))</f>
      </c>
      <c r="E702">
        <f>IF($A702="",1,INDEX(Transactions!$N:$N,ROW()-8))</f>
        <v>1</v>
      </c>
      <c r="F702" s="30">
        <f>IF($A702="",0,INDEX(Transactions!$O:$O,ROW()-8))</f>
      </c>
      <c r="G702" s="30">
        <f>IF($A702="",0,INDEX(Transactions!$P:$P,ROW()-8))</f>
      </c>
    </row>
    <row r="703" spans="1:7" ht="15" customHeight="1" x14ac:dyDescent="0.15">
      <c r="A703">
        <f>IF(INDEX(Transactions!$J:$J,ROW()-8)="","",INDEX(Transactions!$J:$J,ROW()-8))</f>
      </c>
      <c r="B703" s="297">
        <f>IF($A703="",TODAY(),INDEX(Transactions!$G:$G,ROW()-8))</f>
      </c>
      <c r="C703">
        <f>IF($A703="","",INDEX(Transactions!$A:$A,ROW()-8))</f>
      </c>
      <c r="D703" s="30">
        <f>IF($A703="",0,INDEX(Transactions!$H:$H,ROW()-8))</f>
      </c>
      <c r="E703">
        <f>IF($A703="",1,INDEX(Transactions!$N:$N,ROW()-8))</f>
        <v>1</v>
      </c>
      <c r="F703" s="30">
        <f>IF($A703="",0,INDEX(Transactions!$O:$O,ROW()-8))</f>
      </c>
      <c r="G703" s="30">
        <f>IF($A703="",0,INDEX(Transactions!$P:$P,ROW()-8))</f>
      </c>
    </row>
    <row r="704" spans="1:7" ht="15" customHeight="1" x14ac:dyDescent="0.15">
      <c r="A704">
        <f>IF(INDEX(Transactions!$J:$J,ROW()-8)="","",INDEX(Transactions!$J:$J,ROW()-8))</f>
      </c>
      <c r="B704" s="297">
        <f>IF($A704="",TODAY(),INDEX(Transactions!$G:$G,ROW()-8))</f>
      </c>
      <c r="C704">
        <f>IF($A704="","",INDEX(Transactions!$A:$A,ROW()-8))</f>
      </c>
      <c r="D704" s="30">
        <f>IF($A704="",0,INDEX(Transactions!$H:$H,ROW()-8))</f>
      </c>
      <c r="E704">
        <f>IF($A704="",1,INDEX(Transactions!$N:$N,ROW()-8))</f>
        <v>1</v>
      </c>
      <c r="F704" s="30">
        <f>IF($A704="",0,INDEX(Transactions!$O:$O,ROW()-8))</f>
      </c>
      <c r="G704" s="30">
        <f>IF($A704="",0,INDEX(Transactions!$P:$P,ROW()-8))</f>
      </c>
    </row>
    <row r="705" spans="1:7" ht="15" customHeight="1" x14ac:dyDescent="0.15">
      <c r="A705">
        <f>IF(INDEX(Transactions!$J:$J,ROW()-8)="","",INDEX(Transactions!$J:$J,ROW()-8))</f>
      </c>
      <c r="B705" s="297">
        <f>IF($A705="",TODAY(),INDEX(Transactions!$G:$G,ROW()-8))</f>
      </c>
      <c r="C705">
        <f>IF($A705="","",INDEX(Transactions!$A:$A,ROW()-8))</f>
      </c>
      <c r="D705" s="30">
        <f>IF($A705="",0,INDEX(Transactions!$H:$H,ROW()-8))</f>
      </c>
      <c r="E705">
        <f>IF($A705="",1,INDEX(Transactions!$N:$N,ROW()-8))</f>
        <v>1</v>
      </c>
      <c r="F705" s="30">
        <f>IF($A705="",0,INDEX(Transactions!$O:$O,ROW()-8))</f>
      </c>
      <c r="G705" s="30">
        <f>IF($A705="",0,INDEX(Transactions!$P:$P,ROW()-8))</f>
      </c>
    </row>
    <row r="706" spans="1:7" ht="15" customHeight="1" x14ac:dyDescent="0.15">
      <c r="A706">
        <f>IF(INDEX(Transactions!$J:$J,ROW()-8)="","",INDEX(Transactions!$J:$J,ROW()-8))</f>
      </c>
      <c r="B706" s="297">
        <f>IF($A706="",TODAY(),INDEX(Transactions!$G:$G,ROW()-8))</f>
      </c>
      <c r="C706">
        <f>IF($A706="","",INDEX(Transactions!$A:$A,ROW()-8))</f>
      </c>
      <c r="D706" s="30">
        <f>IF($A706="",0,INDEX(Transactions!$H:$H,ROW()-8))</f>
      </c>
      <c r="E706">
        <f>IF($A706="",1,INDEX(Transactions!$N:$N,ROW()-8))</f>
        <v>1</v>
      </c>
      <c r="F706" s="30">
        <f>IF($A706="",0,INDEX(Transactions!$O:$O,ROW()-8))</f>
      </c>
      <c r="G706" s="30">
        <f>IF($A706="",0,INDEX(Transactions!$P:$P,ROW()-8))</f>
      </c>
    </row>
    <row r="707" spans="1:7" ht="15" customHeight="1" x14ac:dyDescent="0.15">
      <c r="A707">
        <f>IF(INDEX(Transactions!$J:$J,ROW()-8)="","",INDEX(Transactions!$J:$J,ROW()-8))</f>
      </c>
      <c r="B707" s="297">
        <f>IF($A707="",TODAY(),INDEX(Transactions!$G:$G,ROW()-8))</f>
      </c>
      <c r="C707">
        <f>IF($A707="","",INDEX(Transactions!$A:$A,ROW()-8))</f>
      </c>
      <c r="D707" s="30">
        <f>IF($A707="",0,INDEX(Transactions!$H:$H,ROW()-8))</f>
      </c>
      <c r="E707">
        <f>IF($A707="",1,INDEX(Transactions!$N:$N,ROW()-8))</f>
        <v>1</v>
      </c>
      <c r="F707" s="30">
        <f>IF($A707="",0,INDEX(Transactions!$O:$O,ROW()-8))</f>
      </c>
      <c r="G707" s="30">
        <f>IF($A707="",0,INDEX(Transactions!$P:$P,ROW()-8))</f>
      </c>
    </row>
    <row r="708" spans="1:7" ht="15" customHeight="1" x14ac:dyDescent="0.15">
      <c r="A708">
        <f>IF(INDEX(Transactions!$J:$J,ROW()-8)="","",INDEX(Transactions!$J:$J,ROW()-8))</f>
      </c>
      <c r="B708" s="297">
        <f>IF($A708="",TODAY(),INDEX(Transactions!$G:$G,ROW()-8))</f>
      </c>
      <c r="C708">
        <f>IF($A708="","",INDEX(Transactions!$A:$A,ROW()-8))</f>
      </c>
      <c r="D708" s="30">
        <f>IF($A708="",0,INDEX(Transactions!$H:$H,ROW()-8))</f>
      </c>
      <c r="E708">
        <f>IF($A708="",1,INDEX(Transactions!$N:$N,ROW()-8))</f>
        <v>1</v>
      </c>
      <c r="F708" s="30">
        <f>IF($A708="",0,INDEX(Transactions!$O:$O,ROW()-8))</f>
      </c>
      <c r="G708" s="30">
        <f>IF($A708="",0,INDEX(Transactions!$P:$P,ROW()-8))</f>
      </c>
    </row>
    <row r="709" spans="1:7" ht="15" customHeight="1" x14ac:dyDescent="0.15">
      <c r="A709">
        <f>IF(INDEX(Transactions!$J:$J,ROW()-8)="","",INDEX(Transactions!$J:$J,ROW()-8))</f>
      </c>
      <c r="B709" s="297">
        <f>IF($A709="",TODAY(),INDEX(Transactions!$G:$G,ROW()-8))</f>
      </c>
      <c r="C709">
        <f>IF($A709="","",INDEX(Transactions!$A:$A,ROW()-8))</f>
      </c>
      <c r="D709" s="30">
        <f>IF($A709="",0,INDEX(Transactions!$H:$H,ROW()-8))</f>
      </c>
      <c r="E709">
        <f>IF($A709="",1,INDEX(Transactions!$N:$N,ROW()-8))</f>
        <v>1</v>
      </c>
      <c r="F709" s="30">
        <f>IF($A709="",0,INDEX(Transactions!$O:$O,ROW()-8))</f>
      </c>
      <c r="G709" s="30">
        <f>IF($A709="",0,INDEX(Transactions!$P:$P,ROW()-8))</f>
      </c>
    </row>
    <row r="710" spans="1:7" ht="15" customHeight="1" x14ac:dyDescent="0.15">
      <c r="A710">
        <f>IF(INDEX(Transactions!$J:$J,ROW()-8)="","",INDEX(Transactions!$J:$J,ROW()-8))</f>
      </c>
      <c r="B710" s="297">
        <f>IF($A710="",TODAY(),INDEX(Transactions!$G:$G,ROW()-8))</f>
      </c>
      <c r="C710">
        <f>IF($A710="","",INDEX(Transactions!$A:$A,ROW()-8))</f>
      </c>
      <c r="D710" s="30">
        <f>IF($A710="",0,INDEX(Transactions!$H:$H,ROW()-8))</f>
      </c>
      <c r="E710">
        <f>IF($A710="",1,INDEX(Transactions!$N:$N,ROW()-8))</f>
        <v>1</v>
      </c>
      <c r="F710" s="30">
        <f>IF($A710="",0,INDEX(Transactions!$O:$O,ROW()-8))</f>
      </c>
      <c r="G710" s="30">
        <f>IF($A710="",0,INDEX(Transactions!$P:$P,ROW()-8))</f>
      </c>
    </row>
    <row r="711" spans="1:7" ht="15" customHeight="1" x14ac:dyDescent="0.15">
      <c r="A711">
        <f>IF(INDEX(Transactions!$J:$J,ROW()-8)="","",INDEX(Transactions!$J:$J,ROW()-8))</f>
      </c>
      <c r="B711" s="297">
        <f>IF($A711="",TODAY(),INDEX(Transactions!$G:$G,ROW()-8))</f>
      </c>
      <c r="C711">
        <f>IF($A711="","",INDEX(Transactions!$A:$A,ROW()-8))</f>
      </c>
      <c r="D711" s="30">
        <f>IF($A711="",0,INDEX(Transactions!$H:$H,ROW()-8))</f>
      </c>
      <c r="E711">
        <f>IF($A711="",1,INDEX(Transactions!$N:$N,ROW()-8))</f>
        <v>1</v>
      </c>
      <c r="F711" s="30">
        <f>IF($A711="",0,INDEX(Transactions!$O:$O,ROW()-8))</f>
      </c>
      <c r="G711" s="30">
        <f>IF($A711="",0,INDEX(Transactions!$P:$P,ROW()-8))</f>
      </c>
    </row>
    <row r="712" spans="1:7" ht="15" customHeight="1" x14ac:dyDescent="0.15">
      <c r="A712">
        <f>IF(INDEX(Transactions!$J:$J,ROW()-8)="","",INDEX(Transactions!$J:$J,ROW()-8))</f>
      </c>
      <c r="B712" s="297">
        <f>IF($A712="",TODAY(),INDEX(Transactions!$G:$G,ROW()-8))</f>
      </c>
      <c r="C712">
        <f>IF($A712="","",INDEX(Transactions!$A:$A,ROW()-8))</f>
      </c>
      <c r="D712" s="30">
        <f>IF($A712="",0,INDEX(Transactions!$H:$H,ROW()-8))</f>
      </c>
      <c r="E712">
        <f>IF($A712="",1,INDEX(Transactions!$N:$N,ROW()-8))</f>
        <v>1</v>
      </c>
      <c r="F712" s="30">
        <f>IF($A712="",0,INDEX(Transactions!$O:$O,ROW()-8))</f>
      </c>
      <c r="G712" s="30">
        <f>IF($A712="",0,INDEX(Transactions!$P:$P,ROW()-8))</f>
      </c>
    </row>
    <row r="713" spans="1:7" ht="15" customHeight="1" x14ac:dyDescent="0.15">
      <c r="A713">
        <f>IF(INDEX(Transactions!$J:$J,ROW()-8)="","",INDEX(Transactions!$J:$J,ROW()-8))</f>
      </c>
      <c r="B713" s="297">
        <f>IF($A713="",TODAY(),INDEX(Transactions!$G:$G,ROW()-8))</f>
      </c>
      <c r="C713">
        <f>IF($A713="","",INDEX(Transactions!$A:$A,ROW()-8))</f>
      </c>
      <c r="D713" s="30">
        <f>IF($A713="",0,INDEX(Transactions!$H:$H,ROW()-8))</f>
      </c>
      <c r="E713">
        <f>IF($A713="",1,INDEX(Transactions!$N:$N,ROW()-8))</f>
        <v>1</v>
      </c>
      <c r="F713" s="30">
        <f>IF($A713="",0,INDEX(Transactions!$O:$O,ROW()-8))</f>
      </c>
      <c r="G713" s="30">
        <f>IF($A713="",0,INDEX(Transactions!$P:$P,ROW()-8))</f>
      </c>
    </row>
    <row r="714" spans="1:7" ht="15" customHeight="1" x14ac:dyDescent="0.15">
      <c r="A714">
        <f>IF(INDEX(Transactions!$J:$J,ROW()-8)="","",INDEX(Transactions!$J:$J,ROW()-8))</f>
      </c>
      <c r="B714" s="297">
        <f>IF($A714="",TODAY(),INDEX(Transactions!$G:$G,ROW()-8))</f>
      </c>
      <c r="C714">
        <f>IF($A714="","",INDEX(Transactions!$A:$A,ROW()-8))</f>
      </c>
      <c r="D714" s="30">
        <f>IF($A714="",0,INDEX(Transactions!$H:$H,ROW()-8))</f>
      </c>
      <c r="E714">
        <f>IF($A714="",1,INDEX(Transactions!$N:$N,ROW()-8))</f>
        <v>1</v>
      </c>
      <c r="F714" s="30">
        <f>IF($A714="",0,INDEX(Transactions!$O:$O,ROW()-8))</f>
      </c>
      <c r="G714" s="30">
        <f>IF($A714="",0,INDEX(Transactions!$P:$P,ROW()-8))</f>
      </c>
    </row>
    <row r="715" spans="1:7" ht="15" customHeight="1" x14ac:dyDescent="0.15">
      <c r="A715">
        <f>IF(INDEX(Transactions!$J:$J,ROW()-8)="","",INDEX(Transactions!$J:$J,ROW()-8))</f>
      </c>
      <c r="B715" s="297">
        <f>IF($A715="",TODAY(),INDEX(Transactions!$G:$G,ROW()-8))</f>
      </c>
      <c r="C715">
        <f>IF($A715="","",INDEX(Transactions!$A:$A,ROW()-8))</f>
      </c>
      <c r="D715" s="30">
        <f>IF($A715="",0,INDEX(Transactions!$H:$H,ROW()-8))</f>
      </c>
      <c r="E715">
        <f>IF($A715="",1,INDEX(Transactions!$N:$N,ROW()-8))</f>
        <v>1</v>
      </c>
      <c r="F715" s="30">
        <f>IF($A715="",0,INDEX(Transactions!$O:$O,ROW()-8))</f>
      </c>
      <c r="G715" s="30">
        <f>IF($A715="",0,INDEX(Transactions!$P:$P,ROW()-8))</f>
      </c>
    </row>
    <row r="716" spans="1:7" ht="15" customHeight="1" x14ac:dyDescent="0.15">
      <c r="A716">
        <f>IF(INDEX(Transactions!$J:$J,ROW()-8)="","",INDEX(Transactions!$J:$J,ROW()-8))</f>
      </c>
      <c r="B716" s="297">
        <f>IF($A716="",TODAY(),INDEX(Transactions!$G:$G,ROW()-8))</f>
      </c>
      <c r="C716">
        <f>IF($A716="","",INDEX(Transactions!$A:$A,ROW()-8))</f>
      </c>
      <c r="D716" s="30">
        <f>IF($A716="",0,INDEX(Transactions!$H:$H,ROW()-8))</f>
      </c>
      <c r="E716">
        <f>IF($A716="",1,INDEX(Transactions!$N:$N,ROW()-8))</f>
        <v>1</v>
      </c>
      <c r="F716" s="30">
        <f>IF($A716="",0,INDEX(Transactions!$O:$O,ROW()-8))</f>
      </c>
      <c r="G716" s="30">
        <f>IF($A716="",0,INDEX(Transactions!$P:$P,ROW()-8))</f>
      </c>
    </row>
    <row r="717" spans="1:7" ht="15" customHeight="1" x14ac:dyDescent="0.15">
      <c r="A717">
        <f>IF(INDEX(Transactions!$J:$J,ROW()-8)="","",INDEX(Transactions!$J:$J,ROW()-8))</f>
      </c>
      <c r="B717" s="297">
        <f>IF($A717="",TODAY(),INDEX(Transactions!$G:$G,ROW()-8))</f>
      </c>
      <c r="C717">
        <f>IF($A717="","",INDEX(Transactions!$A:$A,ROW()-8))</f>
      </c>
      <c r="D717" s="30">
        <f>IF($A717="",0,INDEX(Transactions!$H:$H,ROW()-8))</f>
      </c>
      <c r="E717">
        <f>IF($A717="",1,INDEX(Transactions!$N:$N,ROW()-8))</f>
        <v>1</v>
      </c>
      <c r="F717" s="30">
        <f>IF($A717="",0,INDEX(Transactions!$O:$O,ROW()-8))</f>
      </c>
      <c r="G717" s="30">
        <f>IF($A717="",0,INDEX(Transactions!$P:$P,ROW()-8))</f>
      </c>
    </row>
    <row r="718" spans="1:7" ht="15" customHeight="1" x14ac:dyDescent="0.15">
      <c r="A718">
        <f>IF(INDEX(Transactions!$J:$J,ROW()-8)="","",INDEX(Transactions!$J:$J,ROW()-8))</f>
      </c>
      <c r="B718" s="297">
        <f>IF($A718="",TODAY(),INDEX(Transactions!$G:$G,ROW()-8))</f>
      </c>
      <c r="C718">
        <f>IF($A718="","",INDEX(Transactions!$A:$A,ROW()-8))</f>
      </c>
      <c r="D718" s="30">
        <f>IF($A718="",0,INDEX(Transactions!$H:$H,ROW()-8))</f>
      </c>
      <c r="E718">
        <f>IF($A718="",1,INDEX(Transactions!$N:$N,ROW()-8))</f>
        <v>1</v>
      </c>
      <c r="F718" s="30">
        <f>IF($A718="",0,INDEX(Transactions!$O:$O,ROW()-8))</f>
      </c>
      <c r="G718" s="30">
        <f>IF($A718="",0,INDEX(Transactions!$P:$P,ROW()-8))</f>
      </c>
    </row>
    <row r="719" spans="1:7" ht="15" customHeight="1" x14ac:dyDescent="0.15">
      <c r="A719">
        <f>IF(INDEX(Transactions!$J:$J,ROW()-8)="","",INDEX(Transactions!$J:$J,ROW()-8))</f>
      </c>
      <c r="B719" s="297">
        <f>IF($A719="",TODAY(),INDEX(Transactions!$G:$G,ROW()-8))</f>
      </c>
      <c r="C719">
        <f>IF($A719="","",INDEX(Transactions!$A:$A,ROW()-8))</f>
      </c>
      <c r="D719" s="30">
        <f>IF($A719="",0,INDEX(Transactions!$H:$H,ROW()-8))</f>
      </c>
      <c r="E719">
        <f>IF($A719="",1,INDEX(Transactions!$N:$N,ROW()-8))</f>
        <v>1</v>
      </c>
      <c r="F719" s="30">
        <f>IF($A719="",0,INDEX(Transactions!$O:$O,ROW()-8))</f>
      </c>
      <c r="G719" s="30">
        <f>IF($A719="",0,INDEX(Transactions!$P:$P,ROW()-8))</f>
      </c>
    </row>
    <row r="720" spans="1:7" ht="15" customHeight="1" x14ac:dyDescent="0.15">
      <c r="A720">
        <f>IF(INDEX(Transactions!$J:$J,ROW()-8)="","",INDEX(Transactions!$J:$J,ROW()-8))</f>
      </c>
      <c r="B720" s="297">
        <f>IF($A720="",TODAY(),INDEX(Transactions!$G:$G,ROW()-8))</f>
      </c>
      <c r="C720">
        <f>IF($A720="","",INDEX(Transactions!$A:$A,ROW()-8))</f>
      </c>
      <c r="D720" s="30">
        <f>IF($A720="",0,INDEX(Transactions!$H:$H,ROW()-8))</f>
      </c>
      <c r="E720">
        <f>IF($A720="",1,INDEX(Transactions!$N:$N,ROW()-8))</f>
        <v>1</v>
      </c>
      <c r="F720" s="30">
        <f>IF($A720="",0,INDEX(Transactions!$O:$O,ROW()-8))</f>
      </c>
      <c r="G720" s="30">
        <f>IF($A720="",0,INDEX(Transactions!$P:$P,ROW()-8))</f>
      </c>
    </row>
    <row r="721" spans="1:7" ht="15" customHeight="1" x14ac:dyDescent="0.15">
      <c r="A721">
        <f>IF(INDEX(Transactions!$J:$J,ROW()-8)="","",INDEX(Transactions!$J:$J,ROW()-8))</f>
      </c>
      <c r="B721" s="297">
        <f>IF($A721="",TODAY(),INDEX(Transactions!$G:$G,ROW()-8))</f>
      </c>
      <c r="C721">
        <f>IF($A721="","",INDEX(Transactions!$A:$A,ROW()-8))</f>
      </c>
      <c r="D721" s="30">
        <f>IF($A721="",0,INDEX(Transactions!$H:$H,ROW()-8))</f>
      </c>
      <c r="E721">
        <f>IF($A721="",1,INDEX(Transactions!$N:$N,ROW()-8))</f>
        <v>1</v>
      </c>
      <c r="F721" s="30">
        <f>IF($A721="",0,INDEX(Transactions!$O:$O,ROW()-8))</f>
      </c>
      <c r="G721" s="30">
        <f>IF($A721="",0,INDEX(Transactions!$P:$P,ROW()-8))</f>
      </c>
    </row>
    <row r="722" spans="1:7" ht="15" customHeight="1" x14ac:dyDescent="0.15">
      <c r="A722">
        <f>IF(INDEX(Transactions!$J:$J,ROW()-8)="","",INDEX(Transactions!$J:$J,ROW()-8))</f>
      </c>
      <c r="B722" s="297">
        <f>IF($A722="",TODAY(),INDEX(Transactions!$G:$G,ROW()-8))</f>
      </c>
      <c r="C722">
        <f>IF($A722="","",INDEX(Transactions!$A:$A,ROW()-8))</f>
      </c>
      <c r="D722" s="30">
        <f>IF($A722="",0,INDEX(Transactions!$H:$H,ROW()-8))</f>
      </c>
      <c r="E722">
        <f>IF($A722="",1,INDEX(Transactions!$N:$N,ROW()-8))</f>
        <v>1</v>
      </c>
      <c r="F722" s="30">
        <f>IF($A722="",0,INDEX(Transactions!$O:$O,ROW()-8))</f>
      </c>
      <c r="G722" s="30">
        <f>IF($A722="",0,INDEX(Transactions!$P:$P,ROW()-8))</f>
      </c>
    </row>
    <row r="723" spans="1:7" ht="15" customHeight="1" x14ac:dyDescent="0.15">
      <c r="A723">
        <f>IF(INDEX(Transactions!$J:$J,ROW()-8)="","",INDEX(Transactions!$J:$J,ROW()-8))</f>
      </c>
      <c r="B723" s="297">
        <f>IF($A723="",TODAY(),INDEX(Transactions!$G:$G,ROW()-8))</f>
      </c>
      <c r="C723">
        <f>IF($A723="","",INDEX(Transactions!$A:$A,ROW()-8))</f>
      </c>
      <c r="D723" s="30">
        <f>IF($A723="",0,INDEX(Transactions!$H:$H,ROW()-8))</f>
      </c>
      <c r="E723">
        <f>IF($A723="",1,INDEX(Transactions!$N:$N,ROW()-8))</f>
        <v>1</v>
      </c>
      <c r="F723" s="30">
        <f>IF($A723="",0,INDEX(Transactions!$O:$O,ROW()-8))</f>
      </c>
      <c r="G723" s="30">
        <f>IF($A723="",0,INDEX(Transactions!$P:$P,ROW()-8))</f>
      </c>
    </row>
    <row r="724" spans="1:7" ht="15" customHeight="1" x14ac:dyDescent="0.15">
      <c r="A724">
        <f>IF(INDEX(Transactions!$J:$J,ROW()-8)="","",INDEX(Transactions!$J:$J,ROW()-8))</f>
      </c>
      <c r="B724" s="297">
        <f>IF($A724="",TODAY(),INDEX(Transactions!$G:$G,ROW()-8))</f>
      </c>
      <c r="C724">
        <f>IF($A724="","",INDEX(Transactions!$A:$A,ROW()-8))</f>
      </c>
      <c r="D724" s="30">
        <f>IF($A724="",0,INDEX(Transactions!$H:$H,ROW()-8))</f>
      </c>
      <c r="E724">
        <f>IF($A724="",1,INDEX(Transactions!$N:$N,ROW()-8))</f>
        <v>1</v>
      </c>
      <c r="F724" s="30">
        <f>IF($A724="",0,INDEX(Transactions!$O:$O,ROW()-8))</f>
      </c>
      <c r="G724" s="30">
        <f>IF($A724="",0,INDEX(Transactions!$P:$P,ROW()-8))</f>
      </c>
    </row>
    <row r="725" spans="1:7" ht="15" customHeight="1" x14ac:dyDescent="0.15">
      <c r="A725">
        <f>IF(INDEX(Transactions!$J:$J,ROW()-8)="","",INDEX(Transactions!$J:$J,ROW()-8))</f>
      </c>
      <c r="B725" s="297">
        <f>IF($A725="",TODAY(),INDEX(Transactions!$G:$G,ROW()-8))</f>
      </c>
      <c r="C725">
        <f>IF($A725="","",INDEX(Transactions!$A:$A,ROW()-8))</f>
      </c>
      <c r="D725" s="30">
        <f>IF($A725="",0,INDEX(Transactions!$H:$H,ROW()-8))</f>
      </c>
      <c r="E725">
        <f>IF($A725="",1,INDEX(Transactions!$N:$N,ROW()-8))</f>
        <v>1</v>
      </c>
      <c r="F725" s="30">
        <f>IF($A725="",0,INDEX(Transactions!$O:$O,ROW()-8))</f>
      </c>
      <c r="G725" s="30">
        <f>IF($A725="",0,INDEX(Transactions!$P:$P,ROW()-8))</f>
      </c>
    </row>
    <row r="726" spans="1:7" ht="15" customHeight="1" x14ac:dyDescent="0.15">
      <c r="A726">
        <f>IF(INDEX(Transactions!$J:$J,ROW()-8)="","",INDEX(Transactions!$J:$J,ROW()-8))</f>
      </c>
      <c r="B726" s="297">
        <f>IF($A726="",TODAY(),INDEX(Transactions!$G:$G,ROW()-8))</f>
      </c>
      <c r="C726">
        <f>IF($A726="","",INDEX(Transactions!$A:$A,ROW()-8))</f>
      </c>
      <c r="D726" s="30">
        <f>IF($A726="",0,INDEX(Transactions!$H:$H,ROW()-8))</f>
      </c>
      <c r="E726">
        <f>IF($A726="",1,INDEX(Transactions!$N:$N,ROW()-8))</f>
        <v>1</v>
      </c>
      <c r="F726" s="30">
        <f>IF($A726="",0,INDEX(Transactions!$O:$O,ROW()-8))</f>
      </c>
      <c r="G726" s="30">
        <f>IF($A726="",0,INDEX(Transactions!$P:$P,ROW()-8))</f>
      </c>
    </row>
    <row r="727" spans="1:7" ht="15" customHeight="1" x14ac:dyDescent="0.15">
      <c r="A727">
        <f>IF(INDEX(Transactions!$J:$J,ROW()-8)="","",INDEX(Transactions!$J:$J,ROW()-8))</f>
      </c>
      <c r="B727" s="297">
        <f>IF($A727="",TODAY(),INDEX(Transactions!$G:$G,ROW()-8))</f>
      </c>
      <c r="C727">
        <f>IF($A727="","",INDEX(Transactions!$A:$A,ROW()-8))</f>
      </c>
      <c r="D727" s="30">
        <f>IF($A727="",0,INDEX(Transactions!$H:$H,ROW()-8))</f>
      </c>
      <c r="E727">
        <f>IF($A727="",1,INDEX(Transactions!$N:$N,ROW()-8))</f>
        <v>1</v>
      </c>
      <c r="F727" s="30">
        <f>IF($A727="",0,INDEX(Transactions!$O:$O,ROW()-8))</f>
      </c>
      <c r="G727" s="30">
        <f>IF($A727="",0,INDEX(Transactions!$P:$P,ROW()-8))</f>
      </c>
    </row>
    <row r="728" spans="1:7" ht="15" customHeight="1" x14ac:dyDescent="0.15">
      <c r="A728">
        <f>IF(INDEX(Transactions!$J:$J,ROW()-8)="","",INDEX(Transactions!$J:$J,ROW()-8))</f>
      </c>
      <c r="B728" s="297">
        <f>IF($A728="",TODAY(),INDEX(Transactions!$G:$G,ROW()-8))</f>
      </c>
      <c r="C728">
        <f>IF($A728="","",INDEX(Transactions!$A:$A,ROW()-8))</f>
      </c>
      <c r="D728" s="30">
        <f>IF($A728="",0,INDEX(Transactions!$H:$H,ROW()-8))</f>
      </c>
      <c r="E728">
        <f>IF($A728="",1,INDEX(Transactions!$N:$N,ROW()-8))</f>
        <v>1</v>
      </c>
      <c r="F728" s="30">
        <f>IF($A728="",0,INDEX(Transactions!$O:$O,ROW()-8))</f>
      </c>
      <c r="G728" s="30">
        <f>IF($A728="",0,INDEX(Transactions!$P:$P,ROW()-8))</f>
      </c>
    </row>
    <row r="729" spans="1:7" ht="15" customHeight="1" x14ac:dyDescent="0.15">
      <c r="A729">
        <f>IF(INDEX(Transactions!$J:$J,ROW()-8)="","",INDEX(Transactions!$J:$J,ROW()-8))</f>
      </c>
      <c r="B729" s="297">
        <f>IF($A729="",TODAY(),INDEX(Transactions!$G:$G,ROW()-8))</f>
      </c>
      <c r="C729">
        <f>IF($A729="","",INDEX(Transactions!$A:$A,ROW()-8))</f>
      </c>
      <c r="D729" s="30">
        <f>IF($A729="",0,INDEX(Transactions!$H:$H,ROW()-8))</f>
      </c>
      <c r="E729">
        <f>IF($A729="",1,INDEX(Transactions!$N:$N,ROW()-8))</f>
        <v>1</v>
      </c>
      <c r="F729" s="30">
        <f>IF($A729="",0,INDEX(Transactions!$O:$O,ROW()-8))</f>
      </c>
      <c r="G729" s="30">
        <f>IF($A729="",0,INDEX(Transactions!$P:$P,ROW()-8))</f>
      </c>
    </row>
    <row r="730" spans="1:7" ht="15" customHeight="1" x14ac:dyDescent="0.15">
      <c r="A730">
        <f>IF(INDEX(Transactions!$J:$J,ROW()-8)="","",INDEX(Transactions!$J:$J,ROW()-8))</f>
      </c>
      <c r="B730" s="297">
        <f>IF($A730="",TODAY(),INDEX(Transactions!$G:$G,ROW()-8))</f>
      </c>
      <c r="C730">
        <f>IF($A730="","",INDEX(Transactions!$A:$A,ROW()-8))</f>
      </c>
      <c r="D730" s="30">
        <f>IF($A730="",0,INDEX(Transactions!$H:$H,ROW()-8))</f>
      </c>
      <c r="E730">
        <f>IF($A730="",1,INDEX(Transactions!$N:$N,ROW()-8))</f>
        <v>1</v>
      </c>
      <c r="F730" s="30">
        <f>IF($A730="",0,INDEX(Transactions!$O:$O,ROW()-8))</f>
      </c>
      <c r="G730" s="30">
        <f>IF($A730="",0,INDEX(Transactions!$P:$P,ROW()-8))</f>
      </c>
    </row>
    <row r="731" spans="1:7" ht="15" customHeight="1" x14ac:dyDescent="0.15">
      <c r="A731">
        <f>IF(INDEX(Transactions!$J:$J,ROW()-8)="","",INDEX(Transactions!$J:$J,ROW()-8))</f>
      </c>
      <c r="B731" s="297">
        <f>IF($A731="",TODAY(),INDEX(Transactions!$G:$G,ROW()-8))</f>
      </c>
      <c r="C731">
        <f>IF($A731="","",INDEX(Transactions!$A:$A,ROW()-8))</f>
      </c>
      <c r="D731" s="30">
        <f>IF($A731="",0,INDEX(Transactions!$H:$H,ROW()-8))</f>
      </c>
      <c r="E731">
        <f>IF($A731="",1,INDEX(Transactions!$N:$N,ROW()-8))</f>
        <v>1</v>
      </c>
      <c r="F731" s="30">
        <f>IF($A731="",0,INDEX(Transactions!$O:$O,ROW()-8))</f>
      </c>
      <c r="G731" s="30">
        <f>IF($A731="",0,INDEX(Transactions!$P:$P,ROW()-8))</f>
      </c>
    </row>
    <row r="732" spans="1:7" ht="15" customHeight="1" x14ac:dyDescent="0.15">
      <c r="A732">
        <f>IF(INDEX(Transactions!$J:$J,ROW()-8)="","",INDEX(Transactions!$J:$J,ROW()-8))</f>
      </c>
      <c r="B732" s="297">
        <f>IF($A732="",TODAY(),INDEX(Transactions!$G:$G,ROW()-8))</f>
      </c>
      <c r="C732">
        <f>IF($A732="","",INDEX(Transactions!$A:$A,ROW()-8))</f>
      </c>
      <c r="D732" s="30">
        <f>IF($A732="",0,INDEX(Transactions!$H:$H,ROW()-8))</f>
      </c>
      <c r="E732">
        <f>IF($A732="",1,INDEX(Transactions!$N:$N,ROW()-8))</f>
        <v>1</v>
      </c>
      <c r="F732" s="30">
        <f>IF($A732="",0,INDEX(Transactions!$O:$O,ROW()-8))</f>
      </c>
      <c r="G732" s="30">
        <f>IF($A732="",0,INDEX(Transactions!$P:$P,ROW()-8))</f>
      </c>
    </row>
    <row r="733" spans="1:7" ht="15" customHeight="1" x14ac:dyDescent="0.15">
      <c r="A733">
        <f>IF(INDEX(Transactions!$J:$J,ROW()-8)="","",INDEX(Transactions!$J:$J,ROW()-8))</f>
      </c>
      <c r="B733" s="297">
        <f>IF($A733="",TODAY(),INDEX(Transactions!$G:$G,ROW()-8))</f>
      </c>
      <c r="C733">
        <f>IF($A733="","",INDEX(Transactions!$A:$A,ROW()-8))</f>
      </c>
      <c r="D733" s="30">
        <f>IF($A733="",0,INDEX(Transactions!$H:$H,ROW()-8))</f>
      </c>
      <c r="E733">
        <f>IF($A733="",1,INDEX(Transactions!$N:$N,ROW()-8))</f>
        <v>1</v>
      </c>
      <c r="F733" s="30">
        <f>IF($A733="",0,INDEX(Transactions!$O:$O,ROW()-8))</f>
      </c>
      <c r="G733" s="30">
        <f>IF($A733="",0,INDEX(Transactions!$P:$P,ROW()-8))</f>
      </c>
    </row>
    <row r="734" spans="1:7" ht="15" customHeight="1" x14ac:dyDescent="0.15">
      <c r="A734">
        <f>IF(INDEX(Transactions!$J:$J,ROW()-8)="","",INDEX(Transactions!$J:$J,ROW()-8))</f>
      </c>
      <c r="B734" s="297">
        <f>IF($A734="",TODAY(),INDEX(Transactions!$G:$G,ROW()-8))</f>
      </c>
      <c r="C734">
        <f>IF($A734="","",INDEX(Transactions!$A:$A,ROW()-8))</f>
      </c>
      <c r="D734" s="30">
        <f>IF($A734="",0,INDEX(Transactions!$H:$H,ROW()-8))</f>
      </c>
      <c r="E734">
        <f>IF($A734="",1,INDEX(Transactions!$N:$N,ROW()-8))</f>
        <v>1</v>
      </c>
      <c r="F734" s="30">
        <f>IF($A734="",0,INDEX(Transactions!$O:$O,ROW()-8))</f>
      </c>
      <c r="G734" s="30">
        <f>IF($A734="",0,INDEX(Transactions!$P:$P,ROW()-8))</f>
      </c>
    </row>
    <row r="735" spans="1:7" ht="15" customHeight="1" x14ac:dyDescent="0.15">
      <c r="A735">
        <f>IF(INDEX(Transactions!$J:$J,ROW()-8)="","",INDEX(Transactions!$J:$J,ROW()-8))</f>
      </c>
      <c r="B735" s="297">
        <f>IF($A735="",TODAY(),INDEX(Transactions!$G:$G,ROW()-8))</f>
      </c>
      <c r="C735">
        <f>IF($A735="","",INDEX(Transactions!$A:$A,ROW()-8))</f>
      </c>
      <c r="D735" s="30">
        <f>IF($A735="",0,INDEX(Transactions!$H:$H,ROW()-8))</f>
      </c>
      <c r="E735">
        <f>IF($A735="",1,INDEX(Transactions!$N:$N,ROW()-8))</f>
        <v>1</v>
      </c>
      <c r="F735" s="30">
        <f>IF($A735="",0,INDEX(Transactions!$O:$O,ROW()-8))</f>
      </c>
      <c r="G735" s="30">
        <f>IF($A735="",0,INDEX(Transactions!$P:$P,ROW()-8))</f>
      </c>
    </row>
    <row r="736" spans="1:7" ht="15" customHeight="1" x14ac:dyDescent="0.15">
      <c r="A736">
        <f>IF(INDEX(Transactions!$J:$J,ROW()-8)="","",INDEX(Transactions!$J:$J,ROW()-8))</f>
      </c>
      <c r="B736" s="297">
        <f>IF($A736="",TODAY(),INDEX(Transactions!$G:$G,ROW()-8))</f>
      </c>
      <c r="C736">
        <f>IF($A736="","",INDEX(Transactions!$A:$A,ROW()-8))</f>
      </c>
      <c r="D736" s="30">
        <f>IF($A736="",0,INDEX(Transactions!$H:$H,ROW()-8))</f>
      </c>
      <c r="E736">
        <f>IF($A736="",1,INDEX(Transactions!$N:$N,ROW()-8))</f>
        <v>1</v>
      </c>
      <c r="F736" s="30">
        <f>IF($A736="",0,INDEX(Transactions!$O:$O,ROW()-8))</f>
      </c>
      <c r="G736" s="30">
        <f>IF($A736="",0,INDEX(Transactions!$P:$P,ROW()-8))</f>
      </c>
    </row>
    <row r="737" spans="1:7" ht="15" customHeight="1" x14ac:dyDescent="0.15">
      <c r="A737">
        <f>IF(INDEX(Transactions!$J:$J,ROW()-8)="","",INDEX(Transactions!$J:$J,ROW()-8))</f>
      </c>
      <c r="B737" s="297">
        <f>IF($A737="",TODAY(),INDEX(Transactions!$G:$G,ROW()-8))</f>
      </c>
      <c r="C737">
        <f>IF($A737="","",INDEX(Transactions!$A:$A,ROW()-8))</f>
      </c>
      <c r="D737" s="30">
        <f>IF($A737="",0,INDEX(Transactions!$H:$H,ROW()-8))</f>
      </c>
      <c r="E737">
        <f>IF($A737="",1,INDEX(Transactions!$N:$N,ROW()-8))</f>
        <v>1</v>
      </c>
      <c r="F737" s="30">
        <f>IF($A737="",0,INDEX(Transactions!$O:$O,ROW()-8))</f>
      </c>
      <c r="G737" s="30">
        <f>IF($A737="",0,INDEX(Transactions!$P:$P,ROW()-8))</f>
      </c>
    </row>
    <row r="738" spans="1:7" ht="15" customHeight="1" x14ac:dyDescent="0.15">
      <c r="A738">
        <f>IF(INDEX(Transactions!$J:$J,ROW()-8)="","",INDEX(Transactions!$J:$J,ROW()-8))</f>
      </c>
      <c r="B738" s="297">
        <f>IF($A738="",TODAY(),INDEX(Transactions!$G:$G,ROW()-8))</f>
      </c>
      <c r="C738">
        <f>IF($A738="","",INDEX(Transactions!$A:$A,ROW()-8))</f>
      </c>
      <c r="D738" s="30">
        <f>IF($A738="",0,INDEX(Transactions!$H:$H,ROW()-8))</f>
      </c>
      <c r="E738">
        <f>IF($A738="",1,INDEX(Transactions!$N:$N,ROW()-8))</f>
        <v>1</v>
      </c>
      <c r="F738" s="30">
        <f>IF($A738="",0,INDEX(Transactions!$O:$O,ROW()-8))</f>
      </c>
      <c r="G738" s="30">
        <f>IF($A738="",0,INDEX(Transactions!$P:$P,ROW()-8))</f>
      </c>
    </row>
    <row r="739" spans="1:7" ht="15" customHeight="1" x14ac:dyDescent="0.15">
      <c r="A739">
        <f>IF(INDEX(Transactions!$J:$J,ROW()-8)="","",INDEX(Transactions!$J:$J,ROW()-8))</f>
      </c>
      <c r="B739" s="297">
        <f>IF($A739="",TODAY(),INDEX(Transactions!$G:$G,ROW()-8))</f>
      </c>
      <c r="C739">
        <f>IF($A739="","",INDEX(Transactions!$A:$A,ROW()-8))</f>
      </c>
      <c r="D739" s="30">
        <f>IF($A739="",0,INDEX(Transactions!$H:$H,ROW()-8))</f>
      </c>
      <c r="E739">
        <f>IF($A739="",1,INDEX(Transactions!$N:$N,ROW()-8))</f>
        <v>1</v>
      </c>
      <c r="F739" s="30">
        <f>IF($A739="",0,INDEX(Transactions!$O:$O,ROW()-8))</f>
      </c>
      <c r="G739" s="30">
        <f>IF($A739="",0,INDEX(Transactions!$P:$P,ROW()-8))</f>
      </c>
    </row>
    <row r="740" spans="1:7" ht="15" customHeight="1" x14ac:dyDescent="0.15">
      <c r="A740">
        <f>IF(INDEX(Transactions!$J:$J,ROW()-8)="","",INDEX(Transactions!$J:$J,ROW()-8))</f>
      </c>
      <c r="B740" s="297">
        <f>IF($A740="",TODAY(),INDEX(Transactions!$G:$G,ROW()-8))</f>
      </c>
      <c r="C740">
        <f>IF($A740="","",INDEX(Transactions!$A:$A,ROW()-8))</f>
      </c>
      <c r="D740" s="30">
        <f>IF($A740="",0,INDEX(Transactions!$H:$H,ROW()-8))</f>
      </c>
      <c r="E740">
        <f>IF($A740="",1,INDEX(Transactions!$N:$N,ROW()-8))</f>
        <v>1</v>
      </c>
      <c r="F740" s="30">
        <f>IF($A740="",0,INDEX(Transactions!$O:$O,ROW()-8))</f>
      </c>
      <c r="G740" s="30">
        <f>IF($A740="",0,INDEX(Transactions!$P:$P,ROW()-8))</f>
      </c>
    </row>
    <row r="741" spans="1:7" ht="15" customHeight="1" x14ac:dyDescent="0.15">
      <c r="A741">
        <f>IF(INDEX(Transactions!$J:$J,ROW()-8)="","",INDEX(Transactions!$J:$J,ROW()-8))</f>
      </c>
      <c r="B741" s="297">
        <f>IF($A741="",TODAY(),INDEX(Transactions!$G:$G,ROW()-8))</f>
      </c>
      <c r="C741">
        <f>IF($A741="","",INDEX(Transactions!$A:$A,ROW()-8))</f>
      </c>
      <c r="D741" s="30">
        <f>IF($A741="",0,INDEX(Transactions!$H:$H,ROW()-8))</f>
      </c>
      <c r="E741">
        <f>IF($A741="",1,INDEX(Transactions!$N:$N,ROW()-8))</f>
        <v>1</v>
      </c>
      <c r="F741" s="30">
        <f>IF($A741="",0,INDEX(Transactions!$O:$O,ROW()-8))</f>
      </c>
      <c r="G741" s="30">
        <f>IF($A741="",0,INDEX(Transactions!$P:$P,ROW()-8))</f>
      </c>
    </row>
    <row r="742" spans="1:7" ht="15" customHeight="1" x14ac:dyDescent="0.15">
      <c r="A742">
        <f>IF(INDEX(Transactions!$J:$J,ROW()-8)="","",INDEX(Transactions!$J:$J,ROW()-8))</f>
      </c>
      <c r="B742" s="297">
        <f>IF($A742="",TODAY(),INDEX(Transactions!$G:$G,ROW()-8))</f>
      </c>
      <c r="C742">
        <f>IF($A742="","",INDEX(Transactions!$A:$A,ROW()-8))</f>
      </c>
      <c r="D742" s="30">
        <f>IF($A742="",0,INDEX(Transactions!$H:$H,ROW()-8))</f>
      </c>
      <c r="E742">
        <f>IF($A742="",1,INDEX(Transactions!$N:$N,ROW()-8))</f>
        <v>1</v>
      </c>
      <c r="F742" s="30">
        <f>IF($A742="",0,INDEX(Transactions!$O:$O,ROW()-8))</f>
      </c>
      <c r="G742" s="30">
        <f>IF($A742="",0,INDEX(Transactions!$P:$P,ROW()-8))</f>
      </c>
    </row>
    <row r="743" spans="1:7" ht="15" customHeight="1" x14ac:dyDescent="0.15">
      <c r="A743">
        <f>IF(INDEX(Transactions!$J:$J,ROW()-8)="","",INDEX(Transactions!$J:$J,ROW()-8))</f>
      </c>
      <c r="B743" s="297">
        <f>IF($A743="",TODAY(),INDEX(Transactions!$G:$G,ROW()-8))</f>
      </c>
      <c r="C743">
        <f>IF($A743="","",INDEX(Transactions!$A:$A,ROW()-8))</f>
      </c>
      <c r="D743" s="30">
        <f>IF($A743="",0,INDEX(Transactions!$H:$H,ROW()-8))</f>
      </c>
      <c r="E743">
        <f>IF($A743="",1,INDEX(Transactions!$N:$N,ROW()-8))</f>
        <v>1</v>
      </c>
      <c r="F743" s="30">
        <f>IF($A743="",0,INDEX(Transactions!$O:$O,ROW()-8))</f>
      </c>
      <c r="G743" s="30">
        <f>IF($A743="",0,INDEX(Transactions!$P:$P,ROW()-8))</f>
      </c>
    </row>
    <row r="744" spans="1:7" ht="15" customHeight="1" x14ac:dyDescent="0.15">
      <c r="A744">
        <f>IF(INDEX(Transactions!$J:$J,ROW()-8)="","",INDEX(Transactions!$J:$J,ROW()-8))</f>
      </c>
      <c r="B744" s="297">
        <f>IF($A744="",TODAY(),INDEX(Transactions!$G:$G,ROW()-8))</f>
      </c>
      <c r="C744">
        <f>IF($A744="","",INDEX(Transactions!$A:$A,ROW()-8))</f>
      </c>
      <c r="D744" s="30">
        <f>IF($A744="",0,INDEX(Transactions!$H:$H,ROW()-8))</f>
      </c>
      <c r="E744">
        <f>IF($A744="",1,INDEX(Transactions!$N:$N,ROW()-8))</f>
        <v>1</v>
      </c>
      <c r="F744" s="30">
        <f>IF($A744="",0,INDEX(Transactions!$O:$O,ROW()-8))</f>
      </c>
      <c r="G744" s="30">
        <f>IF($A744="",0,INDEX(Transactions!$P:$P,ROW()-8))</f>
      </c>
    </row>
    <row r="745" spans="1:7" ht="15" customHeight="1" x14ac:dyDescent="0.15">
      <c r="A745">
        <f>IF(INDEX(Transactions!$J:$J,ROW()-8)="","",INDEX(Transactions!$J:$J,ROW()-8))</f>
      </c>
      <c r="B745" s="297">
        <f>IF($A745="",TODAY(),INDEX(Transactions!$G:$G,ROW()-8))</f>
      </c>
      <c r="C745">
        <f>IF($A745="","",INDEX(Transactions!$A:$A,ROW()-8))</f>
      </c>
      <c r="D745" s="30">
        <f>IF($A745="",0,INDEX(Transactions!$H:$H,ROW()-8))</f>
      </c>
      <c r="E745">
        <f>IF($A745="",1,INDEX(Transactions!$N:$N,ROW()-8))</f>
        <v>1</v>
      </c>
      <c r="F745" s="30">
        <f>IF($A745="",0,INDEX(Transactions!$O:$O,ROW()-8))</f>
      </c>
      <c r="G745" s="30">
        <f>IF($A745="",0,INDEX(Transactions!$P:$P,ROW()-8))</f>
      </c>
    </row>
    <row r="746" spans="1:7" ht="15" customHeight="1" x14ac:dyDescent="0.15">
      <c r="A746">
        <f>IF(INDEX(Transactions!$J:$J,ROW()-8)="","",INDEX(Transactions!$J:$J,ROW()-8))</f>
      </c>
      <c r="B746" s="297">
        <f>IF($A746="",TODAY(),INDEX(Transactions!$G:$G,ROW()-8))</f>
      </c>
      <c r="C746">
        <f>IF($A746="","",INDEX(Transactions!$A:$A,ROW()-8))</f>
      </c>
      <c r="D746" s="30">
        <f>IF($A746="",0,INDEX(Transactions!$H:$H,ROW()-8))</f>
      </c>
      <c r="E746">
        <f>IF($A746="",1,INDEX(Transactions!$N:$N,ROW()-8))</f>
        <v>1</v>
      </c>
      <c r="F746" s="30">
        <f>IF($A746="",0,INDEX(Transactions!$O:$O,ROW()-8))</f>
      </c>
      <c r="G746" s="30">
        <f>IF($A746="",0,INDEX(Transactions!$P:$P,ROW()-8))</f>
      </c>
    </row>
    <row r="747" spans="1:7" ht="15" customHeight="1" x14ac:dyDescent="0.15">
      <c r="A747">
        <f>IF(INDEX(Transactions!$J:$J,ROW()-8)="","",INDEX(Transactions!$J:$J,ROW()-8))</f>
      </c>
      <c r="B747" s="297">
        <f>IF($A747="",TODAY(),INDEX(Transactions!$G:$G,ROW()-8))</f>
      </c>
      <c r="C747">
        <f>IF($A747="","",INDEX(Transactions!$A:$A,ROW()-8))</f>
      </c>
      <c r="D747" s="30">
        <f>IF($A747="",0,INDEX(Transactions!$H:$H,ROW()-8))</f>
      </c>
      <c r="E747">
        <f>IF($A747="",1,INDEX(Transactions!$N:$N,ROW()-8))</f>
        <v>1</v>
      </c>
      <c r="F747" s="30">
        <f>IF($A747="",0,INDEX(Transactions!$O:$O,ROW()-8))</f>
      </c>
      <c r="G747" s="30">
        <f>IF($A747="",0,INDEX(Transactions!$P:$P,ROW()-8))</f>
      </c>
    </row>
    <row r="748" spans="1:7" ht="15" customHeight="1" x14ac:dyDescent="0.15">
      <c r="A748">
        <f>IF(INDEX(Transactions!$J:$J,ROW()-8)="","",INDEX(Transactions!$J:$J,ROW()-8))</f>
      </c>
      <c r="B748" s="297">
        <f>IF($A748="",TODAY(),INDEX(Transactions!$G:$G,ROW()-8))</f>
      </c>
      <c r="C748">
        <f>IF($A748="","",INDEX(Transactions!$A:$A,ROW()-8))</f>
      </c>
      <c r="D748" s="30">
        <f>IF($A748="",0,INDEX(Transactions!$H:$H,ROW()-8))</f>
      </c>
      <c r="E748">
        <f>IF($A748="",1,INDEX(Transactions!$N:$N,ROW()-8))</f>
        <v>1</v>
      </c>
      <c r="F748" s="30">
        <f>IF($A748="",0,INDEX(Transactions!$O:$O,ROW()-8))</f>
      </c>
      <c r="G748" s="30">
        <f>IF($A748="",0,INDEX(Transactions!$P:$P,ROW()-8))</f>
      </c>
    </row>
    <row r="749" spans="1:7" ht="15" customHeight="1" x14ac:dyDescent="0.15">
      <c r="A749">
        <f>IF(INDEX(Transactions!$J:$J,ROW()-8)="","",INDEX(Transactions!$J:$J,ROW()-8))</f>
      </c>
      <c r="B749" s="297">
        <f>IF($A749="",TODAY(),INDEX(Transactions!$G:$G,ROW()-8))</f>
      </c>
      <c r="C749">
        <f>IF($A749="","",INDEX(Transactions!$A:$A,ROW()-8))</f>
      </c>
      <c r="D749" s="30">
        <f>IF($A749="",0,INDEX(Transactions!$H:$H,ROW()-8))</f>
      </c>
      <c r="E749">
        <f>IF($A749="",1,INDEX(Transactions!$N:$N,ROW()-8))</f>
        <v>1</v>
      </c>
      <c r="F749" s="30">
        <f>IF($A749="",0,INDEX(Transactions!$O:$O,ROW()-8))</f>
      </c>
      <c r="G749" s="30">
        <f>IF($A749="",0,INDEX(Transactions!$P:$P,ROW()-8))</f>
      </c>
    </row>
    <row r="750" spans="1:7" ht="15" customHeight="1" x14ac:dyDescent="0.15">
      <c r="A750">
        <f>IF(INDEX(Transactions!$J:$J,ROW()-8)="","",INDEX(Transactions!$J:$J,ROW()-8))</f>
      </c>
      <c r="B750" s="297">
        <f>IF($A750="",TODAY(),INDEX(Transactions!$G:$G,ROW()-8))</f>
      </c>
      <c r="C750">
        <f>IF($A750="","",INDEX(Transactions!$A:$A,ROW()-8))</f>
      </c>
      <c r="D750" s="30">
        <f>IF($A750="",0,INDEX(Transactions!$H:$H,ROW()-8))</f>
      </c>
      <c r="E750">
        <f>IF($A750="",1,INDEX(Transactions!$N:$N,ROW()-8))</f>
        <v>1</v>
      </c>
      <c r="F750" s="30">
        <f>IF($A750="",0,INDEX(Transactions!$O:$O,ROW()-8))</f>
      </c>
      <c r="G750" s="30">
        <f>IF($A750="",0,INDEX(Transactions!$P:$P,ROW()-8))</f>
      </c>
    </row>
    <row r="751" spans="1:7" ht="15" customHeight="1" x14ac:dyDescent="0.15">
      <c r="A751">
        <f>IF(INDEX(Transactions!$J:$J,ROW()-8)="","",INDEX(Transactions!$J:$J,ROW()-8))</f>
      </c>
      <c r="B751" s="297">
        <f>IF($A751="",TODAY(),INDEX(Transactions!$G:$G,ROW()-8))</f>
      </c>
      <c r="C751">
        <f>IF($A751="","",INDEX(Transactions!$A:$A,ROW()-8))</f>
      </c>
      <c r="D751" s="30">
        <f>IF($A751="",0,INDEX(Transactions!$H:$H,ROW()-8))</f>
      </c>
      <c r="E751">
        <f>IF($A751="",1,INDEX(Transactions!$N:$N,ROW()-8))</f>
        <v>1</v>
      </c>
      <c r="F751" s="30">
        <f>IF($A751="",0,INDEX(Transactions!$O:$O,ROW()-8))</f>
      </c>
      <c r="G751" s="30">
        <f>IF($A751="",0,INDEX(Transactions!$P:$P,ROW()-8))</f>
      </c>
    </row>
    <row r="752" spans="1:7" ht="15" customHeight="1" x14ac:dyDescent="0.15">
      <c r="A752">
        <f>IF(INDEX(Transactions!$J:$J,ROW()-8)="","",INDEX(Transactions!$J:$J,ROW()-8))</f>
      </c>
      <c r="B752" s="297">
        <f>IF($A752="",TODAY(),INDEX(Transactions!$G:$G,ROW()-8))</f>
      </c>
      <c r="C752">
        <f>IF($A752="","",INDEX(Transactions!$A:$A,ROW()-8))</f>
      </c>
      <c r="D752" s="30">
        <f>IF($A752="",0,INDEX(Transactions!$H:$H,ROW()-8))</f>
      </c>
      <c r="E752">
        <f>IF($A752="",1,INDEX(Transactions!$N:$N,ROW()-8))</f>
        <v>1</v>
      </c>
      <c r="F752" s="30">
        <f>IF($A752="",0,INDEX(Transactions!$O:$O,ROW()-8))</f>
      </c>
      <c r="G752" s="30">
        <f>IF($A752="",0,INDEX(Transactions!$P:$P,ROW()-8))</f>
      </c>
    </row>
    <row r="753" spans="1:7" ht="15" customHeight="1" x14ac:dyDescent="0.15">
      <c r="A753">
        <f>IF(INDEX(Transactions!$J:$J,ROW()-8)="","",INDEX(Transactions!$J:$J,ROW()-8))</f>
      </c>
      <c r="B753" s="297">
        <f>IF($A753="",TODAY(),INDEX(Transactions!$G:$G,ROW()-8))</f>
      </c>
      <c r="C753">
        <f>IF($A753="","",INDEX(Transactions!$A:$A,ROW()-8))</f>
      </c>
      <c r="D753" s="30">
        <f>IF($A753="",0,INDEX(Transactions!$H:$H,ROW()-8))</f>
      </c>
      <c r="E753">
        <f>IF($A753="",1,INDEX(Transactions!$N:$N,ROW()-8))</f>
        <v>1</v>
      </c>
      <c r="F753" s="30">
        <f>IF($A753="",0,INDEX(Transactions!$O:$O,ROW()-8))</f>
      </c>
      <c r="G753" s="30">
        <f>IF($A753="",0,INDEX(Transactions!$P:$P,ROW()-8))</f>
      </c>
    </row>
    <row r="754" spans="1:7" ht="15" customHeight="1" x14ac:dyDescent="0.15">
      <c r="A754">
        <f>IF(INDEX(Transactions!$J:$J,ROW()-8)="","",INDEX(Transactions!$J:$J,ROW()-8))</f>
      </c>
      <c r="B754" s="297">
        <f>IF($A754="",TODAY(),INDEX(Transactions!$G:$G,ROW()-8))</f>
      </c>
      <c r="C754">
        <f>IF($A754="","",INDEX(Transactions!$A:$A,ROW()-8))</f>
      </c>
      <c r="D754" s="30">
        <f>IF($A754="",0,INDEX(Transactions!$H:$H,ROW()-8))</f>
      </c>
      <c r="E754">
        <f>IF($A754="",1,INDEX(Transactions!$N:$N,ROW()-8))</f>
        <v>1</v>
      </c>
      <c r="F754" s="30">
        <f>IF($A754="",0,INDEX(Transactions!$O:$O,ROW()-8))</f>
      </c>
      <c r="G754" s="30">
        <f>IF($A754="",0,INDEX(Transactions!$P:$P,ROW()-8))</f>
      </c>
    </row>
    <row r="755" spans="1:7" ht="15" customHeight="1" x14ac:dyDescent="0.15">
      <c r="A755">
        <f>IF(INDEX(Transactions!$J:$J,ROW()-8)="","",INDEX(Transactions!$J:$J,ROW()-8))</f>
      </c>
      <c r="B755" s="297">
        <f>IF($A755="",TODAY(),INDEX(Transactions!$G:$G,ROW()-8))</f>
      </c>
      <c r="C755">
        <f>IF($A755="","",INDEX(Transactions!$A:$A,ROW()-8))</f>
      </c>
      <c r="D755" s="30">
        <f>IF($A755="",0,INDEX(Transactions!$H:$H,ROW()-8))</f>
      </c>
      <c r="E755">
        <f>IF($A755="",1,INDEX(Transactions!$N:$N,ROW()-8))</f>
        <v>1</v>
      </c>
      <c r="F755" s="30">
        <f>IF($A755="",0,INDEX(Transactions!$O:$O,ROW()-8))</f>
      </c>
      <c r="G755" s="30">
        <f>IF($A755="",0,INDEX(Transactions!$P:$P,ROW()-8))</f>
      </c>
    </row>
    <row r="756" spans="1:7" ht="15" customHeight="1" x14ac:dyDescent="0.15">
      <c r="A756">
        <f>IF(INDEX(Transactions!$J:$J,ROW()-8)="","",INDEX(Transactions!$J:$J,ROW()-8))</f>
      </c>
      <c r="B756" s="297">
        <f>IF($A756="",TODAY(),INDEX(Transactions!$G:$G,ROW()-8))</f>
      </c>
      <c r="C756">
        <f>IF($A756="","",INDEX(Transactions!$A:$A,ROW()-8))</f>
      </c>
      <c r="D756" s="30">
        <f>IF($A756="",0,INDEX(Transactions!$H:$H,ROW()-8))</f>
      </c>
      <c r="E756">
        <f>IF($A756="",1,INDEX(Transactions!$N:$N,ROW()-8))</f>
        <v>1</v>
      </c>
      <c r="F756" s="30">
        <f>IF($A756="",0,INDEX(Transactions!$O:$O,ROW()-8))</f>
      </c>
      <c r="G756" s="30">
        <f>IF($A756="",0,INDEX(Transactions!$P:$P,ROW()-8))</f>
      </c>
    </row>
    <row r="757" spans="1:7" ht="15" customHeight="1" x14ac:dyDescent="0.15">
      <c r="A757">
        <f>IF(INDEX(Transactions!$J:$J,ROW()-8)="","",INDEX(Transactions!$J:$J,ROW()-8))</f>
      </c>
      <c r="B757" s="297">
        <f>IF($A757="",TODAY(),INDEX(Transactions!$G:$G,ROW()-8))</f>
      </c>
      <c r="C757">
        <f>IF($A757="","",INDEX(Transactions!$A:$A,ROW()-8))</f>
      </c>
      <c r="D757" s="30">
        <f>IF($A757="",0,INDEX(Transactions!$H:$H,ROW()-8))</f>
      </c>
      <c r="E757">
        <f>IF($A757="",1,INDEX(Transactions!$N:$N,ROW()-8))</f>
        <v>1</v>
      </c>
      <c r="F757" s="30">
        <f>IF($A757="",0,INDEX(Transactions!$O:$O,ROW()-8))</f>
      </c>
      <c r="G757" s="30">
        <f>IF($A757="",0,INDEX(Transactions!$P:$P,ROW()-8))</f>
      </c>
    </row>
    <row r="758" spans="1:7" ht="15" customHeight="1" x14ac:dyDescent="0.15">
      <c r="A758">
        <f>IF(INDEX(Transactions!$J:$J,ROW()-8)="","",INDEX(Transactions!$J:$J,ROW()-8))</f>
      </c>
      <c r="B758" s="297">
        <f>IF($A758="",TODAY(),INDEX(Transactions!$G:$G,ROW()-8))</f>
      </c>
      <c r="C758">
        <f>IF($A758="","",INDEX(Transactions!$A:$A,ROW()-8))</f>
      </c>
      <c r="D758" s="30">
        <f>IF($A758="",0,INDEX(Transactions!$H:$H,ROW()-8))</f>
      </c>
      <c r="E758">
        <f>IF($A758="",1,INDEX(Transactions!$N:$N,ROW()-8))</f>
        <v>1</v>
      </c>
      <c r="F758" s="30">
        <f>IF($A758="",0,INDEX(Transactions!$O:$O,ROW()-8))</f>
      </c>
      <c r="G758" s="30">
        <f>IF($A758="",0,INDEX(Transactions!$P:$P,ROW()-8))</f>
      </c>
    </row>
    <row r="759" spans="1:7" ht="15" customHeight="1" x14ac:dyDescent="0.15">
      <c r="A759">
        <f>IF(INDEX(Transactions!$J:$J,ROW()-8)="","",INDEX(Transactions!$J:$J,ROW()-8))</f>
      </c>
      <c r="B759" s="297">
        <f>IF($A759="",TODAY(),INDEX(Transactions!$G:$G,ROW()-8))</f>
      </c>
      <c r="C759">
        <f>IF($A759="","",INDEX(Transactions!$A:$A,ROW()-8))</f>
      </c>
      <c r="D759" s="30">
        <f>IF($A759="",0,INDEX(Transactions!$H:$H,ROW()-8))</f>
      </c>
      <c r="E759">
        <f>IF($A759="",1,INDEX(Transactions!$N:$N,ROW()-8))</f>
        <v>1</v>
      </c>
      <c r="F759" s="30">
        <f>IF($A759="",0,INDEX(Transactions!$O:$O,ROW()-8))</f>
      </c>
      <c r="G759" s="30">
        <f>IF($A759="",0,INDEX(Transactions!$P:$P,ROW()-8))</f>
      </c>
    </row>
    <row r="760" spans="1:7" ht="15" customHeight="1" x14ac:dyDescent="0.15">
      <c r="A760">
        <f>IF(INDEX(Transactions!$J:$J,ROW()-8)="","",INDEX(Transactions!$J:$J,ROW()-8))</f>
      </c>
      <c r="B760" s="297">
        <f>IF($A760="",TODAY(),INDEX(Transactions!$G:$G,ROW()-8))</f>
      </c>
      <c r="C760">
        <f>IF($A760="","",INDEX(Transactions!$A:$A,ROW()-8))</f>
      </c>
      <c r="D760" s="30">
        <f>IF($A760="",0,INDEX(Transactions!$H:$H,ROW()-8))</f>
      </c>
      <c r="E760">
        <f>IF($A760="",1,INDEX(Transactions!$N:$N,ROW()-8))</f>
        <v>1</v>
      </c>
      <c r="F760" s="30">
        <f>IF($A760="",0,INDEX(Transactions!$O:$O,ROW()-8))</f>
      </c>
      <c r="G760" s="30">
        <f>IF($A760="",0,INDEX(Transactions!$P:$P,ROW()-8))</f>
      </c>
    </row>
    <row r="761" spans="1:7" ht="15" customHeight="1" x14ac:dyDescent="0.15">
      <c r="A761">
        <f>IF(INDEX(Transactions!$J:$J,ROW()-8)="","",INDEX(Transactions!$J:$J,ROW()-8))</f>
      </c>
      <c r="B761" s="297">
        <f>IF($A761="",TODAY(),INDEX(Transactions!$G:$G,ROW()-8))</f>
      </c>
      <c r="C761">
        <f>IF($A761="","",INDEX(Transactions!$A:$A,ROW()-8))</f>
      </c>
      <c r="D761" s="30">
        <f>IF($A761="",0,INDEX(Transactions!$H:$H,ROW()-8))</f>
      </c>
      <c r="E761">
        <f>IF($A761="",1,INDEX(Transactions!$N:$N,ROW()-8))</f>
        <v>1</v>
      </c>
      <c r="F761" s="30">
        <f>IF($A761="",0,INDEX(Transactions!$O:$O,ROW()-8))</f>
      </c>
      <c r="G761" s="30">
        <f>IF($A761="",0,INDEX(Transactions!$P:$P,ROW()-8))</f>
      </c>
    </row>
    <row r="762" spans="1:7" ht="15" customHeight="1" x14ac:dyDescent="0.15">
      <c r="A762">
        <f>IF(INDEX(Transactions!$J:$J,ROW()-8)="","",INDEX(Transactions!$J:$J,ROW()-8))</f>
      </c>
      <c r="B762" s="297">
        <f>IF($A762="",TODAY(),INDEX(Transactions!$G:$G,ROW()-8))</f>
      </c>
      <c r="C762">
        <f>IF($A762="","",INDEX(Transactions!$A:$A,ROW()-8))</f>
      </c>
      <c r="D762" s="30">
        <f>IF($A762="",0,INDEX(Transactions!$H:$H,ROW()-8))</f>
      </c>
      <c r="E762">
        <f>IF($A762="",1,INDEX(Transactions!$N:$N,ROW()-8))</f>
        <v>1</v>
      </c>
      <c r="F762" s="30">
        <f>IF($A762="",0,INDEX(Transactions!$O:$O,ROW()-8))</f>
      </c>
      <c r="G762" s="30">
        <f>IF($A762="",0,INDEX(Transactions!$P:$P,ROW()-8))</f>
      </c>
    </row>
    <row r="763" spans="1:7" ht="15" customHeight="1" x14ac:dyDescent="0.15">
      <c r="A763">
        <f>IF(INDEX(Transactions!$J:$J,ROW()-8)="","",INDEX(Transactions!$J:$J,ROW()-8))</f>
      </c>
      <c r="B763" s="297">
        <f>IF($A763="",TODAY(),INDEX(Transactions!$G:$G,ROW()-8))</f>
      </c>
      <c r="C763">
        <f>IF($A763="","",INDEX(Transactions!$A:$A,ROW()-8))</f>
      </c>
      <c r="D763" s="30">
        <f>IF($A763="",0,INDEX(Transactions!$H:$H,ROW()-8))</f>
      </c>
      <c r="E763">
        <f>IF($A763="",1,INDEX(Transactions!$N:$N,ROW()-8))</f>
        <v>1</v>
      </c>
      <c r="F763" s="30">
        <f>IF($A763="",0,INDEX(Transactions!$O:$O,ROW()-8))</f>
      </c>
      <c r="G763" s="30">
        <f>IF($A763="",0,INDEX(Transactions!$P:$P,ROW()-8))</f>
      </c>
    </row>
    <row r="764" spans="1:7" ht="15" customHeight="1" x14ac:dyDescent="0.15">
      <c r="A764">
        <f>IF(INDEX(Transactions!$J:$J,ROW()-8)="","",INDEX(Transactions!$J:$J,ROW()-8))</f>
      </c>
      <c r="B764" s="297">
        <f>IF($A764="",TODAY(),INDEX(Transactions!$G:$G,ROW()-8))</f>
      </c>
      <c r="C764">
        <f>IF($A764="","",INDEX(Transactions!$A:$A,ROW()-8))</f>
      </c>
      <c r="D764" s="30">
        <f>IF($A764="",0,INDEX(Transactions!$H:$H,ROW()-8))</f>
      </c>
      <c r="E764">
        <f>IF($A764="",1,INDEX(Transactions!$N:$N,ROW()-8))</f>
        <v>1</v>
      </c>
      <c r="F764" s="30">
        <f>IF($A764="",0,INDEX(Transactions!$O:$O,ROW()-8))</f>
      </c>
      <c r="G764" s="30">
        <f>IF($A764="",0,INDEX(Transactions!$P:$P,ROW()-8))</f>
      </c>
    </row>
    <row r="765" spans="1:7" ht="15" customHeight="1" x14ac:dyDescent="0.15">
      <c r="A765">
        <f>IF(INDEX(Transactions!$J:$J,ROW()-8)="","",INDEX(Transactions!$J:$J,ROW()-8))</f>
      </c>
      <c r="B765" s="297">
        <f>IF($A765="",TODAY(),INDEX(Transactions!$G:$G,ROW()-8))</f>
      </c>
      <c r="C765">
        <f>IF($A765="","",INDEX(Transactions!$A:$A,ROW()-8))</f>
      </c>
      <c r="D765" s="30">
        <f>IF($A765="",0,INDEX(Transactions!$H:$H,ROW()-8))</f>
      </c>
      <c r="E765">
        <f>IF($A765="",1,INDEX(Transactions!$N:$N,ROW()-8))</f>
        <v>1</v>
      </c>
      <c r="F765" s="30">
        <f>IF($A765="",0,INDEX(Transactions!$O:$O,ROW()-8))</f>
      </c>
      <c r="G765" s="30">
        <f>IF($A765="",0,INDEX(Transactions!$P:$P,ROW()-8))</f>
      </c>
    </row>
    <row r="766" spans="1:7" ht="15" customHeight="1" x14ac:dyDescent="0.15">
      <c r="A766">
        <f>IF(INDEX(Transactions!$J:$J,ROW()-8)="","",INDEX(Transactions!$J:$J,ROW()-8))</f>
      </c>
      <c r="B766" s="297">
        <f>IF($A766="",TODAY(),INDEX(Transactions!$G:$G,ROW()-8))</f>
      </c>
      <c r="C766">
        <f>IF($A766="","",INDEX(Transactions!$A:$A,ROW()-8))</f>
      </c>
      <c r="D766" s="30">
        <f>IF($A766="",0,INDEX(Transactions!$H:$H,ROW()-8))</f>
      </c>
      <c r="E766">
        <f>IF($A766="",1,INDEX(Transactions!$N:$N,ROW()-8))</f>
        <v>1</v>
      </c>
      <c r="F766" s="30">
        <f>IF($A766="",0,INDEX(Transactions!$O:$O,ROW()-8))</f>
      </c>
      <c r="G766" s="30">
        <f>IF($A766="",0,INDEX(Transactions!$P:$P,ROW()-8))</f>
      </c>
    </row>
    <row r="767" spans="1:7" ht="15" customHeight="1" x14ac:dyDescent="0.15">
      <c r="A767">
        <f>IF(INDEX(Transactions!$J:$J,ROW()-8)="","",INDEX(Transactions!$J:$J,ROW()-8))</f>
      </c>
      <c r="B767" s="297">
        <f>IF($A767="",TODAY(),INDEX(Transactions!$G:$G,ROW()-8))</f>
      </c>
      <c r="C767">
        <f>IF($A767="","",INDEX(Transactions!$A:$A,ROW()-8))</f>
      </c>
      <c r="D767" s="30">
        <f>IF($A767="",0,INDEX(Transactions!$H:$H,ROW()-8))</f>
      </c>
      <c r="E767">
        <f>IF($A767="",1,INDEX(Transactions!$N:$N,ROW()-8))</f>
        <v>1</v>
      </c>
      <c r="F767" s="30">
        <f>IF($A767="",0,INDEX(Transactions!$O:$O,ROW()-8))</f>
      </c>
      <c r="G767" s="30">
        <f>IF($A767="",0,INDEX(Transactions!$P:$P,ROW()-8))</f>
      </c>
    </row>
    <row r="768" spans="1:7" ht="15" customHeight="1" x14ac:dyDescent="0.15">
      <c r="A768">
        <f>IF(INDEX(Transactions!$J:$J,ROW()-8)="","",INDEX(Transactions!$J:$J,ROW()-8))</f>
      </c>
      <c r="B768" s="297">
        <f>IF($A768="",TODAY(),INDEX(Transactions!$G:$G,ROW()-8))</f>
      </c>
      <c r="C768">
        <f>IF($A768="","",INDEX(Transactions!$A:$A,ROW()-8))</f>
      </c>
      <c r="D768" s="30">
        <f>IF($A768="",0,INDEX(Transactions!$H:$H,ROW()-8))</f>
      </c>
      <c r="E768">
        <f>IF($A768="",1,INDEX(Transactions!$N:$N,ROW()-8))</f>
        <v>1</v>
      </c>
      <c r="F768" s="30">
        <f>IF($A768="",0,INDEX(Transactions!$O:$O,ROW()-8))</f>
      </c>
      <c r="G768" s="30">
        <f>IF($A768="",0,INDEX(Transactions!$P:$P,ROW()-8))</f>
      </c>
    </row>
    <row r="769" spans="1:7" ht="15" customHeight="1" x14ac:dyDescent="0.15">
      <c r="A769">
        <f>IF(INDEX(Transactions!$J:$J,ROW()-8)="","",INDEX(Transactions!$J:$J,ROW()-8))</f>
      </c>
      <c r="B769" s="297">
        <f>IF($A769="",TODAY(),INDEX(Transactions!$G:$G,ROW()-8))</f>
      </c>
      <c r="C769">
        <f>IF($A769="","",INDEX(Transactions!$A:$A,ROW()-8))</f>
      </c>
      <c r="D769" s="30">
        <f>IF($A769="",0,INDEX(Transactions!$H:$H,ROW()-8))</f>
      </c>
      <c r="E769">
        <f>IF($A769="",1,INDEX(Transactions!$N:$N,ROW()-8))</f>
        <v>1</v>
      </c>
      <c r="F769" s="30">
        <f>IF($A769="",0,INDEX(Transactions!$O:$O,ROW()-8))</f>
      </c>
      <c r="G769" s="30">
        <f>IF($A769="",0,INDEX(Transactions!$P:$P,ROW()-8))</f>
      </c>
    </row>
    <row r="770" spans="1:7" ht="15" customHeight="1" x14ac:dyDescent="0.15">
      <c r="A770">
        <f>IF(INDEX(Transactions!$J:$J,ROW()-8)="","",INDEX(Transactions!$J:$J,ROW()-8))</f>
      </c>
      <c r="B770" s="297">
        <f>IF($A770="",TODAY(),INDEX(Transactions!$G:$G,ROW()-8))</f>
      </c>
      <c r="C770">
        <f>IF($A770="","",INDEX(Transactions!$A:$A,ROW()-8))</f>
      </c>
      <c r="D770" s="30">
        <f>IF($A770="",0,INDEX(Transactions!$H:$H,ROW()-8))</f>
      </c>
      <c r="E770">
        <f>IF($A770="",1,INDEX(Transactions!$N:$N,ROW()-8))</f>
        <v>1</v>
      </c>
      <c r="F770" s="30">
        <f>IF($A770="",0,INDEX(Transactions!$O:$O,ROW()-8))</f>
      </c>
      <c r="G770" s="30">
        <f>IF($A770="",0,INDEX(Transactions!$P:$P,ROW()-8))</f>
      </c>
    </row>
    <row r="771" spans="1:7" ht="15" customHeight="1" x14ac:dyDescent="0.15">
      <c r="A771">
        <f>IF(INDEX(Transactions!$J:$J,ROW()-8)="","",INDEX(Transactions!$J:$J,ROW()-8))</f>
      </c>
      <c r="B771" s="297">
        <f>IF($A771="",TODAY(),INDEX(Transactions!$G:$G,ROW()-8))</f>
      </c>
      <c r="C771">
        <f>IF($A771="","",INDEX(Transactions!$A:$A,ROW()-8))</f>
      </c>
      <c r="D771" s="30">
        <f>IF($A771="",0,INDEX(Transactions!$H:$H,ROW()-8))</f>
      </c>
      <c r="E771">
        <f>IF($A771="",1,INDEX(Transactions!$N:$N,ROW()-8))</f>
        <v>1</v>
      </c>
      <c r="F771" s="30">
        <f>IF($A771="",0,INDEX(Transactions!$O:$O,ROW()-8))</f>
      </c>
      <c r="G771" s="30">
        <f>IF($A771="",0,INDEX(Transactions!$P:$P,ROW()-8))</f>
      </c>
    </row>
    <row r="772" spans="1:7" ht="15" customHeight="1" x14ac:dyDescent="0.15">
      <c r="A772">
        <f>IF(INDEX(Transactions!$J:$J,ROW()-8)="","",INDEX(Transactions!$J:$J,ROW()-8))</f>
      </c>
      <c r="B772" s="297">
        <f>IF($A772="",TODAY(),INDEX(Transactions!$G:$G,ROW()-8))</f>
      </c>
      <c r="C772">
        <f>IF($A772="","",INDEX(Transactions!$A:$A,ROW()-8))</f>
      </c>
      <c r="D772" s="30">
        <f>IF($A772="",0,INDEX(Transactions!$H:$H,ROW()-8))</f>
      </c>
      <c r="E772">
        <f>IF($A772="",1,INDEX(Transactions!$N:$N,ROW()-8))</f>
        <v>1</v>
      </c>
      <c r="F772" s="30">
        <f>IF($A772="",0,INDEX(Transactions!$O:$O,ROW()-8))</f>
      </c>
      <c r="G772" s="30">
        <f>IF($A772="",0,INDEX(Transactions!$P:$P,ROW()-8))</f>
      </c>
    </row>
    <row r="773" spans="1:7" ht="15" customHeight="1" x14ac:dyDescent="0.15">
      <c r="A773">
        <f>IF(INDEX(Transactions!$J:$J,ROW()-8)="","",INDEX(Transactions!$J:$J,ROW()-8))</f>
      </c>
      <c r="B773" s="297">
        <f>IF($A773="",TODAY(),INDEX(Transactions!$G:$G,ROW()-8))</f>
      </c>
      <c r="C773">
        <f>IF($A773="","",INDEX(Transactions!$A:$A,ROW()-8))</f>
      </c>
      <c r="D773" s="30">
        <f>IF($A773="",0,INDEX(Transactions!$H:$H,ROW()-8))</f>
      </c>
      <c r="E773">
        <f>IF($A773="",1,INDEX(Transactions!$N:$N,ROW()-8))</f>
        <v>1</v>
      </c>
      <c r="F773" s="30">
        <f>IF($A773="",0,INDEX(Transactions!$O:$O,ROW()-8))</f>
      </c>
      <c r="G773" s="30">
        <f>IF($A773="",0,INDEX(Transactions!$P:$P,ROW()-8))</f>
      </c>
    </row>
    <row r="774" spans="1:7" ht="15" customHeight="1" x14ac:dyDescent="0.15">
      <c r="A774">
        <f>IF(INDEX(Transactions!$J:$J,ROW()-8)="","",INDEX(Transactions!$J:$J,ROW()-8))</f>
      </c>
      <c r="B774" s="297">
        <f>IF($A774="",TODAY(),INDEX(Transactions!$G:$G,ROW()-8))</f>
      </c>
      <c r="C774">
        <f>IF($A774="","",INDEX(Transactions!$A:$A,ROW()-8))</f>
      </c>
      <c r="D774" s="30">
        <f>IF($A774="",0,INDEX(Transactions!$H:$H,ROW()-8))</f>
      </c>
      <c r="E774">
        <f>IF($A774="",1,INDEX(Transactions!$N:$N,ROW()-8))</f>
        <v>1</v>
      </c>
      <c r="F774" s="30">
        <f>IF($A774="",0,INDEX(Transactions!$O:$O,ROW()-8))</f>
      </c>
      <c r="G774" s="30">
        <f>IF($A774="",0,INDEX(Transactions!$P:$P,ROW()-8))</f>
      </c>
    </row>
    <row r="775" spans="1:7" ht="15" customHeight="1" x14ac:dyDescent="0.15">
      <c r="A775">
        <f>IF(INDEX(Transactions!$J:$J,ROW()-8)="","",INDEX(Transactions!$J:$J,ROW()-8))</f>
      </c>
      <c r="B775" s="297">
        <f>IF($A775="",TODAY(),INDEX(Transactions!$G:$G,ROW()-8))</f>
      </c>
      <c r="C775">
        <f>IF($A775="","",INDEX(Transactions!$A:$A,ROW()-8))</f>
      </c>
      <c r="D775" s="30">
        <f>IF($A775="",0,INDEX(Transactions!$H:$H,ROW()-8))</f>
      </c>
      <c r="E775">
        <f>IF($A775="",1,INDEX(Transactions!$N:$N,ROW()-8))</f>
        <v>1</v>
      </c>
      <c r="F775" s="30">
        <f>IF($A775="",0,INDEX(Transactions!$O:$O,ROW()-8))</f>
      </c>
      <c r="G775" s="30">
        <f>IF($A775="",0,INDEX(Transactions!$P:$P,ROW()-8))</f>
      </c>
    </row>
    <row r="776" spans="1:7" ht="15" customHeight="1" x14ac:dyDescent="0.15">
      <c r="A776">
        <f>IF(INDEX(Transactions!$J:$J,ROW()-8)="","",INDEX(Transactions!$J:$J,ROW()-8))</f>
      </c>
      <c r="B776" s="297">
        <f>IF($A776="",TODAY(),INDEX(Transactions!$G:$G,ROW()-8))</f>
      </c>
      <c r="C776">
        <f>IF($A776="","",INDEX(Transactions!$A:$A,ROW()-8))</f>
      </c>
      <c r="D776" s="30">
        <f>IF($A776="",0,INDEX(Transactions!$H:$H,ROW()-8))</f>
      </c>
      <c r="E776">
        <f>IF($A776="",1,INDEX(Transactions!$N:$N,ROW()-8))</f>
        <v>1</v>
      </c>
      <c r="F776" s="30">
        <f>IF($A776="",0,INDEX(Transactions!$O:$O,ROW()-8))</f>
      </c>
      <c r="G776" s="30">
        <f>IF($A776="",0,INDEX(Transactions!$P:$P,ROW()-8))</f>
      </c>
    </row>
    <row r="777" spans="1:7" ht="15" customHeight="1" x14ac:dyDescent="0.15">
      <c r="A777">
        <f>IF(INDEX(Transactions!$J:$J,ROW()-8)="","",INDEX(Transactions!$J:$J,ROW()-8))</f>
      </c>
      <c r="B777" s="297">
        <f>IF($A777="",TODAY(),INDEX(Transactions!$G:$G,ROW()-8))</f>
      </c>
      <c r="C777">
        <f>IF($A777="","",INDEX(Transactions!$A:$A,ROW()-8))</f>
      </c>
      <c r="D777" s="30">
        <f>IF($A777="",0,INDEX(Transactions!$H:$H,ROW()-8))</f>
      </c>
      <c r="E777">
        <f>IF($A777="",1,INDEX(Transactions!$N:$N,ROW()-8))</f>
        <v>1</v>
      </c>
      <c r="F777" s="30">
        <f>IF($A777="",0,INDEX(Transactions!$O:$O,ROW()-8))</f>
      </c>
      <c r="G777" s="30">
        <f>IF($A777="",0,INDEX(Transactions!$P:$P,ROW()-8))</f>
      </c>
    </row>
    <row r="778" spans="1:7" ht="15" customHeight="1" x14ac:dyDescent="0.15">
      <c r="A778">
        <f>IF(INDEX(Transactions!$J:$J,ROW()-8)="","",INDEX(Transactions!$J:$J,ROW()-8))</f>
      </c>
      <c r="B778" s="297">
        <f>IF($A778="",TODAY(),INDEX(Transactions!$G:$G,ROW()-8))</f>
      </c>
      <c r="C778">
        <f>IF($A778="","",INDEX(Transactions!$A:$A,ROW()-8))</f>
      </c>
      <c r="D778" s="30">
        <f>IF($A778="",0,INDEX(Transactions!$H:$H,ROW()-8))</f>
      </c>
      <c r="E778">
        <f>IF($A778="",1,INDEX(Transactions!$N:$N,ROW()-8))</f>
        <v>1</v>
      </c>
      <c r="F778" s="30">
        <f>IF($A778="",0,INDEX(Transactions!$O:$O,ROW()-8))</f>
      </c>
      <c r="G778" s="30">
        <f>IF($A778="",0,INDEX(Transactions!$P:$P,ROW()-8))</f>
      </c>
    </row>
    <row r="779" spans="1:7" ht="15" customHeight="1" x14ac:dyDescent="0.15">
      <c r="A779">
        <f>IF(INDEX(Transactions!$J:$J,ROW()-8)="","",INDEX(Transactions!$J:$J,ROW()-8))</f>
      </c>
      <c r="B779" s="297">
        <f>IF($A779="",TODAY(),INDEX(Transactions!$G:$G,ROW()-8))</f>
      </c>
      <c r="C779">
        <f>IF($A779="","",INDEX(Transactions!$A:$A,ROW()-8))</f>
      </c>
      <c r="D779" s="30">
        <f>IF($A779="",0,INDEX(Transactions!$H:$H,ROW()-8))</f>
      </c>
      <c r="E779">
        <f>IF($A779="",1,INDEX(Transactions!$N:$N,ROW()-8))</f>
        <v>1</v>
      </c>
      <c r="F779" s="30">
        <f>IF($A779="",0,INDEX(Transactions!$O:$O,ROW()-8))</f>
      </c>
      <c r="G779" s="30">
        <f>IF($A779="",0,INDEX(Transactions!$P:$P,ROW()-8))</f>
      </c>
    </row>
    <row r="780" spans="1:7" ht="15" customHeight="1" x14ac:dyDescent="0.15">
      <c r="A780">
        <f>IF(INDEX(Transactions!$J:$J,ROW()-8)="","",INDEX(Transactions!$J:$J,ROW()-8))</f>
      </c>
      <c r="B780" s="297">
        <f>IF($A780="",TODAY(),INDEX(Transactions!$G:$G,ROW()-8))</f>
      </c>
      <c r="C780">
        <f>IF($A780="","",INDEX(Transactions!$A:$A,ROW()-8))</f>
      </c>
      <c r="D780" s="30">
        <f>IF($A780="",0,INDEX(Transactions!$H:$H,ROW()-8))</f>
      </c>
      <c r="E780">
        <f>IF($A780="",1,INDEX(Transactions!$N:$N,ROW()-8))</f>
        <v>1</v>
      </c>
      <c r="F780" s="30">
        <f>IF($A780="",0,INDEX(Transactions!$O:$O,ROW()-8))</f>
      </c>
      <c r="G780" s="30">
        <f>IF($A780="",0,INDEX(Transactions!$P:$P,ROW()-8))</f>
      </c>
    </row>
    <row r="781" spans="1:7" ht="15" customHeight="1" x14ac:dyDescent="0.15">
      <c r="A781">
        <f>IF(INDEX(Transactions!$J:$J,ROW()-8)="","",INDEX(Transactions!$J:$J,ROW()-8))</f>
      </c>
      <c r="B781" s="297">
        <f>IF($A781="",TODAY(),INDEX(Transactions!$G:$G,ROW()-8))</f>
      </c>
      <c r="C781">
        <f>IF($A781="","",INDEX(Transactions!$A:$A,ROW()-8))</f>
      </c>
      <c r="D781" s="30">
        <f>IF($A781="",0,INDEX(Transactions!$H:$H,ROW()-8))</f>
      </c>
      <c r="E781">
        <f>IF($A781="",1,INDEX(Transactions!$N:$N,ROW()-8))</f>
        <v>1</v>
      </c>
      <c r="F781" s="30">
        <f>IF($A781="",0,INDEX(Transactions!$O:$O,ROW()-8))</f>
      </c>
      <c r="G781" s="30">
        <f>IF($A781="",0,INDEX(Transactions!$P:$P,ROW()-8))</f>
      </c>
    </row>
    <row r="782" spans="1:7" ht="15" customHeight="1" x14ac:dyDescent="0.15">
      <c r="A782">
        <f>IF(INDEX(Transactions!$J:$J,ROW()-8)="","",INDEX(Transactions!$J:$J,ROW()-8))</f>
      </c>
      <c r="B782" s="297">
        <f>IF($A782="",TODAY(),INDEX(Transactions!$G:$G,ROW()-8))</f>
      </c>
      <c r="C782">
        <f>IF($A782="","",INDEX(Transactions!$A:$A,ROW()-8))</f>
      </c>
      <c r="D782" s="30">
        <f>IF($A782="",0,INDEX(Transactions!$H:$H,ROW()-8))</f>
      </c>
      <c r="E782">
        <f>IF($A782="",1,INDEX(Transactions!$N:$N,ROW()-8))</f>
        <v>1</v>
      </c>
      <c r="F782" s="30">
        <f>IF($A782="",0,INDEX(Transactions!$O:$O,ROW()-8))</f>
      </c>
      <c r="G782" s="30">
        <f>IF($A782="",0,INDEX(Transactions!$P:$P,ROW()-8))</f>
      </c>
    </row>
    <row r="783" spans="1:7" ht="15" customHeight="1" x14ac:dyDescent="0.15">
      <c r="A783">
        <f>IF(INDEX(Transactions!$J:$J,ROW()-8)="","",INDEX(Transactions!$J:$J,ROW()-8))</f>
      </c>
      <c r="B783" s="297">
        <f>IF($A783="",TODAY(),INDEX(Transactions!$G:$G,ROW()-8))</f>
      </c>
      <c r="C783">
        <f>IF($A783="","",INDEX(Transactions!$A:$A,ROW()-8))</f>
      </c>
      <c r="D783" s="30">
        <f>IF($A783="",0,INDEX(Transactions!$H:$H,ROW()-8))</f>
      </c>
      <c r="E783">
        <f>IF($A783="",1,INDEX(Transactions!$N:$N,ROW()-8))</f>
        <v>1</v>
      </c>
      <c r="F783" s="30">
        <f>IF($A783="",0,INDEX(Transactions!$O:$O,ROW()-8))</f>
      </c>
      <c r="G783" s="30">
        <f>IF($A783="",0,INDEX(Transactions!$P:$P,ROW()-8))</f>
      </c>
    </row>
    <row r="784" spans="1:7" ht="15" customHeight="1" x14ac:dyDescent="0.15">
      <c r="A784">
        <f>IF(INDEX(Transactions!$J:$J,ROW()-8)="","",INDEX(Transactions!$J:$J,ROW()-8))</f>
      </c>
      <c r="B784" s="297">
        <f>IF($A784="",TODAY(),INDEX(Transactions!$G:$G,ROW()-8))</f>
      </c>
      <c r="C784">
        <f>IF($A784="","",INDEX(Transactions!$A:$A,ROW()-8))</f>
      </c>
      <c r="D784" s="30">
        <f>IF($A784="",0,INDEX(Transactions!$H:$H,ROW()-8))</f>
      </c>
      <c r="E784">
        <f>IF($A784="",1,INDEX(Transactions!$N:$N,ROW()-8))</f>
        <v>1</v>
      </c>
      <c r="F784" s="30">
        <f>IF($A784="",0,INDEX(Transactions!$O:$O,ROW()-8))</f>
      </c>
      <c r="G784" s="30">
        <f>IF($A784="",0,INDEX(Transactions!$P:$P,ROW()-8))</f>
      </c>
    </row>
    <row r="785" spans="1:7" ht="15" customHeight="1" x14ac:dyDescent="0.15">
      <c r="A785">
        <f>IF(INDEX(Transactions!$J:$J,ROW()-8)="","",INDEX(Transactions!$J:$J,ROW()-8))</f>
      </c>
      <c r="B785" s="297">
        <f>IF($A785="",TODAY(),INDEX(Transactions!$G:$G,ROW()-8))</f>
      </c>
      <c r="C785">
        <f>IF($A785="","",INDEX(Transactions!$A:$A,ROW()-8))</f>
      </c>
      <c r="D785" s="30">
        <f>IF($A785="",0,INDEX(Transactions!$H:$H,ROW()-8))</f>
      </c>
      <c r="E785">
        <f>IF($A785="",1,INDEX(Transactions!$N:$N,ROW()-8))</f>
        <v>1</v>
      </c>
      <c r="F785" s="30">
        <f>IF($A785="",0,INDEX(Transactions!$O:$O,ROW()-8))</f>
      </c>
      <c r="G785" s="30">
        <f>IF($A785="",0,INDEX(Transactions!$P:$P,ROW()-8))</f>
      </c>
    </row>
    <row r="786" spans="1:7" ht="15" customHeight="1" x14ac:dyDescent="0.15">
      <c r="A786">
        <f>IF(INDEX(Transactions!$J:$J,ROW()-8)="","",INDEX(Transactions!$J:$J,ROW()-8))</f>
      </c>
      <c r="B786" s="297">
        <f>IF($A786="",TODAY(),INDEX(Transactions!$G:$G,ROW()-8))</f>
      </c>
      <c r="C786">
        <f>IF($A786="","",INDEX(Transactions!$A:$A,ROW()-8))</f>
      </c>
      <c r="D786" s="30">
        <f>IF($A786="",0,INDEX(Transactions!$H:$H,ROW()-8))</f>
      </c>
      <c r="E786">
        <f>IF($A786="",1,INDEX(Transactions!$N:$N,ROW()-8))</f>
        <v>1</v>
      </c>
      <c r="F786" s="30">
        <f>IF($A786="",0,INDEX(Transactions!$O:$O,ROW()-8))</f>
      </c>
      <c r="G786" s="30">
        <f>IF($A786="",0,INDEX(Transactions!$P:$P,ROW()-8))</f>
      </c>
    </row>
    <row r="787" spans="1:7" ht="15" customHeight="1" x14ac:dyDescent="0.15">
      <c r="A787">
        <f>IF(INDEX(Transactions!$J:$J,ROW()-8)="","",INDEX(Transactions!$J:$J,ROW()-8))</f>
      </c>
      <c r="B787" s="297">
        <f>IF($A787="",TODAY(),INDEX(Transactions!$G:$G,ROW()-8))</f>
      </c>
      <c r="C787">
        <f>IF($A787="","",INDEX(Transactions!$A:$A,ROW()-8))</f>
      </c>
      <c r="D787" s="30">
        <f>IF($A787="",0,INDEX(Transactions!$H:$H,ROW()-8))</f>
      </c>
      <c r="E787">
        <f>IF($A787="",1,INDEX(Transactions!$N:$N,ROW()-8))</f>
        <v>1</v>
      </c>
      <c r="F787" s="30">
        <f>IF($A787="",0,INDEX(Transactions!$O:$O,ROW()-8))</f>
      </c>
      <c r="G787" s="30">
        <f>IF($A787="",0,INDEX(Transactions!$P:$P,ROW()-8))</f>
      </c>
    </row>
    <row r="788" spans="1:7" ht="15" customHeight="1" x14ac:dyDescent="0.15">
      <c r="A788">
        <f>IF(INDEX(Transactions!$J:$J,ROW()-8)="","",INDEX(Transactions!$J:$J,ROW()-8))</f>
      </c>
      <c r="B788" s="297">
        <f>IF($A788="",TODAY(),INDEX(Transactions!$G:$G,ROW()-8))</f>
      </c>
      <c r="C788">
        <f>IF($A788="","",INDEX(Transactions!$A:$A,ROW()-8))</f>
      </c>
      <c r="D788" s="30">
        <f>IF($A788="",0,INDEX(Transactions!$H:$H,ROW()-8))</f>
      </c>
      <c r="E788">
        <f>IF($A788="",1,INDEX(Transactions!$N:$N,ROW()-8))</f>
        <v>1</v>
      </c>
      <c r="F788" s="30">
        <f>IF($A788="",0,INDEX(Transactions!$O:$O,ROW()-8))</f>
      </c>
      <c r="G788" s="30">
        <f>IF($A788="",0,INDEX(Transactions!$P:$P,ROW()-8))</f>
      </c>
    </row>
    <row r="789" spans="1:7" ht="15" customHeight="1" x14ac:dyDescent="0.15">
      <c r="A789">
        <f>IF(INDEX(Transactions!$J:$J,ROW()-8)="","",INDEX(Transactions!$J:$J,ROW()-8))</f>
      </c>
      <c r="B789" s="297">
        <f>IF($A789="",TODAY(),INDEX(Transactions!$G:$G,ROW()-8))</f>
      </c>
      <c r="C789">
        <f>IF($A789="","",INDEX(Transactions!$A:$A,ROW()-8))</f>
      </c>
      <c r="D789" s="30">
        <f>IF($A789="",0,INDEX(Transactions!$H:$H,ROW()-8))</f>
      </c>
      <c r="E789">
        <f>IF($A789="",1,INDEX(Transactions!$N:$N,ROW()-8))</f>
        <v>1</v>
      </c>
      <c r="F789" s="30">
        <f>IF($A789="",0,INDEX(Transactions!$O:$O,ROW()-8))</f>
      </c>
      <c r="G789" s="30">
        <f>IF($A789="",0,INDEX(Transactions!$P:$P,ROW()-8))</f>
      </c>
    </row>
    <row r="790" spans="1:7" ht="15" customHeight="1" x14ac:dyDescent="0.15">
      <c r="A790">
        <f>IF(INDEX(Transactions!$J:$J,ROW()-8)="","",INDEX(Transactions!$J:$J,ROW()-8))</f>
      </c>
      <c r="B790" s="297">
        <f>IF($A790="",TODAY(),INDEX(Transactions!$G:$G,ROW()-8))</f>
      </c>
      <c r="C790">
        <f>IF($A790="","",INDEX(Transactions!$A:$A,ROW()-8))</f>
      </c>
      <c r="D790" s="30">
        <f>IF($A790="",0,INDEX(Transactions!$H:$H,ROW()-8))</f>
      </c>
      <c r="E790">
        <f>IF($A790="",1,INDEX(Transactions!$N:$N,ROW()-8))</f>
        <v>1</v>
      </c>
      <c r="F790" s="30">
        <f>IF($A790="",0,INDEX(Transactions!$O:$O,ROW()-8))</f>
      </c>
      <c r="G790" s="30">
        <f>IF($A790="",0,INDEX(Transactions!$P:$P,ROW()-8))</f>
      </c>
    </row>
    <row r="791" spans="1:7" ht="15" customHeight="1" x14ac:dyDescent="0.15">
      <c r="A791">
        <f>IF(INDEX(Transactions!$J:$J,ROW()-8)="","",INDEX(Transactions!$J:$J,ROW()-8))</f>
      </c>
      <c r="B791" s="297">
        <f>IF($A791="",TODAY(),INDEX(Transactions!$G:$G,ROW()-8))</f>
      </c>
      <c r="C791">
        <f>IF($A791="","",INDEX(Transactions!$A:$A,ROW()-8))</f>
      </c>
      <c r="D791" s="30">
        <f>IF($A791="",0,INDEX(Transactions!$H:$H,ROW()-8))</f>
      </c>
      <c r="E791">
        <f>IF($A791="",1,INDEX(Transactions!$N:$N,ROW()-8))</f>
        <v>1</v>
      </c>
      <c r="F791" s="30">
        <f>IF($A791="",0,INDEX(Transactions!$O:$O,ROW()-8))</f>
      </c>
      <c r="G791" s="30">
        <f>IF($A791="",0,INDEX(Transactions!$P:$P,ROW()-8))</f>
      </c>
    </row>
    <row r="792" spans="1:7" ht="15" customHeight="1" x14ac:dyDescent="0.15">
      <c r="A792">
        <f>IF(INDEX(Transactions!$J:$J,ROW()-8)="","",INDEX(Transactions!$J:$J,ROW()-8))</f>
      </c>
      <c r="B792" s="297">
        <f>IF($A792="",TODAY(),INDEX(Transactions!$G:$G,ROW()-8))</f>
      </c>
      <c r="C792">
        <f>IF($A792="","",INDEX(Transactions!$A:$A,ROW()-8))</f>
      </c>
      <c r="D792" s="30">
        <f>IF($A792="",0,INDEX(Transactions!$H:$H,ROW()-8))</f>
      </c>
      <c r="E792">
        <f>IF($A792="",1,INDEX(Transactions!$N:$N,ROW()-8))</f>
        <v>1</v>
      </c>
      <c r="F792" s="30">
        <f>IF($A792="",0,INDEX(Transactions!$O:$O,ROW()-8))</f>
      </c>
      <c r="G792" s="30">
        <f>IF($A792="",0,INDEX(Transactions!$P:$P,ROW()-8))</f>
      </c>
    </row>
    <row r="793" spans="1:7" ht="15" customHeight="1" x14ac:dyDescent="0.15">
      <c r="A793">
        <f>IF(INDEX(Transactions!$J:$J,ROW()-8)="","",INDEX(Transactions!$J:$J,ROW()-8))</f>
      </c>
      <c r="B793" s="297">
        <f>IF($A793="",TODAY(),INDEX(Transactions!$G:$G,ROW()-8))</f>
      </c>
      <c r="C793">
        <f>IF($A793="","",INDEX(Transactions!$A:$A,ROW()-8))</f>
      </c>
      <c r="D793" s="30">
        <f>IF($A793="",0,INDEX(Transactions!$H:$H,ROW()-8))</f>
      </c>
      <c r="E793">
        <f>IF($A793="",1,INDEX(Transactions!$N:$N,ROW()-8))</f>
        <v>1</v>
      </c>
      <c r="F793" s="30">
        <f>IF($A793="",0,INDEX(Transactions!$O:$O,ROW()-8))</f>
      </c>
      <c r="G793" s="30">
        <f>IF($A793="",0,INDEX(Transactions!$P:$P,ROW()-8))</f>
      </c>
    </row>
    <row r="794" spans="1:7" ht="15" customHeight="1" x14ac:dyDescent="0.15">
      <c r="A794">
        <f>IF(INDEX(Transactions!$J:$J,ROW()-8)="","",INDEX(Transactions!$J:$J,ROW()-8))</f>
      </c>
      <c r="B794" s="297">
        <f>IF($A794="",TODAY(),INDEX(Transactions!$G:$G,ROW()-8))</f>
      </c>
      <c r="C794">
        <f>IF($A794="","",INDEX(Transactions!$A:$A,ROW()-8))</f>
      </c>
      <c r="D794" s="30">
        <f>IF($A794="",0,INDEX(Transactions!$H:$H,ROW()-8))</f>
      </c>
      <c r="E794">
        <f>IF($A794="",1,INDEX(Transactions!$N:$N,ROW()-8))</f>
        <v>1</v>
      </c>
      <c r="F794" s="30">
        <f>IF($A794="",0,INDEX(Transactions!$O:$O,ROW()-8))</f>
      </c>
      <c r="G794" s="30">
        <f>IF($A794="",0,INDEX(Transactions!$P:$P,ROW()-8))</f>
      </c>
    </row>
    <row r="795" spans="1:7" ht="15" customHeight="1" x14ac:dyDescent="0.15">
      <c r="A795">
        <f>IF(INDEX(Transactions!$J:$J,ROW()-8)="","",INDEX(Transactions!$J:$J,ROW()-8))</f>
      </c>
      <c r="B795" s="297">
        <f>IF($A795="",TODAY(),INDEX(Transactions!$G:$G,ROW()-8))</f>
      </c>
      <c r="C795">
        <f>IF($A795="","",INDEX(Transactions!$A:$A,ROW()-8))</f>
      </c>
      <c r="D795" s="30">
        <f>IF($A795="",0,INDEX(Transactions!$H:$H,ROW()-8))</f>
      </c>
      <c r="E795">
        <f>IF($A795="",1,INDEX(Transactions!$N:$N,ROW()-8))</f>
        <v>1</v>
      </c>
      <c r="F795" s="30">
        <f>IF($A795="",0,INDEX(Transactions!$O:$O,ROW()-8))</f>
      </c>
      <c r="G795" s="30">
        <f>IF($A795="",0,INDEX(Transactions!$P:$P,ROW()-8))</f>
      </c>
    </row>
    <row r="796" spans="1:7" ht="15" customHeight="1" x14ac:dyDescent="0.15">
      <c r="A796">
        <f>IF(INDEX(Transactions!$J:$J,ROW()-8)="","",INDEX(Transactions!$J:$J,ROW()-8))</f>
      </c>
      <c r="B796" s="297">
        <f>IF($A796="",TODAY(),INDEX(Transactions!$G:$G,ROW()-8))</f>
      </c>
      <c r="C796">
        <f>IF($A796="","",INDEX(Transactions!$A:$A,ROW()-8))</f>
      </c>
      <c r="D796" s="30">
        <f>IF($A796="",0,INDEX(Transactions!$H:$H,ROW()-8))</f>
      </c>
      <c r="E796">
        <f>IF($A796="",1,INDEX(Transactions!$N:$N,ROW()-8))</f>
        <v>1</v>
      </c>
      <c r="F796" s="30">
        <f>IF($A796="",0,INDEX(Transactions!$O:$O,ROW()-8))</f>
      </c>
      <c r="G796" s="30">
        <f>IF($A796="",0,INDEX(Transactions!$P:$P,ROW()-8))</f>
      </c>
    </row>
    <row r="797" spans="1:7" ht="15" customHeight="1" x14ac:dyDescent="0.15">
      <c r="A797">
        <f>IF(INDEX(Transactions!$J:$J,ROW()-8)="","",INDEX(Transactions!$J:$J,ROW()-8))</f>
      </c>
      <c r="B797" s="297">
        <f>IF($A797="",TODAY(),INDEX(Transactions!$G:$G,ROW()-8))</f>
      </c>
      <c r="C797">
        <f>IF($A797="","",INDEX(Transactions!$A:$A,ROW()-8))</f>
      </c>
      <c r="D797" s="30">
        <f>IF($A797="",0,INDEX(Transactions!$H:$H,ROW()-8))</f>
      </c>
      <c r="E797">
        <f>IF($A797="",1,INDEX(Transactions!$N:$N,ROW()-8))</f>
        <v>1</v>
      </c>
      <c r="F797" s="30">
        <f>IF($A797="",0,INDEX(Transactions!$O:$O,ROW()-8))</f>
      </c>
      <c r="G797" s="30">
        <f>IF($A797="",0,INDEX(Transactions!$P:$P,ROW()-8))</f>
      </c>
    </row>
    <row r="798" spans="1:7" ht="15" customHeight="1" x14ac:dyDescent="0.15">
      <c r="A798">
        <f>IF(INDEX(Transactions!$J:$J,ROW()-8)="","",INDEX(Transactions!$J:$J,ROW()-8))</f>
      </c>
      <c r="B798" s="297">
        <f>IF($A798="",TODAY(),INDEX(Transactions!$G:$G,ROW()-8))</f>
      </c>
      <c r="C798">
        <f>IF($A798="","",INDEX(Transactions!$A:$A,ROW()-8))</f>
      </c>
      <c r="D798" s="30">
        <f>IF($A798="",0,INDEX(Transactions!$H:$H,ROW()-8))</f>
      </c>
      <c r="E798">
        <f>IF($A798="",1,INDEX(Transactions!$N:$N,ROW()-8))</f>
        <v>1</v>
      </c>
      <c r="F798" s="30">
        <f>IF($A798="",0,INDEX(Transactions!$O:$O,ROW()-8))</f>
      </c>
      <c r="G798" s="30">
        <f>IF($A798="",0,INDEX(Transactions!$P:$P,ROW()-8))</f>
      </c>
    </row>
    <row r="799" spans="1:7" ht="15" customHeight="1" x14ac:dyDescent="0.15">
      <c r="A799">
        <f>IF(INDEX(Transactions!$J:$J,ROW()-8)="","",INDEX(Transactions!$J:$J,ROW()-8))</f>
      </c>
      <c r="B799" s="297">
        <f>IF($A799="",TODAY(),INDEX(Transactions!$G:$G,ROW()-8))</f>
      </c>
      <c r="C799">
        <f>IF($A799="","",INDEX(Transactions!$A:$A,ROW()-8))</f>
      </c>
      <c r="D799" s="30">
        <f>IF($A799="",0,INDEX(Transactions!$H:$H,ROW()-8))</f>
      </c>
      <c r="E799">
        <f>IF($A799="",1,INDEX(Transactions!$N:$N,ROW()-8))</f>
        <v>1</v>
      </c>
      <c r="F799" s="30">
        <f>IF($A799="",0,INDEX(Transactions!$O:$O,ROW()-8))</f>
      </c>
      <c r="G799" s="30">
        <f>IF($A799="",0,INDEX(Transactions!$P:$P,ROW()-8))</f>
      </c>
    </row>
    <row r="800" spans="1:7" ht="15" customHeight="1" x14ac:dyDescent="0.15">
      <c r="A800">
        <f>IF(INDEX(Transactions!$J:$J,ROW()-8)="","",INDEX(Transactions!$J:$J,ROW()-8))</f>
      </c>
      <c r="B800" s="297">
        <f>IF($A800="",TODAY(),INDEX(Transactions!$G:$G,ROW()-8))</f>
      </c>
      <c r="C800">
        <f>IF($A800="","",INDEX(Transactions!$A:$A,ROW()-8))</f>
      </c>
      <c r="D800" s="30">
        <f>IF($A800="",0,INDEX(Transactions!$H:$H,ROW()-8))</f>
      </c>
      <c r="E800">
        <f>IF($A800="",1,INDEX(Transactions!$N:$N,ROW()-8))</f>
        <v>1</v>
      </c>
      <c r="F800" s="30">
        <f>IF($A800="",0,INDEX(Transactions!$O:$O,ROW()-8))</f>
      </c>
      <c r="G800" s="30">
        <f>IF($A800="",0,INDEX(Transactions!$P:$P,ROW()-8))</f>
      </c>
    </row>
    <row r="801" spans="1:7" ht="15" customHeight="1" x14ac:dyDescent="0.15">
      <c r="A801">
        <f>IF(INDEX(Transactions!$J:$J,ROW()-8)="","",INDEX(Transactions!$J:$J,ROW()-8))</f>
      </c>
      <c r="B801" s="297">
        <f>IF($A801="",TODAY(),INDEX(Transactions!$G:$G,ROW()-8))</f>
      </c>
      <c r="C801">
        <f>IF($A801="","",INDEX(Transactions!$A:$A,ROW()-8))</f>
      </c>
      <c r="D801" s="30">
        <f>IF($A801="",0,INDEX(Transactions!$H:$H,ROW()-8))</f>
      </c>
      <c r="E801">
        <f>IF($A801="",1,INDEX(Transactions!$N:$N,ROW()-8))</f>
        <v>1</v>
      </c>
      <c r="F801" s="30">
        <f>IF($A801="",0,INDEX(Transactions!$O:$O,ROW()-8))</f>
      </c>
      <c r="G801" s="30">
        <f>IF($A801="",0,INDEX(Transactions!$P:$P,ROW()-8))</f>
      </c>
    </row>
    <row r="802" spans="1:7" ht="15" customHeight="1" x14ac:dyDescent="0.15">
      <c r="A802">
        <f>IF(INDEX(Transactions!$J:$J,ROW()-8)="","",INDEX(Transactions!$J:$J,ROW()-8))</f>
      </c>
      <c r="B802" s="297">
        <f>IF($A802="",TODAY(),INDEX(Transactions!$G:$G,ROW()-8))</f>
      </c>
      <c r="C802">
        <f>IF($A802="","",INDEX(Transactions!$A:$A,ROW()-8))</f>
      </c>
      <c r="D802" s="30">
        <f>IF($A802="",0,INDEX(Transactions!$H:$H,ROW()-8))</f>
      </c>
      <c r="E802">
        <f>IF($A802="",1,INDEX(Transactions!$N:$N,ROW()-8))</f>
        <v>1</v>
      </c>
      <c r="F802" s="30">
        <f>IF($A802="",0,INDEX(Transactions!$O:$O,ROW()-8))</f>
      </c>
      <c r="G802" s="30">
        <f>IF($A802="",0,INDEX(Transactions!$P:$P,ROW()-8))</f>
      </c>
    </row>
    <row r="803" spans="1:7" ht="15" customHeight="1" x14ac:dyDescent="0.15">
      <c r="A803">
        <f>IF(INDEX(Transactions!$J:$J,ROW()-8)="","",INDEX(Transactions!$J:$J,ROW()-8))</f>
      </c>
      <c r="B803" s="297">
        <f>IF($A803="",TODAY(),INDEX(Transactions!$G:$G,ROW()-8))</f>
      </c>
      <c r="C803">
        <f>IF($A803="","",INDEX(Transactions!$A:$A,ROW()-8))</f>
      </c>
      <c r="D803" s="30">
        <f>IF($A803="",0,INDEX(Transactions!$H:$H,ROW()-8))</f>
      </c>
      <c r="E803">
        <f>IF($A803="",1,INDEX(Transactions!$N:$N,ROW()-8))</f>
        <v>1</v>
      </c>
      <c r="F803" s="30">
        <f>IF($A803="",0,INDEX(Transactions!$O:$O,ROW()-8))</f>
      </c>
      <c r="G803" s="30">
        <f>IF($A803="",0,INDEX(Transactions!$P:$P,ROW()-8))</f>
      </c>
    </row>
    <row r="804" spans="1:7" ht="15" customHeight="1" x14ac:dyDescent="0.15">
      <c r="A804">
        <f>IF(INDEX(Transactions!$J:$J,ROW()-8)="","",INDEX(Transactions!$J:$J,ROW()-8))</f>
      </c>
      <c r="B804" s="297">
        <f>IF($A804="",TODAY(),INDEX(Transactions!$G:$G,ROW()-8))</f>
      </c>
      <c r="C804">
        <f>IF($A804="","",INDEX(Transactions!$A:$A,ROW()-8))</f>
      </c>
      <c r="D804" s="30">
        <f>IF($A804="",0,INDEX(Transactions!$H:$H,ROW()-8))</f>
      </c>
      <c r="E804">
        <f>IF($A804="",1,INDEX(Transactions!$N:$N,ROW()-8))</f>
        <v>1</v>
      </c>
      <c r="F804" s="30">
        <f>IF($A804="",0,INDEX(Transactions!$O:$O,ROW()-8))</f>
      </c>
      <c r="G804" s="30">
        <f>IF($A804="",0,INDEX(Transactions!$P:$P,ROW()-8))</f>
      </c>
    </row>
    <row r="805" spans="1:7" ht="15" customHeight="1" x14ac:dyDescent="0.15">
      <c r="A805">
        <f>IF(INDEX(Transactions!$J:$J,ROW()-8)="","",INDEX(Transactions!$J:$J,ROW()-8))</f>
      </c>
      <c r="B805" s="297">
        <f>IF($A805="",TODAY(),INDEX(Transactions!$G:$G,ROW()-8))</f>
      </c>
      <c r="C805">
        <f>IF($A805="","",INDEX(Transactions!$A:$A,ROW()-8))</f>
      </c>
      <c r="D805" s="30">
        <f>IF($A805="",0,INDEX(Transactions!$H:$H,ROW()-8))</f>
      </c>
      <c r="E805">
        <f>IF($A805="",1,INDEX(Transactions!$N:$N,ROW()-8))</f>
        <v>1</v>
      </c>
      <c r="F805" s="30">
        <f>IF($A805="",0,INDEX(Transactions!$O:$O,ROW()-8))</f>
      </c>
      <c r="G805" s="30">
        <f>IF($A805="",0,INDEX(Transactions!$P:$P,ROW()-8))</f>
      </c>
    </row>
    <row r="806" spans="1:7" ht="15" customHeight="1" x14ac:dyDescent="0.15">
      <c r="A806">
        <f>IF(INDEX(Transactions!$J:$J,ROW()-8)="","",INDEX(Transactions!$J:$J,ROW()-8))</f>
      </c>
      <c r="B806" s="297">
        <f>IF($A806="",TODAY(),INDEX(Transactions!$G:$G,ROW()-8))</f>
      </c>
      <c r="C806">
        <f>IF($A806="","",INDEX(Transactions!$A:$A,ROW()-8))</f>
      </c>
      <c r="D806" s="30">
        <f>IF($A806="",0,INDEX(Transactions!$H:$H,ROW()-8))</f>
      </c>
      <c r="E806">
        <f>IF($A806="",1,INDEX(Transactions!$N:$N,ROW()-8))</f>
        <v>1</v>
      </c>
      <c r="F806" s="30">
        <f>IF($A806="",0,INDEX(Transactions!$O:$O,ROW()-8))</f>
      </c>
      <c r="G806" s="30">
        <f>IF($A806="",0,INDEX(Transactions!$P:$P,ROW()-8))</f>
      </c>
    </row>
    <row r="807" spans="1:7" ht="15" customHeight="1" x14ac:dyDescent="0.15">
      <c r="A807">
        <f>IF(INDEX(Transactions!$J:$J,ROW()-8)="","",INDEX(Transactions!$J:$J,ROW()-8))</f>
      </c>
      <c r="B807" s="297">
        <f>IF($A807="",TODAY(),INDEX(Transactions!$G:$G,ROW()-8))</f>
      </c>
      <c r="C807">
        <f>IF($A807="","",INDEX(Transactions!$A:$A,ROW()-8))</f>
      </c>
      <c r="D807" s="30">
        <f>IF($A807="",0,INDEX(Transactions!$H:$H,ROW()-8))</f>
      </c>
      <c r="E807">
        <f>IF($A807="",1,INDEX(Transactions!$N:$N,ROW()-8))</f>
        <v>1</v>
      </c>
      <c r="F807" s="30">
        <f>IF($A807="",0,INDEX(Transactions!$O:$O,ROW()-8))</f>
      </c>
      <c r="G807" s="30">
        <f>IF($A807="",0,INDEX(Transactions!$P:$P,ROW()-8))</f>
      </c>
    </row>
    <row r="808" spans="1:7" ht="15" customHeight="1" x14ac:dyDescent="0.15">
      <c r="A808">
        <f>IF(INDEX(Transactions!$J:$J,ROW()-8)="","",INDEX(Transactions!$J:$J,ROW()-8))</f>
      </c>
      <c r="B808" s="297">
        <f>IF($A808="",TODAY(),INDEX(Transactions!$G:$G,ROW()-8))</f>
      </c>
      <c r="C808">
        <f>IF($A808="","",INDEX(Transactions!$A:$A,ROW()-8))</f>
      </c>
      <c r="D808" s="30">
        <f>IF($A808="",0,INDEX(Transactions!$H:$H,ROW()-8))</f>
      </c>
      <c r="E808">
        <f>IF($A808="",1,INDEX(Transactions!$N:$N,ROW()-8))</f>
        <v>1</v>
      </c>
      <c r="F808" s="30">
        <f>IF($A808="",0,INDEX(Transactions!$O:$O,ROW()-8))</f>
      </c>
      <c r="G808" s="30">
        <f>IF($A808="",0,INDEX(Transactions!$P:$P,ROW()-8))</f>
      </c>
    </row>
    <row r="809" spans="1:7" ht="15" customHeight="1" x14ac:dyDescent="0.15">
      <c r="A809">
        <f>IF(INDEX(Transactions!$J:$J,ROW()-8)="","",INDEX(Transactions!$J:$J,ROW()-8))</f>
      </c>
      <c r="B809" s="297">
        <f>IF($A809="",TODAY(),INDEX(Transactions!$G:$G,ROW()-8))</f>
      </c>
      <c r="C809">
        <f>IF($A809="","",INDEX(Transactions!$A:$A,ROW()-8))</f>
      </c>
      <c r="D809" s="30">
        <f>IF($A809="",0,INDEX(Transactions!$H:$H,ROW()-8))</f>
      </c>
      <c r="E809">
        <f>IF($A809="",1,INDEX(Transactions!$N:$N,ROW()-8))</f>
        <v>1</v>
      </c>
      <c r="F809" s="30">
        <f>IF($A809="",0,INDEX(Transactions!$O:$O,ROW()-8))</f>
      </c>
      <c r="G809" s="30">
        <f>IF($A809="",0,INDEX(Transactions!$P:$P,ROW()-8))</f>
      </c>
    </row>
    <row r="810" spans="1:7" ht="15" customHeight="1" x14ac:dyDescent="0.15">
      <c r="A810">
        <f>IF(INDEX(Transactions!$J:$J,ROW()-8)="","",INDEX(Transactions!$J:$J,ROW()-8))</f>
      </c>
      <c r="B810" s="297">
        <f>IF($A810="",TODAY(),INDEX(Transactions!$G:$G,ROW()-8))</f>
      </c>
      <c r="C810">
        <f>IF($A810="","",INDEX(Transactions!$A:$A,ROW()-8))</f>
      </c>
      <c r="D810" s="30">
        <f>IF($A810="",0,INDEX(Transactions!$H:$H,ROW()-8))</f>
      </c>
      <c r="E810">
        <f>IF($A810="",1,INDEX(Transactions!$N:$N,ROW()-8))</f>
        <v>1</v>
      </c>
      <c r="F810" s="30">
        <f>IF($A810="",0,INDEX(Transactions!$O:$O,ROW()-8))</f>
      </c>
      <c r="G810" s="30">
        <f>IF($A810="",0,INDEX(Transactions!$P:$P,ROW()-8))</f>
      </c>
    </row>
    <row r="811" spans="1:7" ht="15" customHeight="1" x14ac:dyDescent="0.15">
      <c r="A811">
        <f>IF(INDEX(Transactions!$J:$J,ROW()-8)="","",INDEX(Transactions!$J:$J,ROW()-8))</f>
      </c>
      <c r="B811" s="297">
        <f>IF($A811="",TODAY(),INDEX(Transactions!$G:$G,ROW()-8))</f>
      </c>
      <c r="C811">
        <f>IF($A811="","",INDEX(Transactions!$A:$A,ROW()-8))</f>
      </c>
      <c r="D811" s="30">
        <f>IF($A811="",0,INDEX(Transactions!$H:$H,ROW()-8))</f>
      </c>
      <c r="E811">
        <f>IF($A811="",1,INDEX(Transactions!$N:$N,ROW()-8))</f>
        <v>1</v>
      </c>
      <c r="F811" s="30">
        <f>IF($A811="",0,INDEX(Transactions!$O:$O,ROW()-8))</f>
      </c>
      <c r="G811" s="30">
        <f>IF($A811="",0,INDEX(Transactions!$P:$P,ROW()-8))</f>
      </c>
    </row>
    <row r="812" spans="1:7" ht="15" customHeight="1" x14ac:dyDescent="0.15">
      <c r="A812">
        <f>IF(INDEX(Transactions!$J:$J,ROW()-8)="","",INDEX(Transactions!$J:$J,ROW()-8))</f>
      </c>
      <c r="B812" s="297">
        <f>IF($A812="",TODAY(),INDEX(Transactions!$G:$G,ROW()-8))</f>
      </c>
      <c r="C812">
        <f>IF($A812="","",INDEX(Transactions!$A:$A,ROW()-8))</f>
      </c>
      <c r="D812" s="30">
        <f>IF($A812="",0,INDEX(Transactions!$H:$H,ROW()-8))</f>
      </c>
      <c r="E812">
        <f>IF($A812="",1,INDEX(Transactions!$N:$N,ROW()-8))</f>
        <v>1</v>
      </c>
      <c r="F812" s="30">
        <f>IF($A812="",0,INDEX(Transactions!$O:$O,ROW()-8))</f>
      </c>
      <c r="G812" s="30">
        <f>IF($A812="",0,INDEX(Transactions!$P:$P,ROW()-8))</f>
      </c>
    </row>
    <row r="813" spans="1:7" ht="15" customHeight="1" x14ac:dyDescent="0.15">
      <c r="A813">
        <f>IF(INDEX(Transactions!$J:$J,ROW()-8)="","",INDEX(Transactions!$J:$J,ROW()-8))</f>
      </c>
      <c r="B813" s="297">
        <f>IF($A813="",TODAY(),INDEX(Transactions!$G:$G,ROW()-8))</f>
      </c>
      <c r="C813">
        <f>IF($A813="","",INDEX(Transactions!$A:$A,ROW()-8))</f>
      </c>
      <c r="D813" s="30">
        <f>IF($A813="",0,INDEX(Transactions!$H:$H,ROW()-8))</f>
      </c>
      <c r="E813">
        <f>IF($A813="",1,INDEX(Transactions!$N:$N,ROW()-8))</f>
        <v>1</v>
      </c>
      <c r="F813" s="30">
        <f>IF($A813="",0,INDEX(Transactions!$O:$O,ROW()-8))</f>
      </c>
      <c r="G813" s="30">
        <f>IF($A813="",0,INDEX(Transactions!$P:$P,ROW()-8))</f>
      </c>
    </row>
    <row r="814" spans="1:7" ht="15" customHeight="1" x14ac:dyDescent="0.15">
      <c r="A814">
        <f>IF(INDEX(Transactions!$J:$J,ROW()-8)="","",INDEX(Transactions!$J:$J,ROW()-8))</f>
      </c>
      <c r="B814" s="297">
        <f>IF($A814="",TODAY(),INDEX(Transactions!$G:$G,ROW()-8))</f>
      </c>
      <c r="C814">
        <f>IF($A814="","",INDEX(Transactions!$A:$A,ROW()-8))</f>
      </c>
      <c r="D814" s="30">
        <f>IF($A814="",0,INDEX(Transactions!$H:$H,ROW()-8))</f>
      </c>
      <c r="E814">
        <f>IF($A814="",1,INDEX(Transactions!$N:$N,ROW()-8))</f>
        <v>1</v>
      </c>
      <c r="F814" s="30">
        <f>IF($A814="",0,INDEX(Transactions!$O:$O,ROW()-8))</f>
      </c>
      <c r="G814" s="30">
        <f>IF($A814="",0,INDEX(Transactions!$P:$P,ROW()-8))</f>
      </c>
    </row>
    <row r="815" spans="1:7" ht="15" customHeight="1" x14ac:dyDescent="0.15">
      <c r="A815">
        <f>IF(INDEX(Transactions!$J:$J,ROW()-8)="","",INDEX(Transactions!$J:$J,ROW()-8))</f>
      </c>
      <c r="B815" s="297">
        <f>IF($A815="",TODAY(),INDEX(Transactions!$G:$G,ROW()-8))</f>
      </c>
      <c r="C815">
        <f>IF($A815="","",INDEX(Transactions!$A:$A,ROW()-8))</f>
      </c>
      <c r="D815" s="30">
        <f>IF($A815="",0,INDEX(Transactions!$H:$H,ROW()-8))</f>
      </c>
      <c r="E815">
        <f>IF($A815="",1,INDEX(Transactions!$N:$N,ROW()-8))</f>
        <v>1</v>
      </c>
      <c r="F815" s="30">
        <f>IF($A815="",0,INDEX(Transactions!$O:$O,ROW()-8))</f>
      </c>
      <c r="G815" s="30">
        <f>IF($A815="",0,INDEX(Transactions!$P:$P,ROW()-8))</f>
      </c>
    </row>
    <row r="816" spans="1:7" ht="15" customHeight="1" x14ac:dyDescent="0.15">
      <c r="A816">
        <f>IF(INDEX(Transactions!$J:$J,ROW()-8)="","",INDEX(Transactions!$J:$J,ROW()-8))</f>
      </c>
      <c r="B816" s="297">
        <f>IF($A816="",TODAY(),INDEX(Transactions!$G:$G,ROW()-8))</f>
      </c>
      <c r="C816">
        <f>IF($A816="","",INDEX(Transactions!$A:$A,ROW()-8))</f>
      </c>
      <c r="D816" s="30">
        <f>IF($A816="",0,INDEX(Transactions!$H:$H,ROW()-8))</f>
      </c>
      <c r="E816">
        <f>IF($A816="",1,INDEX(Transactions!$N:$N,ROW()-8))</f>
        <v>1</v>
      </c>
      <c r="F816" s="30">
        <f>IF($A816="",0,INDEX(Transactions!$O:$O,ROW()-8))</f>
      </c>
      <c r="G816" s="30">
        <f>IF($A816="",0,INDEX(Transactions!$P:$P,ROW()-8))</f>
      </c>
    </row>
    <row r="817" spans="1:7" ht="15" customHeight="1" x14ac:dyDescent="0.15">
      <c r="A817">
        <f>IF(INDEX(Transactions!$J:$J,ROW()-8)="","",INDEX(Transactions!$J:$J,ROW()-8))</f>
      </c>
      <c r="B817" s="297">
        <f>IF($A817="",TODAY(),INDEX(Transactions!$G:$G,ROW()-8))</f>
      </c>
      <c r="C817">
        <f>IF($A817="","",INDEX(Transactions!$A:$A,ROW()-8))</f>
      </c>
      <c r="D817" s="30">
        <f>IF($A817="",0,INDEX(Transactions!$H:$H,ROW()-8))</f>
      </c>
      <c r="E817">
        <f>IF($A817="",1,INDEX(Transactions!$N:$N,ROW()-8))</f>
        <v>1</v>
      </c>
      <c r="F817" s="30">
        <f>IF($A817="",0,INDEX(Transactions!$O:$O,ROW()-8))</f>
      </c>
      <c r="G817" s="30">
        <f>IF($A817="",0,INDEX(Transactions!$P:$P,ROW()-8))</f>
      </c>
    </row>
    <row r="818" spans="1:7" ht="15" customHeight="1" x14ac:dyDescent="0.15">
      <c r="A818">
        <f>IF(INDEX(Transactions!$J:$J,ROW()-8)="","",INDEX(Transactions!$J:$J,ROW()-8))</f>
      </c>
      <c r="B818" s="297">
        <f>IF($A818="",TODAY(),INDEX(Transactions!$G:$G,ROW()-8))</f>
      </c>
      <c r="C818">
        <f>IF($A818="","",INDEX(Transactions!$A:$A,ROW()-8))</f>
      </c>
      <c r="D818" s="30">
        <f>IF($A818="",0,INDEX(Transactions!$H:$H,ROW()-8))</f>
      </c>
      <c r="E818">
        <f>IF($A818="",1,INDEX(Transactions!$N:$N,ROW()-8))</f>
        <v>1</v>
      </c>
      <c r="F818" s="30">
        <f>IF($A818="",0,INDEX(Transactions!$O:$O,ROW()-8))</f>
      </c>
      <c r="G818" s="30">
        <f>IF($A818="",0,INDEX(Transactions!$P:$P,ROW()-8))</f>
      </c>
    </row>
    <row r="819" spans="1:7" ht="15" customHeight="1" x14ac:dyDescent="0.15">
      <c r="A819">
        <f>IF(INDEX(Transactions!$J:$J,ROW()-8)="","",INDEX(Transactions!$J:$J,ROW()-8))</f>
      </c>
      <c r="B819" s="297">
        <f>IF($A819="",TODAY(),INDEX(Transactions!$G:$G,ROW()-8))</f>
      </c>
      <c r="C819">
        <f>IF($A819="","",INDEX(Transactions!$A:$A,ROW()-8))</f>
      </c>
      <c r="D819" s="30">
        <f>IF($A819="",0,INDEX(Transactions!$H:$H,ROW()-8))</f>
      </c>
      <c r="E819">
        <f>IF($A819="",1,INDEX(Transactions!$N:$N,ROW()-8))</f>
        <v>1</v>
      </c>
      <c r="F819" s="30">
        <f>IF($A819="",0,INDEX(Transactions!$O:$O,ROW()-8))</f>
      </c>
      <c r="G819" s="30">
        <f>IF($A819="",0,INDEX(Transactions!$P:$P,ROW()-8))</f>
      </c>
    </row>
    <row r="820" spans="1:7" ht="15" customHeight="1" x14ac:dyDescent="0.15">
      <c r="A820">
        <f>IF(INDEX(Transactions!$J:$J,ROW()-8)="","",INDEX(Transactions!$J:$J,ROW()-8))</f>
      </c>
      <c r="B820" s="297">
        <f>IF($A820="",TODAY(),INDEX(Transactions!$G:$G,ROW()-8))</f>
      </c>
      <c r="C820">
        <f>IF($A820="","",INDEX(Transactions!$A:$A,ROW()-8))</f>
      </c>
      <c r="D820" s="30">
        <f>IF($A820="",0,INDEX(Transactions!$H:$H,ROW()-8))</f>
      </c>
      <c r="E820">
        <f>IF($A820="",1,INDEX(Transactions!$N:$N,ROW()-8))</f>
        <v>1</v>
      </c>
      <c r="F820" s="30">
        <f>IF($A820="",0,INDEX(Transactions!$O:$O,ROW()-8))</f>
      </c>
      <c r="G820" s="30">
        <f>IF($A820="",0,INDEX(Transactions!$P:$P,ROW()-8))</f>
      </c>
    </row>
    <row r="821" spans="1:7" ht="15" customHeight="1" x14ac:dyDescent="0.15">
      <c r="A821">
        <f>IF(INDEX(Transactions!$J:$J,ROW()-8)="","",INDEX(Transactions!$J:$J,ROW()-8))</f>
      </c>
      <c r="B821" s="297">
        <f>IF($A821="",TODAY(),INDEX(Transactions!$G:$G,ROW()-8))</f>
      </c>
      <c r="C821">
        <f>IF($A821="","",INDEX(Transactions!$A:$A,ROW()-8))</f>
      </c>
      <c r="D821" s="30">
        <f>IF($A821="",0,INDEX(Transactions!$H:$H,ROW()-8))</f>
      </c>
      <c r="E821">
        <f>IF($A821="",1,INDEX(Transactions!$N:$N,ROW()-8))</f>
        <v>1</v>
      </c>
      <c r="F821" s="30">
        <f>IF($A821="",0,INDEX(Transactions!$O:$O,ROW()-8))</f>
      </c>
      <c r="G821" s="30">
        <f>IF($A821="",0,INDEX(Transactions!$P:$P,ROW()-8))</f>
      </c>
    </row>
    <row r="822" spans="1:7" ht="15" customHeight="1" x14ac:dyDescent="0.15">
      <c r="A822">
        <f>IF(INDEX(Transactions!$J:$J,ROW()-8)="","",INDEX(Transactions!$J:$J,ROW()-8))</f>
      </c>
      <c r="B822" s="297">
        <f>IF($A822="",TODAY(),INDEX(Transactions!$G:$G,ROW()-8))</f>
      </c>
      <c r="C822">
        <f>IF($A822="","",INDEX(Transactions!$A:$A,ROW()-8))</f>
      </c>
      <c r="D822" s="30">
        <f>IF($A822="",0,INDEX(Transactions!$H:$H,ROW()-8))</f>
      </c>
      <c r="E822">
        <f>IF($A822="",1,INDEX(Transactions!$N:$N,ROW()-8))</f>
        <v>1</v>
      </c>
      <c r="F822" s="30">
        <f>IF($A822="",0,INDEX(Transactions!$O:$O,ROW()-8))</f>
      </c>
      <c r="G822" s="30">
        <f>IF($A822="",0,INDEX(Transactions!$P:$P,ROW()-8))</f>
      </c>
    </row>
    <row r="823" spans="1:7" ht="15" customHeight="1" x14ac:dyDescent="0.15">
      <c r="A823">
        <f>IF(INDEX(Transactions!$J:$J,ROW()-8)="","",INDEX(Transactions!$J:$J,ROW()-8))</f>
      </c>
      <c r="B823" s="297">
        <f>IF($A823="",TODAY(),INDEX(Transactions!$G:$G,ROW()-8))</f>
      </c>
      <c r="C823">
        <f>IF($A823="","",INDEX(Transactions!$A:$A,ROW()-8))</f>
      </c>
      <c r="D823" s="30">
        <f>IF($A823="",0,INDEX(Transactions!$H:$H,ROW()-8))</f>
      </c>
      <c r="E823">
        <f>IF($A823="",1,INDEX(Transactions!$N:$N,ROW()-8))</f>
        <v>1</v>
      </c>
      <c r="F823" s="30">
        <f>IF($A823="",0,INDEX(Transactions!$O:$O,ROW()-8))</f>
      </c>
      <c r="G823" s="30">
        <f>IF($A823="",0,INDEX(Transactions!$P:$P,ROW()-8))</f>
      </c>
    </row>
    <row r="824" spans="1:7" ht="15" customHeight="1" x14ac:dyDescent="0.15">
      <c r="A824">
        <f>IF(INDEX(Transactions!$J:$J,ROW()-8)="","",INDEX(Transactions!$J:$J,ROW()-8))</f>
      </c>
      <c r="B824" s="297">
        <f>IF($A824="",TODAY(),INDEX(Transactions!$G:$G,ROW()-8))</f>
      </c>
      <c r="C824">
        <f>IF($A824="","",INDEX(Transactions!$A:$A,ROW()-8))</f>
      </c>
      <c r="D824" s="30">
        <f>IF($A824="",0,INDEX(Transactions!$H:$H,ROW()-8))</f>
      </c>
      <c r="E824">
        <f>IF($A824="",1,INDEX(Transactions!$N:$N,ROW()-8))</f>
        <v>1</v>
      </c>
      <c r="F824" s="30">
        <f>IF($A824="",0,INDEX(Transactions!$O:$O,ROW()-8))</f>
      </c>
      <c r="G824" s="30">
        <f>IF($A824="",0,INDEX(Transactions!$P:$P,ROW()-8))</f>
      </c>
    </row>
    <row r="825" spans="1:7" ht="15" customHeight="1" x14ac:dyDescent="0.15">
      <c r="A825">
        <f>IF(INDEX(Transactions!$J:$J,ROW()-8)="","",INDEX(Transactions!$J:$J,ROW()-8))</f>
      </c>
      <c r="B825" s="297">
        <f>IF($A825="",TODAY(),INDEX(Transactions!$G:$G,ROW()-8))</f>
      </c>
      <c r="C825">
        <f>IF($A825="","",INDEX(Transactions!$A:$A,ROW()-8))</f>
      </c>
      <c r="D825" s="30">
        <f>IF($A825="",0,INDEX(Transactions!$H:$H,ROW()-8))</f>
      </c>
      <c r="E825">
        <f>IF($A825="",1,INDEX(Transactions!$N:$N,ROW()-8))</f>
        <v>1</v>
      </c>
      <c r="F825" s="30">
        <f>IF($A825="",0,INDEX(Transactions!$O:$O,ROW()-8))</f>
      </c>
      <c r="G825" s="30">
        <f>IF($A825="",0,INDEX(Transactions!$P:$P,ROW()-8))</f>
      </c>
    </row>
    <row r="826" spans="1:7" ht="15" customHeight="1" x14ac:dyDescent="0.15">
      <c r="A826">
        <f>IF(INDEX(Transactions!$J:$J,ROW()-8)="","",INDEX(Transactions!$J:$J,ROW()-8))</f>
      </c>
      <c r="B826" s="297">
        <f>IF($A826="",TODAY(),INDEX(Transactions!$G:$G,ROW()-8))</f>
      </c>
      <c r="C826">
        <f>IF($A826="","",INDEX(Transactions!$A:$A,ROW()-8))</f>
      </c>
      <c r="D826" s="30">
        <f>IF($A826="",0,INDEX(Transactions!$H:$H,ROW()-8))</f>
      </c>
      <c r="E826">
        <f>IF($A826="",1,INDEX(Transactions!$N:$N,ROW()-8))</f>
        <v>1</v>
      </c>
      <c r="F826" s="30">
        <f>IF($A826="",0,INDEX(Transactions!$O:$O,ROW()-8))</f>
      </c>
      <c r="G826" s="30">
        <f>IF($A826="",0,INDEX(Transactions!$P:$P,ROW()-8))</f>
      </c>
    </row>
    <row r="827" spans="1:7" ht="15" customHeight="1" x14ac:dyDescent="0.15">
      <c r="A827">
        <f>IF(INDEX(Transactions!$J:$J,ROW()-8)="","",INDEX(Transactions!$J:$J,ROW()-8))</f>
      </c>
      <c r="B827" s="297">
        <f>IF($A827="",TODAY(),INDEX(Transactions!$G:$G,ROW()-8))</f>
      </c>
      <c r="C827">
        <f>IF($A827="","",INDEX(Transactions!$A:$A,ROW()-8))</f>
      </c>
      <c r="D827" s="30">
        <f>IF($A827="",0,INDEX(Transactions!$H:$H,ROW()-8))</f>
      </c>
      <c r="E827">
        <f>IF($A827="",1,INDEX(Transactions!$N:$N,ROW()-8))</f>
        <v>1</v>
      </c>
      <c r="F827" s="30">
        <f>IF($A827="",0,INDEX(Transactions!$O:$O,ROW()-8))</f>
      </c>
      <c r="G827" s="30">
        <f>IF($A827="",0,INDEX(Transactions!$P:$P,ROW()-8))</f>
      </c>
    </row>
    <row r="828" spans="1:7" ht="15" customHeight="1" x14ac:dyDescent="0.15">
      <c r="A828">
        <f>IF(INDEX(Transactions!$J:$J,ROW()-8)="","",INDEX(Transactions!$J:$J,ROW()-8))</f>
      </c>
      <c r="B828" s="297">
        <f>IF($A828="",TODAY(),INDEX(Transactions!$G:$G,ROW()-8))</f>
      </c>
      <c r="C828">
        <f>IF($A828="","",INDEX(Transactions!$A:$A,ROW()-8))</f>
      </c>
      <c r="D828" s="30">
        <f>IF($A828="",0,INDEX(Transactions!$H:$H,ROW()-8))</f>
      </c>
      <c r="E828">
        <f>IF($A828="",1,INDEX(Transactions!$N:$N,ROW()-8))</f>
        <v>1</v>
      </c>
      <c r="F828" s="30">
        <f>IF($A828="",0,INDEX(Transactions!$O:$O,ROW()-8))</f>
      </c>
      <c r="G828" s="30">
        <f>IF($A828="",0,INDEX(Transactions!$P:$P,ROW()-8))</f>
      </c>
    </row>
    <row r="829" spans="1:7" ht="15" customHeight="1" x14ac:dyDescent="0.15">
      <c r="A829">
        <f>IF(INDEX(Transactions!$J:$J,ROW()-8)="","",INDEX(Transactions!$J:$J,ROW()-8))</f>
      </c>
      <c r="B829" s="297">
        <f>IF($A829="",TODAY(),INDEX(Transactions!$G:$G,ROW()-8))</f>
      </c>
      <c r="C829">
        <f>IF($A829="","",INDEX(Transactions!$A:$A,ROW()-8))</f>
      </c>
      <c r="D829" s="30">
        <f>IF($A829="",0,INDEX(Transactions!$H:$H,ROW()-8))</f>
      </c>
      <c r="E829">
        <f>IF($A829="",1,INDEX(Transactions!$N:$N,ROW()-8))</f>
        <v>1</v>
      </c>
      <c r="F829" s="30">
        <f>IF($A829="",0,INDEX(Transactions!$O:$O,ROW()-8))</f>
      </c>
      <c r="G829" s="30">
        <f>IF($A829="",0,INDEX(Transactions!$P:$P,ROW()-8))</f>
      </c>
    </row>
    <row r="830" spans="1:7" ht="15" customHeight="1" x14ac:dyDescent="0.15">
      <c r="A830">
        <f>IF(INDEX(Transactions!$J:$J,ROW()-8)="","",INDEX(Transactions!$J:$J,ROW()-8))</f>
      </c>
      <c r="B830" s="297">
        <f>IF($A830="",TODAY(),INDEX(Transactions!$G:$G,ROW()-8))</f>
      </c>
      <c r="C830">
        <f>IF($A830="","",INDEX(Transactions!$A:$A,ROW()-8))</f>
      </c>
      <c r="D830" s="30">
        <f>IF($A830="",0,INDEX(Transactions!$H:$H,ROW()-8))</f>
      </c>
      <c r="E830">
        <f>IF($A830="",1,INDEX(Transactions!$N:$N,ROW()-8))</f>
        <v>1</v>
      </c>
      <c r="F830" s="30">
        <f>IF($A830="",0,INDEX(Transactions!$O:$O,ROW()-8))</f>
      </c>
      <c r="G830" s="30">
        <f>IF($A830="",0,INDEX(Transactions!$P:$P,ROW()-8))</f>
      </c>
    </row>
    <row r="831" spans="1:7" ht="15" customHeight="1" x14ac:dyDescent="0.15">
      <c r="A831">
        <f>IF(INDEX(Transactions!$J:$J,ROW()-8)="","",INDEX(Transactions!$J:$J,ROW()-8))</f>
      </c>
      <c r="B831" s="297">
        <f>IF($A831="",TODAY(),INDEX(Transactions!$G:$G,ROW()-8))</f>
      </c>
      <c r="C831">
        <f>IF($A831="","",INDEX(Transactions!$A:$A,ROW()-8))</f>
      </c>
      <c r="D831" s="30">
        <f>IF($A831="",0,INDEX(Transactions!$H:$H,ROW()-8))</f>
      </c>
      <c r="E831">
        <f>IF($A831="",1,INDEX(Transactions!$N:$N,ROW()-8))</f>
        <v>1</v>
      </c>
      <c r="F831" s="30">
        <f>IF($A831="",0,INDEX(Transactions!$O:$O,ROW()-8))</f>
      </c>
      <c r="G831" s="30">
        <f>IF($A831="",0,INDEX(Transactions!$P:$P,ROW()-8))</f>
      </c>
    </row>
    <row r="832" spans="1:7" ht="15" customHeight="1" x14ac:dyDescent="0.15">
      <c r="A832">
        <f>IF(INDEX(Transactions!$J:$J,ROW()-8)="","",INDEX(Transactions!$J:$J,ROW()-8))</f>
      </c>
      <c r="B832" s="297">
        <f>IF($A832="",TODAY(),INDEX(Transactions!$G:$G,ROW()-8))</f>
      </c>
      <c r="C832">
        <f>IF($A832="","",INDEX(Transactions!$A:$A,ROW()-8))</f>
      </c>
      <c r="D832" s="30">
        <f>IF($A832="",0,INDEX(Transactions!$H:$H,ROW()-8))</f>
      </c>
      <c r="E832">
        <f>IF($A832="",1,INDEX(Transactions!$N:$N,ROW()-8))</f>
        <v>1</v>
      </c>
      <c r="F832" s="30">
        <f>IF($A832="",0,INDEX(Transactions!$O:$O,ROW()-8))</f>
      </c>
      <c r="G832" s="30">
        <f>IF($A832="",0,INDEX(Transactions!$P:$P,ROW()-8))</f>
      </c>
    </row>
    <row r="833" spans="1:7" ht="15" customHeight="1" x14ac:dyDescent="0.15">
      <c r="A833">
        <f>IF(INDEX(Transactions!$J:$J,ROW()-8)="","",INDEX(Transactions!$J:$J,ROW()-8))</f>
      </c>
      <c r="B833" s="297">
        <f>IF($A833="",TODAY(),INDEX(Transactions!$G:$G,ROW()-8))</f>
      </c>
      <c r="C833">
        <f>IF($A833="","",INDEX(Transactions!$A:$A,ROW()-8))</f>
      </c>
      <c r="D833" s="30">
        <f>IF($A833="",0,INDEX(Transactions!$H:$H,ROW()-8))</f>
      </c>
      <c r="E833">
        <f>IF($A833="",1,INDEX(Transactions!$N:$N,ROW()-8))</f>
        <v>1</v>
      </c>
      <c r="F833" s="30">
        <f>IF($A833="",0,INDEX(Transactions!$O:$O,ROW()-8))</f>
      </c>
      <c r="G833" s="30">
        <f>IF($A833="",0,INDEX(Transactions!$P:$P,ROW()-8))</f>
      </c>
    </row>
    <row r="834" spans="1:7" ht="15" customHeight="1" x14ac:dyDescent="0.15">
      <c r="A834">
        <f>IF(INDEX(Transactions!$J:$J,ROW()-8)="","",INDEX(Transactions!$J:$J,ROW()-8))</f>
      </c>
      <c r="B834" s="297">
        <f>IF($A834="",TODAY(),INDEX(Transactions!$G:$G,ROW()-8))</f>
      </c>
      <c r="C834">
        <f>IF($A834="","",INDEX(Transactions!$A:$A,ROW()-8))</f>
      </c>
      <c r="D834" s="30">
        <f>IF($A834="",0,INDEX(Transactions!$H:$H,ROW()-8))</f>
      </c>
      <c r="E834">
        <f>IF($A834="",1,INDEX(Transactions!$N:$N,ROW()-8))</f>
        <v>1</v>
      </c>
      <c r="F834" s="30">
        <f>IF($A834="",0,INDEX(Transactions!$O:$O,ROW()-8))</f>
      </c>
      <c r="G834" s="30">
        <f>IF($A834="",0,INDEX(Transactions!$P:$P,ROW()-8))</f>
      </c>
    </row>
    <row r="835" spans="1:7" ht="15" customHeight="1" x14ac:dyDescent="0.15">
      <c r="A835">
        <f>IF(INDEX(Transactions!$J:$J,ROW()-8)="","",INDEX(Transactions!$J:$J,ROW()-8))</f>
      </c>
      <c r="B835" s="297">
        <f>IF($A835="",TODAY(),INDEX(Transactions!$G:$G,ROW()-8))</f>
      </c>
      <c r="C835">
        <f>IF($A835="","",INDEX(Transactions!$A:$A,ROW()-8))</f>
      </c>
      <c r="D835" s="30">
        <f>IF($A835="",0,INDEX(Transactions!$H:$H,ROW()-8))</f>
      </c>
      <c r="E835">
        <f>IF($A835="",1,INDEX(Transactions!$N:$N,ROW()-8))</f>
        <v>1</v>
      </c>
      <c r="F835" s="30">
        <f>IF($A835="",0,INDEX(Transactions!$O:$O,ROW()-8))</f>
      </c>
      <c r="G835" s="30">
        <f>IF($A835="",0,INDEX(Transactions!$P:$P,ROW()-8))</f>
      </c>
    </row>
    <row r="836" spans="1:7" ht="15" customHeight="1" x14ac:dyDescent="0.15">
      <c r="A836">
        <f>IF(INDEX(Transactions!$J:$J,ROW()-8)="","",INDEX(Transactions!$J:$J,ROW()-8))</f>
      </c>
      <c r="B836" s="297">
        <f>IF($A836="",TODAY(),INDEX(Transactions!$G:$G,ROW()-8))</f>
      </c>
      <c r="C836">
        <f>IF($A836="","",INDEX(Transactions!$A:$A,ROW()-8))</f>
      </c>
      <c r="D836" s="30">
        <f>IF($A836="",0,INDEX(Transactions!$H:$H,ROW()-8))</f>
      </c>
      <c r="E836">
        <f>IF($A836="",1,INDEX(Transactions!$N:$N,ROW()-8))</f>
        <v>1</v>
      </c>
      <c r="F836" s="30">
        <f>IF($A836="",0,INDEX(Transactions!$O:$O,ROW()-8))</f>
      </c>
      <c r="G836" s="30">
        <f>IF($A836="",0,INDEX(Transactions!$P:$P,ROW()-8))</f>
      </c>
    </row>
    <row r="837" spans="1:7" ht="15" customHeight="1" x14ac:dyDescent="0.15">
      <c r="A837">
        <f>IF(INDEX(Transactions!$J:$J,ROW()-8)="","",INDEX(Transactions!$J:$J,ROW()-8))</f>
      </c>
      <c r="B837" s="297">
        <f>IF($A837="",TODAY(),INDEX(Transactions!$G:$G,ROW()-8))</f>
      </c>
      <c r="C837">
        <f>IF($A837="","",INDEX(Transactions!$A:$A,ROW()-8))</f>
      </c>
      <c r="D837" s="30">
        <f>IF($A837="",0,INDEX(Transactions!$H:$H,ROW()-8))</f>
      </c>
      <c r="E837">
        <f>IF($A837="",1,INDEX(Transactions!$N:$N,ROW()-8))</f>
        <v>1</v>
      </c>
      <c r="F837" s="30">
        <f>IF($A837="",0,INDEX(Transactions!$O:$O,ROW()-8))</f>
      </c>
      <c r="G837" s="30">
        <f>IF($A837="",0,INDEX(Transactions!$P:$P,ROW()-8))</f>
      </c>
    </row>
    <row r="838" spans="1:7" ht="15" customHeight="1" x14ac:dyDescent="0.15">
      <c r="A838">
        <f>IF(INDEX(Transactions!$J:$J,ROW()-8)="","",INDEX(Transactions!$J:$J,ROW()-8))</f>
      </c>
      <c r="B838" s="297">
        <f>IF($A838="",TODAY(),INDEX(Transactions!$G:$G,ROW()-8))</f>
      </c>
      <c r="C838">
        <f>IF($A838="","",INDEX(Transactions!$A:$A,ROW()-8))</f>
      </c>
      <c r="D838" s="30">
        <f>IF($A838="",0,INDEX(Transactions!$H:$H,ROW()-8))</f>
      </c>
      <c r="E838">
        <f>IF($A838="",1,INDEX(Transactions!$N:$N,ROW()-8))</f>
        <v>1</v>
      </c>
      <c r="F838" s="30">
        <f>IF($A838="",0,INDEX(Transactions!$O:$O,ROW()-8))</f>
      </c>
      <c r="G838" s="30">
        <f>IF($A838="",0,INDEX(Transactions!$P:$P,ROW()-8))</f>
      </c>
    </row>
    <row r="839" spans="1:7" ht="15" customHeight="1" x14ac:dyDescent="0.15">
      <c r="A839">
        <f>IF(INDEX(Transactions!$J:$J,ROW()-8)="","",INDEX(Transactions!$J:$J,ROW()-8))</f>
      </c>
      <c r="B839" s="297">
        <f>IF($A839="",TODAY(),INDEX(Transactions!$G:$G,ROW()-8))</f>
      </c>
      <c r="C839">
        <f>IF($A839="","",INDEX(Transactions!$A:$A,ROW()-8))</f>
      </c>
      <c r="D839" s="30">
        <f>IF($A839="",0,INDEX(Transactions!$H:$H,ROW()-8))</f>
      </c>
      <c r="E839">
        <f>IF($A839="",1,INDEX(Transactions!$N:$N,ROW()-8))</f>
        <v>1</v>
      </c>
      <c r="F839" s="30">
        <f>IF($A839="",0,INDEX(Transactions!$O:$O,ROW()-8))</f>
      </c>
      <c r="G839" s="30">
        <f>IF($A839="",0,INDEX(Transactions!$P:$P,ROW()-8))</f>
      </c>
    </row>
    <row r="840" spans="1:7" ht="15" customHeight="1" x14ac:dyDescent="0.15">
      <c r="A840">
        <f>IF(INDEX(Transactions!$J:$J,ROW()-8)="","",INDEX(Transactions!$J:$J,ROW()-8))</f>
      </c>
      <c r="B840" s="297">
        <f>IF($A840="",TODAY(),INDEX(Transactions!$G:$G,ROW()-8))</f>
      </c>
      <c r="C840">
        <f>IF($A840="","",INDEX(Transactions!$A:$A,ROW()-8))</f>
      </c>
      <c r="D840" s="30">
        <f>IF($A840="",0,INDEX(Transactions!$H:$H,ROW()-8))</f>
      </c>
      <c r="E840">
        <f>IF($A840="",1,INDEX(Transactions!$N:$N,ROW()-8))</f>
        <v>1</v>
      </c>
      <c r="F840" s="30">
        <f>IF($A840="",0,INDEX(Transactions!$O:$O,ROW()-8))</f>
      </c>
      <c r="G840" s="30">
        <f>IF($A840="",0,INDEX(Transactions!$P:$P,ROW()-8))</f>
      </c>
    </row>
    <row r="841" spans="1:7" ht="15" customHeight="1" x14ac:dyDescent="0.15">
      <c r="A841">
        <f>IF(INDEX(Transactions!$J:$J,ROW()-8)="","",INDEX(Transactions!$J:$J,ROW()-8))</f>
      </c>
      <c r="B841" s="297">
        <f>IF($A841="",TODAY(),INDEX(Transactions!$G:$G,ROW()-8))</f>
      </c>
      <c r="C841">
        <f>IF($A841="","",INDEX(Transactions!$A:$A,ROW()-8))</f>
      </c>
      <c r="D841" s="30">
        <f>IF($A841="",0,INDEX(Transactions!$H:$H,ROW()-8))</f>
      </c>
      <c r="E841">
        <f>IF($A841="",1,INDEX(Transactions!$N:$N,ROW()-8))</f>
        <v>1</v>
      </c>
      <c r="F841" s="30">
        <f>IF($A841="",0,INDEX(Transactions!$O:$O,ROW()-8))</f>
      </c>
      <c r="G841" s="30">
        <f>IF($A841="",0,INDEX(Transactions!$P:$P,ROW()-8))</f>
      </c>
    </row>
    <row r="842" spans="1:7" ht="15" customHeight="1" x14ac:dyDescent="0.15">
      <c r="A842">
        <f>IF(INDEX(Transactions!$J:$J,ROW()-8)="","",INDEX(Transactions!$J:$J,ROW()-8))</f>
      </c>
      <c r="B842" s="297">
        <f>IF($A842="",TODAY(),INDEX(Transactions!$G:$G,ROW()-8))</f>
      </c>
      <c r="C842">
        <f>IF($A842="","",INDEX(Transactions!$A:$A,ROW()-8))</f>
      </c>
      <c r="D842" s="30">
        <f>IF($A842="",0,INDEX(Transactions!$H:$H,ROW()-8))</f>
      </c>
      <c r="E842">
        <f>IF($A842="",1,INDEX(Transactions!$N:$N,ROW()-8))</f>
        <v>1</v>
      </c>
      <c r="F842" s="30">
        <f>IF($A842="",0,INDEX(Transactions!$O:$O,ROW()-8))</f>
      </c>
      <c r="G842" s="30">
        <f>IF($A842="",0,INDEX(Transactions!$P:$P,ROW()-8))</f>
      </c>
    </row>
    <row r="843" spans="1:7" ht="15" customHeight="1" x14ac:dyDescent="0.15">
      <c r="A843">
        <f>IF(INDEX(Transactions!$J:$J,ROW()-8)="","",INDEX(Transactions!$J:$J,ROW()-8))</f>
      </c>
      <c r="B843" s="297">
        <f>IF($A843="",TODAY(),INDEX(Transactions!$G:$G,ROW()-8))</f>
      </c>
      <c r="C843">
        <f>IF($A843="","",INDEX(Transactions!$A:$A,ROW()-8))</f>
      </c>
      <c r="D843" s="30">
        <f>IF($A843="",0,INDEX(Transactions!$H:$H,ROW()-8))</f>
      </c>
      <c r="E843">
        <f>IF($A843="",1,INDEX(Transactions!$N:$N,ROW()-8))</f>
        <v>1</v>
      </c>
      <c r="F843" s="30">
        <f>IF($A843="",0,INDEX(Transactions!$O:$O,ROW()-8))</f>
      </c>
      <c r="G843" s="30">
        <f>IF($A843="",0,INDEX(Transactions!$P:$P,ROW()-8))</f>
      </c>
    </row>
    <row r="844" spans="1:7" ht="15" customHeight="1" x14ac:dyDescent="0.15">
      <c r="A844">
        <f>IF(INDEX(Transactions!$J:$J,ROW()-8)="","",INDEX(Transactions!$J:$J,ROW()-8))</f>
      </c>
      <c r="B844" s="297">
        <f>IF($A844="",TODAY(),INDEX(Transactions!$G:$G,ROW()-8))</f>
      </c>
      <c r="C844">
        <f>IF($A844="","",INDEX(Transactions!$A:$A,ROW()-8))</f>
      </c>
      <c r="D844" s="30">
        <f>IF($A844="",0,INDEX(Transactions!$H:$H,ROW()-8))</f>
      </c>
      <c r="E844">
        <f>IF($A844="",1,INDEX(Transactions!$N:$N,ROW()-8))</f>
        <v>1</v>
      </c>
      <c r="F844" s="30">
        <f>IF($A844="",0,INDEX(Transactions!$O:$O,ROW()-8))</f>
      </c>
      <c r="G844" s="30">
        <f>IF($A844="",0,INDEX(Transactions!$P:$P,ROW()-8))</f>
      </c>
    </row>
    <row r="845" spans="1:7" ht="15" customHeight="1" x14ac:dyDescent="0.15">
      <c r="A845">
        <f>IF(INDEX(Transactions!$J:$J,ROW()-8)="","",INDEX(Transactions!$J:$J,ROW()-8))</f>
      </c>
      <c r="B845" s="297">
        <f>IF($A845="",TODAY(),INDEX(Transactions!$G:$G,ROW()-8))</f>
      </c>
      <c r="C845">
        <f>IF($A845="","",INDEX(Transactions!$A:$A,ROW()-8))</f>
      </c>
      <c r="D845" s="30">
        <f>IF($A845="",0,INDEX(Transactions!$H:$H,ROW()-8))</f>
      </c>
      <c r="E845">
        <f>IF($A845="",1,INDEX(Transactions!$N:$N,ROW()-8))</f>
        <v>1</v>
      </c>
      <c r="F845" s="30">
        <f>IF($A845="",0,INDEX(Transactions!$O:$O,ROW()-8))</f>
      </c>
      <c r="G845" s="30">
        <f>IF($A845="",0,INDEX(Transactions!$P:$P,ROW()-8))</f>
      </c>
    </row>
    <row r="846" spans="1:7" ht="15" customHeight="1" x14ac:dyDescent="0.15">
      <c r="A846">
        <f>IF(INDEX(Transactions!$J:$J,ROW()-8)="","",INDEX(Transactions!$J:$J,ROW()-8))</f>
      </c>
      <c r="B846" s="297">
        <f>IF($A846="",TODAY(),INDEX(Transactions!$G:$G,ROW()-8))</f>
      </c>
      <c r="C846">
        <f>IF($A846="","",INDEX(Transactions!$A:$A,ROW()-8))</f>
      </c>
      <c r="D846" s="30">
        <f>IF($A846="",0,INDEX(Transactions!$H:$H,ROW()-8))</f>
      </c>
      <c r="E846">
        <f>IF($A846="",1,INDEX(Transactions!$N:$N,ROW()-8))</f>
        <v>1</v>
      </c>
      <c r="F846" s="30">
        <f>IF($A846="",0,INDEX(Transactions!$O:$O,ROW()-8))</f>
      </c>
      <c r="G846" s="30">
        <f>IF($A846="",0,INDEX(Transactions!$P:$P,ROW()-8))</f>
      </c>
    </row>
    <row r="847" spans="1:7" ht="15" customHeight="1" x14ac:dyDescent="0.15">
      <c r="A847">
        <f>IF(INDEX(Transactions!$J:$J,ROW()-8)="","",INDEX(Transactions!$J:$J,ROW()-8))</f>
      </c>
      <c r="B847" s="297">
        <f>IF($A847="",TODAY(),INDEX(Transactions!$G:$G,ROW()-8))</f>
      </c>
      <c r="C847">
        <f>IF($A847="","",INDEX(Transactions!$A:$A,ROW()-8))</f>
      </c>
      <c r="D847" s="30">
        <f>IF($A847="",0,INDEX(Transactions!$H:$H,ROW()-8))</f>
      </c>
      <c r="E847">
        <f>IF($A847="",1,INDEX(Transactions!$N:$N,ROW()-8))</f>
        <v>1</v>
      </c>
      <c r="F847" s="30">
        <f>IF($A847="",0,INDEX(Transactions!$O:$O,ROW()-8))</f>
      </c>
      <c r="G847" s="30">
        <f>IF($A847="",0,INDEX(Transactions!$P:$P,ROW()-8))</f>
      </c>
    </row>
    <row r="848" spans="1:7" ht="15" customHeight="1" x14ac:dyDescent="0.15">
      <c r="A848">
        <f>IF(INDEX(Transactions!$J:$J,ROW()-8)="","",INDEX(Transactions!$J:$J,ROW()-8))</f>
      </c>
      <c r="B848" s="297">
        <f>IF($A848="",TODAY(),INDEX(Transactions!$G:$G,ROW()-8))</f>
      </c>
      <c r="C848">
        <f>IF($A848="","",INDEX(Transactions!$A:$A,ROW()-8))</f>
      </c>
      <c r="D848" s="30">
        <f>IF($A848="",0,INDEX(Transactions!$H:$H,ROW()-8))</f>
      </c>
      <c r="E848">
        <f>IF($A848="",1,INDEX(Transactions!$N:$N,ROW()-8))</f>
        <v>1</v>
      </c>
      <c r="F848" s="30">
        <f>IF($A848="",0,INDEX(Transactions!$O:$O,ROW()-8))</f>
      </c>
      <c r="G848" s="30">
        <f>IF($A848="",0,INDEX(Transactions!$P:$P,ROW()-8))</f>
      </c>
    </row>
    <row r="849" spans="1:7" ht="15" customHeight="1" x14ac:dyDescent="0.15">
      <c r="A849">
        <f>IF(INDEX(Transactions!$J:$J,ROW()-8)="","",INDEX(Transactions!$J:$J,ROW()-8))</f>
      </c>
      <c r="B849" s="297">
        <f>IF($A849="",TODAY(),INDEX(Transactions!$G:$G,ROW()-8))</f>
      </c>
      <c r="C849">
        <f>IF($A849="","",INDEX(Transactions!$A:$A,ROW()-8))</f>
      </c>
      <c r="D849" s="30">
        <f>IF($A849="",0,INDEX(Transactions!$H:$H,ROW()-8))</f>
      </c>
      <c r="E849">
        <f>IF($A849="",1,INDEX(Transactions!$N:$N,ROW()-8))</f>
        <v>1</v>
      </c>
      <c r="F849" s="30">
        <f>IF($A849="",0,INDEX(Transactions!$O:$O,ROW()-8))</f>
      </c>
      <c r="G849" s="30">
        <f>IF($A849="",0,INDEX(Transactions!$P:$P,ROW()-8))</f>
      </c>
    </row>
    <row r="850" spans="1:7" ht="15" customHeight="1" x14ac:dyDescent="0.15">
      <c r="A850">
        <f>IF(INDEX(Transactions!$J:$J,ROW()-8)="","",INDEX(Transactions!$J:$J,ROW()-8))</f>
      </c>
      <c r="B850" s="297">
        <f>IF($A850="",TODAY(),INDEX(Transactions!$G:$G,ROW()-8))</f>
      </c>
      <c r="C850">
        <f>IF($A850="","",INDEX(Transactions!$A:$A,ROW()-8))</f>
      </c>
      <c r="D850" s="30">
        <f>IF($A850="",0,INDEX(Transactions!$H:$H,ROW()-8))</f>
      </c>
      <c r="E850">
        <f>IF($A850="",1,INDEX(Transactions!$N:$N,ROW()-8))</f>
        <v>1</v>
      </c>
      <c r="F850" s="30">
        <f>IF($A850="",0,INDEX(Transactions!$O:$O,ROW()-8))</f>
      </c>
      <c r="G850" s="30">
        <f>IF($A850="",0,INDEX(Transactions!$P:$P,ROW()-8))</f>
      </c>
    </row>
    <row r="851" spans="1:7" ht="15" customHeight="1" x14ac:dyDescent="0.15">
      <c r="A851">
        <f>IF(INDEX(Transactions!$J:$J,ROW()-8)="","",INDEX(Transactions!$J:$J,ROW()-8))</f>
      </c>
      <c r="B851" s="297">
        <f>IF($A851="",TODAY(),INDEX(Transactions!$G:$G,ROW()-8))</f>
      </c>
      <c r="C851">
        <f>IF($A851="","",INDEX(Transactions!$A:$A,ROW()-8))</f>
      </c>
      <c r="D851" s="30">
        <f>IF($A851="",0,INDEX(Transactions!$H:$H,ROW()-8))</f>
      </c>
      <c r="E851">
        <f>IF($A851="",1,INDEX(Transactions!$N:$N,ROW()-8))</f>
        <v>1</v>
      </c>
      <c r="F851" s="30">
        <f>IF($A851="",0,INDEX(Transactions!$O:$O,ROW()-8))</f>
      </c>
      <c r="G851" s="30">
        <f>IF($A851="",0,INDEX(Transactions!$P:$P,ROW()-8))</f>
      </c>
    </row>
    <row r="852" spans="1:7" ht="15" customHeight="1" x14ac:dyDescent="0.15">
      <c r="A852">
        <f>IF(INDEX(Transactions!$J:$J,ROW()-8)="","",INDEX(Transactions!$J:$J,ROW()-8))</f>
      </c>
      <c r="B852" s="297">
        <f>IF($A852="",TODAY(),INDEX(Transactions!$G:$G,ROW()-8))</f>
      </c>
      <c r="C852">
        <f>IF($A852="","",INDEX(Transactions!$A:$A,ROW()-8))</f>
      </c>
      <c r="D852" s="30">
        <f>IF($A852="",0,INDEX(Transactions!$H:$H,ROW()-8))</f>
      </c>
      <c r="E852">
        <f>IF($A852="",1,INDEX(Transactions!$N:$N,ROW()-8))</f>
        <v>1</v>
      </c>
      <c r="F852" s="30">
        <f>IF($A852="",0,INDEX(Transactions!$O:$O,ROW()-8))</f>
      </c>
      <c r="G852" s="30">
        <f>IF($A852="",0,INDEX(Transactions!$P:$P,ROW()-8))</f>
      </c>
    </row>
    <row r="853" spans="1:7" ht="15" customHeight="1" x14ac:dyDescent="0.15">
      <c r="A853">
        <f>IF(INDEX(Transactions!$J:$J,ROW()-8)="","",INDEX(Transactions!$J:$J,ROW()-8))</f>
      </c>
      <c r="B853" s="297">
        <f>IF($A853="",TODAY(),INDEX(Transactions!$G:$G,ROW()-8))</f>
      </c>
      <c r="C853">
        <f>IF($A853="","",INDEX(Transactions!$A:$A,ROW()-8))</f>
      </c>
      <c r="D853" s="30">
        <f>IF($A853="",0,INDEX(Transactions!$H:$H,ROW()-8))</f>
      </c>
      <c r="E853">
        <f>IF($A853="",1,INDEX(Transactions!$N:$N,ROW()-8))</f>
        <v>1</v>
      </c>
      <c r="F853" s="30">
        <f>IF($A853="",0,INDEX(Transactions!$O:$O,ROW()-8))</f>
      </c>
      <c r="G853" s="30">
        <f>IF($A853="",0,INDEX(Transactions!$P:$P,ROW()-8))</f>
      </c>
    </row>
    <row r="854" spans="1:7" ht="15" customHeight="1" x14ac:dyDescent="0.15">
      <c r="A854">
        <f>IF(INDEX(Transactions!$J:$J,ROW()-8)="","",INDEX(Transactions!$J:$J,ROW()-8))</f>
      </c>
      <c r="B854" s="297">
        <f>IF($A854="",TODAY(),INDEX(Transactions!$G:$G,ROW()-8))</f>
      </c>
      <c r="C854">
        <f>IF($A854="","",INDEX(Transactions!$A:$A,ROW()-8))</f>
      </c>
      <c r="D854" s="30">
        <f>IF($A854="",0,INDEX(Transactions!$H:$H,ROW()-8))</f>
      </c>
      <c r="E854">
        <f>IF($A854="",1,INDEX(Transactions!$N:$N,ROW()-8))</f>
        <v>1</v>
      </c>
      <c r="F854" s="30">
        <f>IF($A854="",0,INDEX(Transactions!$O:$O,ROW()-8))</f>
      </c>
      <c r="G854" s="30">
        <f>IF($A854="",0,INDEX(Transactions!$P:$P,ROW()-8))</f>
      </c>
    </row>
    <row r="855" spans="1:7" ht="15" customHeight="1" x14ac:dyDescent="0.15">
      <c r="A855">
        <f>IF(INDEX(Transactions!$J:$J,ROW()-8)="","",INDEX(Transactions!$J:$J,ROW()-8))</f>
      </c>
      <c r="B855" s="297">
        <f>IF($A855="",TODAY(),INDEX(Transactions!$G:$G,ROW()-8))</f>
      </c>
      <c r="C855">
        <f>IF($A855="","",INDEX(Transactions!$A:$A,ROW()-8))</f>
      </c>
      <c r="D855" s="30">
        <f>IF($A855="",0,INDEX(Transactions!$H:$H,ROW()-8))</f>
      </c>
      <c r="E855">
        <f>IF($A855="",1,INDEX(Transactions!$N:$N,ROW()-8))</f>
        <v>1</v>
      </c>
      <c r="F855" s="30">
        <f>IF($A855="",0,INDEX(Transactions!$O:$O,ROW()-8))</f>
      </c>
      <c r="G855" s="30">
        <f>IF($A855="",0,INDEX(Transactions!$P:$P,ROW()-8))</f>
      </c>
    </row>
    <row r="856" spans="1:7" ht="15" customHeight="1" x14ac:dyDescent="0.15">
      <c r="A856">
        <f>IF(INDEX(Transactions!$J:$J,ROW()-8)="","",INDEX(Transactions!$J:$J,ROW()-8))</f>
      </c>
      <c r="B856" s="297">
        <f>IF($A856="",TODAY(),INDEX(Transactions!$G:$G,ROW()-8))</f>
      </c>
      <c r="C856">
        <f>IF($A856="","",INDEX(Transactions!$A:$A,ROW()-8))</f>
      </c>
      <c r="D856" s="30">
        <f>IF($A856="",0,INDEX(Transactions!$H:$H,ROW()-8))</f>
      </c>
      <c r="E856">
        <f>IF($A856="",1,INDEX(Transactions!$N:$N,ROW()-8))</f>
        <v>1</v>
      </c>
      <c r="F856" s="30">
        <f>IF($A856="",0,INDEX(Transactions!$O:$O,ROW()-8))</f>
      </c>
      <c r="G856" s="30">
        <f>IF($A856="",0,INDEX(Transactions!$P:$P,ROW()-8))</f>
      </c>
    </row>
    <row r="857" spans="1:7" ht="15" customHeight="1" x14ac:dyDescent="0.15">
      <c r="A857">
        <f>IF(INDEX(Transactions!$J:$J,ROW()-8)="","",INDEX(Transactions!$J:$J,ROW()-8))</f>
      </c>
      <c r="B857" s="297">
        <f>IF($A857="",TODAY(),INDEX(Transactions!$G:$G,ROW()-8))</f>
      </c>
      <c r="C857">
        <f>IF($A857="","",INDEX(Transactions!$A:$A,ROW()-8))</f>
      </c>
      <c r="D857" s="30">
        <f>IF($A857="",0,INDEX(Transactions!$H:$H,ROW()-8))</f>
      </c>
      <c r="E857">
        <f>IF($A857="",1,INDEX(Transactions!$N:$N,ROW()-8))</f>
        <v>1</v>
      </c>
      <c r="F857" s="30">
        <f>IF($A857="",0,INDEX(Transactions!$O:$O,ROW()-8))</f>
      </c>
      <c r="G857" s="30">
        <f>IF($A857="",0,INDEX(Transactions!$P:$P,ROW()-8))</f>
      </c>
    </row>
    <row r="858" spans="1:7" ht="15" customHeight="1" x14ac:dyDescent="0.15">
      <c r="A858">
        <f>IF(INDEX(Transactions!$J:$J,ROW()-8)="","",INDEX(Transactions!$J:$J,ROW()-8))</f>
      </c>
      <c r="B858" s="297">
        <f>IF($A858="",TODAY(),INDEX(Transactions!$G:$G,ROW()-8))</f>
      </c>
      <c r="C858">
        <f>IF($A858="","",INDEX(Transactions!$A:$A,ROW()-8))</f>
      </c>
      <c r="D858" s="30">
        <f>IF($A858="",0,INDEX(Transactions!$H:$H,ROW()-8))</f>
      </c>
      <c r="E858">
        <f>IF($A858="",1,INDEX(Transactions!$N:$N,ROW()-8))</f>
        <v>1</v>
      </c>
      <c r="F858" s="30">
        <f>IF($A858="",0,INDEX(Transactions!$O:$O,ROW()-8))</f>
      </c>
      <c r="G858" s="30">
        <f>IF($A858="",0,INDEX(Transactions!$P:$P,ROW()-8))</f>
      </c>
    </row>
    <row r="859" spans="1:7" ht="15" customHeight="1" x14ac:dyDescent="0.15">
      <c r="A859">
        <f>IF(INDEX(Transactions!$J:$J,ROW()-8)="","",INDEX(Transactions!$J:$J,ROW()-8))</f>
      </c>
      <c r="B859" s="297">
        <f>IF($A859="",TODAY(),INDEX(Transactions!$G:$G,ROW()-8))</f>
      </c>
      <c r="C859">
        <f>IF($A859="","",INDEX(Transactions!$A:$A,ROW()-8))</f>
      </c>
      <c r="D859" s="30">
        <f>IF($A859="",0,INDEX(Transactions!$H:$H,ROW()-8))</f>
      </c>
      <c r="E859">
        <f>IF($A859="",1,INDEX(Transactions!$N:$N,ROW()-8))</f>
        <v>1</v>
      </c>
      <c r="F859" s="30">
        <f>IF($A859="",0,INDEX(Transactions!$O:$O,ROW()-8))</f>
      </c>
      <c r="G859" s="30">
        <f>IF($A859="",0,INDEX(Transactions!$P:$P,ROW()-8))</f>
      </c>
    </row>
    <row r="860" spans="1:7" ht="15" customHeight="1" x14ac:dyDescent="0.15">
      <c r="A860">
        <f>IF(INDEX(Transactions!$J:$J,ROW()-8)="","",INDEX(Transactions!$J:$J,ROW()-8))</f>
      </c>
      <c r="B860" s="297">
        <f>IF($A860="",TODAY(),INDEX(Transactions!$G:$G,ROW()-8))</f>
      </c>
      <c r="C860">
        <f>IF($A860="","",INDEX(Transactions!$A:$A,ROW()-8))</f>
      </c>
      <c r="D860" s="30">
        <f>IF($A860="",0,INDEX(Transactions!$H:$H,ROW()-8))</f>
      </c>
      <c r="E860">
        <f>IF($A860="",1,INDEX(Transactions!$N:$N,ROW()-8))</f>
        <v>1</v>
      </c>
      <c r="F860" s="30">
        <f>IF($A860="",0,INDEX(Transactions!$O:$O,ROW()-8))</f>
      </c>
      <c r="G860" s="30">
        <f>IF($A860="",0,INDEX(Transactions!$P:$P,ROW()-8))</f>
      </c>
    </row>
    <row r="861" spans="1:7" ht="15" customHeight="1" x14ac:dyDescent="0.15">
      <c r="A861">
        <f>IF(INDEX(Transactions!$J:$J,ROW()-8)="","",INDEX(Transactions!$J:$J,ROW()-8))</f>
      </c>
      <c r="B861" s="297">
        <f>IF($A861="",TODAY(),INDEX(Transactions!$G:$G,ROW()-8))</f>
      </c>
      <c r="C861">
        <f>IF($A861="","",INDEX(Transactions!$A:$A,ROW()-8))</f>
      </c>
      <c r="D861" s="30">
        <f>IF($A861="",0,INDEX(Transactions!$H:$H,ROW()-8))</f>
      </c>
      <c r="E861">
        <f>IF($A861="",1,INDEX(Transactions!$N:$N,ROW()-8))</f>
        <v>1</v>
      </c>
      <c r="F861" s="30">
        <f>IF($A861="",0,INDEX(Transactions!$O:$O,ROW()-8))</f>
      </c>
      <c r="G861" s="30">
        <f>IF($A861="",0,INDEX(Transactions!$P:$P,ROW()-8))</f>
      </c>
    </row>
    <row r="862" spans="1:7" ht="15" customHeight="1" x14ac:dyDescent="0.15">
      <c r="A862">
        <f>IF(INDEX(Transactions!$J:$J,ROW()-8)="","",INDEX(Transactions!$J:$J,ROW()-8))</f>
      </c>
      <c r="B862" s="297">
        <f>IF($A862="",TODAY(),INDEX(Transactions!$G:$G,ROW()-8))</f>
      </c>
      <c r="C862">
        <f>IF($A862="","",INDEX(Transactions!$A:$A,ROW()-8))</f>
      </c>
      <c r="D862" s="30">
        <f>IF($A862="",0,INDEX(Transactions!$H:$H,ROW()-8))</f>
      </c>
      <c r="E862">
        <f>IF($A862="",1,INDEX(Transactions!$N:$N,ROW()-8))</f>
        <v>1</v>
      </c>
      <c r="F862" s="30">
        <f>IF($A862="",0,INDEX(Transactions!$O:$O,ROW()-8))</f>
      </c>
      <c r="G862" s="30">
        <f>IF($A862="",0,INDEX(Transactions!$P:$P,ROW()-8))</f>
      </c>
    </row>
    <row r="863" spans="1:7" ht="15" customHeight="1" x14ac:dyDescent="0.15">
      <c r="A863">
        <f>IF(INDEX(Transactions!$J:$J,ROW()-8)="","",INDEX(Transactions!$J:$J,ROW()-8))</f>
      </c>
      <c r="B863" s="297">
        <f>IF($A863="",TODAY(),INDEX(Transactions!$G:$G,ROW()-8))</f>
      </c>
      <c r="C863">
        <f>IF($A863="","",INDEX(Transactions!$A:$A,ROW()-8))</f>
      </c>
      <c r="D863" s="30">
        <f>IF($A863="",0,INDEX(Transactions!$H:$H,ROW()-8))</f>
      </c>
      <c r="E863">
        <f>IF($A863="",1,INDEX(Transactions!$N:$N,ROW()-8))</f>
        <v>1</v>
      </c>
      <c r="F863" s="30">
        <f>IF($A863="",0,INDEX(Transactions!$O:$O,ROW()-8))</f>
      </c>
      <c r="G863" s="30">
        <f>IF($A863="",0,INDEX(Transactions!$P:$P,ROW()-8))</f>
      </c>
    </row>
    <row r="864" spans="1:7" ht="15" customHeight="1" x14ac:dyDescent="0.15">
      <c r="A864">
        <f>IF(INDEX(Transactions!$J:$J,ROW()-8)="","",INDEX(Transactions!$J:$J,ROW()-8))</f>
      </c>
      <c r="B864" s="297">
        <f>IF($A864="",TODAY(),INDEX(Transactions!$G:$G,ROW()-8))</f>
      </c>
      <c r="C864">
        <f>IF($A864="","",INDEX(Transactions!$A:$A,ROW()-8))</f>
      </c>
      <c r="D864" s="30">
        <f>IF($A864="",0,INDEX(Transactions!$H:$H,ROW()-8))</f>
      </c>
      <c r="E864">
        <f>IF($A864="",1,INDEX(Transactions!$N:$N,ROW()-8))</f>
        <v>1</v>
      </c>
      <c r="F864" s="30">
        <f>IF($A864="",0,INDEX(Transactions!$O:$O,ROW()-8))</f>
      </c>
      <c r="G864" s="30">
        <f>IF($A864="",0,INDEX(Transactions!$P:$P,ROW()-8))</f>
      </c>
    </row>
    <row r="865" spans="1:7" ht="15" customHeight="1" x14ac:dyDescent="0.15">
      <c r="A865">
        <f>IF(INDEX(Transactions!$J:$J,ROW()-8)="","",INDEX(Transactions!$J:$J,ROW()-8))</f>
      </c>
      <c r="B865" s="297">
        <f>IF($A865="",TODAY(),INDEX(Transactions!$G:$G,ROW()-8))</f>
      </c>
      <c r="C865">
        <f>IF($A865="","",INDEX(Transactions!$A:$A,ROW()-8))</f>
      </c>
      <c r="D865" s="30">
        <f>IF($A865="",0,INDEX(Transactions!$H:$H,ROW()-8))</f>
      </c>
      <c r="E865">
        <f>IF($A865="",1,INDEX(Transactions!$N:$N,ROW()-8))</f>
        <v>1</v>
      </c>
      <c r="F865" s="30">
        <f>IF($A865="",0,INDEX(Transactions!$O:$O,ROW()-8))</f>
      </c>
      <c r="G865" s="30">
        <f>IF($A865="",0,INDEX(Transactions!$P:$P,ROW()-8))</f>
      </c>
    </row>
    <row r="866" spans="1:7" ht="15" customHeight="1" x14ac:dyDescent="0.15">
      <c r="A866">
        <f>IF(INDEX(Transactions!$J:$J,ROW()-8)="","",INDEX(Transactions!$J:$J,ROW()-8))</f>
      </c>
      <c r="B866" s="297">
        <f>IF($A866="",TODAY(),INDEX(Transactions!$G:$G,ROW()-8))</f>
      </c>
      <c r="C866">
        <f>IF($A866="","",INDEX(Transactions!$A:$A,ROW()-8))</f>
      </c>
      <c r="D866" s="30">
        <f>IF($A866="",0,INDEX(Transactions!$H:$H,ROW()-8))</f>
      </c>
      <c r="E866">
        <f>IF($A866="",1,INDEX(Transactions!$N:$N,ROW()-8))</f>
        <v>1</v>
      </c>
      <c r="F866" s="30">
        <f>IF($A866="",0,INDEX(Transactions!$O:$O,ROW()-8))</f>
      </c>
      <c r="G866" s="30">
        <f>IF($A866="",0,INDEX(Transactions!$P:$P,ROW()-8))</f>
      </c>
    </row>
    <row r="867" spans="1:7" ht="15" customHeight="1" x14ac:dyDescent="0.15">
      <c r="A867">
        <f>IF(INDEX(Transactions!$J:$J,ROW()-8)="","",INDEX(Transactions!$J:$J,ROW()-8))</f>
      </c>
      <c r="B867" s="297">
        <f>IF($A867="",TODAY(),INDEX(Transactions!$G:$G,ROW()-8))</f>
      </c>
      <c r="C867">
        <f>IF($A867="","",INDEX(Transactions!$A:$A,ROW()-8))</f>
      </c>
      <c r="D867" s="30">
        <f>IF($A867="",0,INDEX(Transactions!$H:$H,ROW()-8))</f>
      </c>
      <c r="E867">
        <f>IF($A867="",1,INDEX(Transactions!$N:$N,ROW()-8))</f>
        <v>1</v>
      </c>
      <c r="F867" s="30">
        <f>IF($A867="",0,INDEX(Transactions!$O:$O,ROW()-8))</f>
      </c>
      <c r="G867" s="30">
        <f>IF($A867="",0,INDEX(Transactions!$P:$P,ROW()-8))</f>
      </c>
    </row>
    <row r="868" spans="1:7" ht="15" customHeight="1" x14ac:dyDescent="0.15">
      <c r="A868">
        <f>IF(INDEX(Transactions!$J:$J,ROW()-8)="","",INDEX(Transactions!$J:$J,ROW()-8))</f>
      </c>
      <c r="B868" s="297">
        <f>IF($A868="",TODAY(),INDEX(Transactions!$G:$G,ROW()-8))</f>
      </c>
      <c r="C868">
        <f>IF($A868="","",INDEX(Transactions!$A:$A,ROW()-8))</f>
      </c>
      <c r="D868" s="30">
        <f>IF($A868="",0,INDEX(Transactions!$H:$H,ROW()-8))</f>
      </c>
      <c r="E868">
        <f>IF($A868="",1,INDEX(Transactions!$N:$N,ROW()-8))</f>
        <v>1</v>
      </c>
      <c r="F868" s="30">
        <f>IF($A868="",0,INDEX(Transactions!$O:$O,ROW()-8))</f>
      </c>
      <c r="G868" s="30">
        <f>IF($A868="",0,INDEX(Transactions!$P:$P,ROW()-8))</f>
      </c>
    </row>
    <row r="869" spans="1:7" ht="15" customHeight="1" x14ac:dyDescent="0.15">
      <c r="A869">
        <f>IF(INDEX(Transactions!$J:$J,ROW()-8)="","",INDEX(Transactions!$J:$J,ROW()-8))</f>
      </c>
      <c r="B869" s="297">
        <f>IF($A869="",TODAY(),INDEX(Transactions!$G:$G,ROW()-8))</f>
      </c>
      <c r="C869">
        <f>IF($A869="","",INDEX(Transactions!$A:$A,ROW()-8))</f>
      </c>
      <c r="D869" s="30">
        <f>IF($A869="",0,INDEX(Transactions!$H:$H,ROW()-8))</f>
      </c>
      <c r="E869">
        <f>IF($A869="",1,INDEX(Transactions!$N:$N,ROW()-8))</f>
        <v>1</v>
      </c>
      <c r="F869" s="30">
        <f>IF($A869="",0,INDEX(Transactions!$O:$O,ROW()-8))</f>
      </c>
      <c r="G869" s="30">
        <f>IF($A869="",0,INDEX(Transactions!$P:$P,ROW()-8))</f>
      </c>
    </row>
    <row r="870" spans="1:7" ht="15" customHeight="1" x14ac:dyDescent="0.15">
      <c r="A870">
        <f>IF(INDEX(Transactions!$J:$J,ROW()-8)="","",INDEX(Transactions!$J:$J,ROW()-8))</f>
      </c>
      <c r="B870" s="297">
        <f>IF($A870="",TODAY(),INDEX(Transactions!$G:$G,ROW()-8))</f>
      </c>
      <c r="C870">
        <f>IF($A870="","",INDEX(Transactions!$A:$A,ROW()-8))</f>
      </c>
      <c r="D870" s="30">
        <f>IF($A870="",0,INDEX(Transactions!$H:$H,ROW()-8))</f>
      </c>
      <c r="E870">
        <f>IF($A870="",1,INDEX(Transactions!$N:$N,ROW()-8))</f>
        <v>1</v>
      </c>
      <c r="F870" s="30">
        <f>IF($A870="",0,INDEX(Transactions!$O:$O,ROW()-8))</f>
      </c>
      <c r="G870" s="30">
        <f>IF($A870="",0,INDEX(Transactions!$P:$P,ROW()-8))</f>
      </c>
    </row>
    <row r="871" spans="1:7" ht="15" customHeight="1" x14ac:dyDescent="0.15">
      <c r="A871">
        <f>IF(INDEX(Transactions!$J:$J,ROW()-8)="","",INDEX(Transactions!$J:$J,ROW()-8))</f>
      </c>
      <c r="B871" s="297">
        <f>IF($A871="",TODAY(),INDEX(Transactions!$G:$G,ROW()-8))</f>
      </c>
      <c r="C871">
        <f>IF($A871="","",INDEX(Transactions!$A:$A,ROW()-8))</f>
      </c>
      <c r="D871" s="30">
        <f>IF($A871="",0,INDEX(Transactions!$H:$H,ROW()-8))</f>
      </c>
      <c r="E871">
        <f>IF($A871="",1,INDEX(Transactions!$N:$N,ROW()-8))</f>
        <v>1</v>
      </c>
      <c r="F871" s="30">
        <f>IF($A871="",0,INDEX(Transactions!$O:$O,ROW()-8))</f>
      </c>
      <c r="G871" s="30">
        <f>IF($A871="",0,INDEX(Transactions!$P:$P,ROW()-8))</f>
      </c>
    </row>
    <row r="872" spans="1:7" ht="15" customHeight="1" x14ac:dyDescent="0.15">
      <c r="A872">
        <f>IF(INDEX(Transactions!$J:$J,ROW()-8)="","",INDEX(Transactions!$J:$J,ROW()-8))</f>
      </c>
      <c r="B872" s="297">
        <f>IF($A872="",TODAY(),INDEX(Transactions!$G:$G,ROW()-8))</f>
      </c>
      <c r="C872">
        <f>IF($A872="","",INDEX(Transactions!$A:$A,ROW()-8))</f>
      </c>
      <c r="D872" s="30">
        <f>IF($A872="",0,INDEX(Transactions!$H:$H,ROW()-8))</f>
      </c>
      <c r="E872">
        <f>IF($A872="",1,INDEX(Transactions!$N:$N,ROW()-8))</f>
        <v>1</v>
      </c>
      <c r="F872" s="30">
        <f>IF($A872="",0,INDEX(Transactions!$O:$O,ROW()-8))</f>
      </c>
      <c r="G872" s="30">
        <f>IF($A872="",0,INDEX(Transactions!$P:$P,ROW()-8))</f>
      </c>
    </row>
    <row r="873" spans="1:7" ht="15" customHeight="1" x14ac:dyDescent="0.15">
      <c r="A873">
        <f>IF(INDEX(Transactions!$J:$J,ROW()-8)="","",INDEX(Transactions!$J:$J,ROW()-8))</f>
      </c>
      <c r="B873" s="297">
        <f>IF($A873="",TODAY(),INDEX(Transactions!$G:$G,ROW()-8))</f>
      </c>
      <c r="C873">
        <f>IF($A873="","",INDEX(Transactions!$A:$A,ROW()-8))</f>
      </c>
      <c r="D873" s="30">
        <f>IF($A873="",0,INDEX(Transactions!$H:$H,ROW()-8))</f>
      </c>
      <c r="E873">
        <f>IF($A873="",1,INDEX(Transactions!$N:$N,ROW()-8))</f>
        <v>1</v>
      </c>
      <c r="F873" s="30">
        <f>IF($A873="",0,INDEX(Transactions!$O:$O,ROW()-8))</f>
      </c>
      <c r="G873" s="30">
        <f>IF($A873="",0,INDEX(Transactions!$P:$P,ROW()-8))</f>
      </c>
    </row>
    <row r="874" spans="1:7" ht="15" customHeight="1" x14ac:dyDescent="0.15">
      <c r="A874">
        <f>IF(INDEX(Transactions!$J:$J,ROW()-8)="","",INDEX(Transactions!$J:$J,ROW()-8))</f>
      </c>
      <c r="B874" s="297">
        <f>IF($A874="",TODAY(),INDEX(Transactions!$G:$G,ROW()-8))</f>
      </c>
      <c r="C874">
        <f>IF($A874="","",INDEX(Transactions!$A:$A,ROW()-8))</f>
      </c>
      <c r="D874" s="30">
        <f>IF($A874="",0,INDEX(Transactions!$H:$H,ROW()-8))</f>
      </c>
      <c r="E874">
        <f>IF($A874="",1,INDEX(Transactions!$N:$N,ROW()-8))</f>
        <v>1</v>
      </c>
      <c r="F874" s="30">
        <f>IF($A874="",0,INDEX(Transactions!$O:$O,ROW()-8))</f>
      </c>
      <c r="G874" s="30">
        <f>IF($A874="",0,INDEX(Transactions!$P:$P,ROW()-8))</f>
      </c>
    </row>
    <row r="875" spans="1:7" ht="15" customHeight="1" x14ac:dyDescent="0.15">
      <c r="A875">
        <f>IF(INDEX(Transactions!$J:$J,ROW()-8)="","",INDEX(Transactions!$J:$J,ROW()-8))</f>
      </c>
      <c r="B875" s="297">
        <f>IF($A875="",TODAY(),INDEX(Transactions!$G:$G,ROW()-8))</f>
      </c>
      <c r="C875">
        <f>IF($A875="","",INDEX(Transactions!$A:$A,ROW()-8))</f>
      </c>
      <c r="D875" s="30">
        <f>IF($A875="",0,INDEX(Transactions!$H:$H,ROW()-8))</f>
      </c>
      <c r="E875">
        <f>IF($A875="",1,INDEX(Transactions!$N:$N,ROW()-8))</f>
        <v>1</v>
      </c>
      <c r="F875" s="30">
        <f>IF($A875="",0,INDEX(Transactions!$O:$O,ROW()-8))</f>
      </c>
      <c r="G875" s="30">
        <f>IF($A875="",0,INDEX(Transactions!$P:$P,ROW()-8))</f>
      </c>
    </row>
    <row r="876" spans="1:7" ht="15" customHeight="1" x14ac:dyDescent="0.15">
      <c r="A876">
        <f>IF(INDEX(Transactions!$J:$J,ROW()-8)="","",INDEX(Transactions!$J:$J,ROW()-8))</f>
      </c>
      <c r="B876" s="297">
        <f>IF($A876="",TODAY(),INDEX(Transactions!$G:$G,ROW()-8))</f>
      </c>
      <c r="C876">
        <f>IF($A876="","",INDEX(Transactions!$A:$A,ROW()-8))</f>
      </c>
      <c r="D876" s="30">
        <f>IF($A876="",0,INDEX(Transactions!$H:$H,ROW()-8))</f>
      </c>
      <c r="E876">
        <f>IF($A876="",1,INDEX(Transactions!$N:$N,ROW()-8))</f>
        <v>1</v>
      </c>
      <c r="F876" s="30">
        <f>IF($A876="",0,INDEX(Transactions!$O:$O,ROW()-8))</f>
      </c>
      <c r="G876" s="30">
        <f>IF($A876="",0,INDEX(Transactions!$P:$P,ROW()-8))</f>
      </c>
    </row>
    <row r="877" spans="1:7" ht="15" customHeight="1" x14ac:dyDescent="0.15">
      <c r="A877">
        <f>IF(INDEX(Transactions!$J:$J,ROW()-8)="","",INDEX(Transactions!$J:$J,ROW()-8))</f>
      </c>
      <c r="B877" s="297">
        <f>IF($A877="",TODAY(),INDEX(Transactions!$G:$G,ROW()-8))</f>
      </c>
      <c r="C877">
        <f>IF($A877="","",INDEX(Transactions!$A:$A,ROW()-8))</f>
      </c>
      <c r="D877" s="30">
        <f>IF($A877="",0,INDEX(Transactions!$H:$H,ROW()-8))</f>
      </c>
      <c r="E877">
        <f>IF($A877="",1,INDEX(Transactions!$N:$N,ROW()-8))</f>
        <v>1</v>
      </c>
      <c r="F877" s="30">
        <f>IF($A877="",0,INDEX(Transactions!$O:$O,ROW()-8))</f>
      </c>
      <c r="G877" s="30">
        <f>IF($A877="",0,INDEX(Transactions!$P:$P,ROW()-8))</f>
      </c>
    </row>
    <row r="878" spans="1:7" ht="15" customHeight="1" x14ac:dyDescent="0.15">
      <c r="A878">
        <f>IF(INDEX(Transactions!$J:$J,ROW()-8)="","",INDEX(Transactions!$J:$J,ROW()-8))</f>
      </c>
      <c r="B878" s="297">
        <f>IF($A878="",TODAY(),INDEX(Transactions!$G:$G,ROW()-8))</f>
      </c>
      <c r="C878">
        <f>IF($A878="","",INDEX(Transactions!$A:$A,ROW()-8))</f>
      </c>
      <c r="D878" s="30">
        <f>IF($A878="",0,INDEX(Transactions!$H:$H,ROW()-8))</f>
      </c>
      <c r="E878">
        <f>IF($A878="",1,INDEX(Transactions!$N:$N,ROW()-8))</f>
        <v>1</v>
      </c>
      <c r="F878" s="30">
        <f>IF($A878="",0,INDEX(Transactions!$O:$O,ROW()-8))</f>
      </c>
      <c r="G878" s="30">
        <f>IF($A878="",0,INDEX(Transactions!$P:$P,ROW()-8))</f>
      </c>
    </row>
    <row r="879" spans="1:7" ht="15" customHeight="1" x14ac:dyDescent="0.15">
      <c r="A879">
        <f>IF(INDEX(Transactions!$J:$J,ROW()-8)="","",INDEX(Transactions!$J:$J,ROW()-8))</f>
      </c>
      <c r="B879" s="297">
        <f>IF($A879="",TODAY(),INDEX(Transactions!$G:$G,ROW()-8))</f>
      </c>
      <c r="C879">
        <f>IF($A879="","",INDEX(Transactions!$A:$A,ROW()-8))</f>
      </c>
      <c r="D879" s="30">
        <f>IF($A879="",0,INDEX(Transactions!$H:$H,ROW()-8))</f>
      </c>
      <c r="E879">
        <f>IF($A879="",1,INDEX(Transactions!$N:$N,ROW()-8))</f>
        <v>1</v>
      </c>
      <c r="F879" s="30">
        <f>IF($A879="",0,INDEX(Transactions!$O:$O,ROW()-8))</f>
      </c>
      <c r="G879" s="30">
        <f>IF($A879="",0,INDEX(Transactions!$P:$P,ROW()-8))</f>
      </c>
    </row>
    <row r="880" spans="1:7" ht="15" customHeight="1" x14ac:dyDescent="0.15">
      <c r="A880">
        <f>IF(INDEX(Transactions!$J:$J,ROW()-8)="","",INDEX(Transactions!$J:$J,ROW()-8))</f>
      </c>
      <c r="B880" s="297">
        <f>IF($A880="",TODAY(),INDEX(Transactions!$G:$G,ROW()-8))</f>
      </c>
      <c r="C880">
        <f>IF($A880="","",INDEX(Transactions!$A:$A,ROW()-8))</f>
      </c>
      <c r="D880" s="30">
        <f>IF($A880="",0,INDEX(Transactions!$H:$H,ROW()-8))</f>
      </c>
      <c r="E880">
        <f>IF($A880="",1,INDEX(Transactions!$N:$N,ROW()-8))</f>
        <v>1</v>
      </c>
      <c r="F880" s="30">
        <f>IF($A880="",0,INDEX(Transactions!$O:$O,ROW()-8))</f>
      </c>
      <c r="G880" s="30">
        <f>IF($A880="",0,INDEX(Transactions!$P:$P,ROW()-8))</f>
      </c>
    </row>
    <row r="881" spans="1:7" ht="15" customHeight="1" x14ac:dyDescent="0.15">
      <c r="A881">
        <f>IF(INDEX(Transactions!$J:$J,ROW()-8)="","",INDEX(Transactions!$J:$J,ROW()-8))</f>
      </c>
      <c r="B881" s="297">
        <f>IF($A881="",TODAY(),INDEX(Transactions!$G:$G,ROW()-8))</f>
      </c>
      <c r="C881">
        <f>IF($A881="","",INDEX(Transactions!$A:$A,ROW()-8))</f>
      </c>
      <c r="D881" s="30">
        <f>IF($A881="",0,INDEX(Transactions!$H:$H,ROW()-8))</f>
      </c>
      <c r="E881">
        <f>IF($A881="",1,INDEX(Transactions!$N:$N,ROW()-8))</f>
        <v>1</v>
      </c>
      <c r="F881" s="30">
        <f>IF($A881="",0,INDEX(Transactions!$O:$O,ROW()-8))</f>
      </c>
      <c r="G881" s="30">
        <f>IF($A881="",0,INDEX(Transactions!$P:$P,ROW()-8))</f>
      </c>
    </row>
    <row r="882" spans="1:7" ht="15" customHeight="1" x14ac:dyDescent="0.15">
      <c r="A882">
        <f>IF(INDEX(Transactions!$J:$J,ROW()-8)="","",INDEX(Transactions!$J:$J,ROW()-8))</f>
      </c>
      <c r="B882" s="297">
        <f>IF($A882="",TODAY(),INDEX(Transactions!$G:$G,ROW()-8))</f>
      </c>
      <c r="C882">
        <f>IF($A882="","",INDEX(Transactions!$A:$A,ROW()-8))</f>
      </c>
      <c r="D882" s="30">
        <f>IF($A882="",0,INDEX(Transactions!$H:$H,ROW()-8))</f>
      </c>
      <c r="E882">
        <f>IF($A882="",1,INDEX(Transactions!$N:$N,ROW()-8))</f>
        <v>1</v>
      </c>
      <c r="F882" s="30">
        <f>IF($A882="",0,INDEX(Transactions!$O:$O,ROW()-8))</f>
      </c>
      <c r="G882" s="30">
        <f>IF($A882="",0,INDEX(Transactions!$P:$P,ROW()-8))</f>
      </c>
    </row>
    <row r="883" spans="1:7" ht="15" customHeight="1" x14ac:dyDescent="0.15">
      <c r="A883">
        <f>IF(INDEX(Transactions!$J:$J,ROW()-8)="","",INDEX(Transactions!$J:$J,ROW()-8))</f>
      </c>
      <c r="B883" s="297">
        <f>IF($A883="",TODAY(),INDEX(Transactions!$G:$G,ROW()-8))</f>
      </c>
      <c r="C883">
        <f>IF($A883="","",INDEX(Transactions!$A:$A,ROW()-8))</f>
      </c>
      <c r="D883" s="30">
        <f>IF($A883="",0,INDEX(Transactions!$H:$H,ROW()-8))</f>
      </c>
      <c r="E883">
        <f>IF($A883="",1,INDEX(Transactions!$N:$N,ROW()-8))</f>
        <v>1</v>
      </c>
      <c r="F883" s="30">
        <f>IF($A883="",0,INDEX(Transactions!$O:$O,ROW()-8))</f>
      </c>
      <c r="G883" s="30">
        <f>IF($A883="",0,INDEX(Transactions!$P:$P,ROW()-8))</f>
      </c>
    </row>
    <row r="884" spans="1:7" ht="15" customHeight="1" x14ac:dyDescent="0.15">
      <c r="A884">
        <f>IF(INDEX(Transactions!$J:$J,ROW()-8)="","",INDEX(Transactions!$J:$J,ROW()-8))</f>
      </c>
      <c r="B884" s="297">
        <f>IF($A884="",TODAY(),INDEX(Transactions!$G:$G,ROW()-8))</f>
      </c>
      <c r="C884">
        <f>IF($A884="","",INDEX(Transactions!$A:$A,ROW()-8))</f>
      </c>
      <c r="D884" s="30">
        <f>IF($A884="",0,INDEX(Transactions!$H:$H,ROW()-8))</f>
      </c>
      <c r="E884">
        <f>IF($A884="",1,INDEX(Transactions!$N:$N,ROW()-8))</f>
        <v>1</v>
      </c>
      <c r="F884" s="30">
        <f>IF($A884="",0,INDEX(Transactions!$O:$O,ROW()-8))</f>
      </c>
      <c r="G884" s="30">
        <f>IF($A884="",0,INDEX(Transactions!$P:$P,ROW()-8))</f>
      </c>
    </row>
    <row r="885" spans="1:7" ht="15" customHeight="1" x14ac:dyDescent="0.15">
      <c r="A885">
        <f>IF(INDEX(Transactions!$J:$J,ROW()-8)="","",INDEX(Transactions!$J:$J,ROW()-8))</f>
      </c>
      <c r="B885" s="297">
        <f>IF($A885="",TODAY(),INDEX(Transactions!$G:$G,ROW()-8))</f>
      </c>
      <c r="C885">
        <f>IF($A885="","",INDEX(Transactions!$A:$A,ROW()-8))</f>
      </c>
      <c r="D885" s="30">
        <f>IF($A885="",0,INDEX(Transactions!$H:$H,ROW()-8))</f>
      </c>
      <c r="E885">
        <f>IF($A885="",1,INDEX(Transactions!$N:$N,ROW()-8))</f>
        <v>1</v>
      </c>
      <c r="F885" s="30">
        <f>IF($A885="",0,INDEX(Transactions!$O:$O,ROW()-8))</f>
      </c>
      <c r="G885" s="30">
        <f>IF($A885="",0,INDEX(Transactions!$P:$P,ROW()-8))</f>
      </c>
    </row>
    <row r="886" spans="1:7" ht="15" customHeight="1" x14ac:dyDescent="0.15">
      <c r="A886">
        <f>IF(INDEX(Transactions!$J:$J,ROW()-8)="","",INDEX(Transactions!$J:$J,ROW()-8))</f>
      </c>
      <c r="B886" s="297">
        <f>IF($A886="",TODAY(),INDEX(Transactions!$G:$G,ROW()-8))</f>
      </c>
      <c r="C886">
        <f>IF($A886="","",INDEX(Transactions!$A:$A,ROW()-8))</f>
      </c>
      <c r="D886" s="30">
        <f>IF($A886="",0,INDEX(Transactions!$H:$H,ROW()-8))</f>
      </c>
      <c r="E886">
        <f>IF($A886="",1,INDEX(Transactions!$N:$N,ROW()-8))</f>
        <v>1</v>
      </c>
      <c r="F886" s="30">
        <f>IF($A886="",0,INDEX(Transactions!$O:$O,ROW()-8))</f>
      </c>
      <c r="G886" s="30">
        <f>IF($A886="",0,INDEX(Transactions!$P:$P,ROW()-8))</f>
      </c>
    </row>
    <row r="887" spans="1:7" ht="15" customHeight="1" x14ac:dyDescent="0.15">
      <c r="A887">
        <f>IF(INDEX(Transactions!$J:$J,ROW()-8)="","",INDEX(Transactions!$J:$J,ROW()-8))</f>
      </c>
      <c r="B887" s="297">
        <f>IF($A887="",TODAY(),INDEX(Transactions!$G:$G,ROW()-8))</f>
      </c>
      <c r="C887">
        <f>IF($A887="","",INDEX(Transactions!$A:$A,ROW()-8))</f>
      </c>
      <c r="D887" s="30">
        <f>IF($A887="",0,INDEX(Transactions!$H:$H,ROW()-8))</f>
      </c>
      <c r="E887">
        <f>IF($A887="",1,INDEX(Transactions!$N:$N,ROW()-8))</f>
        <v>1</v>
      </c>
      <c r="F887" s="30">
        <f>IF($A887="",0,INDEX(Transactions!$O:$O,ROW()-8))</f>
      </c>
      <c r="G887" s="30">
        <f>IF($A887="",0,INDEX(Transactions!$P:$P,ROW()-8))</f>
      </c>
    </row>
    <row r="888" spans="1:7" ht="15" customHeight="1" x14ac:dyDescent="0.15">
      <c r="A888">
        <f>IF(INDEX(Transactions!$J:$J,ROW()-8)="","",INDEX(Transactions!$J:$J,ROW()-8))</f>
      </c>
      <c r="B888" s="297">
        <f>IF($A888="",TODAY(),INDEX(Transactions!$G:$G,ROW()-8))</f>
      </c>
      <c r="C888">
        <f>IF($A888="","",INDEX(Transactions!$A:$A,ROW()-8))</f>
      </c>
      <c r="D888" s="30">
        <f>IF($A888="",0,INDEX(Transactions!$H:$H,ROW()-8))</f>
      </c>
      <c r="E888">
        <f>IF($A888="",1,INDEX(Transactions!$N:$N,ROW()-8))</f>
        <v>1</v>
      </c>
      <c r="F888" s="30">
        <f>IF($A888="",0,INDEX(Transactions!$O:$O,ROW()-8))</f>
      </c>
      <c r="G888" s="30">
        <f>IF($A888="",0,INDEX(Transactions!$P:$P,ROW()-8))</f>
      </c>
    </row>
    <row r="889" spans="1:7" ht="15" customHeight="1" x14ac:dyDescent="0.15">
      <c r="A889">
        <f>IF(INDEX(Transactions!$J:$J,ROW()-8)="","",INDEX(Transactions!$J:$J,ROW()-8))</f>
      </c>
      <c r="B889" s="297">
        <f>IF($A889="",TODAY(),INDEX(Transactions!$G:$G,ROW()-8))</f>
      </c>
      <c r="C889">
        <f>IF($A889="","",INDEX(Transactions!$A:$A,ROW()-8))</f>
      </c>
      <c r="D889" s="30">
        <f>IF($A889="",0,INDEX(Transactions!$H:$H,ROW()-8))</f>
      </c>
      <c r="E889">
        <f>IF($A889="",1,INDEX(Transactions!$N:$N,ROW()-8))</f>
        <v>1</v>
      </c>
      <c r="F889" s="30">
        <f>IF($A889="",0,INDEX(Transactions!$O:$O,ROW()-8))</f>
      </c>
      <c r="G889" s="30">
        <f>IF($A889="",0,INDEX(Transactions!$P:$P,ROW()-8))</f>
      </c>
    </row>
    <row r="890" spans="1:7" ht="15" customHeight="1" x14ac:dyDescent="0.15">
      <c r="A890">
        <f>IF(INDEX(Transactions!$J:$J,ROW()-8)="","",INDEX(Transactions!$J:$J,ROW()-8))</f>
      </c>
      <c r="B890" s="297">
        <f>IF($A890="",TODAY(),INDEX(Transactions!$G:$G,ROW()-8))</f>
      </c>
      <c r="C890">
        <f>IF($A890="","",INDEX(Transactions!$A:$A,ROW()-8))</f>
      </c>
      <c r="D890" s="30">
        <f>IF($A890="",0,INDEX(Transactions!$H:$H,ROW()-8))</f>
      </c>
      <c r="E890">
        <f>IF($A890="",1,INDEX(Transactions!$N:$N,ROW()-8))</f>
        <v>1</v>
      </c>
      <c r="F890" s="30">
        <f>IF($A890="",0,INDEX(Transactions!$O:$O,ROW()-8))</f>
      </c>
      <c r="G890" s="30">
        <f>IF($A890="",0,INDEX(Transactions!$P:$P,ROW()-8))</f>
      </c>
    </row>
    <row r="891" spans="1:7" ht="15" customHeight="1" x14ac:dyDescent="0.15">
      <c r="A891">
        <f>IF(INDEX(Transactions!$J:$J,ROW()-8)="","",INDEX(Transactions!$J:$J,ROW()-8))</f>
      </c>
      <c r="B891" s="297">
        <f>IF($A891="",TODAY(),INDEX(Transactions!$G:$G,ROW()-8))</f>
      </c>
      <c r="C891">
        <f>IF($A891="","",INDEX(Transactions!$A:$A,ROW()-8))</f>
      </c>
      <c r="D891" s="30">
        <f>IF($A891="",0,INDEX(Transactions!$H:$H,ROW()-8))</f>
      </c>
      <c r="E891">
        <f>IF($A891="",1,INDEX(Transactions!$N:$N,ROW()-8))</f>
        <v>1</v>
      </c>
      <c r="F891" s="30">
        <f>IF($A891="",0,INDEX(Transactions!$O:$O,ROW()-8))</f>
      </c>
      <c r="G891" s="30">
        <f>IF($A891="",0,INDEX(Transactions!$P:$P,ROW()-8))</f>
      </c>
    </row>
    <row r="892" spans="1:7" ht="15" customHeight="1" x14ac:dyDescent="0.15">
      <c r="A892">
        <f>IF(INDEX(Transactions!$J:$J,ROW()-8)="","",INDEX(Transactions!$J:$J,ROW()-8))</f>
      </c>
      <c r="B892" s="297">
        <f>IF($A892="",TODAY(),INDEX(Transactions!$G:$G,ROW()-8))</f>
      </c>
      <c r="C892">
        <f>IF($A892="","",INDEX(Transactions!$A:$A,ROW()-8))</f>
      </c>
      <c r="D892" s="30">
        <f>IF($A892="",0,INDEX(Transactions!$H:$H,ROW()-8))</f>
      </c>
      <c r="E892">
        <f>IF($A892="",1,INDEX(Transactions!$N:$N,ROW()-8))</f>
        <v>1</v>
      </c>
      <c r="F892" s="30">
        <f>IF($A892="",0,INDEX(Transactions!$O:$O,ROW()-8))</f>
      </c>
      <c r="G892" s="30">
        <f>IF($A892="",0,INDEX(Transactions!$P:$P,ROW()-8))</f>
      </c>
    </row>
    <row r="893" spans="1:7" ht="15" customHeight="1" x14ac:dyDescent="0.15">
      <c r="A893">
        <f>IF(INDEX(Transactions!$J:$J,ROW()-8)="","",INDEX(Transactions!$J:$J,ROW()-8))</f>
      </c>
      <c r="B893" s="297">
        <f>IF($A893="",TODAY(),INDEX(Transactions!$G:$G,ROW()-8))</f>
      </c>
      <c r="C893">
        <f>IF($A893="","",INDEX(Transactions!$A:$A,ROW()-8))</f>
      </c>
      <c r="D893" s="30">
        <f>IF($A893="",0,INDEX(Transactions!$H:$H,ROW()-8))</f>
      </c>
      <c r="E893">
        <f>IF($A893="",1,INDEX(Transactions!$N:$N,ROW()-8))</f>
        <v>1</v>
      </c>
      <c r="F893" s="30">
        <f>IF($A893="",0,INDEX(Transactions!$O:$O,ROW()-8))</f>
      </c>
      <c r="G893" s="30">
        <f>IF($A893="",0,INDEX(Transactions!$P:$P,ROW()-8))</f>
      </c>
    </row>
    <row r="894" spans="1:7" ht="15" customHeight="1" x14ac:dyDescent="0.15">
      <c r="A894">
        <f>IF(INDEX(Transactions!$J:$J,ROW()-8)="","",INDEX(Transactions!$J:$J,ROW()-8))</f>
      </c>
      <c r="B894" s="297">
        <f>IF($A894="",TODAY(),INDEX(Transactions!$G:$G,ROW()-8))</f>
      </c>
      <c r="C894">
        <f>IF($A894="","",INDEX(Transactions!$A:$A,ROW()-8))</f>
      </c>
      <c r="D894" s="30">
        <f>IF($A894="",0,INDEX(Transactions!$H:$H,ROW()-8))</f>
      </c>
      <c r="E894">
        <f>IF($A894="",1,INDEX(Transactions!$N:$N,ROW()-8))</f>
        <v>1</v>
      </c>
      <c r="F894" s="30">
        <f>IF($A894="",0,INDEX(Transactions!$O:$O,ROW()-8))</f>
      </c>
      <c r="G894" s="30">
        <f>IF($A894="",0,INDEX(Transactions!$P:$P,ROW()-8))</f>
      </c>
    </row>
    <row r="895" spans="1:7" ht="15" customHeight="1" x14ac:dyDescent="0.15">
      <c r="A895">
        <f>IF(INDEX(Transactions!$J:$J,ROW()-8)="","",INDEX(Transactions!$J:$J,ROW()-8))</f>
      </c>
      <c r="B895" s="297">
        <f>IF($A895="",TODAY(),INDEX(Transactions!$G:$G,ROW()-8))</f>
      </c>
      <c r="C895">
        <f>IF($A895="","",INDEX(Transactions!$A:$A,ROW()-8))</f>
      </c>
      <c r="D895" s="30">
        <f>IF($A895="",0,INDEX(Transactions!$H:$H,ROW()-8))</f>
      </c>
      <c r="E895">
        <f>IF($A895="",1,INDEX(Transactions!$N:$N,ROW()-8))</f>
        <v>1</v>
      </c>
      <c r="F895" s="30">
        <f>IF($A895="",0,INDEX(Transactions!$O:$O,ROW()-8))</f>
      </c>
      <c r="G895" s="30">
        <f>IF($A895="",0,INDEX(Transactions!$P:$P,ROW()-8))</f>
      </c>
    </row>
    <row r="896" spans="1:7" ht="15" customHeight="1" x14ac:dyDescent="0.15">
      <c r="A896">
        <f>IF(INDEX(Transactions!$J:$J,ROW()-8)="","",INDEX(Transactions!$J:$J,ROW()-8))</f>
      </c>
      <c r="B896" s="297">
        <f>IF($A896="",TODAY(),INDEX(Transactions!$G:$G,ROW()-8))</f>
      </c>
      <c r="C896">
        <f>IF($A896="","",INDEX(Transactions!$A:$A,ROW()-8))</f>
      </c>
      <c r="D896" s="30">
        <f>IF($A896="",0,INDEX(Transactions!$H:$H,ROW()-8))</f>
      </c>
      <c r="E896">
        <f>IF($A896="",1,INDEX(Transactions!$N:$N,ROW()-8))</f>
        <v>1</v>
      </c>
      <c r="F896" s="30">
        <f>IF($A896="",0,INDEX(Transactions!$O:$O,ROW()-8))</f>
      </c>
      <c r="G896" s="30">
        <f>IF($A896="",0,INDEX(Transactions!$P:$P,ROW()-8))</f>
      </c>
    </row>
    <row r="897" spans="1:7" ht="15" customHeight="1" x14ac:dyDescent="0.15">
      <c r="A897">
        <f>IF(INDEX(Transactions!$J:$J,ROW()-8)="","",INDEX(Transactions!$J:$J,ROW()-8))</f>
      </c>
      <c r="B897" s="297">
        <f>IF($A897="",TODAY(),INDEX(Transactions!$G:$G,ROW()-8))</f>
      </c>
      <c r="C897">
        <f>IF($A897="","",INDEX(Transactions!$A:$A,ROW()-8))</f>
      </c>
      <c r="D897" s="30">
        <f>IF($A897="",0,INDEX(Transactions!$H:$H,ROW()-8))</f>
      </c>
      <c r="E897">
        <f>IF($A897="",1,INDEX(Transactions!$N:$N,ROW()-8))</f>
        <v>1</v>
      </c>
      <c r="F897" s="30">
        <f>IF($A897="",0,INDEX(Transactions!$O:$O,ROW()-8))</f>
      </c>
      <c r="G897" s="30">
        <f>IF($A897="",0,INDEX(Transactions!$P:$P,ROW()-8))</f>
      </c>
    </row>
    <row r="898" spans="1:7" ht="15" customHeight="1" x14ac:dyDescent="0.15">
      <c r="A898">
        <f>IF(INDEX(Transactions!$J:$J,ROW()-8)="","",INDEX(Transactions!$J:$J,ROW()-8))</f>
      </c>
      <c r="B898" s="297">
        <f>IF($A898="",TODAY(),INDEX(Transactions!$G:$G,ROW()-8))</f>
      </c>
      <c r="C898">
        <f>IF($A898="","",INDEX(Transactions!$A:$A,ROW()-8))</f>
      </c>
      <c r="D898" s="30">
        <f>IF($A898="",0,INDEX(Transactions!$H:$H,ROW()-8))</f>
      </c>
      <c r="E898">
        <f>IF($A898="",1,INDEX(Transactions!$N:$N,ROW()-8))</f>
        <v>1</v>
      </c>
      <c r="F898" s="30">
        <f>IF($A898="",0,INDEX(Transactions!$O:$O,ROW()-8))</f>
      </c>
      <c r="G898" s="30">
        <f>IF($A898="",0,INDEX(Transactions!$P:$P,ROW()-8))</f>
      </c>
    </row>
    <row r="899" spans="1:7" ht="15" customHeight="1" x14ac:dyDescent="0.15">
      <c r="A899">
        <f>IF(INDEX(Transactions!$J:$J,ROW()-8)="","",INDEX(Transactions!$J:$J,ROW()-8))</f>
      </c>
      <c r="B899" s="297">
        <f>IF($A899="",TODAY(),INDEX(Transactions!$G:$G,ROW()-8))</f>
      </c>
      <c r="C899">
        <f>IF($A899="","",INDEX(Transactions!$A:$A,ROW()-8))</f>
      </c>
      <c r="D899" s="30">
        <f>IF($A899="",0,INDEX(Transactions!$H:$H,ROW()-8))</f>
      </c>
      <c r="E899">
        <f>IF($A899="",1,INDEX(Transactions!$N:$N,ROW()-8))</f>
        <v>1</v>
      </c>
      <c r="F899" s="30">
        <f>IF($A899="",0,INDEX(Transactions!$O:$O,ROW()-8))</f>
      </c>
      <c r="G899" s="30">
        <f>IF($A899="",0,INDEX(Transactions!$P:$P,ROW()-8))</f>
      </c>
    </row>
    <row r="900" spans="1:7" ht="15" customHeight="1" x14ac:dyDescent="0.15">
      <c r="A900">
        <f>IF(INDEX(Transactions!$J:$J,ROW()-8)="","",INDEX(Transactions!$J:$J,ROW()-8))</f>
      </c>
      <c r="B900" s="297">
        <f>IF($A900="",TODAY(),INDEX(Transactions!$G:$G,ROW()-8))</f>
      </c>
      <c r="C900">
        <f>IF($A900="","",INDEX(Transactions!$A:$A,ROW()-8))</f>
      </c>
      <c r="D900" s="30">
        <f>IF($A900="",0,INDEX(Transactions!$H:$H,ROW()-8))</f>
      </c>
      <c r="E900">
        <f>IF($A900="",1,INDEX(Transactions!$N:$N,ROW()-8))</f>
        <v>1</v>
      </c>
      <c r="F900" s="30">
        <f>IF($A900="",0,INDEX(Transactions!$O:$O,ROW()-8))</f>
      </c>
      <c r="G900" s="30">
        <f>IF($A900="",0,INDEX(Transactions!$P:$P,ROW()-8))</f>
      </c>
    </row>
    <row r="901" spans="1:7" ht="15" customHeight="1" x14ac:dyDescent="0.15">
      <c r="A901">
        <f>IF(INDEX(Transactions!$J:$J,ROW()-8)="","",INDEX(Transactions!$J:$J,ROW()-8))</f>
      </c>
      <c r="B901" s="297">
        <f>IF($A901="",TODAY(),INDEX(Transactions!$G:$G,ROW()-8))</f>
      </c>
      <c r="C901">
        <f>IF($A901="","",INDEX(Transactions!$A:$A,ROW()-8))</f>
      </c>
      <c r="D901" s="30">
        <f>IF($A901="",0,INDEX(Transactions!$H:$H,ROW()-8))</f>
      </c>
      <c r="E901">
        <f>IF($A901="",1,INDEX(Transactions!$N:$N,ROW()-8))</f>
        <v>1</v>
      </c>
      <c r="F901" s="30">
        <f>IF($A901="",0,INDEX(Transactions!$O:$O,ROW()-8))</f>
      </c>
      <c r="G901" s="30">
        <f>IF($A901="",0,INDEX(Transactions!$P:$P,ROW()-8))</f>
      </c>
    </row>
    <row r="902" spans="1:7" ht="15" customHeight="1" x14ac:dyDescent="0.15">
      <c r="A902">
        <f>IF(INDEX(Transactions!$J:$J,ROW()-8)="","",INDEX(Transactions!$J:$J,ROW()-8))</f>
      </c>
      <c r="B902" s="297">
        <f>IF($A902="",TODAY(),INDEX(Transactions!$G:$G,ROW()-8))</f>
      </c>
      <c r="C902">
        <f>IF($A902="","",INDEX(Transactions!$A:$A,ROW()-8))</f>
      </c>
      <c r="D902" s="30">
        <f>IF($A902="",0,INDEX(Transactions!$H:$H,ROW()-8))</f>
      </c>
      <c r="E902">
        <f>IF($A902="",1,INDEX(Transactions!$N:$N,ROW()-8))</f>
        <v>1</v>
      </c>
      <c r="F902" s="30">
        <f>IF($A902="",0,INDEX(Transactions!$O:$O,ROW()-8))</f>
      </c>
      <c r="G902" s="30">
        <f>IF($A902="",0,INDEX(Transactions!$P:$P,ROW()-8))</f>
      </c>
    </row>
    <row r="903" spans="1:7" ht="15" customHeight="1" x14ac:dyDescent="0.15">
      <c r="A903">
        <f>IF(INDEX(Transactions!$J:$J,ROW()-8)="","",INDEX(Transactions!$J:$J,ROW()-8))</f>
      </c>
      <c r="B903" s="297">
        <f>IF($A903="",TODAY(),INDEX(Transactions!$G:$G,ROW()-8))</f>
      </c>
      <c r="C903">
        <f>IF($A903="","",INDEX(Transactions!$A:$A,ROW()-8))</f>
      </c>
      <c r="D903" s="30">
        <f>IF($A903="",0,INDEX(Transactions!$H:$H,ROW()-8))</f>
      </c>
      <c r="E903">
        <f>IF($A903="",1,INDEX(Transactions!$N:$N,ROW()-8))</f>
        <v>1</v>
      </c>
      <c r="F903" s="30">
        <f>IF($A903="",0,INDEX(Transactions!$O:$O,ROW()-8))</f>
      </c>
      <c r="G903" s="30">
        <f>IF($A903="",0,INDEX(Transactions!$P:$P,ROW()-8))</f>
      </c>
    </row>
    <row r="904" spans="1:7" ht="15" customHeight="1" x14ac:dyDescent="0.15">
      <c r="A904">
        <f>IF(INDEX(Transactions!$J:$J,ROW()-8)="","",INDEX(Transactions!$J:$J,ROW()-8))</f>
      </c>
      <c r="B904" s="297">
        <f>IF($A904="",TODAY(),INDEX(Transactions!$G:$G,ROW()-8))</f>
      </c>
      <c r="C904">
        <f>IF($A904="","",INDEX(Transactions!$A:$A,ROW()-8))</f>
      </c>
      <c r="D904" s="30">
        <f>IF($A904="",0,INDEX(Transactions!$H:$H,ROW()-8))</f>
      </c>
      <c r="E904">
        <f>IF($A904="",1,INDEX(Transactions!$N:$N,ROW()-8))</f>
        <v>1</v>
      </c>
      <c r="F904" s="30">
        <f>IF($A904="",0,INDEX(Transactions!$O:$O,ROW()-8))</f>
      </c>
      <c r="G904" s="30">
        <f>IF($A904="",0,INDEX(Transactions!$P:$P,ROW()-8))</f>
      </c>
    </row>
    <row r="905" spans="1:7" ht="15" customHeight="1" x14ac:dyDescent="0.15">
      <c r="A905">
        <f>IF(INDEX(Transactions!$J:$J,ROW()-8)="","",INDEX(Transactions!$J:$J,ROW()-8))</f>
      </c>
      <c r="B905" s="297">
        <f>IF($A905="",TODAY(),INDEX(Transactions!$G:$G,ROW()-8))</f>
      </c>
      <c r="C905">
        <f>IF($A905="","",INDEX(Transactions!$A:$A,ROW()-8))</f>
      </c>
      <c r="D905" s="30">
        <f>IF($A905="",0,INDEX(Transactions!$H:$H,ROW()-8))</f>
      </c>
      <c r="E905">
        <f>IF($A905="",1,INDEX(Transactions!$N:$N,ROW()-8))</f>
        <v>1</v>
      </c>
      <c r="F905" s="30">
        <f>IF($A905="",0,INDEX(Transactions!$O:$O,ROW()-8))</f>
      </c>
      <c r="G905" s="30">
        <f>IF($A905="",0,INDEX(Transactions!$P:$P,ROW()-8))</f>
      </c>
    </row>
    <row r="906" spans="1:7" ht="15" customHeight="1" x14ac:dyDescent="0.15">
      <c r="A906">
        <f>IF(INDEX(Transactions!$J:$J,ROW()-8)="","",INDEX(Transactions!$J:$J,ROW()-8))</f>
      </c>
      <c r="B906" s="297">
        <f>IF($A906="",TODAY(),INDEX(Transactions!$G:$G,ROW()-8))</f>
      </c>
      <c r="C906">
        <f>IF($A906="","",INDEX(Transactions!$A:$A,ROW()-8))</f>
      </c>
      <c r="D906" s="30">
        <f>IF($A906="",0,INDEX(Transactions!$H:$H,ROW()-8))</f>
      </c>
      <c r="E906">
        <f>IF($A906="",1,INDEX(Transactions!$N:$N,ROW()-8))</f>
        <v>1</v>
      </c>
      <c r="F906" s="30">
        <f>IF($A906="",0,INDEX(Transactions!$O:$O,ROW()-8))</f>
      </c>
      <c r="G906" s="30">
        <f>IF($A906="",0,INDEX(Transactions!$P:$P,ROW()-8))</f>
      </c>
    </row>
    <row r="907" spans="1:7" ht="15" customHeight="1" x14ac:dyDescent="0.15">
      <c r="A907">
        <f>IF(INDEX(Transactions!$J:$J,ROW()-8)="","",INDEX(Transactions!$J:$J,ROW()-8))</f>
      </c>
      <c r="B907" s="297">
        <f>IF($A907="",TODAY(),INDEX(Transactions!$G:$G,ROW()-8))</f>
      </c>
      <c r="C907">
        <f>IF($A907="","",INDEX(Transactions!$A:$A,ROW()-8))</f>
      </c>
      <c r="D907" s="30">
        <f>IF($A907="",0,INDEX(Transactions!$H:$H,ROW()-8))</f>
      </c>
      <c r="E907">
        <f>IF($A907="",1,INDEX(Transactions!$N:$N,ROW()-8))</f>
        <v>1</v>
      </c>
      <c r="F907" s="30">
        <f>IF($A907="",0,INDEX(Transactions!$O:$O,ROW()-8))</f>
      </c>
      <c r="G907" s="30">
        <f>IF($A907="",0,INDEX(Transactions!$P:$P,ROW()-8))</f>
      </c>
    </row>
    <row r="908" spans="1:7" ht="15" customHeight="1" x14ac:dyDescent="0.15">
      <c r="A908">
        <f>IF(INDEX(Transactions!$J:$J,ROW()-8)="","",INDEX(Transactions!$J:$J,ROW()-8))</f>
      </c>
      <c r="B908" s="297">
        <f>IF($A908="",TODAY(),INDEX(Transactions!$G:$G,ROW()-8))</f>
      </c>
      <c r="C908">
        <f>IF($A908="","",INDEX(Transactions!$A:$A,ROW()-8))</f>
      </c>
      <c r="D908" s="30">
        <f>IF($A908="",0,INDEX(Transactions!$H:$H,ROW()-8))</f>
      </c>
      <c r="E908">
        <f>IF($A908="",1,INDEX(Transactions!$N:$N,ROW()-8))</f>
        <v>1</v>
      </c>
      <c r="F908" s="30">
        <f>IF($A908="",0,INDEX(Transactions!$O:$O,ROW()-8))</f>
      </c>
      <c r="G908" s="30">
        <f>IF($A908="",0,INDEX(Transactions!$P:$P,ROW()-8))</f>
      </c>
    </row>
    <row r="909" spans="1:7" ht="15" customHeight="1" x14ac:dyDescent="0.15">
      <c r="A909">
        <f>IF(INDEX(Transactions!$J:$J,ROW()-8)="","",INDEX(Transactions!$J:$J,ROW()-8))</f>
      </c>
      <c r="B909" s="297">
        <f>IF($A909="",TODAY(),INDEX(Transactions!$G:$G,ROW()-8))</f>
      </c>
      <c r="C909">
        <f>IF($A909="","",INDEX(Transactions!$A:$A,ROW()-8))</f>
      </c>
      <c r="D909" s="30">
        <f>IF($A909="",0,INDEX(Transactions!$H:$H,ROW()-8))</f>
      </c>
      <c r="E909">
        <f>IF($A909="",1,INDEX(Transactions!$N:$N,ROW()-8))</f>
        <v>1</v>
      </c>
      <c r="F909" s="30">
        <f>IF($A909="",0,INDEX(Transactions!$O:$O,ROW()-8))</f>
      </c>
      <c r="G909" s="30">
        <f>IF($A909="",0,INDEX(Transactions!$P:$P,ROW()-8))</f>
      </c>
    </row>
    <row r="910" spans="1:7" ht="15" customHeight="1" x14ac:dyDescent="0.15">
      <c r="A910">
        <f>IF(INDEX(Transactions!$J:$J,ROW()-8)="","",INDEX(Transactions!$J:$J,ROW()-8))</f>
      </c>
      <c r="B910" s="297">
        <f>IF($A910="",TODAY(),INDEX(Transactions!$G:$G,ROW()-8))</f>
      </c>
      <c r="C910">
        <f>IF($A910="","",INDEX(Transactions!$A:$A,ROW()-8))</f>
      </c>
      <c r="D910" s="30">
        <f>IF($A910="",0,INDEX(Transactions!$H:$H,ROW()-8))</f>
      </c>
      <c r="E910">
        <f>IF($A910="",1,INDEX(Transactions!$N:$N,ROW()-8))</f>
        <v>1</v>
      </c>
      <c r="F910" s="30">
        <f>IF($A910="",0,INDEX(Transactions!$O:$O,ROW()-8))</f>
      </c>
      <c r="G910" s="30">
        <f>IF($A910="",0,INDEX(Transactions!$P:$P,ROW()-8))</f>
      </c>
    </row>
    <row r="911" spans="1:7" ht="15" customHeight="1" x14ac:dyDescent="0.15">
      <c r="A911">
        <f>IF(INDEX(Transactions!$J:$J,ROW()-8)="","",INDEX(Transactions!$J:$J,ROW()-8))</f>
      </c>
      <c r="B911" s="297">
        <f>IF($A911="",TODAY(),INDEX(Transactions!$G:$G,ROW()-8))</f>
      </c>
      <c r="C911">
        <f>IF($A911="","",INDEX(Transactions!$A:$A,ROW()-8))</f>
      </c>
      <c r="D911" s="30">
        <f>IF($A911="",0,INDEX(Transactions!$H:$H,ROW()-8))</f>
      </c>
      <c r="E911">
        <f>IF($A911="",1,INDEX(Transactions!$N:$N,ROW()-8))</f>
        <v>1</v>
      </c>
      <c r="F911" s="30">
        <f>IF($A911="",0,INDEX(Transactions!$O:$O,ROW()-8))</f>
      </c>
      <c r="G911" s="30">
        <f>IF($A911="",0,INDEX(Transactions!$P:$P,ROW()-8))</f>
      </c>
    </row>
    <row r="912" spans="1:7" ht="15" customHeight="1" x14ac:dyDescent="0.15">
      <c r="A912">
        <f>IF(INDEX(Transactions!$J:$J,ROW()-8)="","",INDEX(Transactions!$J:$J,ROW()-8))</f>
      </c>
      <c r="B912" s="297">
        <f>IF($A912="",TODAY(),INDEX(Transactions!$G:$G,ROW()-8))</f>
      </c>
      <c r="C912">
        <f>IF($A912="","",INDEX(Transactions!$A:$A,ROW()-8))</f>
      </c>
      <c r="D912" s="30">
        <f>IF($A912="",0,INDEX(Transactions!$H:$H,ROW()-8))</f>
      </c>
      <c r="E912">
        <f>IF($A912="",1,INDEX(Transactions!$N:$N,ROW()-8))</f>
        <v>1</v>
      </c>
      <c r="F912" s="30">
        <f>IF($A912="",0,INDEX(Transactions!$O:$O,ROW()-8))</f>
      </c>
      <c r="G912" s="30">
        <f>IF($A912="",0,INDEX(Transactions!$P:$P,ROW()-8))</f>
      </c>
    </row>
    <row r="913" spans="1:7" ht="15" customHeight="1" x14ac:dyDescent="0.15">
      <c r="A913">
        <f>IF(INDEX(Transactions!$J:$J,ROW()-8)="","",INDEX(Transactions!$J:$J,ROW()-8))</f>
      </c>
      <c r="B913" s="297">
        <f>IF($A913="",TODAY(),INDEX(Transactions!$G:$G,ROW()-8))</f>
      </c>
      <c r="C913">
        <f>IF($A913="","",INDEX(Transactions!$A:$A,ROW()-8))</f>
      </c>
      <c r="D913" s="30">
        <f>IF($A913="",0,INDEX(Transactions!$H:$H,ROW()-8))</f>
      </c>
      <c r="E913">
        <f>IF($A913="",1,INDEX(Transactions!$N:$N,ROW()-8))</f>
        <v>1</v>
      </c>
      <c r="F913" s="30">
        <f>IF($A913="",0,INDEX(Transactions!$O:$O,ROW()-8))</f>
      </c>
      <c r="G913" s="30">
        <f>IF($A913="",0,INDEX(Transactions!$P:$P,ROW()-8))</f>
      </c>
    </row>
    <row r="914" spans="1:7" ht="15" customHeight="1" x14ac:dyDescent="0.15">
      <c r="A914">
        <f>IF(INDEX(Transactions!$J:$J,ROW()-8)="","",INDEX(Transactions!$J:$J,ROW()-8))</f>
      </c>
      <c r="B914" s="297">
        <f>IF($A914="",TODAY(),INDEX(Transactions!$G:$G,ROW()-8))</f>
      </c>
      <c r="C914">
        <f>IF($A914="","",INDEX(Transactions!$A:$A,ROW()-8))</f>
      </c>
      <c r="D914" s="30">
        <f>IF($A914="",0,INDEX(Transactions!$H:$H,ROW()-8))</f>
      </c>
      <c r="E914">
        <f>IF($A914="",1,INDEX(Transactions!$N:$N,ROW()-8))</f>
        <v>1</v>
      </c>
      <c r="F914" s="30">
        <f>IF($A914="",0,INDEX(Transactions!$O:$O,ROW()-8))</f>
      </c>
      <c r="G914" s="30">
        <f>IF($A914="",0,INDEX(Transactions!$P:$P,ROW()-8))</f>
      </c>
    </row>
    <row r="915" spans="1:7" ht="15" customHeight="1" x14ac:dyDescent="0.15">
      <c r="A915">
        <f>IF(INDEX(Transactions!$J:$J,ROW()-8)="","",INDEX(Transactions!$J:$J,ROW()-8))</f>
      </c>
      <c r="B915" s="297">
        <f>IF($A915="",TODAY(),INDEX(Transactions!$G:$G,ROW()-8))</f>
      </c>
      <c r="C915">
        <f>IF($A915="","",INDEX(Transactions!$A:$A,ROW()-8))</f>
      </c>
      <c r="D915" s="30">
        <f>IF($A915="",0,INDEX(Transactions!$H:$H,ROW()-8))</f>
      </c>
      <c r="E915">
        <f>IF($A915="",1,INDEX(Transactions!$N:$N,ROW()-8))</f>
        <v>1</v>
      </c>
      <c r="F915" s="30">
        <f>IF($A915="",0,INDEX(Transactions!$O:$O,ROW()-8))</f>
      </c>
      <c r="G915" s="30">
        <f>IF($A915="",0,INDEX(Transactions!$P:$P,ROW()-8))</f>
      </c>
    </row>
    <row r="916" spans="1:7" ht="15" customHeight="1" x14ac:dyDescent="0.15">
      <c r="A916">
        <f>IF(INDEX(Transactions!$J:$J,ROW()-8)="","",INDEX(Transactions!$J:$J,ROW()-8))</f>
      </c>
      <c r="B916" s="297">
        <f>IF($A916="",TODAY(),INDEX(Transactions!$G:$G,ROW()-8))</f>
      </c>
      <c r="C916">
        <f>IF($A916="","",INDEX(Transactions!$A:$A,ROW()-8))</f>
      </c>
      <c r="D916" s="30">
        <f>IF($A916="",0,INDEX(Transactions!$H:$H,ROW()-8))</f>
      </c>
      <c r="E916">
        <f>IF($A916="",1,INDEX(Transactions!$N:$N,ROW()-8))</f>
        <v>1</v>
      </c>
      <c r="F916" s="30">
        <f>IF($A916="",0,INDEX(Transactions!$O:$O,ROW()-8))</f>
      </c>
      <c r="G916" s="30">
        <f>IF($A916="",0,INDEX(Transactions!$P:$P,ROW()-8))</f>
      </c>
    </row>
    <row r="917" spans="1:7" ht="15" customHeight="1" x14ac:dyDescent="0.15">
      <c r="A917">
        <f>IF(INDEX(Transactions!$J:$J,ROW()-8)="","",INDEX(Transactions!$J:$J,ROW()-8))</f>
      </c>
      <c r="B917" s="297">
        <f>IF($A917="",TODAY(),INDEX(Transactions!$G:$G,ROW()-8))</f>
      </c>
      <c r="C917">
        <f>IF($A917="","",INDEX(Transactions!$A:$A,ROW()-8))</f>
      </c>
      <c r="D917" s="30">
        <f>IF($A917="",0,INDEX(Transactions!$H:$H,ROW()-8))</f>
      </c>
      <c r="E917">
        <f>IF($A917="",1,INDEX(Transactions!$N:$N,ROW()-8))</f>
        <v>1</v>
      </c>
      <c r="F917" s="30">
        <f>IF($A917="",0,INDEX(Transactions!$O:$O,ROW()-8))</f>
      </c>
      <c r="G917" s="30">
        <f>IF($A917="",0,INDEX(Transactions!$P:$P,ROW()-8))</f>
      </c>
    </row>
    <row r="918" spans="1:7" ht="15" customHeight="1" x14ac:dyDescent="0.15">
      <c r="A918">
        <f>IF(INDEX(Transactions!$J:$J,ROW()-8)="","",INDEX(Transactions!$J:$J,ROW()-8))</f>
      </c>
      <c r="B918" s="297">
        <f>IF($A918="",TODAY(),INDEX(Transactions!$G:$G,ROW()-8))</f>
      </c>
      <c r="C918">
        <f>IF($A918="","",INDEX(Transactions!$A:$A,ROW()-8))</f>
      </c>
      <c r="D918" s="30">
        <f>IF($A918="",0,INDEX(Transactions!$H:$H,ROW()-8))</f>
      </c>
      <c r="E918">
        <f>IF($A918="",1,INDEX(Transactions!$N:$N,ROW()-8))</f>
        <v>1</v>
      </c>
      <c r="F918" s="30">
        <f>IF($A918="",0,INDEX(Transactions!$O:$O,ROW()-8))</f>
      </c>
      <c r="G918" s="30">
        <f>IF($A918="",0,INDEX(Transactions!$P:$P,ROW()-8))</f>
      </c>
    </row>
    <row r="919" spans="1:7" ht="15" customHeight="1" x14ac:dyDescent="0.15">
      <c r="A919">
        <f>IF(INDEX(Transactions!$J:$J,ROW()-8)="","",INDEX(Transactions!$J:$J,ROW()-8))</f>
      </c>
      <c r="B919" s="297">
        <f>IF($A919="",TODAY(),INDEX(Transactions!$G:$G,ROW()-8))</f>
      </c>
      <c r="C919">
        <f>IF($A919="","",INDEX(Transactions!$A:$A,ROW()-8))</f>
      </c>
      <c r="D919" s="30">
        <f>IF($A919="",0,INDEX(Transactions!$H:$H,ROW()-8))</f>
      </c>
      <c r="E919">
        <f>IF($A919="",1,INDEX(Transactions!$N:$N,ROW()-8))</f>
        <v>1</v>
      </c>
      <c r="F919" s="30">
        <f>IF($A919="",0,INDEX(Transactions!$O:$O,ROW()-8))</f>
      </c>
      <c r="G919" s="30">
        <f>IF($A919="",0,INDEX(Transactions!$P:$P,ROW()-8))</f>
      </c>
    </row>
    <row r="920" spans="1:7" ht="15" customHeight="1" x14ac:dyDescent="0.15">
      <c r="A920">
        <f>IF(INDEX(Transactions!$J:$J,ROW()-8)="","",INDEX(Transactions!$J:$J,ROW()-8))</f>
      </c>
      <c r="B920" s="297">
        <f>IF($A920="",TODAY(),INDEX(Transactions!$G:$G,ROW()-8))</f>
      </c>
      <c r="C920">
        <f>IF($A920="","",INDEX(Transactions!$A:$A,ROW()-8))</f>
      </c>
      <c r="D920" s="30">
        <f>IF($A920="",0,INDEX(Transactions!$H:$H,ROW()-8))</f>
      </c>
      <c r="E920">
        <f>IF($A920="",1,INDEX(Transactions!$N:$N,ROW()-8))</f>
        <v>1</v>
      </c>
      <c r="F920" s="30">
        <f>IF($A920="",0,INDEX(Transactions!$O:$O,ROW()-8))</f>
      </c>
      <c r="G920" s="30">
        <f>IF($A920="",0,INDEX(Transactions!$P:$P,ROW()-8))</f>
      </c>
    </row>
    <row r="921" spans="1:7" ht="15" customHeight="1" x14ac:dyDescent="0.15">
      <c r="A921">
        <f>IF(INDEX(Transactions!$J:$J,ROW()-8)="","",INDEX(Transactions!$J:$J,ROW()-8))</f>
      </c>
      <c r="B921" s="297">
        <f>IF($A921="",TODAY(),INDEX(Transactions!$G:$G,ROW()-8))</f>
      </c>
      <c r="C921">
        <f>IF($A921="","",INDEX(Transactions!$A:$A,ROW()-8))</f>
      </c>
      <c r="D921" s="30">
        <f>IF($A921="",0,INDEX(Transactions!$H:$H,ROW()-8))</f>
      </c>
      <c r="E921">
        <f>IF($A921="",1,INDEX(Transactions!$N:$N,ROW()-8))</f>
        <v>1</v>
      </c>
      <c r="F921" s="30">
        <f>IF($A921="",0,INDEX(Transactions!$O:$O,ROW()-8))</f>
      </c>
      <c r="G921" s="30">
        <f>IF($A921="",0,INDEX(Transactions!$P:$P,ROW()-8))</f>
      </c>
    </row>
    <row r="922" spans="1:7" ht="15" customHeight="1" x14ac:dyDescent="0.15">
      <c r="A922">
        <f>IF(INDEX(Transactions!$J:$J,ROW()-8)="","",INDEX(Transactions!$J:$J,ROW()-8))</f>
      </c>
      <c r="B922" s="297">
        <f>IF($A922="",TODAY(),INDEX(Transactions!$G:$G,ROW()-8))</f>
      </c>
      <c r="C922">
        <f>IF($A922="","",INDEX(Transactions!$A:$A,ROW()-8))</f>
      </c>
      <c r="D922" s="30">
        <f>IF($A922="",0,INDEX(Transactions!$H:$H,ROW()-8))</f>
      </c>
      <c r="E922">
        <f>IF($A922="",1,INDEX(Transactions!$N:$N,ROW()-8))</f>
        <v>1</v>
      </c>
      <c r="F922" s="30">
        <f>IF($A922="",0,INDEX(Transactions!$O:$O,ROW()-8))</f>
      </c>
      <c r="G922" s="30">
        <f>IF($A922="",0,INDEX(Transactions!$P:$P,ROW()-8))</f>
      </c>
    </row>
    <row r="923" spans="1:7" ht="15" customHeight="1" x14ac:dyDescent="0.15">
      <c r="A923">
        <f>IF(INDEX(Transactions!$J:$J,ROW()-8)="","",INDEX(Transactions!$J:$J,ROW()-8))</f>
      </c>
      <c r="B923" s="297">
        <f>IF($A923="",TODAY(),INDEX(Transactions!$G:$G,ROW()-8))</f>
      </c>
      <c r="C923">
        <f>IF($A923="","",INDEX(Transactions!$A:$A,ROW()-8))</f>
      </c>
      <c r="D923" s="30">
        <f>IF($A923="",0,INDEX(Transactions!$H:$H,ROW()-8))</f>
      </c>
      <c r="E923">
        <f>IF($A923="",1,INDEX(Transactions!$N:$N,ROW()-8))</f>
        <v>1</v>
      </c>
      <c r="F923" s="30">
        <f>IF($A923="",0,INDEX(Transactions!$O:$O,ROW()-8))</f>
      </c>
      <c r="G923" s="30">
        <f>IF($A923="",0,INDEX(Transactions!$P:$P,ROW()-8))</f>
      </c>
    </row>
    <row r="924" spans="1:7" ht="15" customHeight="1" x14ac:dyDescent="0.15">
      <c r="A924">
        <f>IF(INDEX(Transactions!$J:$J,ROW()-8)="","",INDEX(Transactions!$J:$J,ROW()-8))</f>
      </c>
      <c r="B924" s="297">
        <f>IF($A924="",TODAY(),INDEX(Transactions!$G:$G,ROW()-8))</f>
      </c>
      <c r="C924">
        <f>IF($A924="","",INDEX(Transactions!$A:$A,ROW()-8))</f>
      </c>
      <c r="D924" s="30">
        <f>IF($A924="",0,INDEX(Transactions!$H:$H,ROW()-8))</f>
      </c>
      <c r="E924">
        <f>IF($A924="",1,INDEX(Transactions!$N:$N,ROW()-8))</f>
        <v>1</v>
      </c>
      <c r="F924" s="30">
        <f>IF($A924="",0,INDEX(Transactions!$O:$O,ROW()-8))</f>
      </c>
      <c r="G924" s="30">
        <f>IF($A924="",0,INDEX(Transactions!$P:$P,ROW()-8))</f>
      </c>
    </row>
    <row r="925" spans="1:7" ht="15" customHeight="1" x14ac:dyDescent="0.15">
      <c r="A925">
        <f>IF(INDEX(Transactions!$J:$J,ROW()-8)="","",INDEX(Transactions!$J:$J,ROW()-8))</f>
      </c>
      <c r="B925" s="297">
        <f>IF($A925="",TODAY(),INDEX(Transactions!$G:$G,ROW()-8))</f>
      </c>
      <c r="C925">
        <f>IF($A925="","",INDEX(Transactions!$A:$A,ROW()-8))</f>
      </c>
      <c r="D925" s="30">
        <f>IF($A925="",0,INDEX(Transactions!$H:$H,ROW()-8))</f>
      </c>
      <c r="E925">
        <f>IF($A925="",1,INDEX(Transactions!$N:$N,ROW()-8))</f>
        <v>1</v>
      </c>
      <c r="F925" s="30">
        <f>IF($A925="",0,INDEX(Transactions!$O:$O,ROW()-8))</f>
      </c>
      <c r="G925" s="30">
        <f>IF($A925="",0,INDEX(Transactions!$P:$P,ROW()-8))</f>
      </c>
    </row>
    <row r="926" spans="1:7" ht="15" customHeight="1" x14ac:dyDescent="0.15">
      <c r="A926">
        <f>IF(INDEX(Transactions!$J:$J,ROW()-8)="","",INDEX(Transactions!$J:$J,ROW()-8))</f>
      </c>
      <c r="B926" s="297">
        <f>IF($A926="",TODAY(),INDEX(Transactions!$G:$G,ROW()-8))</f>
      </c>
      <c r="C926">
        <f>IF($A926="","",INDEX(Transactions!$A:$A,ROW()-8))</f>
      </c>
      <c r="D926" s="30">
        <f>IF($A926="",0,INDEX(Transactions!$H:$H,ROW()-8))</f>
      </c>
      <c r="E926">
        <f>IF($A926="",1,INDEX(Transactions!$N:$N,ROW()-8))</f>
        <v>1</v>
      </c>
      <c r="F926" s="30">
        <f>IF($A926="",0,INDEX(Transactions!$O:$O,ROW()-8))</f>
      </c>
      <c r="G926" s="30">
        <f>IF($A926="",0,INDEX(Transactions!$P:$P,ROW()-8))</f>
      </c>
    </row>
    <row r="927" spans="1:7" ht="15" customHeight="1" x14ac:dyDescent="0.15">
      <c r="A927">
        <f>IF(INDEX(Transactions!$J:$J,ROW()-8)="","",INDEX(Transactions!$J:$J,ROW()-8))</f>
      </c>
      <c r="B927" s="297">
        <f>IF($A927="",TODAY(),INDEX(Transactions!$G:$G,ROW()-8))</f>
      </c>
      <c r="C927">
        <f>IF($A927="","",INDEX(Transactions!$A:$A,ROW()-8))</f>
      </c>
      <c r="D927" s="30">
        <f>IF($A927="",0,INDEX(Transactions!$H:$H,ROW()-8))</f>
      </c>
      <c r="E927">
        <f>IF($A927="",1,INDEX(Transactions!$N:$N,ROW()-8))</f>
        <v>1</v>
      </c>
      <c r="F927" s="30">
        <f>IF($A927="",0,INDEX(Transactions!$O:$O,ROW()-8))</f>
      </c>
      <c r="G927" s="30">
        <f>IF($A927="",0,INDEX(Transactions!$P:$P,ROW()-8))</f>
      </c>
    </row>
    <row r="928" spans="1:7" ht="15" customHeight="1" x14ac:dyDescent="0.15">
      <c r="A928">
        <f>IF(INDEX(Transactions!$J:$J,ROW()-8)="","",INDEX(Transactions!$J:$J,ROW()-8))</f>
      </c>
      <c r="B928" s="297">
        <f>IF($A928="",TODAY(),INDEX(Transactions!$G:$G,ROW()-8))</f>
      </c>
      <c r="C928">
        <f>IF($A928="","",INDEX(Transactions!$A:$A,ROW()-8))</f>
      </c>
      <c r="D928" s="30">
        <f>IF($A928="",0,INDEX(Transactions!$H:$H,ROW()-8))</f>
      </c>
      <c r="E928">
        <f>IF($A928="",1,INDEX(Transactions!$N:$N,ROW()-8))</f>
        <v>1</v>
      </c>
      <c r="F928" s="30">
        <f>IF($A928="",0,INDEX(Transactions!$O:$O,ROW()-8))</f>
      </c>
      <c r="G928" s="30">
        <f>IF($A928="",0,INDEX(Transactions!$P:$P,ROW()-8))</f>
      </c>
    </row>
    <row r="929" spans="1:7" ht="15" customHeight="1" x14ac:dyDescent="0.15">
      <c r="A929">
        <f>IF(INDEX(Transactions!$J:$J,ROW()-8)="","",INDEX(Transactions!$J:$J,ROW()-8))</f>
      </c>
      <c r="B929" s="297">
        <f>IF($A929="",TODAY(),INDEX(Transactions!$G:$G,ROW()-8))</f>
      </c>
      <c r="C929">
        <f>IF($A929="","",INDEX(Transactions!$A:$A,ROW()-8))</f>
      </c>
      <c r="D929" s="30">
        <f>IF($A929="",0,INDEX(Transactions!$H:$H,ROW()-8))</f>
      </c>
      <c r="E929">
        <f>IF($A929="",1,INDEX(Transactions!$N:$N,ROW()-8))</f>
        <v>1</v>
      </c>
      <c r="F929" s="30">
        <f>IF($A929="",0,INDEX(Transactions!$O:$O,ROW()-8))</f>
      </c>
      <c r="G929" s="30">
        <f>IF($A929="",0,INDEX(Transactions!$P:$P,ROW()-8))</f>
      </c>
    </row>
    <row r="930" spans="1:7" ht="15" customHeight="1" x14ac:dyDescent="0.15">
      <c r="A930">
        <f>IF(INDEX(Transactions!$J:$J,ROW()-8)="","",INDEX(Transactions!$J:$J,ROW()-8))</f>
      </c>
      <c r="B930" s="297">
        <f>IF($A930="",TODAY(),INDEX(Transactions!$G:$G,ROW()-8))</f>
      </c>
      <c r="C930">
        <f>IF($A930="","",INDEX(Transactions!$A:$A,ROW()-8))</f>
      </c>
      <c r="D930" s="30">
        <f>IF($A930="",0,INDEX(Transactions!$H:$H,ROW()-8))</f>
      </c>
      <c r="E930">
        <f>IF($A930="",1,INDEX(Transactions!$N:$N,ROW()-8))</f>
        <v>1</v>
      </c>
      <c r="F930" s="30">
        <f>IF($A930="",0,INDEX(Transactions!$O:$O,ROW()-8))</f>
      </c>
      <c r="G930" s="30">
        <f>IF($A930="",0,INDEX(Transactions!$P:$P,ROW()-8))</f>
      </c>
    </row>
    <row r="931" spans="1:7" ht="15" customHeight="1" x14ac:dyDescent="0.15">
      <c r="A931">
        <f>IF(INDEX(Transactions!$J:$J,ROW()-8)="","",INDEX(Transactions!$J:$J,ROW()-8))</f>
      </c>
      <c r="B931" s="297">
        <f>IF($A931="",TODAY(),INDEX(Transactions!$G:$G,ROW()-8))</f>
      </c>
      <c r="C931">
        <f>IF($A931="","",INDEX(Transactions!$A:$A,ROW()-8))</f>
      </c>
      <c r="D931" s="30">
        <f>IF($A931="",0,INDEX(Transactions!$H:$H,ROW()-8))</f>
      </c>
      <c r="E931">
        <f>IF($A931="",1,INDEX(Transactions!$N:$N,ROW()-8))</f>
        <v>1</v>
      </c>
      <c r="F931" s="30">
        <f>IF($A931="",0,INDEX(Transactions!$O:$O,ROW()-8))</f>
      </c>
      <c r="G931" s="30">
        <f>IF($A931="",0,INDEX(Transactions!$P:$P,ROW()-8))</f>
      </c>
    </row>
    <row r="932" spans="1:7" ht="15" customHeight="1" x14ac:dyDescent="0.15">
      <c r="A932">
        <f>IF(INDEX(Transactions!$J:$J,ROW()-8)="","",INDEX(Transactions!$J:$J,ROW()-8))</f>
      </c>
      <c r="B932" s="297">
        <f>IF($A932="",TODAY(),INDEX(Transactions!$G:$G,ROW()-8))</f>
      </c>
      <c r="C932">
        <f>IF($A932="","",INDEX(Transactions!$A:$A,ROW()-8))</f>
      </c>
      <c r="D932" s="30">
        <f>IF($A932="",0,INDEX(Transactions!$H:$H,ROW()-8))</f>
      </c>
      <c r="E932">
        <f>IF($A932="",1,INDEX(Transactions!$N:$N,ROW()-8))</f>
        <v>1</v>
      </c>
      <c r="F932" s="30">
        <f>IF($A932="",0,INDEX(Transactions!$O:$O,ROW()-8))</f>
      </c>
      <c r="G932" s="30">
        <f>IF($A932="",0,INDEX(Transactions!$P:$P,ROW()-8))</f>
      </c>
    </row>
    <row r="933" spans="1:7" ht="15" customHeight="1" x14ac:dyDescent="0.15">
      <c r="A933">
        <f>IF(INDEX(Transactions!$J:$J,ROW()-8)="","",INDEX(Transactions!$J:$J,ROW()-8))</f>
      </c>
      <c r="B933" s="297">
        <f>IF($A933="",TODAY(),INDEX(Transactions!$G:$G,ROW()-8))</f>
      </c>
      <c r="C933">
        <f>IF($A933="","",INDEX(Transactions!$A:$A,ROW()-8))</f>
      </c>
      <c r="D933" s="30">
        <f>IF($A933="",0,INDEX(Transactions!$H:$H,ROW()-8))</f>
      </c>
      <c r="E933">
        <f>IF($A933="",1,INDEX(Transactions!$N:$N,ROW()-8))</f>
        <v>1</v>
      </c>
      <c r="F933" s="30">
        <f>IF($A933="",0,INDEX(Transactions!$O:$O,ROW()-8))</f>
      </c>
      <c r="G933" s="30">
        <f>IF($A933="",0,INDEX(Transactions!$P:$P,ROW()-8))</f>
      </c>
    </row>
    <row r="934" spans="1:7" ht="15" customHeight="1" x14ac:dyDescent="0.15">
      <c r="A934">
        <f>IF(INDEX(Transactions!$J:$J,ROW()-8)="","",INDEX(Transactions!$J:$J,ROW()-8))</f>
      </c>
      <c r="B934" s="297">
        <f>IF($A934="",TODAY(),INDEX(Transactions!$G:$G,ROW()-8))</f>
      </c>
      <c r="C934">
        <f>IF($A934="","",INDEX(Transactions!$A:$A,ROW()-8))</f>
      </c>
      <c r="D934" s="30">
        <f>IF($A934="",0,INDEX(Transactions!$H:$H,ROW()-8))</f>
      </c>
      <c r="E934">
        <f>IF($A934="",1,INDEX(Transactions!$N:$N,ROW()-8))</f>
        <v>1</v>
      </c>
      <c r="F934" s="30">
        <f>IF($A934="",0,INDEX(Transactions!$O:$O,ROW()-8))</f>
      </c>
      <c r="G934" s="30">
        <f>IF($A934="",0,INDEX(Transactions!$P:$P,ROW()-8))</f>
      </c>
    </row>
    <row r="935" spans="1:7" ht="15" customHeight="1" x14ac:dyDescent="0.15">
      <c r="A935">
        <f>IF(INDEX(Transactions!$J:$J,ROW()-8)="","",INDEX(Transactions!$J:$J,ROW()-8))</f>
      </c>
      <c r="B935" s="297">
        <f>IF($A935="",TODAY(),INDEX(Transactions!$G:$G,ROW()-8))</f>
      </c>
      <c r="C935">
        <f>IF($A935="","",INDEX(Transactions!$A:$A,ROW()-8))</f>
      </c>
      <c r="D935" s="30">
        <f>IF($A935="",0,INDEX(Transactions!$H:$H,ROW()-8))</f>
      </c>
      <c r="E935">
        <f>IF($A935="",1,INDEX(Transactions!$N:$N,ROW()-8))</f>
        <v>1</v>
      </c>
      <c r="F935" s="30">
        <f>IF($A935="",0,INDEX(Transactions!$O:$O,ROW()-8))</f>
      </c>
      <c r="G935" s="30">
        <f>IF($A935="",0,INDEX(Transactions!$P:$P,ROW()-8))</f>
      </c>
    </row>
    <row r="936" spans="1:7" ht="15" customHeight="1" x14ac:dyDescent="0.15">
      <c r="A936">
        <f>IF(INDEX(Transactions!$J:$J,ROW()-8)="","",INDEX(Transactions!$J:$J,ROW()-8))</f>
      </c>
      <c r="B936" s="297">
        <f>IF($A936="",TODAY(),INDEX(Transactions!$G:$G,ROW()-8))</f>
      </c>
      <c r="C936">
        <f>IF($A936="","",INDEX(Transactions!$A:$A,ROW()-8))</f>
      </c>
      <c r="D936" s="30">
        <f>IF($A936="",0,INDEX(Transactions!$H:$H,ROW()-8))</f>
      </c>
      <c r="E936">
        <f>IF($A936="",1,INDEX(Transactions!$N:$N,ROW()-8))</f>
        <v>1</v>
      </c>
      <c r="F936" s="30">
        <f>IF($A936="",0,INDEX(Transactions!$O:$O,ROW()-8))</f>
      </c>
      <c r="G936" s="30">
        <f>IF($A936="",0,INDEX(Transactions!$P:$P,ROW()-8))</f>
      </c>
    </row>
    <row r="937" spans="1:7" ht="15" customHeight="1" x14ac:dyDescent="0.15">
      <c r="A937">
        <f>IF(INDEX(Transactions!$J:$J,ROW()-8)="","",INDEX(Transactions!$J:$J,ROW()-8))</f>
      </c>
      <c r="B937" s="297">
        <f>IF($A937="",TODAY(),INDEX(Transactions!$G:$G,ROW()-8))</f>
      </c>
      <c r="C937">
        <f>IF($A937="","",INDEX(Transactions!$A:$A,ROW()-8))</f>
      </c>
      <c r="D937" s="30">
        <f>IF($A937="",0,INDEX(Transactions!$H:$H,ROW()-8))</f>
      </c>
      <c r="E937">
        <f>IF($A937="",1,INDEX(Transactions!$N:$N,ROW()-8))</f>
        <v>1</v>
      </c>
      <c r="F937" s="30">
        <f>IF($A937="",0,INDEX(Transactions!$O:$O,ROW()-8))</f>
      </c>
      <c r="G937" s="30">
        <f>IF($A937="",0,INDEX(Transactions!$P:$P,ROW()-8))</f>
      </c>
    </row>
    <row r="938" spans="1:7" ht="15" customHeight="1" x14ac:dyDescent="0.15">
      <c r="A938">
        <f>IF(INDEX(Transactions!$J:$J,ROW()-8)="","",INDEX(Transactions!$J:$J,ROW()-8))</f>
      </c>
      <c r="B938" s="297">
        <f>IF($A938="",TODAY(),INDEX(Transactions!$G:$G,ROW()-8))</f>
      </c>
      <c r="C938">
        <f>IF($A938="","",INDEX(Transactions!$A:$A,ROW()-8))</f>
      </c>
      <c r="D938" s="30">
        <f>IF($A938="",0,INDEX(Transactions!$H:$H,ROW()-8))</f>
      </c>
      <c r="E938">
        <f>IF($A938="",1,INDEX(Transactions!$N:$N,ROW()-8))</f>
        <v>1</v>
      </c>
      <c r="F938" s="30">
        <f>IF($A938="",0,INDEX(Transactions!$O:$O,ROW()-8))</f>
      </c>
      <c r="G938" s="30">
        <f>IF($A938="",0,INDEX(Transactions!$P:$P,ROW()-8))</f>
      </c>
    </row>
    <row r="939" spans="1:7" ht="15" customHeight="1" x14ac:dyDescent="0.15">
      <c r="A939">
        <f>IF(INDEX(Transactions!$J:$J,ROW()-8)="","",INDEX(Transactions!$J:$J,ROW()-8))</f>
      </c>
      <c r="B939" s="297">
        <f>IF($A939="",TODAY(),INDEX(Transactions!$G:$G,ROW()-8))</f>
      </c>
      <c r="C939">
        <f>IF($A939="","",INDEX(Transactions!$A:$A,ROW()-8))</f>
      </c>
      <c r="D939" s="30">
        <f>IF($A939="",0,INDEX(Transactions!$H:$H,ROW()-8))</f>
      </c>
      <c r="E939">
        <f>IF($A939="",1,INDEX(Transactions!$N:$N,ROW()-8))</f>
        <v>1</v>
      </c>
      <c r="F939" s="30">
        <f>IF($A939="",0,INDEX(Transactions!$O:$O,ROW()-8))</f>
      </c>
      <c r="G939" s="30">
        <f>IF($A939="",0,INDEX(Transactions!$P:$P,ROW()-8))</f>
      </c>
    </row>
    <row r="940" spans="1:7" ht="15" customHeight="1" x14ac:dyDescent="0.15">
      <c r="A940">
        <f>IF(INDEX(Transactions!$J:$J,ROW()-8)="","",INDEX(Transactions!$J:$J,ROW()-8))</f>
      </c>
      <c r="B940" s="297">
        <f>IF($A940="",TODAY(),INDEX(Transactions!$G:$G,ROW()-8))</f>
      </c>
      <c r="C940">
        <f>IF($A940="","",INDEX(Transactions!$A:$A,ROW()-8))</f>
      </c>
      <c r="D940" s="30">
        <f>IF($A940="",0,INDEX(Transactions!$H:$H,ROW()-8))</f>
      </c>
      <c r="E940">
        <f>IF($A940="",1,INDEX(Transactions!$N:$N,ROW()-8))</f>
        <v>1</v>
      </c>
      <c r="F940" s="30">
        <f>IF($A940="",0,INDEX(Transactions!$O:$O,ROW()-8))</f>
      </c>
      <c r="G940" s="30">
        <f>IF($A940="",0,INDEX(Transactions!$P:$P,ROW()-8))</f>
      </c>
    </row>
    <row r="941" spans="1:7" ht="15" customHeight="1" x14ac:dyDescent="0.15">
      <c r="A941">
        <f>IF(INDEX(Transactions!$J:$J,ROW()-8)="","",INDEX(Transactions!$J:$J,ROW()-8))</f>
      </c>
      <c r="B941" s="297">
        <f>IF($A941="",TODAY(),INDEX(Transactions!$G:$G,ROW()-8))</f>
      </c>
      <c r="C941">
        <f>IF($A941="","",INDEX(Transactions!$A:$A,ROW()-8))</f>
      </c>
      <c r="D941" s="30">
        <f>IF($A941="",0,INDEX(Transactions!$H:$H,ROW()-8))</f>
      </c>
      <c r="E941">
        <f>IF($A941="",1,INDEX(Transactions!$N:$N,ROW()-8))</f>
        <v>1</v>
      </c>
      <c r="F941" s="30">
        <f>IF($A941="",0,INDEX(Transactions!$O:$O,ROW()-8))</f>
      </c>
      <c r="G941" s="30">
        <f>IF($A941="",0,INDEX(Transactions!$P:$P,ROW()-8))</f>
      </c>
    </row>
    <row r="942" spans="1:7" ht="15" customHeight="1" x14ac:dyDescent="0.15">
      <c r="A942">
        <f>IF(INDEX(Transactions!$J:$J,ROW()-8)="","",INDEX(Transactions!$J:$J,ROW()-8))</f>
      </c>
      <c r="B942" s="297">
        <f>IF($A942="",TODAY(),INDEX(Transactions!$G:$G,ROW()-8))</f>
      </c>
      <c r="C942">
        <f>IF($A942="","",INDEX(Transactions!$A:$A,ROW()-8))</f>
      </c>
      <c r="D942" s="30">
        <f>IF($A942="",0,INDEX(Transactions!$H:$H,ROW()-8))</f>
      </c>
      <c r="E942">
        <f>IF($A942="",1,INDEX(Transactions!$N:$N,ROW()-8))</f>
        <v>1</v>
      </c>
      <c r="F942" s="30">
        <f>IF($A942="",0,INDEX(Transactions!$O:$O,ROW()-8))</f>
      </c>
      <c r="G942" s="30">
        <f>IF($A942="",0,INDEX(Transactions!$P:$P,ROW()-8))</f>
      </c>
    </row>
    <row r="943" spans="1:7" ht="15" customHeight="1" x14ac:dyDescent="0.15">
      <c r="A943">
        <f>IF(INDEX(Transactions!$J:$J,ROW()-8)="","",INDEX(Transactions!$J:$J,ROW()-8))</f>
      </c>
      <c r="B943" s="297">
        <f>IF($A943="",TODAY(),INDEX(Transactions!$G:$G,ROW()-8))</f>
      </c>
      <c r="C943">
        <f>IF($A943="","",INDEX(Transactions!$A:$A,ROW()-8))</f>
      </c>
      <c r="D943" s="30">
        <f>IF($A943="",0,INDEX(Transactions!$H:$H,ROW()-8))</f>
      </c>
      <c r="E943">
        <f>IF($A943="",1,INDEX(Transactions!$N:$N,ROW()-8))</f>
        <v>1</v>
      </c>
      <c r="F943" s="30">
        <f>IF($A943="",0,INDEX(Transactions!$O:$O,ROW()-8))</f>
      </c>
      <c r="G943" s="30">
        <f>IF($A943="",0,INDEX(Transactions!$P:$P,ROW()-8))</f>
      </c>
    </row>
    <row r="944" spans="1:7" ht="15" customHeight="1" x14ac:dyDescent="0.15">
      <c r="A944">
        <f>IF(INDEX(Transactions!$J:$J,ROW()-8)="","",INDEX(Transactions!$J:$J,ROW()-8))</f>
      </c>
      <c r="B944" s="297">
        <f>IF($A944="",TODAY(),INDEX(Transactions!$G:$G,ROW()-8))</f>
      </c>
      <c r="C944">
        <f>IF($A944="","",INDEX(Transactions!$A:$A,ROW()-8))</f>
      </c>
      <c r="D944" s="30">
        <f>IF($A944="",0,INDEX(Transactions!$H:$H,ROW()-8))</f>
      </c>
      <c r="E944">
        <f>IF($A944="",1,INDEX(Transactions!$N:$N,ROW()-8))</f>
        <v>1</v>
      </c>
      <c r="F944" s="30">
        <f>IF($A944="",0,INDEX(Transactions!$O:$O,ROW()-8))</f>
      </c>
      <c r="G944" s="30">
        <f>IF($A944="",0,INDEX(Transactions!$P:$P,ROW()-8))</f>
      </c>
    </row>
    <row r="945" spans="1:7" ht="15" customHeight="1" x14ac:dyDescent="0.15">
      <c r="A945">
        <f>IF(INDEX(Transactions!$J:$J,ROW()-8)="","",INDEX(Transactions!$J:$J,ROW()-8))</f>
      </c>
      <c r="B945" s="297">
        <f>IF($A945="",TODAY(),INDEX(Transactions!$G:$G,ROW()-8))</f>
      </c>
      <c r="C945">
        <f>IF($A945="","",INDEX(Transactions!$A:$A,ROW()-8))</f>
      </c>
      <c r="D945" s="30">
        <f>IF($A945="",0,INDEX(Transactions!$H:$H,ROW()-8))</f>
      </c>
      <c r="E945">
        <f>IF($A945="",1,INDEX(Transactions!$N:$N,ROW()-8))</f>
        <v>1</v>
      </c>
      <c r="F945" s="30">
        <f>IF($A945="",0,INDEX(Transactions!$O:$O,ROW()-8))</f>
      </c>
      <c r="G945" s="30">
        <f>IF($A945="",0,INDEX(Transactions!$P:$P,ROW()-8))</f>
      </c>
    </row>
    <row r="946" spans="1:7" ht="15" customHeight="1" x14ac:dyDescent="0.15">
      <c r="A946">
        <f>IF(INDEX(Transactions!$J:$J,ROW()-8)="","",INDEX(Transactions!$J:$J,ROW()-8))</f>
      </c>
      <c r="B946" s="297">
        <f>IF($A946="",TODAY(),INDEX(Transactions!$G:$G,ROW()-8))</f>
      </c>
      <c r="C946">
        <f>IF($A946="","",INDEX(Transactions!$A:$A,ROW()-8))</f>
      </c>
      <c r="D946" s="30">
        <f>IF($A946="",0,INDEX(Transactions!$H:$H,ROW()-8))</f>
      </c>
      <c r="E946">
        <f>IF($A946="",1,INDEX(Transactions!$N:$N,ROW()-8))</f>
        <v>1</v>
      </c>
      <c r="F946" s="30">
        <f>IF($A946="",0,INDEX(Transactions!$O:$O,ROW()-8))</f>
      </c>
      <c r="G946" s="30">
        <f>IF($A946="",0,INDEX(Transactions!$P:$P,ROW()-8))</f>
      </c>
    </row>
    <row r="947" spans="1:7" ht="15" customHeight="1" x14ac:dyDescent="0.15">
      <c r="A947">
        <f>IF(INDEX(Transactions!$J:$J,ROW()-8)="","",INDEX(Transactions!$J:$J,ROW()-8))</f>
      </c>
      <c r="B947" s="297">
        <f>IF($A947="",TODAY(),INDEX(Transactions!$G:$G,ROW()-8))</f>
      </c>
      <c r="C947">
        <f>IF($A947="","",INDEX(Transactions!$A:$A,ROW()-8))</f>
      </c>
      <c r="D947" s="30">
        <f>IF($A947="",0,INDEX(Transactions!$H:$H,ROW()-8))</f>
      </c>
      <c r="E947">
        <f>IF($A947="",1,INDEX(Transactions!$N:$N,ROW()-8))</f>
        <v>1</v>
      </c>
      <c r="F947" s="30">
        <f>IF($A947="",0,INDEX(Transactions!$O:$O,ROW()-8))</f>
      </c>
      <c r="G947" s="30">
        <f>IF($A947="",0,INDEX(Transactions!$P:$P,ROW()-8))</f>
      </c>
    </row>
    <row r="948" spans="1:7" ht="15" customHeight="1" x14ac:dyDescent="0.15">
      <c r="A948">
        <f>IF(INDEX(Transactions!$J:$J,ROW()-8)="","",INDEX(Transactions!$J:$J,ROW()-8))</f>
      </c>
      <c r="B948" s="297">
        <f>IF($A948="",TODAY(),INDEX(Transactions!$G:$G,ROW()-8))</f>
      </c>
      <c r="C948">
        <f>IF($A948="","",INDEX(Transactions!$A:$A,ROW()-8))</f>
      </c>
      <c r="D948" s="30">
        <f>IF($A948="",0,INDEX(Transactions!$H:$H,ROW()-8))</f>
      </c>
      <c r="E948">
        <f>IF($A948="",1,INDEX(Transactions!$N:$N,ROW()-8))</f>
        <v>1</v>
      </c>
      <c r="F948" s="30">
        <f>IF($A948="",0,INDEX(Transactions!$O:$O,ROW()-8))</f>
      </c>
      <c r="G948" s="30">
        <f>IF($A948="",0,INDEX(Transactions!$P:$P,ROW()-8))</f>
      </c>
    </row>
    <row r="949" spans="1:7" ht="15" customHeight="1" x14ac:dyDescent="0.15">
      <c r="A949">
        <f>IF(INDEX(Transactions!$J:$J,ROW()-8)="","",INDEX(Transactions!$J:$J,ROW()-8))</f>
      </c>
      <c r="B949" s="297">
        <f>IF($A949="",TODAY(),INDEX(Transactions!$G:$G,ROW()-8))</f>
      </c>
      <c r="C949">
        <f>IF($A949="","",INDEX(Transactions!$A:$A,ROW()-8))</f>
      </c>
      <c r="D949" s="30">
        <f>IF($A949="",0,INDEX(Transactions!$H:$H,ROW()-8))</f>
      </c>
      <c r="E949">
        <f>IF($A949="",1,INDEX(Transactions!$N:$N,ROW()-8))</f>
        <v>1</v>
      </c>
      <c r="F949" s="30">
        <f>IF($A949="",0,INDEX(Transactions!$O:$O,ROW()-8))</f>
      </c>
      <c r="G949" s="30">
        <f>IF($A949="",0,INDEX(Transactions!$P:$P,ROW()-8))</f>
      </c>
    </row>
    <row r="950" spans="1:7" ht="15" customHeight="1" x14ac:dyDescent="0.15">
      <c r="A950">
        <f>IF(INDEX(Transactions!$J:$J,ROW()-8)="","",INDEX(Transactions!$J:$J,ROW()-8))</f>
      </c>
      <c r="B950" s="297">
        <f>IF($A950="",TODAY(),INDEX(Transactions!$G:$G,ROW()-8))</f>
      </c>
      <c r="C950">
        <f>IF($A950="","",INDEX(Transactions!$A:$A,ROW()-8))</f>
      </c>
      <c r="D950" s="30">
        <f>IF($A950="",0,INDEX(Transactions!$H:$H,ROW()-8))</f>
      </c>
      <c r="E950">
        <f>IF($A950="",1,INDEX(Transactions!$N:$N,ROW()-8))</f>
        <v>1</v>
      </c>
      <c r="F950" s="30">
        <f>IF($A950="",0,INDEX(Transactions!$O:$O,ROW()-8))</f>
      </c>
      <c r="G950" s="30">
        <f>IF($A950="",0,INDEX(Transactions!$P:$P,ROW()-8))</f>
      </c>
    </row>
    <row r="951" spans="1:7" ht="15" customHeight="1" x14ac:dyDescent="0.15">
      <c r="A951">
        <f>IF(INDEX(Transactions!$J:$J,ROW()-8)="","",INDEX(Transactions!$J:$J,ROW()-8))</f>
      </c>
      <c r="B951" s="297">
        <f>IF($A951="",TODAY(),INDEX(Transactions!$G:$G,ROW()-8))</f>
      </c>
      <c r="C951">
        <f>IF($A951="","",INDEX(Transactions!$A:$A,ROW()-8))</f>
      </c>
      <c r="D951" s="30">
        <f>IF($A951="",0,INDEX(Transactions!$H:$H,ROW()-8))</f>
      </c>
      <c r="E951">
        <f>IF($A951="",1,INDEX(Transactions!$N:$N,ROW()-8))</f>
        <v>1</v>
      </c>
      <c r="F951" s="30">
        <f>IF($A951="",0,INDEX(Transactions!$O:$O,ROW()-8))</f>
      </c>
      <c r="G951" s="30">
        <f>IF($A951="",0,INDEX(Transactions!$P:$P,ROW()-8))</f>
      </c>
    </row>
    <row r="952" spans="1:7" ht="15" customHeight="1" x14ac:dyDescent="0.15">
      <c r="A952">
        <f>IF(INDEX(Transactions!$J:$J,ROW()-8)="","",INDEX(Transactions!$J:$J,ROW()-8))</f>
      </c>
      <c r="B952" s="297">
        <f>IF($A952="",TODAY(),INDEX(Transactions!$G:$G,ROW()-8))</f>
      </c>
      <c r="C952">
        <f>IF($A952="","",INDEX(Transactions!$A:$A,ROW()-8))</f>
      </c>
      <c r="D952" s="30">
        <f>IF($A952="",0,INDEX(Transactions!$H:$H,ROW()-8))</f>
      </c>
      <c r="E952">
        <f>IF($A952="",1,INDEX(Transactions!$N:$N,ROW()-8))</f>
        <v>1</v>
      </c>
      <c r="F952" s="30">
        <f>IF($A952="",0,INDEX(Transactions!$O:$O,ROW()-8))</f>
      </c>
      <c r="G952" s="30">
        <f>IF($A952="",0,INDEX(Transactions!$P:$P,ROW()-8))</f>
      </c>
    </row>
    <row r="953" spans="1:7" ht="15" customHeight="1" x14ac:dyDescent="0.15">
      <c r="A953">
        <f>IF(INDEX(Transactions!$J:$J,ROW()-8)="","",INDEX(Transactions!$J:$J,ROW()-8))</f>
      </c>
      <c r="B953" s="297">
        <f>IF($A953="",TODAY(),INDEX(Transactions!$G:$G,ROW()-8))</f>
      </c>
      <c r="C953">
        <f>IF($A953="","",INDEX(Transactions!$A:$A,ROW()-8))</f>
      </c>
      <c r="D953" s="30">
        <f>IF($A953="",0,INDEX(Transactions!$H:$H,ROW()-8))</f>
      </c>
      <c r="E953">
        <f>IF($A953="",1,INDEX(Transactions!$N:$N,ROW()-8))</f>
        <v>1</v>
      </c>
      <c r="F953" s="30">
        <f>IF($A953="",0,INDEX(Transactions!$O:$O,ROW()-8))</f>
      </c>
      <c r="G953" s="30">
        <f>IF($A953="",0,INDEX(Transactions!$P:$P,ROW()-8))</f>
      </c>
    </row>
    <row r="954" spans="1:7" ht="15" customHeight="1" x14ac:dyDescent="0.15">
      <c r="A954">
        <f>IF(INDEX(Transactions!$J:$J,ROW()-8)="","",INDEX(Transactions!$J:$J,ROW()-8))</f>
      </c>
      <c r="B954" s="297">
        <f>IF($A954="",TODAY(),INDEX(Transactions!$G:$G,ROW()-8))</f>
      </c>
      <c r="C954">
        <f>IF($A954="","",INDEX(Transactions!$A:$A,ROW()-8))</f>
      </c>
      <c r="D954" s="30">
        <f>IF($A954="",0,INDEX(Transactions!$H:$H,ROW()-8))</f>
      </c>
      <c r="E954">
        <f>IF($A954="",1,INDEX(Transactions!$N:$N,ROW()-8))</f>
        <v>1</v>
      </c>
      <c r="F954" s="30">
        <f>IF($A954="",0,INDEX(Transactions!$O:$O,ROW()-8))</f>
      </c>
      <c r="G954" s="30">
        <f>IF($A954="",0,INDEX(Transactions!$P:$P,ROW()-8))</f>
      </c>
    </row>
    <row r="955" spans="1:7" ht="15" customHeight="1" x14ac:dyDescent="0.15">
      <c r="A955">
        <f>IF(INDEX(Transactions!$J:$J,ROW()-8)="","",INDEX(Transactions!$J:$J,ROW()-8))</f>
      </c>
      <c r="B955" s="297">
        <f>IF($A955="",TODAY(),INDEX(Transactions!$G:$G,ROW()-8))</f>
      </c>
      <c r="C955">
        <f>IF($A955="","",INDEX(Transactions!$A:$A,ROW()-8))</f>
      </c>
      <c r="D955" s="30">
        <f>IF($A955="",0,INDEX(Transactions!$H:$H,ROW()-8))</f>
      </c>
      <c r="E955">
        <f>IF($A955="",1,INDEX(Transactions!$N:$N,ROW()-8))</f>
        <v>1</v>
      </c>
      <c r="F955" s="30">
        <f>IF($A955="",0,INDEX(Transactions!$O:$O,ROW()-8))</f>
      </c>
      <c r="G955" s="30">
        <f>IF($A955="",0,INDEX(Transactions!$P:$P,ROW()-8))</f>
      </c>
    </row>
    <row r="956" spans="1:7" ht="15" customHeight="1" x14ac:dyDescent="0.15">
      <c r="A956">
        <f>IF(INDEX(Transactions!$J:$J,ROW()-8)="","",INDEX(Transactions!$J:$J,ROW()-8))</f>
      </c>
      <c r="B956" s="297">
        <f>IF($A956="",TODAY(),INDEX(Transactions!$G:$G,ROW()-8))</f>
      </c>
      <c r="C956">
        <f>IF($A956="","",INDEX(Transactions!$A:$A,ROW()-8))</f>
      </c>
      <c r="D956" s="30">
        <f>IF($A956="",0,INDEX(Transactions!$H:$H,ROW()-8))</f>
      </c>
      <c r="E956">
        <f>IF($A956="",1,INDEX(Transactions!$N:$N,ROW()-8))</f>
        <v>1</v>
      </c>
      <c r="F956" s="30">
        <f>IF($A956="",0,INDEX(Transactions!$O:$O,ROW()-8))</f>
      </c>
      <c r="G956" s="30">
        <f>IF($A956="",0,INDEX(Transactions!$P:$P,ROW()-8))</f>
      </c>
    </row>
    <row r="957" spans="1:7" ht="15" customHeight="1" x14ac:dyDescent="0.15">
      <c r="A957">
        <f>IF(INDEX(Transactions!$J:$J,ROW()-8)="","",INDEX(Transactions!$J:$J,ROW()-8))</f>
      </c>
      <c r="B957" s="297">
        <f>IF($A957="",TODAY(),INDEX(Transactions!$G:$G,ROW()-8))</f>
      </c>
      <c r="C957">
        <f>IF($A957="","",INDEX(Transactions!$A:$A,ROW()-8))</f>
      </c>
      <c r="D957" s="30">
        <f>IF($A957="",0,INDEX(Transactions!$H:$H,ROW()-8))</f>
      </c>
      <c r="E957">
        <f>IF($A957="",1,INDEX(Transactions!$N:$N,ROW()-8))</f>
        <v>1</v>
      </c>
      <c r="F957" s="30">
        <f>IF($A957="",0,INDEX(Transactions!$O:$O,ROW()-8))</f>
      </c>
      <c r="G957" s="30">
        <f>IF($A957="",0,INDEX(Transactions!$P:$P,ROW()-8))</f>
      </c>
    </row>
    <row r="958" spans="1:7" ht="15" customHeight="1" x14ac:dyDescent="0.15">
      <c r="A958">
        <f>IF(INDEX(Transactions!$J:$J,ROW()-8)="","",INDEX(Transactions!$J:$J,ROW()-8))</f>
      </c>
      <c r="B958" s="297">
        <f>IF($A958="",TODAY(),INDEX(Transactions!$G:$G,ROW()-8))</f>
      </c>
      <c r="C958">
        <f>IF($A958="","",INDEX(Transactions!$A:$A,ROW()-8))</f>
      </c>
      <c r="D958" s="30">
        <f>IF($A958="",0,INDEX(Transactions!$H:$H,ROW()-8))</f>
      </c>
      <c r="E958">
        <f>IF($A958="",1,INDEX(Transactions!$N:$N,ROW()-8))</f>
        <v>1</v>
      </c>
      <c r="F958" s="30">
        <f>IF($A958="",0,INDEX(Transactions!$O:$O,ROW()-8))</f>
      </c>
      <c r="G958" s="30">
        <f>IF($A958="",0,INDEX(Transactions!$P:$P,ROW()-8))</f>
      </c>
    </row>
    <row r="959" spans="1:7" ht="15" customHeight="1" x14ac:dyDescent="0.15">
      <c r="A959">
        <f>IF(INDEX(Transactions!$J:$J,ROW()-8)="","",INDEX(Transactions!$J:$J,ROW()-8))</f>
      </c>
      <c r="B959" s="297">
        <f>IF($A959="",TODAY(),INDEX(Transactions!$G:$G,ROW()-8))</f>
      </c>
      <c r="C959">
        <f>IF($A959="","",INDEX(Transactions!$A:$A,ROW()-8))</f>
      </c>
      <c r="D959" s="30">
        <f>IF($A959="",0,INDEX(Transactions!$H:$H,ROW()-8))</f>
      </c>
      <c r="E959">
        <f>IF($A959="",1,INDEX(Transactions!$N:$N,ROW()-8))</f>
        <v>1</v>
      </c>
      <c r="F959" s="30">
        <f>IF($A959="",0,INDEX(Transactions!$O:$O,ROW()-8))</f>
      </c>
      <c r="G959" s="30">
        <f>IF($A959="",0,INDEX(Transactions!$P:$P,ROW()-8))</f>
      </c>
    </row>
    <row r="960" spans="1:7" ht="15" customHeight="1" x14ac:dyDescent="0.15">
      <c r="A960">
        <f>IF(INDEX(Transactions!$J:$J,ROW()-8)="","",INDEX(Transactions!$J:$J,ROW()-8))</f>
      </c>
      <c r="B960" s="297">
        <f>IF($A960="",TODAY(),INDEX(Transactions!$G:$G,ROW()-8))</f>
      </c>
      <c r="C960">
        <f>IF($A960="","",INDEX(Transactions!$A:$A,ROW()-8))</f>
      </c>
      <c r="D960" s="30">
        <f>IF($A960="",0,INDEX(Transactions!$H:$H,ROW()-8))</f>
      </c>
      <c r="E960">
        <f>IF($A960="",1,INDEX(Transactions!$N:$N,ROW()-8))</f>
        <v>1</v>
      </c>
      <c r="F960" s="30">
        <f>IF($A960="",0,INDEX(Transactions!$O:$O,ROW()-8))</f>
      </c>
      <c r="G960" s="30">
        <f>IF($A960="",0,INDEX(Transactions!$P:$P,ROW()-8))</f>
      </c>
    </row>
    <row r="961" spans="1:7" ht="15" customHeight="1" x14ac:dyDescent="0.15">
      <c r="A961">
        <f>IF(INDEX(Transactions!$J:$J,ROW()-8)="","",INDEX(Transactions!$J:$J,ROW()-8))</f>
      </c>
      <c r="B961" s="297">
        <f>IF($A961="",TODAY(),INDEX(Transactions!$G:$G,ROW()-8))</f>
      </c>
      <c r="C961">
        <f>IF($A961="","",INDEX(Transactions!$A:$A,ROW()-8))</f>
      </c>
      <c r="D961" s="30">
        <f>IF($A961="",0,INDEX(Transactions!$H:$H,ROW()-8))</f>
      </c>
      <c r="E961">
        <f>IF($A961="",1,INDEX(Transactions!$N:$N,ROW()-8))</f>
        <v>1</v>
      </c>
      <c r="F961" s="30">
        <f>IF($A961="",0,INDEX(Transactions!$O:$O,ROW()-8))</f>
      </c>
      <c r="G961" s="30">
        <f>IF($A961="",0,INDEX(Transactions!$P:$P,ROW()-8))</f>
      </c>
    </row>
    <row r="962" spans="1:7" ht="15" customHeight="1" x14ac:dyDescent="0.15">
      <c r="A962">
        <f>IF(INDEX(Transactions!$J:$J,ROW()-8)="","",INDEX(Transactions!$J:$J,ROW()-8))</f>
      </c>
      <c r="B962" s="297">
        <f>IF($A962="",TODAY(),INDEX(Transactions!$G:$G,ROW()-8))</f>
      </c>
      <c r="C962">
        <f>IF($A962="","",INDEX(Transactions!$A:$A,ROW()-8))</f>
      </c>
      <c r="D962" s="30">
        <f>IF($A962="",0,INDEX(Transactions!$H:$H,ROW()-8))</f>
      </c>
      <c r="E962">
        <f>IF($A962="",1,INDEX(Transactions!$N:$N,ROW()-8))</f>
        <v>1</v>
      </c>
      <c r="F962" s="30">
        <f>IF($A962="",0,INDEX(Transactions!$O:$O,ROW()-8))</f>
      </c>
      <c r="G962" s="30">
        <f>IF($A962="",0,INDEX(Transactions!$P:$P,ROW()-8))</f>
      </c>
    </row>
    <row r="963" spans="1:7" ht="15" customHeight="1" x14ac:dyDescent="0.15">
      <c r="A963">
        <f>IF(INDEX(Transactions!$J:$J,ROW()-8)="","",INDEX(Transactions!$J:$J,ROW()-8))</f>
      </c>
      <c r="B963" s="297">
        <f>IF($A963="",TODAY(),INDEX(Transactions!$G:$G,ROW()-8))</f>
      </c>
      <c r="C963">
        <f>IF($A963="","",INDEX(Transactions!$A:$A,ROW()-8))</f>
      </c>
      <c r="D963" s="30">
        <f>IF($A963="",0,INDEX(Transactions!$H:$H,ROW()-8))</f>
      </c>
      <c r="E963">
        <f>IF($A963="",1,INDEX(Transactions!$N:$N,ROW()-8))</f>
        <v>1</v>
      </c>
      <c r="F963" s="30">
        <f>IF($A963="",0,INDEX(Transactions!$O:$O,ROW()-8))</f>
      </c>
      <c r="G963" s="30">
        <f>IF($A963="",0,INDEX(Transactions!$P:$P,ROW()-8))</f>
      </c>
    </row>
    <row r="964" spans="1:7" ht="15" customHeight="1" x14ac:dyDescent="0.15">
      <c r="A964">
        <f>IF(INDEX(Transactions!$J:$J,ROW()-8)="","",INDEX(Transactions!$J:$J,ROW()-8))</f>
      </c>
      <c r="B964" s="297">
        <f>IF($A964="",TODAY(),INDEX(Transactions!$G:$G,ROW()-8))</f>
      </c>
      <c r="C964">
        <f>IF($A964="","",INDEX(Transactions!$A:$A,ROW()-8))</f>
      </c>
      <c r="D964" s="30">
        <f>IF($A964="",0,INDEX(Transactions!$H:$H,ROW()-8))</f>
      </c>
      <c r="E964">
        <f>IF($A964="",1,INDEX(Transactions!$N:$N,ROW()-8))</f>
        <v>1</v>
      </c>
      <c r="F964" s="30">
        <f>IF($A964="",0,INDEX(Transactions!$O:$O,ROW()-8))</f>
      </c>
      <c r="G964" s="30">
        <f>IF($A964="",0,INDEX(Transactions!$P:$P,ROW()-8))</f>
      </c>
    </row>
    <row r="965" spans="1:7" ht="15" customHeight="1" x14ac:dyDescent="0.15">
      <c r="A965">
        <f>IF(INDEX(Transactions!$J:$J,ROW()-8)="","",INDEX(Transactions!$J:$J,ROW()-8))</f>
      </c>
      <c r="B965" s="297">
        <f>IF($A965="",TODAY(),INDEX(Transactions!$G:$G,ROW()-8))</f>
      </c>
      <c r="C965">
        <f>IF($A965="","",INDEX(Transactions!$A:$A,ROW()-8))</f>
      </c>
      <c r="D965" s="30">
        <f>IF($A965="",0,INDEX(Transactions!$H:$H,ROW()-8))</f>
      </c>
      <c r="E965">
        <f>IF($A965="",1,INDEX(Transactions!$N:$N,ROW()-8))</f>
        <v>1</v>
      </c>
      <c r="F965" s="30">
        <f>IF($A965="",0,INDEX(Transactions!$O:$O,ROW()-8))</f>
      </c>
      <c r="G965" s="30">
        <f>IF($A965="",0,INDEX(Transactions!$P:$P,ROW()-8))</f>
      </c>
    </row>
    <row r="966" spans="1:7" ht="15" customHeight="1" x14ac:dyDescent="0.15">
      <c r="A966">
        <f>IF(INDEX(Transactions!$J:$J,ROW()-8)="","",INDEX(Transactions!$J:$J,ROW()-8))</f>
      </c>
      <c r="B966" s="297">
        <f>IF($A966="",TODAY(),INDEX(Transactions!$G:$G,ROW()-8))</f>
      </c>
      <c r="C966">
        <f>IF($A966="","",INDEX(Transactions!$A:$A,ROW()-8))</f>
      </c>
      <c r="D966" s="30">
        <f>IF($A966="",0,INDEX(Transactions!$H:$H,ROW()-8))</f>
      </c>
      <c r="E966">
        <f>IF($A966="",1,INDEX(Transactions!$N:$N,ROW()-8))</f>
        <v>1</v>
      </c>
      <c r="F966" s="30">
        <f>IF($A966="",0,INDEX(Transactions!$O:$O,ROW()-8))</f>
      </c>
      <c r="G966" s="30">
        <f>IF($A966="",0,INDEX(Transactions!$P:$P,ROW()-8))</f>
      </c>
    </row>
    <row r="967" spans="1:7" ht="15" customHeight="1" x14ac:dyDescent="0.15">
      <c r="A967">
        <f>IF(INDEX(Transactions!$J:$J,ROW()-8)="","",INDEX(Transactions!$J:$J,ROW()-8))</f>
      </c>
      <c r="B967" s="297">
        <f>IF($A967="",TODAY(),INDEX(Transactions!$G:$G,ROW()-8))</f>
      </c>
      <c r="C967">
        <f>IF($A967="","",INDEX(Transactions!$A:$A,ROW()-8))</f>
      </c>
      <c r="D967" s="30">
        <f>IF($A967="",0,INDEX(Transactions!$H:$H,ROW()-8))</f>
      </c>
      <c r="E967">
        <f>IF($A967="",1,INDEX(Transactions!$N:$N,ROW()-8))</f>
        <v>1</v>
      </c>
      <c r="F967" s="30">
        <f>IF($A967="",0,INDEX(Transactions!$O:$O,ROW()-8))</f>
      </c>
      <c r="G967" s="30">
        <f>IF($A967="",0,INDEX(Transactions!$P:$P,ROW()-8))</f>
      </c>
    </row>
    <row r="968" spans="1:7" ht="15" customHeight="1" x14ac:dyDescent="0.15">
      <c r="A968">
        <f>IF(INDEX(Transactions!$J:$J,ROW()-8)="","",INDEX(Transactions!$J:$J,ROW()-8))</f>
      </c>
      <c r="B968" s="297">
        <f>IF($A968="",TODAY(),INDEX(Transactions!$G:$G,ROW()-8))</f>
      </c>
      <c r="C968">
        <f>IF($A968="","",INDEX(Transactions!$A:$A,ROW()-8))</f>
      </c>
      <c r="D968" s="30">
        <f>IF($A968="",0,INDEX(Transactions!$H:$H,ROW()-8))</f>
      </c>
      <c r="E968">
        <f>IF($A968="",1,INDEX(Transactions!$N:$N,ROW()-8))</f>
        <v>1</v>
      </c>
      <c r="F968" s="30">
        <f>IF($A968="",0,INDEX(Transactions!$O:$O,ROW()-8))</f>
      </c>
      <c r="G968" s="30">
        <f>IF($A968="",0,INDEX(Transactions!$P:$P,ROW()-8))</f>
      </c>
    </row>
    <row r="969" spans="1:7" ht="15" customHeight="1" x14ac:dyDescent="0.15">
      <c r="A969">
        <f>IF(INDEX(Transactions!$J:$J,ROW()-8)="","",INDEX(Transactions!$J:$J,ROW()-8))</f>
      </c>
      <c r="B969" s="297">
        <f>IF($A969="",TODAY(),INDEX(Transactions!$G:$G,ROW()-8))</f>
      </c>
      <c r="C969">
        <f>IF($A969="","",INDEX(Transactions!$A:$A,ROW()-8))</f>
      </c>
      <c r="D969" s="30">
        <f>IF($A969="",0,INDEX(Transactions!$H:$H,ROW()-8))</f>
      </c>
      <c r="E969">
        <f>IF($A969="",1,INDEX(Transactions!$N:$N,ROW()-8))</f>
        <v>1</v>
      </c>
      <c r="F969" s="30">
        <f>IF($A969="",0,INDEX(Transactions!$O:$O,ROW()-8))</f>
      </c>
      <c r="G969" s="30">
        <f>IF($A969="",0,INDEX(Transactions!$P:$P,ROW()-8))</f>
      </c>
    </row>
    <row r="970" spans="1:7" ht="15" customHeight="1" x14ac:dyDescent="0.15">
      <c r="A970">
        <f>IF(INDEX(Transactions!$J:$J,ROW()-8)="","",INDEX(Transactions!$J:$J,ROW()-8))</f>
      </c>
      <c r="B970" s="297">
        <f>IF($A970="",TODAY(),INDEX(Transactions!$G:$G,ROW()-8))</f>
      </c>
      <c r="C970">
        <f>IF($A970="","",INDEX(Transactions!$A:$A,ROW()-8))</f>
      </c>
      <c r="D970" s="30">
        <f>IF($A970="",0,INDEX(Transactions!$H:$H,ROW()-8))</f>
      </c>
      <c r="E970">
        <f>IF($A970="",1,INDEX(Transactions!$N:$N,ROW()-8))</f>
        <v>1</v>
      </c>
      <c r="F970" s="30">
        <f>IF($A970="",0,INDEX(Transactions!$O:$O,ROW()-8))</f>
      </c>
      <c r="G970" s="30">
        <f>IF($A970="",0,INDEX(Transactions!$P:$P,ROW()-8))</f>
      </c>
    </row>
    <row r="971" spans="1:7" ht="15" customHeight="1" x14ac:dyDescent="0.15">
      <c r="A971">
        <f>IF(INDEX(Transactions!$J:$J,ROW()-8)="","",INDEX(Transactions!$J:$J,ROW()-8))</f>
      </c>
      <c r="B971" s="297">
        <f>IF($A971="",TODAY(),INDEX(Transactions!$G:$G,ROW()-8))</f>
      </c>
      <c r="C971">
        <f>IF($A971="","",INDEX(Transactions!$A:$A,ROW()-8))</f>
      </c>
      <c r="D971" s="30">
        <f>IF($A971="",0,INDEX(Transactions!$H:$H,ROW()-8))</f>
      </c>
      <c r="E971">
        <f>IF($A971="",1,INDEX(Transactions!$N:$N,ROW()-8))</f>
        <v>1</v>
      </c>
      <c r="F971" s="30">
        <f>IF($A971="",0,INDEX(Transactions!$O:$O,ROW()-8))</f>
      </c>
      <c r="G971" s="30">
        <f>IF($A971="",0,INDEX(Transactions!$P:$P,ROW()-8))</f>
      </c>
    </row>
    <row r="972" spans="1:7" ht="15" customHeight="1" x14ac:dyDescent="0.15">
      <c r="A972">
        <f>IF(INDEX(Transactions!$J:$J,ROW()-8)="","",INDEX(Transactions!$J:$J,ROW()-8))</f>
      </c>
      <c r="B972" s="297">
        <f>IF($A972="",TODAY(),INDEX(Transactions!$G:$G,ROW()-8))</f>
      </c>
      <c r="C972">
        <f>IF($A972="","",INDEX(Transactions!$A:$A,ROW()-8))</f>
      </c>
      <c r="D972" s="30">
        <f>IF($A972="",0,INDEX(Transactions!$H:$H,ROW()-8))</f>
      </c>
      <c r="E972">
        <f>IF($A972="",1,INDEX(Transactions!$N:$N,ROW()-8))</f>
        <v>1</v>
      </c>
      <c r="F972" s="30">
        <f>IF($A972="",0,INDEX(Transactions!$O:$O,ROW()-8))</f>
      </c>
      <c r="G972" s="30">
        <f>IF($A972="",0,INDEX(Transactions!$P:$P,ROW()-8))</f>
      </c>
    </row>
    <row r="973" spans="1:7" ht="15" customHeight="1" x14ac:dyDescent="0.15">
      <c r="A973">
        <f>IF(INDEX(Transactions!$J:$J,ROW()-8)="","",INDEX(Transactions!$J:$J,ROW()-8))</f>
      </c>
      <c r="B973" s="297">
        <f>IF($A973="",TODAY(),INDEX(Transactions!$G:$G,ROW()-8))</f>
      </c>
      <c r="C973">
        <f>IF($A973="","",INDEX(Transactions!$A:$A,ROW()-8))</f>
      </c>
      <c r="D973" s="30">
        <f>IF($A973="",0,INDEX(Transactions!$H:$H,ROW()-8))</f>
      </c>
      <c r="E973">
        <f>IF($A973="",1,INDEX(Transactions!$N:$N,ROW()-8))</f>
        <v>1</v>
      </c>
      <c r="F973" s="30">
        <f>IF($A973="",0,INDEX(Transactions!$O:$O,ROW()-8))</f>
      </c>
      <c r="G973" s="30">
        <f>IF($A973="",0,INDEX(Transactions!$P:$P,ROW()-8))</f>
      </c>
    </row>
    <row r="974" spans="1:7" ht="15" customHeight="1" x14ac:dyDescent="0.15">
      <c r="A974">
        <f>IF(INDEX(Transactions!$J:$J,ROW()-8)="","",INDEX(Transactions!$J:$J,ROW()-8))</f>
      </c>
      <c r="B974" s="297">
        <f>IF($A974="",TODAY(),INDEX(Transactions!$G:$G,ROW()-8))</f>
      </c>
      <c r="C974">
        <f>IF($A974="","",INDEX(Transactions!$A:$A,ROW()-8))</f>
      </c>
      <c r="D974" s="30">
        <f>IF($A974="",0,INDEX(Transactions!$H:$H,ROW()-8))</f>
      </c>
      <c r="E974">
        <f>IF($A974="",1,INDEX(Transactions!$N:$N,ROW()-8))</f>
        <v>1</v>
      </c>
      <c r="F974" s="30">
        <f>IF($A974="",0,INDEX(Transactions!$O:$O,ROW()-8))</f>
      </c>
      <c r="G974" s="30">
        <f>IF($A974="",0,INDEX(Transactions!$P:$P,ROW()-8))</f>
      </c>
    </row>
    <row r="975" spans="1:7" ht="15" customHeight="1" x14ac:dyDescent="0.15">
      <c r="A975">
        <f>IF(INDEX(Transactions!$J:$J,ROW()-8)="","",INDEX(Transactions!$J:$J,ROW()-8))</f>
      </c>
      <c r="B975" s="297">
        <f>IF($A975="",TODAY(),INDEX(Transactions!$G:$G,ROW()-8))</f>
      </c>
      <c r="C975">
        <f>IF($A975="","",INDEX(Transactions!$A:$A,ROW()-8))</f>
      </c>
      <c r="D975" s="30">
        <f>IF($A975="",0,INDEX(Transactions!$H:$H,ROW()-8))</f>
      </c>
      <c r="E975">
        <f>IF($A975="",1,INDEX(Transactions!$N:$N,ROW()-8))</f>
        <v>1</v>
      </c>
      <c r="F975" s="30">
        <f>IF($A975="",0,INDEX(Transactions!$O:$O,ROW()-8))</f>
      </c>
      <c r="G975" s="30">
        <f>IF($A975="",0,INDEX(Transactions!$P:$P,ROW()-8))</f>
      </c>
    </row>
    <row r="976" spans="1:7" ht="15" customHeight="1" x14ac:dyDescent="0.15">
      <c r="A976">
        <f>IF(INDEX(Transactions!$J:$J,ROW()-8)="","",INDEX(Transactions!$J:$J,ROW()-8))</f>
      </c>
      <c r="B976" s="297">
        <f>IF($A976="",TODAY(),INDEX(Transactions!$G:$G,ROW()-8))</f>
      </c>
      <c r="C976">
        <f>IF($A976="","",INDEX(Transactions!$A:$A,ROW()-8))</f>
      </c>
      <c r="D976" s="30">
        <f>IF($A976="",0,INDEX(Transactions!$H:$H,ROW()-8))</f>
      </c>
      <c r="E976">
        <f>IF($A976="",1,INDEX(Transactions!$N:$N,ROW()-8))</f>
        <v>1</v>
      </c>
      <c r="F976" s="30">
        <f>IF($A976="",0,INDEX(Transactions!$O:$O,ROW()-8))</f>
      </c>
      <c r="G976" s="30">
        <f>IF($A976="",0,INDEX(Transactions!$P:$P,ROW()-8))</f>
      </c>
    </row>
    <row r="977" spans="1:7" ht="15" customHeight="1" x14ac:dyDescent="0.15">
      <c r="A977">
        <f>IF(INDEX(Transactions!$J:$J,ROW()-8)="","",INDEX(Transactions!$J:$J,ROW()-8))</f>
      </c>
      <c r="B977" s="297">
        <f>IF($A977="",TODAY(),INDEX(Transactions!$G:$G,ROW()-8))</f>
      </c>
      <c r="C977">
        <f>IF($A977="","",INDEX(Transactions!$A:$A,ROW()-8))</f>
      </c>
      <c r="D977" s="30">
        <f>IF($A977="",0,INDEX(Transactions!$H:$H,ROW()-8))</f>
      </c>
      <c r="E977">
        <f>IF($A977="",1,INDEX(Transactions!$N:$N,ROW()-8))</f>
        <v>1</v>
      </c>
      <c r="F977" s="30">
        <f>IF($A977="",0,INDEX(Transactions!$O:$O,ROW()-8))</f>
      </c>
      <c r="G977" s="30">
        <f>IF($A977="",0,INDEX(Transactions!$P:$P,ROW()-8))</f>
      </c>
    </row>
    <row r="978" spans="1:7" ht="15" customHeight="1" x14ac:dyDescent="0.15">
      <c r="A978">
        <f>IF(INDEX(Transactions!$J:$J,ROW()-8)="","",INDEX(Transactions!$J:$J,ROW()-8))</f>
      </c>
      <c r="B978" s="297">
        <f>IF($A978="",TODAY(),INDEX(Transactions!$G:$G,ROW()-8))</f>
      </c>
      <c r="C978">
        <f>IF($A978="","",INDEX(Transactions!$A:$A,ROW()-8))</f>
      </c>
      <c r="D978" s="30">
        <f>IF($A978="",0,INDEX(Transactions!$H:$H,ROW()-8))</f>
      </c>
      <c r="E978">
        <f>IF($A978="",1,INDEX(Transactions!$N:$N,ROW()-8))</f>
        <v>1</v>
      </c>
      <c r="F978" s="30">
        <f>IF($A978="",0,INDEX(Transactions!$O:$O,ROW()-8))</f>
      </c>
      <c r="G978" s="30">
        <f>IF($A978="",0,INDEX(Transactions!$P:$P,ROW()-8))</f>
      </c>
    </row>
    <row r="979" spans="1:7" ht="15" customHeight="1" x14ac:dyDescent="0.15">
      <c r="A979">
        <f>IF(INDEX(Transactions!$J:$J,ROW()-8)="","",INDEX(Transactions!$J:$J,ROW()-8))</f>
      </c>
      <c r="B979" s="297">
        <f>IF($A979="",TODAY(),INDEX(Transactions!$G:$G,ROW()-8))</f>
      </c>
      <c r="C979">
        <f>IF($A979="","",INDEX(Transactions!$A:$A,ROW()-8))</f>
      </c>
      <c r="D979" s="30">
        <f>IF($A979="",0,INDEX(Transactions!$H:$H,ROW()-8))</f>
      </c>
      <c r="E979">
        <f>IF($A979="",1,INDEX(Transactions!$N:$N,ROW()-8))</f>
        <v>1</v>
      </c>
      <c r="F979" s="30">
        <f>IF($A979="",0,INDEX(Transactions!$O:$O,ROW()-8))</f>
      </c>
      <c r="G979" s="30">
        <f>IF($A979="",0,INDEX(Transactions!$P:$P,ROW()-8))</f>
      </c>
    </row>
    <row r="980" spans="1:7" ht="15" customHeight="1" x14ac:dyDescent="0.15">
      <c r="A980">
        <f>IF(INDEX(Transactions!$J:$J,ROW()-8)="","",INDEX(Transactions!$J:$J,ROW()-8))</f>
      </c>
      <c r="B980" s="297">
        <f>IF($A980="",TODAY(),INDEX(Transactions!$G:$G,ROW()-8))</f>
      </c>
      <c r="C980">
        <f>IF($A980="","",INDEX(Transactions!$A:$A,ROW()-8))</f>
      </c>
      <c r="D980" s="30">
        <f>IF($A980="",0,INDEX(Transactions!$H:$H,ROW()-8))</f>
      </c>
      <c r="E980">
        <f>IF($A980="",1,INDEX(Transactions!$N:$N,ROW()-8))</f>
        <v>1</v>
      </c>
      <c r="F980" s="30">
        <f>IF($A980="",0,INDEX(Transactions!$O:$O,ROW()-8))</f>
      </c>
      <c r="G980" s="30">
        <f>IF($A980="",0,INDEX(Transactions!$P:$P,ROW()-8))</f>
      </c>
    </row>
    <row r="981" spans="1:7" ht="15" customHeight="1" x14ac:dyDescent="0.15">
      <c r="A981">
        <f>IF(INDEX(Transactions!$J:$J,ROW()-8)="","",INDEX(Transactions!$J:$J,ROW()-8))</f>
      </c>
      <c r="B981" s="297">
        <f>IF($A981="",TODAY(),INDEX(Transactions!$G:$G,ROW()-8))</f>
      </c>
      <c r="C981">
        <f>IF($A981="","",INDEX(Transactions!$A:$A,ROW()-8))</f>
      </c>
      <c r="D981" s="30">
        <f>IF($A981="",0,INDEX(Transactions!$H:$H,ROW()-8))</f>
      </c>
      <c r="E981">
        <f>IF($A981="",1,INDEX(Transactions!$N:$N,ROW()-8))</f>
        <v>1</v>
      </c>
      <c r="F981" s="30">
        <f>IF($A981="",0,INDEX(Transactions!$O:$O,ROW()-8))</f>
      </c>
      <c r="G981" s="30">
        <f>IF($A981="",0,INDEX(Transactions!$P:$P,ROW()-8))</f>
      </c>
    </row>
    <row r="982" spans="1:7" ht="15" customHeight="1" x14ac:dyDescent="0.15">
      <c r="A982">
        <f>IF(INDEX(Transactions!$J:$J,ROW()-8)="","",INDEX(Transactions!$J:$J,ROW()-8))</f>
      </c>
      <c r="B982" s="297">
        <f>IF($A982="",TODAY(),INDEX(Transactions!$G:$G,ROW()-8))</f>
      </c>
      <c r="C982">
        <f>IF($A982="","",INDEX(Transactions!$A:$A,ROW()-8))</f>
      </c>
      <c r="D982" s="30">
        <f>IF($A982="",0,INDEX(Transactions!$H:$H,ROW()-8))</f>
      </c>
      <c r="E982">
        <f>IF($A982="",1,INDEX(Transactions!$N:$N,ROW()-8))</f>
        <v>1</v>
      </c>
      <c r="F982" s="30">
        <f>IF($A982="",0,INDEX(Transactions!$O:$O,ROW()-8))</f>
      </c>
      <c r="G982" s="30">
        <f>IF($A982="",0,INDEX(Transactions!$P:$P,ROW()-8))</f>
      </c>
    </row>
    <row r="983" spans="1:7" ht="15" customHeight="1" x14ac:dyDescent="0.15">
      <c r="A983">
        <f>IF(INDEX(Transactions!$J:$J,ROW()-8)="","",INDEX(Transactions!$J:$J,ROW()-8))</f>
      </c>
      <c r="B983" s="297">
        <f>IF($A983="",TODAY(),INDEX(Transactions!$G:$G,ROW()-8))</f>
      </c>
      <c r="C983">
        <f>IF($A983="","",INDEX(Transactions!$A:$A,ROW()-8))</f>
      </c>
      <c r="D983" s="30">
        <f>IF($A983="",0,INDEX(Transactions!$H:$H,ROW()-8))</f>
      </c>
      <c r="E983">
        <f>IF($A983="",1,INDEX(Transactions!$N:$N,ROW()-8))</f>
        <v>1</v>
      </c>
      <c r="F983" s="30">
        <f>IF($A983="",0,INDEX(Transactions!$O:$O,ROW()-8))</f>
      </c>
      <c r="G983" s="30">
        <f>IF($A983="",0,INDEX(Transactions!$P:$P,ROW()-8))</f>
      </c>
    </row>
    <row r="984" spans="1:7" ht="15" customHeight="1" x14ac:dyDescent="0.15">
      <c r="A984">
        <f>IF(INDEX(Transactions!$J:$J,ROW()-8)="","",INDEX(Transactions!$J:$J,ROW()-8))</f>
      </c>
      <c r="B984" s="297">
        <f>IF($A984="",TODAY(),INDEX(Transactions!$G:$G,ROW()-8))</f>
      </c>
      <c r="C984">
        <f>IF($A984="","",INDEX(Transactions!$A:$A,ROW()-8))</f>
      </c>
      <c r="D984" s="30">
        <f>IF($A984="",0,INDEX(Transactions!$H:$H,ROW()-8))</f>
      </c>
      <c r="E984">
        <f>IF($A984="",1,INDEX(Transactions!$N:$N,ROW()-8))</f>
        <v>1</v>
      </c>
      <c r="F984" s="30">
        <f>IF($A984="",0,INDEX(Transactions!$O:$O,ROW()-8))</f>
      </c>
      <c r="G984" s="30">
        <f>IF($A984="",0,INDEX(Transactions!$P:$P,ROW()-8))</f>
      </c>
    </row>
    <row r="985" spans="1:7" ht="15" customHeight="1" x14ac:dyDescent="0.15">
      <c r="A985">
        <f>IF(INDEX(Transactions!$J:$J,ROW()-8)="","",INDEX(Transactions!$J:$J,ROW()-8))</f>
      </c>
      <c r="B985" s="297">
        <f>IF($A985="",TODAY(),INDEX(Transactions!$G:$G,ROW()-8))</f>
      </c>
      <c r="C985">
        <f>IF($A985="","",INDEX(Transactions!$A:$A,ROW()-8))</f>
      </c>
      <c r="D985" s="30">
        <f>IF($A985="",0,INDEX(Transactions!$H:$H,ROW()-8))</f>
      </c>
      <c r="E985">
        <f>IF($A985="",1,INDEX(Transactions!$N:$N,ROW()-8))</f>
        <v>1</v>
      </c>
      <c r="F985" s="30">
        <f>IF($A985="",0,INDEX(Transactions!$O:$O,ROW()-8))</f>
      </c>
      <c r="G985" s="30">
        <f>IF($A985="",0,INDEX(Transactions!$P:$P,ROW()-8))</f>
      </c>
    </row>
    <row r="986" spans="1:7" ht="15" customHeight="1" x14ac:dyDescent="0.15">
      <c r="A986">
        <f>IF(INDEX(Transactions!$J:$J,ROW()-8)="","",INDEX(Transactions!$J:$J,ROW()-8))</f>
      </c>
      <c r="B986" s="297">
        <f>IF($A986="",TODAY(),INDEX(Transactions!$G:$G,ROW()-8))</f>
      </c>
      <c r="C986">
        <f>IF($A986="","",INDEX(Transactions!$A:$A,ROW()-8))</f>
      </c>
      <c r="D986" s="30">
        <f>IF($A986="",0,INDEX(Transactions!$H:$H,ROW()-8))</f>
      </c>
      <c r="E986">
        <f>IF($A986="",1,INDEX(Transactions!$N:$N,ROW()-8))</f>
        <v>1</v>
      </c>
      <c r="F986" s="30">
        <f>IF($A986="",0,INDEX(Transactions!$O:$O,ROW()-8))</f>
      </c>
      <c r="G986" s="30">
        <f>IF($A986="",0,INDEX(Transactions!$P:$P,ROW()-8))</f>
      </c>
    </row>
    <row r="987" spans="1:7" ht="15" customHeight="1" x14ac:dyDescent="0.15">
      <c r="A987">
        <f>IF(INDEX(Transactions!$J:$J,ROW()-8)="","",INDEX(Transactions!$J:$J,ROW()-8))</f>
      </c>
      <c r="B987" s="297">
        <f>IF($A987="",TODAY(),INDEX(Transactions!$G:$G,ROW()-8))</f>
      </c>
      <c r="C987">
        <f>IF($A987="","",INDEX(Transactions!$A:$A,ROW()-8))</f>
      </c>
      <c r="D987" s="30">
        <f>IF($A987="",0,INDEX(Transactions!$H:$H,ROW()-8))</f>
      </c>
      <c r="E987">
        <f>IF($A987="",1,INDEX(Transactions!$N:$N,ROW()-8))</f>
        <v>1</v>
      </c>
      <c r="F987" s="30">
        <f>IF($A987="",0,INDEX(Transactions!$O:$O,ROW()-8))</f>
      </c>
      <c r="G987" s="30">
        <f>IF($A987="",0,INDEX(Transactions!$P:$P,ROW()-8))</f>
      </c>
    </row>
    <row r="988" spans="1:7" ht="15" customHeight="1" x14ac:dyDescent="0.15">
      <c r="A988">
        <f>IF(INDEX(Transactions!$J:$J,ROW()-8)="","",INDEX(Transactions!$J:$J,ROW()-8))</f>
      </c>
      <c r="B988" s="297">
        <f>IF($A988="",TODAY(),INDEX(Transactions!$G:$G,ROW()-8))</f>
      </c>
      <c r="C988">
        <f>IF($A988="","",INDEX(Transactions!$A:$A,ROW()-8))</f>
      </c>
      <c r="D988" s="30">
        <f>IF($A988="",0,INDEX(Transactions!$H:$H,ROW()-8))</f>
      </c>
      <c r="E988">
        <f>IF($A988="",1,INDEX(Transactions!$N:$N,ROW()-8))</f>
        <v>1</v>
      </c>
      <c r="F988" s="30">
        <f>IF($A988="",0,INDEX(Transactions!$O:$O,ROW()-8))</f>
      </c>
      <c r="G988" s="30">
        <f>IF($A988="",0,INDEX(Transactions!$P:$P,ROW()-8))</f>
      </c>
    </row>
    <row r="989" spans="1:7" ht="15" customHeight="1" x14ac:dyDescent="0.15">
      <c r="A989">
        <f>IF(INDEX(Transactions!$J:$J,ROW()-8)="","",INDEX(Transactions!$J:$J,ROW()-8))</f>
      </c>
      <c r="B989" s="297">
        <f>IF($A989="",TODAY(),INDEX(Transactions!$G:$G,ROW()-8))</f>
      </c>
      <c r="C989">
        <f>IF($A989="","",INDEX(Transactions!$A:$A,ROW()-8))</f>
      </c>
      <c r="D989" s="30">
        <f>IF($A989="",0,INDEX(Transactions!$H:$H,ROW()-8))</f>
      </c>
      <c r="E989">
        <f>IF($A989="",1,INDEX(Transactions!$N:$N,ROW()-8))</f>
        <v>1</v>
      </c>
      <c r="F989" s="30">
        <f>IF($A989="",0,INDEX(Transactions!$O:$O,ROW()-8))</f>
      </c>
      <c r="G989" s="30">
        <f>IF($A989="",0,INDEX(Transactions!$P:$P,ROW()-8))</f>
      </c>
    </row>
    <row r="990" spans="1:7" ht="15" customHeight="1" x14ac:dyDescent="0.15">
      <c r="A990">
        <f>IF(INDEX(Transactions!$J:$J,ROW()-8)="","",INDEX(Transactions!$J:$J,ROW()-8))</f>
      </c>
      <c r="B990" s="297">
        <f>IF($A990="",TODAY(),INDEX(Transactions!$G:$G,ROW()-8))</f>
      </c>
      <c r="C990">
        <f>IF($A990="","",INDEX(Transactions!$A:$A,ROW()-8))</f>
      </c>
      <c r="D990" s="30">
        <f>IF($A990="",0,INDEX(Transactions!$H:$H,ROW()-8))</f>
      </c>
      <c r="E990">
        <f>IF($A990="",1,INDEX(Transactions!$N:$N,ROW()-8))</f>
        <v>1</v>
      </c>
      <c r="F990" s="30">
        <f>IF($A990="",0,INDEX(Transactions!$O:$O,ROW()-8))</f>
      </c>
      <c r="G990" s="30">
        <f>IF($A990="",0,INDEX(Transactions!$P:$P,ROW()-8))</f>
      </c>
    </row>
    <row r="991" spans="1:7" ht="15" customHeight="1" x14ac:dyDescent="0.15">
      <c r="A991">
        <f>IF(INDEX(Transactions!$J:$J,ROW()-8)="","",INDEX(Transactions!$J:$J,ROW()-8))</f>
      </c>
      <c r="B991" s="297">
        <f>IF($A991="",TODAY(),INDEX(Transactions!$G:$G,ROW()-8))</f>
      </c>
      <c r="C991">
        <f>IF($A991="","",INDEX(Transactions!$A:$A,ROW()-8))</f>
      </c>
      <c r="D991" s="30">
        <f>IF($A991="",0,INDEX(Transactions!$H:$H,ROW()-8))</f>
      </c>
      <c r="E991">
        <f>IF($A991="",1,INDEX(Transactions!$N:$N,ROW()-8))</f>
        <v>1</v>
      </c>
      <c r="F991" s="30">
        <f>IF($A991="",0,INDEX(Transactions!$O:$O,ROW()-8))</f>
      </c>
      <c r="G991" s="30">
        <f>IF($A991="",0,INDEX(Transactions!$P:$P,ROW()-8))</f>
      </c>
    </row>
    <row r="992" spans="1:7" ht="15" customHeight="1" x14ac:dyDescent="0.15">
      <c r="A992">
        <f>IF(INDEX(Transactions!$J:$J,ROW()-8)="","",INDEX(Transactions!$J:$J,ROW()-8))</f>
      </c>
      <c r="B992" s="297">
        <f>IF($A992="",TODAY(),INDEX(Transactions!$G:$G,ROW()-8))</f>
      </c>
      <c r="C992">
        <f>IF($A992="","",INDEX(Transactions!$A:$A,ROW()-8))</f>
      </c>
      <c r="D992" s="30">
        <f>IF($A992="",0,INDEX(Transactions!$H:$H,ROW()-8))</f>
      </c>
      <c r="E992">
        <f>IF($A992="",1,INDEX(Transactions!$N:$N,ROW()-8))</f>
        <v>1</v>
      </c>
      <c r="F992" s="30">
        <f>IF($A992="",0,INDEX(Transactions!$O:$O,ROW()-8))</f>
      </c>
      <c r="G992" s="30">
        <f>IF($A992="",0,INDEX(Transactions!$P:$P,ROW()-8))</f>
      </c>
    </row>
    <row r="993" spans="1:7" ht="15" customHeight="1" x14ac:dyDescent="0.15">
      <c r="A993">
        <f>IF(INDEX(Transactions!$J:$J,ROW()-8)="","",INDEX(Transactions!$J:$J,ROW()-8))</f>
      </c>
      <c r="B993" s="297">
        <f>IF($A993="",TODAY(),INDEX(Transactions!$G:$G,ROW()-8))</f>
      </c>
      <c r="C993">
        <f>IF($A993="","",INDEX(Transactions!$A:$A,ROW()-8))</f>
      </c>
      <c r="D993" s="30">
        <f>IF($A993="",0,INDEX(Transactions!$H:$H,ROW()-8))</f>
      </c>
      <c r="E993">
        <f>IF($A993="",1,INDEX(Transactions!$N:$N,ROW()-8))</f>
        <v>1</v>
      </c>
      <c r="F993" s="30">
        <f>IF($A993="",0,INDEX(Transactions!$O:$O,ROW()-8))</f>
      </c>
      <c r="G993" s="30">
        <f>IF($A993="",0,INDEX(Transactions!$P:$P,ROW()-8))</f>
      </c>
    </row>
    <row r="994" spans="1:7" ht="15" customHeight="1" x14ac:dyDescent="0.15">
      <c r="A994">
        <f>IF(INDEX(Transactions!$J:$J,ROW()-8)="","",INDEX(Transactions!$J:$J,ROW()-8))</f>
      </c>
      <c r="B994" s="297">
        <f>IF($A994="",TODAY(),INDEX(Transactions!$G:$G,ROW()-8))</f>
      </c>
      <c r="C994">
        <f>IF($A994="","",INDEX(Transactions!$A:$A,ROW()-8))</f>
      </c>
      <c r="D994" s="30">
        <f>IF($A994="",0,INDEX(Transactions!$H:$H,ROW()-8))</f>
      </c>
      <c r="E994">
        <f>IF($A994="",1,INDEX(Transactions!$N:$N,ROW()-8))</f>
        <v>1</v>
      </c>
      <c r="F994" s="30">
        <f>IF($A994="",0,INDEX(Transactions!$O:$O,ROW()-8))</f>
      </c>
      <c r="G994" s="30">
        <f>IF($A994="",0,INDEX(Transactions!$P:$P,ROW()-8))</f>
      </c>
    </row>
    <row r="995" spans="1:7" ht="15" customHeight="1" x14ac:dyDescent="0.15">
      <c r="A995">
        <f>IF(INDEX(Transactions!$J:$J,ROW()-8)="","",INDEX(Transactions!$J:$J,ROW()-8))</f>
      </c>
      <c r="B995" s="297">
        <f>IF($A995="",TODAY(),INDEX(Transactions!$G:$G,ROW()-8))</f>
      </c>
      <c r="C995">
        <f>IF($A995="","",INDEX(Transactions!$A:$A,ROW()-8))</f>
      </c>
      <c r="D995" s="30">
        <f>IF($A995="",0,INDEX(Transactions!$H:$H,ROW()-8))</f>
      </c>
      <c r="E995">
        <f>IF($A995="",1,INDEX(Transactions!$N:$N,ROW()-8))</f>
        <v>1</v>
      </c>
      <c r="F995" s="30">
        <f>IF($A995="",0,INDEX(Transactions!$O:$O,ROW()-8))</f>
      </c>
      <c r="G995" s="30">
        <f>IF($A995="",0,INDEX(Transactions!$P:$P,ROW()-8))</f>
      </c>
    </row>
    <row r="996" spans="1:7" ht="15" customHeight="1" x14ac:dyDescent="0.15">
      <c r="A996">
        <f>IF(INDEX(Transactions!$J:$J,ROW()-8)="","",INDEX(Transactions!$J:$J,ROW()-8))</f>
      </c>
      <c r="B996" s="297">
        <f>IF($A996="",TODAY(),INDEX(Transactions!$G:$G,ROW()-8))</f>
      </c>
      <c r="C996">
        <f>IF($A996="","",INDEX(Transactions!$A:$A,ROW()-8))</f>
      </c>
      <c r="D996" s="30">
        <f>IF($A996="",0,INDEX(Transactions!$H:$H,ROW()-8))</f>
      </c>
      <c r="E996">
        <f>IF($A996="",1,INDEX(Transactions!$N:$N,ROW()-8))</f>
        <v>1</v>
      </c>
      <c r="F996" s="30">
        <f>IF($A996="",0,INDEX(Transactions!$O:$O,ROW()-8))</f>
      </c>
      <c r="G996" s="30">
        <f>IF($A996="",0,INDEX(Transactions!$P:$P,ROW()-8))</f>
      </c>
    </row>
    <row r="997" spans="1:7" ht="15" customHeight="1" x14ac:dyDescent="0.15">
      <c r="A997">
        <f>IF(INDEX(Transactions!$J:$J,ROW()-8)="","",INDEX(Transactions!$J:$J,ROW()-8))</f>
      </c>
      <c r="B997" s="297">
        <f>IF($A997="",TODAY(),INDEX(Transactions!$G:$G,ROW()-8))</f>
      </c>
      <c r="C997">
        <f>IF($A997="","",INDEX(Transactions!$A:$A,ROW()-8))</f>
      </c>
      <c r="D997" s="30">
        <f>IF($A997="",0,INDEX(Transactions!$H:$H,ROW()-8))</f>
      </c>
      <c r="E997">
        <f>IF($A997="",1,INDEX(Transactions!$N:$N,ROW()-8))</f>
        <v>1</v>
      </c>
      <c r="F997" s="30">
        <f>IF($A997="",0,INDEX(Transactions!$O:$O,ROW()-8))</f>
      </c>
      <c r="G997" s="30">
        <f>IF($A997="",0,INDEX(Transactions!$P:$P,ROW()-8))</f>
      </c>
    </row>
    <row r="998" spans="1:7" ht="15" customHeight="1" x14ac:dyDescent="0.15">
      <c r="A998">
        <f>IF(INDEX(Transactions!$J:$J,ROW()-8)="","",INDEX(Transactions!$J:$J,ROW()-8))</f>
      </c>
      <c r="B998" s="297">
        <f>IF($A998="",TODAY(),INDEX(Transactions!$G:$G,ROW()-8))</f>
      </c>
      <c r="C998">
        <f>IF($A998="","",INDEX(Transactions!$A:$A,ROW()-8))</f>
      </c>
      <c r="D998" s="30">
        <f>IF($A998="",0,INDEX(Transactions!$H:$H,ROW()-8))</f>
      </c>
      <c r="E998">
        <f>IF($A998="",1,INDEX(Transactions!$N:$N,ROW()-8))</f>
        <v>1</v>
      </c>
      <c r="F998" s="30">
        <f>IF($A998="",0,INDEX(Transactions!$O:$O,ROW()-8))</f>
      </c>
      <c r="G998" s="30">
        <f>IF($A998="",0,INDEX(Transactions!$P:$P,ROW()-8))</f>
      </c>
    </row>
    <row r="999" spans="1:7" ht="15" customHeight="1" x14ac:dyDescent="0.15">
      <c r="A999">
        <f>IF(INDEX(Transactions!$J:$J,ROW()-8)="","",INDEX(Transactions!$J:$J,ROW()-8))</f>
      </c>
      <c r="B999" s="297">
        <f>IF($A999="",TODAY(),INDEX(Transactions!$G:$G,ROW()-8))</f>
      </c>
      <c r="C999">
        <f>IF($A999="","",INDEX(Transactions!$A:$A,ROW()-8))</f>
      </c>
      <c r="D999" s="30">
        <f>IF($A999="",0,INDEX(Transactions!$H:$H,ROW()-8))</f>
      </c>
      <c r="E999">
        <f>IF($A999="",1,INDEX(Transactions!$N:$N,ROW()-8))</f>
        <v>1</v>
      </c>
      <c r="F999" s="30">
        <f>IF($A999="",0,INDEX(Transactions!$O:$O,ROW()-8))</f>
      </c>
      <c r="G999" s="30">
        <f>IF($A999="",0,INDEX(Transactions!$P:$P,ROW()-8))</f>
      </c>
    </row>
    <row r="1000" spans="1:7" ht="15" customHeight="1" x14ac:dyDescent="0.15">
      <c r="A1000">
        <f>IF(INDEX(Transactions!$J:$J,ROW()-8)="","",INDEX(Transactions!$J:$J,ROW()-8))</f>
      </c>
      <c r="B1000" s="297">
        <f>IF($A1000="",TODAY(),INDEX(Transactions!$G:$G,ROW()-8))</f>
      </c>
      <c r="C1000">
        <f>IF($A1000="","",INDEX(Transactions!$A:$A,ROW()-8))</f>
      </c>
      <c r="D1000" s="30">
        <f>IF($A1000="",0,INDEX(Transactions!$H:$H,ROW()-8))</f>
      </c>
      <c r="E1000">
        <f>IF($A1000="",1,INDEX(Transactions!$N:$N,ROW()-8))</f>
        <v>1</v>
      </c>
      <c r="F1000" s="30">
        <f>IF($A1000="",0,INDEX(Transactions!$O:$O,ROW()-8))</f>
      </c>
      <c r="G1000" s="30">
        <f>IF($A1000="",0,INDEX(Transactions!$P:$P,ROW()-8))</f>
      </c>
    </row>
    <row r="1001" spans="1:7" ht="15" customHeight="1" x14ac:dyDescent="0.15">
      <c r="A1001">
        <f>IF(INDEX(Transactions!$J:$J,ROW()-8)="","",INDEX(Transactions!$J:$J,ROW()-8))</f>
      </c>
      <c r="B1001" s="297">
        <f>IF($A1001="",TODAY(),INDEX(Transactions!$G:$G,ROW()-8))</f>
      </c>
      <c r="C1001">
        <f>IF($A1001="","",INDEX(Transactions!$A:$A,ROW()-8))</f>
      </c>
      <c r="D1001" s="30">
        <f>IF($A1001="",0,INDEX(Transactions!$H:$H,ROW()-8))</f>
      </c>
      <c r="E1001">
        <f>IF($A1001="",1,INDEX(Transactions!$N:$N,ROW()-8))</f>
        <v>1</v>
      </c>
      <c r="F1001" s="30">
        <f>IF($A1001="",0,INDEX(Transactions!$O:$O,ROW()-8))</f>
      </c>
      <c r="G1001" s="30">
        <f>IF($A1001="",0,INDEX(Transactions!$P:$P,ROW()-8))</f>
      </c>
    </row>
    <row r="1002" spans="1:7" ht="15" customHeight="1" x14ac:dyDescent="0.15">
      <c r="A1002">
        <f>IF(INDEX(Transactions!$J:$J,ROW()-8)="","",INDEX(Transactions!$J:$J,ROW()-8))</f>
      </c>
      <c r="B1002" s="297">
        <f>IF($A1002="",TODAY(),INDEX(Transactions!$G:$G,ROW()-8))</f>
      </c>
      <c r="C1002">
        <f>IF($A1002="","",INDEX(Transactions!$A:$A,ROW()-8))</f>
      </c>
      <c r="D1002" s="30">
        <f>IF($A1002="",0,INDEX(Transactions!$H:$H,ROW()-8))</f>
      </c>
      <c r="E1002">
        <f>IF($A1002="",1,INDEX(Transactions!$N:$N,ROW()-8))</f>
        <v>1</v>
      </c>
      <c r="F1002" s="30">
        <f>IF($A1002="",0,INDEX(Transactions!$O:$O,ROW()-8))</f>
      </c>
      <c r="G1002" s="30">
        <f>IF($A1002="",0,INDEX(Transactions!$P:$P,ROW()-8))</f>
      </c>
    </row>
    <row r="1003" spans="1:7" ht="15" customHeight="1" x14ac:dyDescent="0.15">
      <c r="A1003">
        <f>IF(INDEX(Transactions!$J:$J,ROW()-8)="","",INDEX(Transactions!$J:$J,ROW()-8))</f>
      </c>
      <c r="B1003" s="297">
        <f>IF($A1003="",TODAY(),INDEX(Transactions!$G:$G,ROW()-8))</f>
      </c>
      <c r="C1003">
        <f>IF($A1003="","",INDEX(Transactions!$A:$A,ROW()-8))</f>
      </c>
      <c r="D1003" s="30">
        <f>IF($A1003="",0,INDEX(Transactions!$H:$H,ROW()-8))</f>
      </c>
      <c r="E1003">
        <f>IF($A1003="",1,INDEX(Transactions!$N:$N,ROW()-8))</f>
        <v>1</v>
      </c>
      <c r="F1003" s="30">
        <f>IF($A1003="",0,INDEX(Transactions!$O:$O,ROW()-8))</f>
      </c>
      <c r="G1003" s="30">
        <f>IF($A1003="",0,INDEX(Transactions!$P:$P,ROW()-8))</f>
      </c>
    </row>
    <row r="1004" spans="1:7" ht="15" customHeight="1" x14ac:dyDescent="0.15">
      <c r="A1004">
        <f>IF(INDEX(Transactions!$J:$J,ROW()-8)="","",INDEX(Transactions!$J:$J,ROW()-8))</f>
      </c>
      <c r="B1004" s="297">
        <f>IF($A1004="",TODAY(),INDEX(Transactions!$G:$G,ROW()-8))</f>
      </c>
      <c r="C1004">
        <f>IF($A1004="","",INDEX(Transactions!$A:$A,ROW()-8))</f>
      </c>
      <c r="D1004" s="30">
        <f>IF($A1004="",0,INDEX(Transactions!$H:$H,ROW()-8))</f>
      </c>
      <c r="E1004">
        <f>IF($A1004="",1,INDEX(Transactions!$N:$N,ROW()-8))</f>
        <v>1</v>
      </c>
      <c r="F1004" s="30">
        <f>IF($A1004="",0,INDEX(Transactions!$O:$O,ROW()-8))</f>
      </c>
      <c r="G1004" s="30">
        <f>IF($A1004="",0,INDEX(Transactions!$P:$P,ROW()-8))</f>
      </c>
    </row>
    <row r="1005" spans="1:7" ht="15" customHeight="1" x14ac:dyDescent="0.15">
      <c r="A1005">
        <f>IF(INDEX(Transactions!$J:$J,ROW()-8)="","",INDEX(Transactions!$J:$J,ROW()-8))</f>
      </c>
      <c r="B1005" s="297">
        <f>IF($A1005="",TODAY(),INDEX(Transactions!$G:$G,ROW()-8))</f>
      </c>
      <c r="C1005">
        <f>IF($A1005="","",INDEX(Transactions!$A:$A,ROW()-8))</f>
      </c>
      <c r="D1005" s="30">
        <f>IF($A1005="",0,INDEX(Transactions!$H:$H,ROW()-8))</f>
      </c>
      <c r="E1005">
        <f>IF($A1005="",1,INDEX(Transactions!$N:$N,ROW()-8))</f>
        <v>1</v>
      </c>
      <c r="F1005" s="30">
        <f>IF($A1005="",0,INDEX(Transactions!$O:$O,ROW()-8))</f>
      </c>
      <c r="G1005" s="30">
        <f>IF($A1005="",0,INDEX(Transactions!$P:$P,ROW()-8))</f>
      </c>
    </row>
    <row r="1006" spans="1:7" ht="15" customHeight="1" x14ac:dyDescent="0.15">
      <c r="A1006">
        <f>IF(INDEX(Transactions!$J:$J,ROW()-8)="","",INDEX(Transactions!$J:$J,ROW()-8))</f>
      </c>
      <c r="B1006" s="297">
        <f>IF($A1006="",TODAY(),INDEX(Transactions!$G:$G,ROW()-8))</f>
      </c>
      <c r="C1006">
        <f>IF($A1006="","",INDEX(Transactions!$A:$A,ROW()-8))</f>
      </c>
      <c r="D1006" s="30">
        <f>IF($A1006="",0,INDEX(Transactions!$H:$H,ROW()-8))</f>
      </c>
      <c r="E1006">
        <f>IF($A1006="",1,INDEX(Transactions!$N:$N,ROW()-8))</f>
        <v>1</v>
      </c>
      <c r="F1006" s="30">
        <f>IF($A1006="",0,INDEX(Transactions!$O:$O,ROW()-8))</f>
      </c>
      <c r="G1006" s="30">
        <f>IF($A1006="",0,INDEX(Transactions!$P:$P,ROW()-8))</f>
      </c>
    </row>
    <row r="1007" spans="1:7" ht="15" customHeight="1" x14ac:dyDescent="0.15">
      <c r="A1007">
        <f>IF(INDEX(Transactions!$J:$J,ROW()-8)="","",INDEX(Transactions!$J:$J,ROW()-8))</f>
      </c>
      <c r="B1007" s="297">
        <f>IF($A1007="",TODAY(),INDEX(Transactions!$G:$G,ROW()-8))</f>
      </c>
      <c r="C1007">
        <f>IF($A1007="","",INDEX(Transactions!$A:$A,ROW()-8))</f>
      </c>
      <c r="D1007" s="30">
        <f>IF($A1007="",0,INDEX(Transactions!$H:$H,ROW()-8))</f>
      </c>
      <c r="E1007">
        <f>IF($A1007="",1,INDEX(Transactions!$N:$N,ROW()-8))</f>
        <v>1</v>
      </c>
      <c r="F1007" s="30">
        <f>IF($A1007="",0,INDEX(Transactions!$O:$O,ROW()-8))</f>
      </c>
      <c r="G1007" s="30">
        <f>IF($A1007="",0,INDEX(Transactions!$P:$P,ROW()-8))</f>
      </c>
    </row>
    <row r="1008" spans="1:7" ht="15" customHeight="1" x14ac:dyDescent="0.15">
      <c r="A1008">
        <f>IF(INDEX(Transactions!$J:$J,ROW()-8)="","",INDEX(Transactions!$J:$J,ROW()-8))</f>
      </c>
      <c r="B1008" s="297">
        <f>IF($A1008="",TODAY(),INDEX(Transactions!$G:$G,ROW()-8))</f>
      </c>
      <c r="C1008">
        <f>IF($A1008="","",INDEX(Transactions!$A:$A,ROW()-8))</f>
      </c>
      <c r="D1008" s="30">
        <f>IF($A1008="",0,INDEX(Transactions!$H:$H,ROW()-8))</f>
      </c>
      <c r="E1008">
        <f>IF($A1008="",1,INDEX(Transactions!$N:$N,ROW()-8))</f>
        <v>1</v>
      </c>
      <c r="F1008" s="30">
        <f>IF($A1008="",0,INDEX(Transactions!$O:$O,ROW()-8))</f>
      </c>
      <c r="G1008" s="30">
        <f>IF($A1008="",0,INDEX(Transactions!$P:$P,ROW()-8))</f>
      </c>
    </row>
    <row r="1009" spans="1:7" ht="15" customHeight="1" x14ac:dyDescent="0.15">
      <c r="A1009">
        <f>IF(INDEX(Transactions!$J:$J,ROW()-8)="","",INDEX(Transactions!$J:$J,ROW()-8))</f>
      </c>
      <c r="B1009" s="297">
        <f>IF($A1009="",TODAY(),INDEX(Transactions!$G:$G,ROW()-8))</f>
      </c>
      <c r="C1009">
        <f>IF($A1009="","",INDEX(Transactions!$A:$A,ROW()-8))</f>
      </c>
      <c r="D1009" s="30">
        <f>IF($A1009="",0,INDEX(Transactions!$H:$H,ROW()-8))</f>
      </c>
      <c r="E1009">
        <f>IF($A1009="",1,INDEX(Transactions!$N:$N,ROW()-8))</f>
        <v>1</v>
      </c>
      <c r="F1009" s="30">
        <f>IF($A1009="",0,INDEX(Transactions!$O:$O,ROW()-8))</f>
      </c>
      <c r="G1009" s="30">
        <f>IF($A1009="",0,INDEX(Transactions!$P:$P,ROW()-8))</f>
      </c>
    </row>
    <row r="1010" spans="1:7">
      <c r="B1010">
        <f>IF(INDEX(Transactions!$J:$J,ROW()-8)="",TODAY(),INDEX(Transactions!$G:$G,ROW()-8))</f>
      </c>
      <c r="F1010">
        <f>IF(INDEX(Transactions!$J:$J,ROW()-8)="",0,INDEX(Transactions!$O:$O,ROW()-8))</f>
      </c>
    </row>
    <row r="1011" spans="1:7">
      <c r="B1011">
        <f>IF(INDEX(Transactions!$J:$J,ROW()-8)="",TODAY(),INDEX(Transactions!$G:$G,ROW()-8))</f>
      </c>
      <c r="F1011">
        <f>IF(INDEX(Transactions!$J:$J,ROW()-8)="",0,INDEX(Transactions!$O:$O,ROW()-8))</f>
      </c>
    </row>
    <row r="1012" spans="1:7">
      <c r="B1012">
        <f>IF(INDEX(Transactions!$J:$J,ROW()-8)="",TODAY(),INDEX(Transactions!$G:$G,ROW()-8))</f>
      </c>
      <c r="F1012">
        <f>IF(INDEX(Transactions!$J:$J,ROW()-8)="",0,INDEX(Transactions!$O:$O,ROW()-8))</f>
      </c>
    </row>
    <row r="1013" spans="1:7">
      <c r="B1013">
        <f>IF(INDEX(Transactions!$J:$J,ROW()-8)="",TODAY(),INDEX(Transactions!$G:$G,ROW()-8))</f>
      </c>
      <c r="F1013">
        <f>IF(INDEX(Transactions!$J:$J,ROW()-8)="",0,INDEX(Transactions!$O:$O,ROW()-8))</f>
      </c>
    </row>
    <row r="1014" spans="1:7">
      <c r="B1014">
        <f>IF(INDEX(Transactions!$J:$J,ROW()-8)="",TODAY(),INDEX(Transactions!$G:$G,ROW()-8))</f>
      </c>
      <c r="F1014">
        <f>IF(INDEX(Transactions!$J:$J,ROW()-8)="",0,INDEX(Transactions!$O:$O,ROW()-8))</f>
      </c>
    </row>
    <row r="1015" spans="1:7">
      <c r="B1015">
        <f>IF(INDEX(Transactions!$J:$J,ROW()-8)="",TODAY(),INDEX(Transactions!$G:$G,ROW()-8))</f>
      </c>
      <c r="F1015">
        <f>IF(INDEX(Transactions!$J:$J,ROW()-8)="",0,INDEX(Transactions!$O:$O,ROW()-8))</f>
      </c>
    </row>
    <row r="1016" spans="1:7">
      <c r="B1016">
        <f>IF(INDEX(Transactions!$J:$J,ROW()-8)="",TODAY(),INDEX(Transactions!$G:$G,ROW()-8))</f>
      </c>
      <c r="F1016">
        <f>IF(INDEX(Transactions!$J:$J,ROW()-8)="",0,INDEX(Transactions!$O:$O,ROW()-8))</f>
      </c>
    </row>
    <row r="1017" spans="1:7">
      <c r="B1017">
        <f>IF(INDEX(Transactions!$J:$J,ROW()-8)="",TODAY(),INDEX(Transactions!$G:$G,ROW()-8))</f>
      </c>
      <c r="F1017">
        <f>IF(INDEX(Transactions!$J:$J,ROW()-8)="",0,INDEX(Transactions!$O:$O,ROW()-8))</f>
      </c>
    </row>
    <row r="1018" spans="1:7">
      <c r="B1018">
        <f>IF(INDEX(Transactions!$J:$J,ROW()-8)="",TODAY(),INDEX(Transactions!$G:$G,ROW()-8))</f>
      </c>
      <c r="F1018">
        <f>IF(INDEX(Transactions!$J:$J,ROW()-8)="",0,INDEX(Transactions!$O:$O,ROW()-8))</f>
      </c>
    </row>
    <row r="1019" spans="1:7">
      <c r="B1019">
        <f>IF(INDEX(Transactions!$J:$J,ROW()-8)="",TODAY(),INDEX(Transactions!$G:$G,ROW()-8))</f>
      </c>
      <c r="F1019">
        <f>IF(INDEX(Transactions!$J:$J,ROW()-8)="",0,INDEX(Transactions!$O:$O,ROW()-8))</f>
      </c>
    </row>
    <row r="1020" spans="1:7">
      <c r="B1020">
        <f>IF(INDEX(Transactions!$J:$J,ROW()-8)="",TODAY(),INDEX(Transactions!$G:$G,ROW()-8))</f>
      </c>
      <c r="F1020">
        <f>IF(INDEX(Transactions!$J:$J,ROW()-8)="",0,INDEX(Transactions!$O:$O,ROW()-8))</f>
      </c>
    </row>
    <row r="1021" spans="1:7">
      <c r="B1021">
        <f>IF(INDEX(Transactions!$J:$J,ROW()-8)="",TODAY(),INDEX(Transactions!$G:$G,ROW()-8))</f>
      </c>
      <c r="F1021">
        <f>IF(INDEX(Transactions!$J:$J,ROW()-8)="",0,INDEX(Transactions!$O:$O,ROW()-8))</f>
      </c>
    </row>
    <row r="1022" spans="1:7">
      <c r="B1022">
        <f>IF(INDEX(Transactions!$J:$J,ROW()-8)="",TODAY(),INDEX(Transactions!$G:$G,ROW()-8))</f>
      </c>
      <c r="F1022">
        <f>IF(INDEX(Transactions!$J:$J,ROW()-8)="",0,INDEX(Transactions!$O:$O,ROW()-8))</f>
      </c>
    </row>
    <row r="1023" spans="1:7">
      <c r="B1023">
        <f>IF(INDEX(Transactions!$J:$J,ROW()-8)="",TODAY(),INDEX(Transactions!$G:$G,ROW()-8))</f>
      </c>
      <c r="F1023">
        <f>IF(INDEX(Transactions!$J:$J,ROW()-8)="",0,INDEX(Transactions!$O:$O,ROW()-8))</f>
      </c>
    </row>
    <row r="1024" spans="1:7">
      <c r="B1024">
        <f>IF(INDEX(Transactions!$J:$J,ROW()-8)="",TODAY(),INDEX(Transactions!$G:$G,ROW()-8))</f>
      </c>
      <c r="F1024">
        <f>IF(INDEX(Transactions!$J:$J,ROW()-8)="",0,INDEX(Transactions!$O:$O,ROW()-8))</f>
      </c>
    </row>
    <row r="1025" spans="1:7">
      <c r="B1025">
        <f>IF(INDEX(Transactions!$J:$J,ROW()-8)="",TODAY(),INDEX(Transactions!$G:$G,ROW()-8))</f>
      </c>
      <c r="F1025">
        <f>IF(INDEX(Transactions!$J:$J,ROW()-8)="",0,INDEX(Transactions!$O:$O,ROW()-8))</f>
      </c>
    </row>
    <row r="1026" spans="1:7">
      <c r="B1026">
        <f>IF(INDEX(Transactions!$J:$J,ROW()-8)="",TODAY(),INDEX(Transactions!$G:$G,ROW()-8))</f>
      </c>
      <c r="F1026">
        <f>IF(INDEX(Transactions!$J:$J,ROW()-8)="",0,INDEX(Transactions!$O:$O,ROW()-8))</f>
      </c>
    </row>
    <row r="1027" spans="1:7">
      <c r="B1027">
        <f>IF(INDEX(Transactions!$J:$J,ROW()-8)="",TODAY(),INDEX(Transactions!$G:$G,ROW()-8))</f>
      </c>
      <c r="F1027">
        <f>IF(INDEX(Transactions!$J:$J,ROW()-8)="",0,INDEX(Transactions!$O:$O,ROW()-8))</f>
      </c>
    </row>
    <row r="1028" spans="1:7">
      <c r="B1028">
        <f>IF(INDEX(Transactions!$J:$J,ROW()-8)="",TODAY(),INDEX(Transactions!$G:$G,ROW()-8))</f>
      </c>
      <c r="F1028">
        <f>IF(INDEX(Transactions!$J:$J,ROW()-8)="",0,INDEX(Transactions!$O:$O,ROW()-8))</f>
      </c>
    </row>
    <row r="1029" spans="1:7">
      <c r="B1029">
        <f>IF(INDEX(Transactions!$J:$J,ROW()-8)="",TODAY(),INDEX(Transactions!$G:$G,ROW()-8))</f>
      </c>
      <c r="F1029">
        <f>IF(INDEX(Transactions!$J:$J,ROW()-8)="",0,INDEX(Transactions!$O:$O,ROW()-8))</f>
      </c>
    </row>
    <row r="1030" spans="1:7">
      <c r="B1030">
        <f>IF(INDEX(Transactions!$J:$J,ROW()-8)="",TODAY(),INDEX(Transactions!$G:$G,ROW()-8))</f>
      </c>
      <c r="F1030">
        <f>IF(INDEX(Transactions!$J:$J,ROW()-8)="",0,INDEX(Transactions!$O:$O,ROW()-8))</f>
      </c>
    </row>
    <row r="1031" spans="1:7">
      <c r="B1031">
        <f>IF(INDEX(Transactions!$J:$J,ROW()-8)="",TODAY(),INDEX(Transactions!$G:$G,ROW()-8))</f>
      </c>
      <c r="F1031">
        <f>IF(INDEX(Transactions!$J:$J,ROW()-8)="",0,INDEX(Transactions!$O:$O,ROW()-8))</f>
      </c>
    </row>
    <row r="1032" spans="1:7">
      <c r="B1032">
        <f>IF(INDEX(Transactions!$J:$J,ROW()-8)="",TODAY(),INDEX(Transactions!$G:$G,ROW()-8))</f>
      </c>
      <c r="F1032">
        <f>IF(INDEX(Transactions!$J:$J,ROW()-8)="",0,INDEX(Transactions!$O:$O,ROW()-8))</f>
      </c>
    </row>
    <row r="1033" spans="1:7">
      <c r="B1033">
        <f>IF(INDEX(Transactions!$J:$J,ROW()-8)="",TODAY(),INDEX(Transactions!$G:$G,ROW()-8))</f>
      </c>
      <c r="F1033">
        <f>IF(INDEX(Transactions!$J:$J,ROW()-8)="",0,INDEX(Transactions!$O:$O,ROW()-8))</f>
      </c>
    </row>
    <row r="1034" spans="1:7">
      <c r="B1034">
        <f>IF(INDEX(Transactions!$J:$J,ROW()-8)="",TODAY(),INDEX(Transactions!$G:$G,ROW()-8))</f>
      </c>
      <c r="F1034">
        <f>IF(INDEX(Transactions!$J:$J,ROW()-8)="",0,INDEX(Transactions!$O:$O,ROW()-8))</f>
      </c>
    </row>
    <row r="1035" spans="1:7">
      <c r="B1035">
        <f>IF(INDEX(Transactions!$J:$J,ROW()-8)="",TODAY(),INDEX(Transactions!$G:$G,ROW()-8))</f>
      </c>
      <c r="F1035">
        <f>IF(INDEX(Transactions!$J:$J,ROW()-8)="",0,INDEX(Transactions!$O:$O,ROW()-8))</f>
      </c>
    </row>
    <row r="1036" spans="1:7">
      <c r="B1036">
        <f>IF(INDEX(Transactions!$J:$J,ROW()-8)="",TODAY(),INDEX(Transactions!$G:$G,ROW()-8))</f>
      </c>
      <c r="F1036">
        <f>IF(INDEX(Transactions!$J:$J,ROW()-8)="",0,INDEX(Transactions!$O:$O,ROW()-8))</f>
      </c>
    </row>
    <row r="1037" spans="1:7">
      <c r="B1037">
        <f>IF(INDEX(Transactions!$J:$J,ROW()-8)="",TODAY(),INDEX(Transactions!$G:$G,ROW()-8))</f>
      </c>
      <c r="F1037">
        <f>IF(INDEX(Transactions!$J:$J,ROW()-8)="",0,INDEX(Transactions!$O:$O,ROW()-8))</f>
      </c>
    </row>
    <row r="1038" spans="1:7">
      <c r="B1038">
        <f>IF(INDEX(Transactions!$J:$J,ROW()-8)="",TODAY(),INDEX(Transactions!$G:$G,ROW()-8))</f>
      </c>
      <c r="F1038">
        <f>IF(INDEX(Transactions!$J:$J,ROW()-8)="",0,INDEX(Transactions!$O:$O,ROW()-8))</f>
      </c>
    </row>
    <row r="1039" spans="1:7">
      <c r="B1039">
        <f>IF(INDEX(Transactions!$J:$J,ROW()-8)="",TODAY(),INDEX(Transactions!$G:$G,ROW()-8))</f>
      </c>
      <c r="F1039">
        <f>IF(INDEX(Transactions!$J:$J,ROW()-8)="",0,INDEX(Transactions!$O:$O,ROW()-8))</f>
      </c>
    </row>
    <row r="1040" spans="1:7">
      <c r="B1040">
        <f>IF(INDEX(Transactions!$J:$J,ROW()-8)="",TODAY(),INDEX(Transactions!$G:$G,ROW()-8))</f>
      </c>
      <c r="F1040">
        <f>IF(INDEX(Transactions!$J:$J,ROW()-8)="",0,INDEX(Transactions!$O:$O,ROW()-8))</f>
      </c>
    </row>
    <row r="1041" spans="1:7">
      <c r="B1041">
        <f>IF(INDEX(Transactions!$J:$J,ROW()-8)="",TODAY(),INDEX(Transactions!$G:$G,ROW()-8))</f>
      </c>
      <c r="F1041">
        <f>IF(INDEX(Transactions!$J:$J,ROW()-8)="",0,INDEX(Transactions!$O:$O,ROW()-8))</f>
      </c>
    </row>
    <row r="1042" spans="1:7">
      <c r="B1042">
        <f>IF(INDEX(Transactions!$J:$J,ROW()-8)="",TODAY(),INDEX(Transactions!$G:$G,ROW()-8))</f>
      </c>
      <c r="F1042">
        <f>IF(INDEX(Transactions!$J:$J,ROW()-8)="",0,INDEX(Transactions!$O:$O,ROW()-8))</f>
      </c>
    </row>
    <row r="1043" spans="1:7">
      <c r="B1043">
        <f>IF(INDEX(Transactions!$J:$J,ROW()-8)="",TODAY(),INDEX(Transactions!$G:$G,ROW()-8))</f>
      </c>
      <c r="F1043">
        <f>IF(INDEX(Transactions!$J:$J,ROW()-8)="",0,INDEX(Transactions!$O:$O,ROW()-8))</f>
      </c>
    </row>
    <row r="1044" spans="1:7">
      <c r="B1044">
        <f>IF(INDEX(Transactions!$J:$J,ROW()-8)="",TODAY(),INDEX(Transactions!$G:$G,ROW()-8))</f>
      </c>
      <c r="F1044">
        <f>IF(INDEX(Transactions!$J:$J,ROW()-8)="",0,INDEX(Transactions!$O:$O,ROW()-8))</f>
      </c>
    </row>
    <row r="1045" spans="1:7">
      <c r="B1045">
        <f>IF(INDEX(Transactions!$J:$J,ROW()-8)="",TODAY(),INDEX(Transactions!$G:$G,ROW()-8))</f>
      </c>
      <c r="F1045">
        <f>IF(INDEX(Transactions!$J:$J,ROW()-8)="",0,INDEX(Transactions!$O:$O,ROW()-8))</f>
      </c>
    </row>
    <row r="1046" spans="1:7">
      <c r="B1046">
        <f>IF(INDEX(Transactions!$J:$J,ROW()-8)="",TODAY(),INDEX(Transactions!$G:$G,ROW()-8))</f>
      </c>
      <c r="F1046">
        <f>IF(INDEX(Transactions!$J:$J,ROW()-8)="",0,INDEX(Transactions!$O:$O,ROW()-8))</f>
      </c>
    </row>
    <row r="1047" spans="1:7">
      <c r="B1047">
        <f>IF(INDEX(Transactions!$J:$J,ROW()-8)="",TODAY(),INDEX(Transactions!$G:$G,ROW()-8))</f>
      </c>
      <c r="F1047">
        <f>IF(INDEX(Transactions!$J:$J,ROW()-8)="",0,INDEX(Transactions!$O:$O,ROW()-8))</f>
      </c>
    </row>
    <row r="1048" spans="1:7">
      <c r="B1048">
        <f>IF(INDEX(Transactions!$J:$J,ROW()-8)="",TODAY(),INDEX(Transactions!$G:$G,ROW()-8))</f>
      </c>
      <c r="F1048">
        <f>IF(INDEX(Transactions!$J:$J,ROW()-8)="",0,INDEX(Transactions!$O:$O,ROW()-8))</f>
      </c>
    </row>
    <row r="1049" spans="1:7">
      <c r="B1049">
        <f>IF(INDEX(Transactions!$J:$J,ROW()-8)="",TODAY(),INDEX(Transactions!$G:$G,ROW()-8))</f>
      </c>
      <c r="F1049">
        <f>IF(INDEX(Transactions!$J:$J,ROW()-8)="",0,INDEX(Transactions!$O:$O,ROW()-8))</f>
      </c>
    </row>
    <row r="1050" spans="1:7">
      <c r="B1050">
        <f>IF(INDEX(Transactions!$J:$J,ROW()-8)="",TODAY(),INDEX(Transactions!$G:$G,ROW()-8))</f>
      </c>
      <c r="F1050">
        <f>IF(INDEX(Transactions!$J:$J,ROW()-8)="",0,INDEX(Transactions!$O:$O,ROW()-8))</f>
      </c>
    </row>
    <row r="1051" spans="1:7">
      <c r="B1051">
        <f>IF(INDEX(Transactions!$J:$J,ROW()-8)="",TODAY(),INDEX(Transactions!$G:$G,ROW()-8))</f>
      </c>
      <c r="F1051">
        <f>IF(INDEX(Transactions!$J:$J,ROW()-8)="",0,INDEX(Transactions!$O:$O,ROW()-8))</f>
      </c>
    </row>
    <row r="1052" spans="1:7">
      <c r="B1052">
        <f>IF(INDEX(Transactions!$J:$J,ROW()-8)="",TODAY(),INDEX(Transactions!$G:$G,ROW()-8))</f>
      </c>
      <c r="F1052">
        <f>IF(INDEX(Transactions!$J:$J,ROW()-8)="",0,INDEX(Transactions!$O:$O,ROW()-8))</f>
      </c>
    </row>
    <row r="1053" spans="1:7">
      <c r="B1053">
        <f>IF(INDEX(Transactions!$J:$J,ROW()-8)="",TODAY(),INDEX(Transactions!$G:$G,ROW()-8))</f>
      </c>
      <c r="F1053">
        <f>IF(INDEX(Transactions!$J:$J,ROW()-8)="",0,INDEX(Transactions!$O:$O,ROW()-8))</f>
      </c>
    </row>
    <row r="1054" spans="1:7">
      <c r="B1054">
        <f>IF(INDEX(Transactions!$J:$J,ROW()-8)="",TODAY(),INDEX(Transactions!$G:$G,ROW()-8))</f>
      </c>
      <c r="F1054">
        <f>IF(INDEX(Transactions!$J:$J,ROW()-8)="",0,INDEX(Transactions!$O:$O,ROW()-8))</f>
      </c>
    </row>
    <row r="1055" spans="1:7">
      <c r="B1055">
        <f>IF(INDEX(Transactions!$J:$J,ROW()-8)="",TODAY(),INDEX(Transactions!$G:$G,ROW()-8))</f>
      </c>
      <c r="F1055">
        <f>IF(INDEX(Transactions!$J:$J,ROW()-8)="",0,INDEX(Transactions!$O:$O,ROW()-8))</f>
      </c>
    </row>
    <row r="1056" spans="1:7">
      <c r="B1056">
        <f>IF(INDEX(Transactions!$J:$J,ROW()-8)="",TODAY(),INDEX(Transactions!$G:$G,ROW()-8))</f>
      </c>
      <c r="F1056">
        <f>IF(INDEX(Transactions!$J:$J,ROW()-8)="",0,INDEX(Transactions!$O:$O,ROW()-8))</f>
      </c>
    </row>
    <row r="1057" spans="1:7">
      <c r="B1057">
        <f>IF(INDEX(Transactions!$J:$J,ROW()-8)="",TODAY(),INDEX(Transactions!$G:$G,ROW()-8))</f>
      </c>
      <c r="F1057">
        <f>IF(INDEX(Transactions!$J:$J,ROW()-8)="",0,INDEX(Transactions!$O:$O,ROW()-8))</f>
      </c>
    </row>
    <row r="1058" spans="1:7">
      <c r="B1058">
        <f>IF(INDEX(Transactions!$J:$J,ROW()-8)="",TODAY(),INDEX(Transactions!$G:$G,ROW()-8))</f>
      </c>
      <c r="F1058">
        <f>IF(INDEX(Transactions!$J:$J,ROW()-8)="",0,INDEX(Transactions!$O:$O,ROW()-8))</f>
      </c>
    </row>
    <row r="1059" spans="1:7">
      <c r="B1059">
        <f>IF(INDEX(Transactions!$J:$J,ROW()-8)="",TODAY(),INDEX(Transactions!$G:$G,ROW()-8))</f>
      </c>
      <c r="F1059">
        <f>IF(INDEX(Transactions!$J:$J,ROW()-8)="",0,INDEX(Transactions!$O:$O,ROW()-8))</f>
      </c>
    </row>
    <row r="1060" spans="1:7">
      <c r="B1060">
        <f>IF(INDEX(Transactions!$J:$J,ROW()-8)="",TODAY(),INDEX(Transactions!$G:$G,ROW()-8))</f>
      </c>
      <c r="F1060">
        <f>IF(INDEX(Transactions!$J:$J,ROW()-8)="",0,INDEX(Transactions!$O:$O,ROW()-8))</f>
      </c>
    </row>
    <row r="1061" spans="1:7">
      <c r="B1061">
        <f>IF(INDEX(Transactions!$J:$J,ROW()-8)="",TODAY(),INDEX(Transactions!$G:$G,ROW()-8))</f>
      </c>
      <c r="F1061">
        <f>IF(INDEX(Transactions!$J:$J,ROW()-8)="",0,INDEX(Transactions!$O:$O,ROW()-8))</f>
      </c>
    </row>
    <row r="1062" spans="1:7">
      <c r="B1062">
        <f>IF(INDEX(Transactions!$J:$J,ROW()-8)="",TODAY(),INDEX(Transactions!$G:$G,ROW()-8))</f>
      </c>
      <c r="F1062">
        <f>IF(INDEX(Transactions!$J:$J,ROW()-8)="",0,INDEX(Transactions!$O:$O,ROW()-8))</f>
      </c>
    </row>
    <row r="1063" spans="1:7">
      <c r="B1063">
        <f>IF(INDEX(Transactions!$J:$J,ROW()-8)="",TODAY(),INDEX(Transactions!$G:$G,ROW()-8))</f>
      </c>
      <c r="F1063">
        <f>IF(INDEX(Transactions!$J:$J,ROW()-8)="",0,INDEX(Transactions!$O:$O,ROW()-8))</f>
      </c>
    </row>
    <row r="1064" spans="1:7">
      <c r="B1064">
        <f>IF(INDEX(Transactions!$J:$J,ROW()-8)="",TODAY(),INDEX(Transactions!$G:$G,ROW()-8))</f>
      </c>
      <c r="F1064">
        <f>IF(INDEX(Transactions!$J:$J,ROW()-8)="",0,INDEX(Transactions!$O:$O,ROW()-8))</f>
      </c>
    </row>
    <row r="1065" spans="1:7">
      <c r="B1065">
        <f>IF(INDEX(Transactions!$J:$J,ROW()-8)="",TODAY(),INDEX(Transactions!$G:$G,ROW()-8))</f>
      </c>
      <c r="F1065">
        <f>IF(INDEX(Transactions!$J:$J,ROW()-8)="",0,INDEX(Transactions!$O:$O,ROW()-8))</f>
      </c>
    </row>
    <row r="1066" spans="1:7">
      <c r="B1066">
        <f>IF(INDEX(Transactions!$J:$J,ROW()-8)="",TODAY(),INDEX(Transactions!$G:$G,ROW()-8))</f>
      </c>
      <c r="F1066">
        <f>IF(INDEX(Transactions!$J:$J,ROW()-8)="",0,INDEX(Transactions!$O:$O,ROW()-8))</f>
      </c>
    </row>
    <row r="1067" spans="1:7">
      <c r="B1067">
        <f>IF(INDEX(Transactions!$J:$J,ROW()-8)="",TODAY(),INDEX(Transactions!$G:$G,ROW()-8))</f>
      </c>
      <c r="F1067">
        <f>IF(INDEX(Transactions!$J:$J,ROW()-8)="",0,INDEX(Transactions!$O:$O,ROW()-8))</f>
      </c>
    </row>
    <row r="1068" spans="1:7">
      <c r="B1068">
        <f>IF(INDEX(Transactions!$J:$J,ROW()-8)="",TODAY(),INDEX(Transactions!$G:$G,ROW()-8))</f>
      </c>
      <c r="F1068">
        <f>IF(INDEX(Transactions!$J:$J,ROW()-8)="",0,INDEX(Transactions!$O:$O,ROW()-8))</f>
      </c>
    </row>
    <row r="1069" spans="1:7">
      <c r="B1069">
        <f>IF(INDEX(Transactions!$J:$J,ROW()-8)="",TODAY(),INDEX(Transactions!$G:$G,ROW()-8))</f>
      </c>
      <c r="F1069">
        <f>IF(INDEX(Transactions!$J:$J,ROW()-8)="",0,INDEX(Transactions!$O:$O,ROW()-8))</f>
      </c>
    </row>
    <row r="1070" spans="1:7">
      <c r="B1070">
        <f>IF(INDEX(Transactions!$J:$J,ROW()-8)="",TODAY(),INDEX(Transactions!$G:$G,ROW()-8))</f>
      </c>
      <c r="F1070">
        <f>IF(INDEX(Transactions!$J:$J,ROW()-8)="",0,INDEX(Transactions!$O:$O,ROW()-8))</f>
      </c>
    </row>
    <row r="1071" spans="1:7">
      <c r="B1071">
        <f>IF(INDEX(Transactions!$J:$J,ROW()-8)="",TODAY(),INDEX(Transactions!$G:$G,ROW()-8))</f>
      </c>
      <c r="F1071">
        <f>IF(INDEX(Transactions!$J:$J,ROW()-8)="",0,INDEX(Transactions!$O:$O,ROW()-8))</f>
      </c>
    </row>
    <row r="1072" spans="1:7">
      <c r="B1072">
        <f>IF(INDEX(Transactions!$J:$J,ROW()-8)="",TODAY(),INDEX(Transactions!$G:$G,ROW()-8))</f>
      </c>
      <c r="F1072">
        <f>IF(INDEX(Transactions!$J:$J,ROW()-8)="",0,INDEX(Transactions!$O:$O,ROW()-8))</f>
      </c>
    </row>
    <row r="1073" spans="1:7">
      <c r="B1073">
        <f>IF(INDEX(Transactions!$J:$J,ROW()-8)="",TODAY(),INDEX(Transactions!$G:$G,ROW()-8))</f>
      </c>
      <c r="F1073">
        <f>IF(INDEX(Transactions!$J:$J,ROW()-8)="",0,INDEX(Transactions!$O:$O,ROW()-8))</f>
      </c>
    </row>
    <row r="1074" spans="1:7">
      <c r="B1074">
        <f>IF(INDEX(Transactions!$J:$J,ROW()-8)="",TODAY(),INDEX(Transactions!$G:$G,ROW()-8))</f>
      </c>
      <c r="F1074">
        <f>IF(INDEX(Transactions!$J:$J,ROW()-8)="",0,INDEX(Transactions!$O:$O,ROW()-8))</f>
      </c>
    </row>
    <row r="1075" spans="1:7">
      <c r="B1075">
        <f>IF(INDEX(Transactions!$J:$J,ROW()-8)="",TODAY(),INDEX(Transactions!$G:$G,ROW()-8))</f>
      </c>
      <c r="F1075">
        <f>IF(INDEX(Transactions!$J:$J,ROW()-8)="",0,INDEX(Transactions!$O:$O,ROW()-8))</f>
      </c>
    </row>
    <row r="1076" spans="1:7">
      <c r="B1076">
        <f>IF(INDEX(Transactions!$J:$J,ROW()-8)="",TODAY(),INDEX(Transactions!$G:$G,ROW()-8))</f>
      </c>
      <c r="F1076">
        <f>IF(INDEX(Transactions!$J:$J,ROW()-8)="",0,INDEX(Transactions!$O:$O,ROW()-8))</f>
      </c>
    </row>
    <row r="1077" spans="1:7">
      <c r="B1077">
        <f>IF(INDEX(Transactions!$J:$J,ROW()-8)="",TODAY(),INDEX(Transactions!$G:$G,ROW()-8))</f>
      </c>
      <c r="F1077">
        <f>IF(INDEX(Transactions!$J:$J,ROW()-8)="",0,INDEX(Transactions!$O:$O,ROW()-8))</f>
      </c>
    </row>
    <row r="1078" spans="1:7">
      <c r="B1078">
        <f>IF(INDEX(Transactions!$J:$J,ROW()-8)="",TODAY(),INDEX(Transactions!$G:$G,ROW()-8))</f>
      </c>
      <c r="F1078">
        <f>IF(INDEX(Transactions!$J:$J,ROW()-8)="",0,INDEX(Transactions!$O:$O,ROW()-8))</f>
      </c>
    </row>
    <row r="1079" spans="1:7">
      <c r="B1079">
        <f>IF(INDEX(Transactions!$J:$J,ROW()-8)="",TODAY(),INDEX(Transactions!$G:$G,ROW()-8))</f>
      </c>
      <c r="F1079">
        <f>IF(INDEX(Transactions!$J:$J,ROW()-8)="",0,INDEX(Transactions!$O:$O,ROW()-8))</f>
      </c>
    </row>
    <row r="1080" spans="1:7">
      <c r="B1080">
        <f>IF(INDEX(Transactions!$J:$J,ROW()-8)="",TODAY(),INDEX(Transactions!$G:$G,ROW()-8))</f>
      </c>
      <c r="F1080">
        <f>IF(INDEX(Transactions!$J:$J,ROW()-8)="",0,INDEX(Transactions!$O:$O,ROW()-8))</f>
      </c>
    </row>
    <row r="1081" spans="1:7">
      <c r="B1081">
        <f>IF(INDEX(Transactions!$J:$J,ROW()-8)="",TODAY(),INDEX(Transactions!$G:$G,ROW()-8))</f>
      </c>
      <c r="F1081">
        <f>IF(INDEX(Transactions!$J:$J,ROW()-8)="",0,INDEX(Transactions!$O:$O,ROW()-8))</f>
      </c>
    </row>
    <row r="1082" spans="1:7">
      <c r="B1082">
        <f>IF(INDEX(Transactions!$J:$J,ROW()-8)="",TODAY(),INDEX(Transactions!$G:$G,ROW()-8))</f>
      </c>
      <c r="F1082">
        <f>IF(INDEX(Transactions!$J:$J,ROW()-8)="",0,INDEX(Transactions!$O:$O,ROW()-8))</f>
      </c>
    </row>
    <row r="1083" spans="1:7">
      <c r="B1083">
        <f>IF(INDEX(Transactions!$J:$J,ROW()-8)="",TODAY(),INDEX(Transactions!$G:$G,ROW()-8))</f>
      </c>
      <c r="F1083">
        <f>IF(INDEX(Transactions!$J:$J,ROW()-8)="",0,INDEX(Transactions!$O:$O,ROW()-8))</f>
      </c>
    </row>
    <row r="1084" spans="1:7">
      <c r="B1084">
        <f>IF(INDEX(Transactions!$J:$J,ROW()-8)="",TODAY(),INDEX(Transactions!$G:$G,ROW()-8))</f>
      </c>
      <c r="F1084">
        <f>IF(INDEX(Transactions!$J:$J,ROW()-8)="",0,INDEX(Transactions!$O:$O,ROW()-8))</f>
      </c>
    </row>
    <row r="1085" spans="1:7">
      <c r="B1085">
        <f>IF(INDEX(Transactions!$J:$J,ROW()-8)="",TODAY(),INDEX(Transactions!$G:$G,ROW()-8))</f>
      </c>
      <c r="F1085">
        <f>IF(INDEX(Transactions!$J:$J,ROW()-8)="",0,INDEX(Transactions!$O:$O,ROW()-8))</f>
      </c>
    </row>
    <row r="1086" spans="1:7">
      <c r="B1086">
        <f>IF(INDEX(Transactions!$J:$J,ROW()-8)="",TODAY(),INDEX(Transactions!$G:$G,ROW()-8))</f>
      </c>
      <c r="F1086">
        <f>IF(INDEX(Transactions!$J:$J,ROW()-8)="",0,INDEX(Transactions!$O:$O,ROW()-8))</f>
      </c>
    </row>
    <row r="1087" spans="1:7">
      <c r="B1087">
        <f>IF(INDEX(Transactions!$J:$J,ROW()-8)="",TODAY(),INDEX(Transactions!$G:$G,ROW()-8))</f>
      </c>
      <c r="F1087">
        <f>IF(INDEX(Transactions!$J:$J,ROW()-8)="",0,INDEX(Transactions!$O:$O,ROW()-8))</f>
      </c>
    </row>
    <row r="1088" spans="1:7">
      <c r="B1088">
        <f>IF(INDEX(Transactions!$J:$J,ROW()-8)="",TODAY(),INDEX(Transactions!$G:$G,ROW()-8))</f>
      </c>
      <c r="F1088">
        <f>IF(INDEX(Transactions!$J:$J,ROW()-8)="",0,INDEX(Transactions!$O:$O,ROW()-8))</f>
      </c>
    </row>
    <row r="1089" spans="1:7">
      <c r="B1089">
        <f>IF(INDEX(Transactions!$J:$J,ROW()-8)="",TODAY(),INDEX(Transactions!$G:$G,ROW()-8))</f>
      </c>
      <c r="F1089">
        <f>IF(INDEX(Transactions!$J:$J,ROW()-8)="",0,INDEX(Transactions!$O:$O,ROW()-8))</f>
      </c>
    </row>
    <row r="1090" spans="1:7">
      <c r="B1090">
        <f>IF(INDEX(Transactions!$J:$J,ROW()-8)="",TODAY(),INDEX(Transactions!$G:$G,ROW()-8))</f>
      </c>
      <c r="F1090">
        <f>IF(INDEX(Transactions!$J:$J,ROW()-8)="",0,INDEX(Transactions!$O:$O,ROW()-8))</f>
      </c>
    </row>
    <row r="1091" spans="1:7">
      <c r="B1091">
        <f>IF(INDEX(Transactions!$J:$J,ROW()-8)="",TODAY(),INDEX(Transactions!$G:$G,ROW()-8))</f>
      </c>
      <c r="F1091">
        <f>IF(INDEX(Transactions!$J:$J,ROW()-8)="",0,INDEX(Transactions!$O:$O,ROW()-8))</f>
      </c>
    </row>
    <row r="1092" spans="1:7">
      <c r="B1092">
        <f>IF(INDEX(Transactions!$J:$J,ROW()-8)="",TODAY(),INDEX(Transactions!$G:$G,ROW()-8))</f>
      </c>
      <c r="F1092">
        <f>IF(INDEX(Transactions!$J:$J,ROW()-8)="",0,INDEX(Transactions!$O:$O,ROW()-8))</f>
      </c>
    </row>
    <row r="1093" spans="1:7">
      <c r="B1093">
        <f>IF(INDEX(Transactions!$J:$J,ROW()-8)="",TODAY(),INDEX(Transactions!$G:$G,ROW()-8))</f>
      </c>
      <c r="F1093">
        <f>IF(INDEX(Transactions!$J:$J,ROW()-8)="",0,INDEX(Transactions!$O:$O,ROW()-8))</f>
      </c>
    </row>
    <row r="1094" spans="1:7">
      <c r="B1094">
        <f>IF(INDEX(Transactions!$J:$J,ROW()-8)="",TODAY(),INDEX(Transactions!$G:$G,ROW()-8))</f>
      </c>
      <c r="F1094">
        <f>IF(INDEX(Transactions!$J:$J,ROW()-8)="",0,INDEX(Transactions!$O:$O,ROW()-8))</f>
      </c>
    </row>
    <row r="1095" spans="1:7">
      <c r="B1095">
        <f>IF(INDEX(Transactions!$J:$J,ROW()-8)="",TODAY(),INDEX(Transactions!$G:$G,ROW()-8))</f>
      </c>
      <c r="F1095">
        <f>IF(INDEX(Transactions!$J:$J,ROW()-8)="",0,INDEX(Transactions!$O:$O,ROW()-8))</f>
      </c>
    </row>
    <row r="1096" spans="1:7">
      <c r="B1096">
        <f>IF(INDEX(Transactions!$J:$J,ROW()-8)="",TODAY(),INDEX(Transactions!$G:$G,ROW()-8))</f>
      </c>
      <c r="F1096">
        <f>IF(INDEX(Transactions!$J:$J,ROW()-8)="",0,INDEX(Transactions!$O:$O,ROW()-8))</f>
      </c>
    </row>
    <row r="1097" spans="1:7">
      <c r="B1097">
        <f>IF(INDEX(Transactions!$J:$J,ROW()-8)="",TODAY(),INDEX(Transactions!$G:$G,ROW()-8))</f>
      </c>
      <c r="F1097">
        <f>IF(INDEX(Transactions!$J:$J,ROW()-8)="",0,INDEX(Transactions!$O:$O,ROW()-8))</f>
      </c>
    </row>
    <row r="1098" spans="1:7">
      <c r="B1098">
        <f>IF(INDEX(Transactions!$J:$J,ROW()-8)="",TODAY(),INDEX(Transactions!$G:$G,ROW()-8))</f>
      </c>
      <c r="F1098">
        <f>IF(INDEX(Transactions!$J:$J,ROW()-8)="",0,INDEX(Transactions!$O:$O,ROW()-8))</f>
      </c>
    </row>
    <row r="1099" spans="1:7">
      <c r="B1099">
        <f>IF(INDEX(Transactions!$J:$J,ROW()-8)="",TODAY(),INDEX(Transactions!$G:$G,ROW()-8))</f>
      </c>
      <c r="F1099">
        <f>IF(INDEX(Transactions!$J:$J,ROW()-8)="",0,INDEX(Transactions!$O:$O,ROW()-8))</f>
      </c>
    </row>
    <row r="1100" spans="1:7">
      <c r="B1100">
        <f>IF(INDEX(Transactions!$J:$J,ROW()-8)="",TODAY(),INDEX(Transactions!$G:$G,ROW()-8))</f>
      </c>
      <c r="F1100">
        <f>IF(INDEX(Transactions!$J:$J,ROW()-8)="",0,INDEX(Transactions!$O:$O,ROW()-8))</f>
      </c>
    </row>
    <row r="1101" spans="1:7">
      <c r="B1101">
        <f>IF(INDEX(Transactions!$J:$J,ROW()-8)="",TODAY(),INDEX(Transactions!$G:$G,ROW()-8))</f>
      </c>
      <c r="F1101">
        <f>IF(INDEX(Transactions!$J:$J,ROW()-8)="",0,INDEX(Transactions!$O:$O,ROW()-8))</f>
      </c>
    </row>
    <row r="1102" spans="1:7">
      <c r="B1102">
        <f>IF(INDEX(Transactions!$J:$J,ROW()-8)="",TODAY(),INDEX(Transactions!$G:$G,ROW()-8))</f>
      </c>
      <c r="F1102">
        <f>IF(INDEX(Transactions!$J:$J,ROW()-8)="",0,INDEX(Transactions!$O:$O,ROW()-8))</f>
      </c>
    </row>
    <row r="1103" spans="1:7">
      <c r="B1103">
        <f>IF(INDEX(Transactions!$J:$J,ROW()-8)="",TODAY(),INDEX(Transactions!$G:$G,ROW()-8))</f>
      </c>
      <c r="F1103">
        <f>IF(INDEX(Transactions!$J:$J,ROW()-8)="",0,INDEX(Transactions!$O:$O,ROW()-8))</f>
      </c>
    </row>
    <row r="1104" spans="1:7">
      <c r="B1104">
        <f>IF(INDEX(Transactions!$J:$J,ROW()-8)="",TODAY(),INDEX(Transactions!$G:$G,ROW()-8))</f>
      </c>
      <c r="F1104">
        <f>IF(INDEX(Transactions!$J:$J,ROW()-8)="",0,INDEX(Transactions!$O:$O,ROW()-8))</f>
      </c>
    </row>
    <row r="1105" spans="1:7">
      <c r="B1105">
        <f>IF(INDEX(Transactions!$J:$J,ROW()-8)="",TODAY(),INDEX(Transactions!$G:$G,ROW()-8))</f>
      </c>
      <c r="F1105">
        <f>IF(INDEX(Transactions!$J:$J,ROW()-8)="",0,INDEX(Transactions!$O:$O,ROW()-8))</f>
      </c>
    </row>
    <row r="1106" spans="1:7">
      <c r="B1106">
        <f>IF(INDEX(Transactions!$J:$J,ROW()-8)="",TODAY(),INDEX(Transactions!$G:$G,ROW()-8))</f>
      </c>
      <c r="F1106">
        <f>IF(INDEX(Transactions!$J:$J,ROW()-8)="",0,INDEX(Transactions!$O:$O,ROW()-8))</f>
      </c>
    </row>
    <row r="1107" spans="1:7">
      <c r="B1107">
        <f>IF(INDEX(Transactions!$J:$J,ROW()-8)="",TODAY(),INDEX(Transactions!$G:$G,ROW()-8))</f>
      </c>
      <c r="F1107">
        <f>IF(INDEX(Transactions!$J:$J,ROW()-8)="",0,INDEX(Transactions!$O:$O,ROW()-8))</f>
      </c>
    </row>
    <row r="1108" spans="1:7">
      <c r="B1108">
        <f>IF(INDEX(Transactions!$J:$J,ROW()-8)="",TODAY(),INDEX(Transactions!$G:$G,ROW()-8))</f>
      </c>
      <c r="F1108">
        <f>IF(INDEX(Transactions!$J:$J,ROW()-8)="",0,INDEX(Transactions!$O:$O,ROW()-8))</f>
      </c>
    </row>
    <row r="1109" spans="1:7">
      <c r="B1109">
        <f>IF(INDEX(Transactions!$J:$J,ROW()-8)="",TODAY(),INDEX(Transactions!$G:$G,ROW()-8))</f>
      </c>
      <c r="F1109">
        <f>IF(INDEX(Transactions!$J:$J,ROW()-8)="",0,INDEX(Transactions!$O:$O,ROW()-8))</f>
      </c>
    </row>
    <row r="1110" spans="1:7">
      <c r="B1110">
        <f>IF(INDEX(Transactions!$J:$J,ROW()-8)="",TODAY(),INDEX(Transactions!$G:$G,ROW()-8))</f>
      </c>
      <c r="F1110">
        <f>IF(INDEX(Transactions!$J:$J,ROW()-8)="",0,INDEX(Transactions!$O:$O,ROW()-8))</f>
      </c>
    </row>
    <row r="1111" spans="1:7">
      <c r="B1111">
        <f>IF(INDEX(Transactions!$J:$J,ROW()-8)="",TODAY(),INDEX(Transactions!$G:$G,ROW()-8))</f>
      </c>
      <c r="F1111">
        <f>IF(INDEX(Transactions!$J:$J,ROW()-8)="",0,INDEX(Transactions!$O:$O,ROW()-8))</f>
      </c>
    </row>
    <row r="1112" spans="1:7">
      <c r="B1112">
        <f>IF(INDEX(Transactions!$J:$J,ROW()-8)="",TODAY(),INDEX(Transactions!$G:$G,ROW()-8))</f>
      </c>
      <c r="F1112">
        <f>IF(INDEX(Transactions!$J:$J,ROW()-8)="",0,INDEX(Transactions!$O:$O,ROW()-8))</f>
      </c>
    </row>
    <row r="1113" spans="1:7">
      <c r="B1113">
        <f>IF(INDEX(Transactions!$J:$J,ROW()-8)="",TODAY(),INDEX(Transactions!$G:$G,ROW()-8))</f>
      </c>
      <c r="F1113">
        <f>IF(INDEX(Transactions!$J:$J,ROW()-8)="",0,INDEX(Transactions!$O:$O,ROW()-8))</f>
      </c>
    </row>
    <row r="1114" spans="1:7">
      <c r="B1114">
        <f>IF(INDEX(Transactions!$J:$J,ROW()-8)="",TODAY(),INDEX(Transactions!$G:$G,ROW()-8))</f>
      </c>
      <c r="F1114">
        <f>IF(INDEX(Transactions!$J:$J,ROW()-8)="",0,INDEX(Transactions!$O:$O,ROW()-8))</f>
      </c>
    </row>
    <row r="1115" spans="1:7">
      <c r="B1115">
        <f>IF(INDEX(Transactions!$J:$J,ROW()-8)="",TODAY(),INDEX(Transactions!$G:$G,ROW()-8))</f>
      </c>
      <c r="F1115">
        <f>IF(INDEX(Transactions!$J:$J,ROW()-8)="",0,INDEX(Transactions!$O:$O,ROW()-8))</f>
      </c>
    </row>
    <row r="1116" spans="1:7">
      <c r="B1116">
        <f>IF(INDEX(Transactions!$J:$J,ROW()-8)="",TODAY(),INDEX(Transactions!$G:$G,ROW()-8))</f>
      </c>
      <c r="F1116">
        <f>IF(INDEX(Transactions!$J:$J,ROW()-8)="",0,INDEX(Transactions!$O:$O,ROW()-8))</f>
      </c>
    </row>
    <row r="1117" spans="1:7">
      <c r="B1117">
        <f>IF(INDEX(Transactions!$J:$J,ROW()-8)="",TODAY(),INDEX(Transactions!$G:$G,ROW()-8))</f>
      </c>
      <c r="F1117">
        <f>IF(INDEX(Transactions!$J:$J,ROW()-8)="",0,INDEX(Transactions!$O:$O,ROW()-8))</f>
      </c>
    </row>
    <row r="1118" spans="1:7">
      <c r="B1118">
        <f>IF(INDEX(Transactions!$J:$J,ROW()-8)="",TODAY(),INDEX(Transactions!$G:$G,ROW()-8))</f>
      </c>
      <c r="F1118">
        <f>IF(INDEX(Transactions!$J:$J,ROW()-8)="",0,INDEX(Transactions!$O:$O,ROW()-8))</f>
      </c>
    </row>
    <row r="1119" spans="1:7">
      <c r="B1119">
        <f>IF(INDEX(Transactions!$J:$J,ROW()-8)="",TODAY(),INDEX(Transactions!$G:$G,ROW()-8))</f>
      </c>
      <c r="F1119">
        <f>IF(INDEX(Transactions!$J:$J,ROW()-8)="",0,INDEX(Transactions!$O:$O,ROW()-8))</f>
      </c>
    </row>
    <row r="1120" spans="1:7">
      <c r="B1120">
        <f>IF(INDEX(Transactions!$J:$J,ROW()-8)="",TODAY(),INDEX(Transactions!$G:$G,ROW()-8))</f>
      </c>
      <c r="F1120">
        <f>IF(INDEX(Transactions!$J:$J,ROW()-8)="",0,INDEX(Transactions!$O:$O,ROW()-8))</f>
      </c>
    </row>
    <row r="1121" spans="1:7">
      <c r="B1121">
        <f>IF(INDEX(Transactions!$J:$J,ROW()-8)="",TODAY(),INDEX(Transactions!$G:$G,ROW()-8))</f>
      </c>
      <c r="F1121">
        <f>IF(INDEX(Transactions!$J:$J,ROW()-8)="",0,INDEX(Transactions!$O:$O,ROW()-8))</f>
      </c>
    </row>
    <row r="1122" spans="1:7">
      <c r="B1122">
        <f>IF(INDEX(Transactions!$J:$J,ROW()-8)="",TODAY(),INDEX(Transactions!$G:$G,ROW()-8))</f>
      </c>
      <c r="F1122">
        <f>IF(INDEX(Transactions!$J:$J,ROW()-8)="",0,INDEX(Transactions!$O:$O,ROW()-8))</f>
      </c>
    </row>
    <row r="1123" spans="1:7">
      <c r="B1123">
        <f>IF(INDEX(Transactions!$J:$J,ROW()-8)="",TODAY(),INDEX(Transactions!$G:$G,ROW()-8))</f>
      </c>
      <c r="F1123">
        <f>IF(INDEX(Transactions!$J:$J,ROW()-8)="",0,INDEX(Transactions!$O:$O,ROW()-8))</f>
      </c>
    </row>
    <row r="1124" spans="1:7">
      <c r="B1124">
        <f>IF(INDEX(Transactions!$J:$J,ROW()-8)="",TODAY(),INDEX(Transactions!$G:$G,ROW()-8))</f>
      </c>
      <c r="F1124">
        <f>IF(INDEX(Transactions!$J:$J,ROW()-8)="",0,INDEX(Transactions!$O:$O,ROW()-8))</f>
      </c>
    </row>
    <row r="1125" spans="1:7">
      <c r="B1125">
        <f>IF(INDEX(Transactions!$J:$J,ROW()-8)="",TODAY(),INDEX(Transactions!$G:$G,ROW()-8))</f>
      </c>
      <c r="F1125">
        <f>IF(INDEX(Transactions!$J:$J,ROW()-8)="",0,INDEX(Transactions!$O:$O,ROW()-8))</f>
      </c>
    </row>
    <row r="1126" spans="1:7">
      <c r="B1126">
        <f>IF(INDEX(Transactions!$J:$J,ROW()-8)="",TODAY(),INDEX(Transactions!$G:$G,ROW()-8))</f>
      </c>
      <c r="F1126">
        <f>IF(INDEX(Transactions!$J:$J,ROW()-8)="",0,INDEX(Transactions!$O:$O,ROW()-8))</f>
      </c>
    </row>
    <row r="1127" spans="1:7">
      <c r="B1127">
        <f>IF(INDEX(Transactions!$J:$J,ROW()-8)="",TODAY(),INDEX(Transactions!$G:$G,ROW()-8))</f>
      </c>
      <c r="F1127">
        <f>IF(INDEX(Transactions!$J:$J,ROW()-8)="",0,INDEX(Transactions!$O:$O,ROW()-8))</f>
      </c>
    </row>
    <row r="1128" spans="1:7">
      <c r="B1128">
        <f>IF(INDEX(Transactions!$J:$J,ROW()-8)="",TODAY(),INDEX(Transactions!$G:$G,ROW()-8))</f>
      </c>
      <c r="F1128">
        <f>IF(INDEX(Transactions!$J:$J,ROW()-8)="",0,INDEX(Transactions!$O:$O,ROW()-8))</f>
      </c>
    </row>
    <row r="1129" spans="1:7">
      <c r="B1129">
        <f>IF(INDEX(Transactions!$J:$J,ROW()-8)="",TODAY(),INDEX(Transactions!$G:$G,ROW()-8))</f>
      </c>
      <c r="F1129">
        <f>IF(INDEX(Transactions!$J:$J,ROW()-8)="",0,INDEX(Transactions!$O:$O,ROW()-8))</f>
      </c>
    </row>
    <row r="1130" spans="1:7">
      <c r="B1130">
        <f>IF(INDEX(Transactions!$J:$J,ROW()-8)="",TODAY(),INDEX(Transactions!$G:$G,ROW()-8))</f>
      </c>
      <c r="F1130">
        <f>IF(INDEX(Transactions!$J:$J,ROW()-8)="",0,INDEX(Transactions!$O:$O,ROW()-8))</f>
      </c>
    </row>
    <row r="1131" spans="1:7">
      <c r="B1131">
        <f>IF(INDEX(Transactions!$J:$J,ROW()-8)="",TODAY(),INDEX(Transactions!$G:$G,ROW()-8))</f>
      </c>
      <c r="F1131">
        <f>IF(INDEX(Transactions!$J:$J,ROW()-8)="",0,INDEX(Transactions!$O:$O,ROW()-8))</f>
      </c>
    </row>
    <row r="1132" spans="1:7">
      <c r="B1132">
        <f>IF(INDEX(Transactions!$J:$J,ROW()-8)="",TODAY(),INDEX(Transactions!$G:$G,ROW()-8))</f>
      </c>
      <c r="F1132">
        <f>IF(INDEX(Transactions!$J:$J,ROW()-8)="",0,INDEX(Transactions!$O:$O,ROW()-8))</f>
      </c>
    </row>
    <row r="1133" spans="1:7">
      <c r="B1133">
        <f>IF(INDEX(Transactions!$J:$J,ROW()-8)="",TODAY(),INDEX(Transactions!$G:$G,ROW()-8))</f>
      </c>
      <c r="F1133">
        <f>IF(INDEX(Transactions!$J:$J,ROW()-8)="",0,INDEX(Transactions!$O:$O,ROW()-8))</f>
      </c>
    </row>
    <row r="1134" spans="1:7">
      <c r="B1134">
        <f>IF(INDEX(Transactions!$J:$J,ROW()-8)="",TODAY(),INDEX(Transactions!$G:$G,ROW()-8))</f>
      </c>
      <c r="F1134">
        <f>IF(INDEX(Transactions!$J:$J,ROW()-8)="",0,INDEX(Transactions!$O:$O,ROW()-8))</f>
      </c>
    </row>
    <row r="1135" spans="1:7">
      <c r="B1135">
        <f>IF(INDEX(Transactions!$J:$J,ROW()-8)="",TODAY(),INDEX(Transactions!$G:$G,ROW()-8))</f>
      </c>
      <c r="F1135">
        <f>IF(INDEX(Transactions!$J:$J,ROW()-8)="",0,INDEX(Transactions!$O:$O,ROW()-8))</f>
      </c>
    </row>
    <row r="1136" spans="1:7">
      <c r="B1136">
        <f>IF(INDEX(Transactions!$J:$J,ROW()-8)="",TODAY(),INDEX(Transactions!$G:$G,ROW()-8))</f>
      </c>
      <c r="F1136">
        <f>IF(INDEX(Transactions!$J:$J,ROW()-8)="",0,INDEX(Transactions!$O:$O,ROW()-8))</f>
      </c>
    </row>
    <row r="1137" spans="1:7">
      <c r="B1137">
        <f>IF(INDEX(Transactions!$J:$J,ROW()-8)="",TODAY(),INDEX(Transactions!$G:$G,ROW()-8))</f>
      </c>
      <c r="F1137">
        <f>IF(INDEX(Transactions!$J:$J,ROW()-8)="",0,INDEX(Transactions!$O:$O,ROW()-8))</f>
      </c>
    </row>
    <row r="1138" spans="1:7">
      <c r="B1138">
        <f>IF(INDEX(Transactions!$J:$J,ROW()-8)="",TODAY(),INDEX(Transactions!$G:$G,ROW()-8))</f>
      </c>
      <c r="F1138">
        <f>IF(INDEX(Transactions!$J:$J,ROW()-8)="",0,INDEX(Transactions!$O:$O,ROW()-8))</f>
      </c>
    </row>
    <row r="1139" spans="1:7">
      <c r="B1139">
        <f>IF(INDEX(Transactions!$J:$J,ROW()-8)="",TODAY(),INDEX(Transactions!$G:$G,ROW()-8))</f>
      </c>
      <c r="F1139">
        <f>IF(INDEX(Transactions!$J:$J,ROW()-8)="",0,INDEX(Transactions!$O:$O,ROW()-8))</f>
      </c>
    </row>
    <row r="1140" spans="1:7">
      <c r="B1140">
        <f>IF(INDEX(Transactions!$J:$J,ROW()-8)="",TODAY(),INDEX(Transactions!$G:$G,ROW()-8))</f>
      </c>
      <c r="F1140">
        <f>IF(INDEX(Transactions!$J:$J,ROW()-8)="",0,INDEX(Transactions!$O:$O,ROW()-8))</f>
      </c>
    </row>
    <row r="1141" spans="1:7">
      <c r="B1141">
        <f>IF(INDEX(Transactions!$J:$J,ROW()-8)="",TODAY(),INDEX(Transactions!$G:$G,ROW()-8))</f>
      </c>
      <c r="F1141">
        <f>IF(INDEX(Transactions!$J:$J,ROW()-8)="",0,INDEX(Transactions!$O:$O,ROW()-8))</f>
      </c>
    </row>
    <row r="1142" spans="1:7">
      <c r="B1142">
        <f>IF(INDEX(Transactions!$J:$J,ROW()-8)="",TODAY(),INDEX(Transactions!$G:$G,ROW()-8))</f>
      </c>
      <c r="F1142">
        <f>IF(INDEX(Transactions!$J:$J,ROW()-8)="",0,INDEX(Transactions!$O:$O,ROW()-8))</f>
      </c>
    </row>
    <row r="1143" spans="1:7">
      <c r="B1143">
        <f>IF(INDEX(Transactions!$J:$J,ROW()-8)="",TODAY(),INDEX(Transactions!$G:$G,ROW()-8))</f>
      </c>
      <c r="F1143">
        <f>IF(INDEX(Transactions!$J:$J,ROW()-8)="",0,INDEX(Transactions!$O:$O,ROW()-8))</f>
      </c>
    </row>
    <row r="1144" spans="1:7">
      <c r="B1144">
        <f>IF(INDEX(Transactions!$J:$J,ROW()-8)="",TODAY(),INDEX(Transactions!$G:$G,ROW()-8))</f>
      </c>
      <c r="F1144">
        <f>IF(INDEX(Transactions!$J:$J,ROW()-8)="",0,INDEX(Transactions!$O:$O,ROW()-8))</f>
      </c>
    </row>
    <row r="1145" spans="1:7">
      <c r="B1145">
        <f>IF(INDEX(Transactions!$J:$J,ROW()-8)="",TODAY(),INDEX(Transactions!$G:$G,ROW()-8))</f>
      </c>
      <c r="F1145">
        <f>IF(INDEX(Transactions!$J:$J,ROW()-8)="",0,INDEX(Transactions!$O:$O,ROW()-8))</f>
      </c>
    </row>
    <row r="1146" spans="1:7">
      <c r="B1146">
        <f>IF(INDEX(Transactions!$J:$J,ROW()-8)="",TODAY(),INDEX(Transactions!$G:$G,ROW()-8))</f>
      </c>
      <c r="F1146">
        <f>IF(INDEX(Transactions!$J:$J,ROW()-8)="",0,INDEX(Transactions!$O:$O,ROW()-8))</f>
      </c>
    </row>
    <row r="1147" spans="1:7">
      <c r="B1147">
        <f>IF(INDEX(Transactions!$J:$J,ROW()-8)="",TODAY(),INDEX(Transactions!$G:$G,ROW()-8))</f>
      </c>
      <c r="F1147">
        <f>IF(INDEX(Transactions!$J:$J,ROW()-8)="",0,INDEX(Transactions!$O:$O,ROW()-8))</f>
      </c>
    </row>
    <row r="1148" spans="1:7">
      <c r="B1148">
        <f>IF(INDEX(Transactions!$J:$J,ROW()-8)="",TODAY(),INDEX(Transactions!$G:$G,ROW()-8))</f>
      </c>
      <c r="F1148">
        <f>IF(INDEX(Transactions!$J:$J,ROW()-8)="",0,INDEX(Transactions!$O:$O,ROW()-8))</f>
      </c>
    </row>
    <row r="1149" spans="1:7">
      <c r="B1149">
        <f>IF(INDEX(Transactions!$J:$J,ROW()-8)="",TODAY(),INDEX(Transactions!$G:$G,ROW()-8))</f>
      </c>
      <c r="F1149">
        <f>IF(INDEX(Transactions!$J:$J,ROW()-8)="",0,INDEX(Transactions!$O:$O,ROW()-8))</f>
      </c>
    </row>
    <row r="1150" spans="1:7">
      <c r="B1150">
        <f>IF(INDEX(Transactions!$J:$J,ROW()-8)="",TODAY(),INDEX(Transactions!$G:$G,ROW()-8))</f>
      </c>
      <c r="F1150">
        <f>IF(INDEX(Transactions!$J:$J,ROW()-8)="",0,INDEX(Transactions!$O:$O,ROW()-8))</f>
      </c>
    </row>
    <row r="1151" spans="1:7">
      <c r="B1151">
        <f>IF(INDEX(Transactions!$J:$J,ROW()-8)="",TODAY(),INDEX(Transactions!$G:$G,ROW()-8))</f>
      </c>
      <c r="F1151">
        <f>IF(INDEX(Transactions!$J:$J,ROW()-8)="",0,INDEX(Transactions!$O:$O,ROW()-8))</f>
      </c>
    </row>
    <row r="1152" spans="1:7">
      <c r="B1152">
        <f>IF(INDEX(Transactions!$J:$J,ROW()-8)="",TODAY(),INDEX(Transactions!$G:$G,ROW()-8))</f>
      </c>
      <c r="F1152">
        <f>IF(INDEX(Transactions!$J:$J,ROW()-8)="",0,INDEX(Transactions!$O:$O,ROW()-8))</f>
      </c>
    </row>
    <row r="1153" spans="1:7">
      <c r="B1153">
        <f>IF(INDEX(Transactions!$J:$J,ROW()-8)="",TODAY(),INDEX(Transactions!$G:$G,ROW()-8))</f>
      </c>
      <c r="F1153">
        <f>IF(INDEX(Transactions!$J:$J,ROW()-8)="",0,INDEX(Transactions!$O:$O,ROW()-8))</f>
      </c>
    </row>
    <row r="1154" spans="1:7">
      <c r="B1154">
        <f>IF(INDEX(Transactions!$J:$J,ROW()-8)="",TODAY(),INDEX(Transactions!$G:$G,ROW()-8))</f>
      </c>
      <c r="F1154">
        <f>IF(INDEX(Transactions!$J:$J,ROW()-8)="",0,INDEX(Transactions!$O:$O,ROW()-8))</f>
      </c>
    </row>
    <row r="1155" spans="1:7">
      <c r="B1155">
        <f>IF(INDEX(Transactions!$J:$J,ROW()-8)="",TODAY(),INDEX(Transactions!$G:$G,ROW()-8))</f>
      </c>
      <c r="F1155">
        <f>IF(INDEX(Transactions!$J:$J,ROW()-8)="",0,INDEX(Transactions!$O:$O,ROW()-8))</f>
      </c>
    </row>
    <row r="1156" spans="1:7">
      <c r="B1156">
        <f>IF(INDEX(Transactions!$J:$J,ROW()-8)="",TODAY(),INDEX(Transactions!$G:$G,ROW()-8))</f>
      </c>
      <c r="F1156">
        <f>IF(INDEX(Transactions!$J:$J,ROW()-8)="",0,INDEX(Transactions!$O:$O,ROW()-8))</f>
      </c>
    </row>
    <row r="1157" spans="1:7">
      <c r="B1157">
        <f>IF(INDEX(Transactions!$J:$J,ROW()-8)="",TODAY(),INDEX(Transactions!$G:$G,ROW()-8))</f>
      </c>
      <c r="F1157">
        <f>IF(INDEX(Transactions!$J:$J,ROW()-8)="",0,INDEX(Transactions!$O:$O,ROW()-8))</f>
      </c>
    </row>
    <row r="1158" spans="1:7">
      <c r="B1158">
        <f>IF(INDEX(Transactions!$J:$J,ROW()-8)="",TODAY(),INDEX(Transactions!$G:$G,ROW()-8))</f>
      </c>
      <c r="F1158">
        <f>IF(INDEX(Transactions!$J:$J,ROW()-8)="",0,INDEX(Transactions!$O:$O,ROW()-8))</f>
      </c>
    </row>
    <row r="1159" spans="1:7">
      <c r="B1159">
        <f>IF(INDEX(Transactions!$J:$J,ROW()-8)="",TODAY(),INDEX(Transactions!$G:$G,ROW()-8))</f>
      </c>
      <c r="F1159">
        <f>IF(INDEX(Transactions!$J:$J,ROW()-8)="",0,INDEX(Transactions!$O:$O,ROW()-8))</f>
      </c>
    </row>
    <row r="1160" spans="1:7">
      <c r="B1160">
        <f>IF(INDEX(Transactions!$J:$J,ROW()-8)="",TODAY(),INDEX(Transactions!$G:$G,ROW()-8))</f>
      </c>
      <c r="F1160">
        <f>IF(INDEX(Transactions!$J:$J,ROW()-8)="",0,INDEX(Transactions!$O:$O,ROW()-8))</f>
      </c>
    </row>
    <row r="1161" spans="1:7">
      <c r="B1161">
        <f>IF(INDEX(Transactions!$J:$J,ROW()-8)="",TODAY(),INDEX(Transactions!$G:$G,ROW()-8))</f>
      </c>
      <c r="F1161">
        <f>IF(INDEX(Transactions!$J:$J,ROW()-8)="",0,INDEX(Transactions!$O:$O,ROW()-8))</f>
      </c>
    </row>
    <row r="1162" spans="1:7">
      <c r="B1162">
        <f>IF(INDEX(Transactions!$J:$J,ROW()-8)="",TODAY(),INDEX(Transactions!$G:$G,ROW()-8))</f>
      </c>
      <c r="F1162">
        <f>IF(INDEX(Transactions!$J:$J,ROW()-8)="",0,INDEX(Transactions!$O:$O,ROW()-8))</f>
      </c>
    </row>
    <row r="1163" spans="1:7">
      <c r="B1163">
        <f>IF(INDEX(Transactions!$J:$J,ROW()-8)="",TODAY(),INDEX(Transactions!$G:$G,ROW()-8))</f>
      </c>
      <c r="F1163">
        <f>IF(INDEX(Transactions!$J:$J,ROW()-8)="",0,INDEX(Transactions!$O:$O,ROW()-8))</f>
      </c>
    </row>
    <row r="1164" spans="1:7">
      <c r="B1164">
        <f>IF(INDEX(Transactions!$J:$J,ROW()-8)="",TODAY(),INDEX(Transactions!$G:$G,ROW()-8))</f>
      </c>
      <c r="F1164">
        <f>IF(INDEX(Transactions!$J:$J,ROW()-8)="",0,INDEX(Transactions!$O:$O,ROW()-8))</f>
      </c>
    </row>
    <row r="1165" spans="1:7">
      <c r="B1165">
        <f>IF(INDEX(Transactions!$J:$J,ROW()-8)="",TODAY(),INDEX(Transactions!$G:$G,ROW()-8))</f>
      </c>
      <c r="F1165">
        <f>IF(INDEX(Transactions!$J:$J,ROW()-8)="",0,INDEX(Transactions!$O:$O,ROW()-8))</f>
      </c>
    </row>
    <row r="1166" spans="1:7">
      <c r="B1166">
        <f>IF(INDEX(Transactions!$J:$J,ROW()-8)="",TODAY(),INDEX(Transactions!$G:$G,ROW()-8))</f>
      </c>
      <c r="F1166">
        <f>IF(INDEX(Transactions!$J:$J,ROW()-8)="",0,INDEX(Transactions!$O:$O,ROW()-8))</f>
      </c>
    </row>
    <row r="1167" spans="1:7">
      <c r="B1167">
        <f>IF(INDEX(Transactions!$J:$J,ROW()-8)="",TODAY(),INDEX(Transactions!$G:$G,ROW()-8))</f>
      </c>
      <c r="F1167">
        <f>IF(INDEX(Transactions!$J:$J,ROW()-8)="",0,INDEX(Transactions!$O:$O,ROW()-8))</f>
      </c>
    </row>
    <row r="1168" spans="1:7">
      <c r="B1168">
        <f>IF(INDEX(Transactions!$J:$J,ROW()-8)="",TODAY(),INDEX(Transactions!$G:$G,ROW()-8))</f>
      </c>
      <c r="F1168">
        <f>IF(INDEX(Transactions!$J:$J,ROW()-8)="",0,INDEX(Transactions!$O:$O,ROW()-8))</f>
      </c>
    </row>
    <row r="1169" spans="1:7">
      <c r="B1169">
        <f>IF(INDEX(Transactions!$J:$J,ROW()-8)="",TODAY(),INDEX(Transactions!$G:$G,ROW()-8))</f>
      </c>
      <c r="F1169">
        <f>IF(INDEX(Transactions!$J:$J,ROW()-8)="",0,INDEX(Transactions!$O:$O,ROW()-8))</f>
      </c>
    </row>
    <row r="1170" spans="1:7">
      <c r="B1170">
        <f>IF(INDEX(Transactions!$J:$J,ROW()-8)="",TODAY(),INDEX(Transactions!$G:$G,ROW()-8))</f>
      </c>
      <c r="F1170">
        <f>IF(INDEX(Transactions!$J:$J,ROW()-8)="",0,INDEX(Transactions!$O:$O,ROW()-8))</f>
      </c>
    </row>
    <row r="1171" spans="1:7">
      <c r="B1171">
        <f>IF(INDEX(Transactions!$J:$J,ROW()-8)="",TODAY(),INDEX(Transactions!$G:$G,ROW()-8))</f>
      </c>
      <c r="F1171">
        <f>IF(INDEX(Transactions!$J:$J,ROW()-8)="",0,INDEX(Transactions!$O:$O,ROW()-8))</f>
      </c>
    </row>
    <row r="1172" spans="1:7">
      <c r="B1172">
        <f>IF(INDEX(Transactions!$J:$J,ROW()-8)="",TODAY(),INDEX(Transactions!$G:$G,ROW()-8))</f>
      </c>
      <c r="F1172">
        <f>IF(INDEX(Transactions!$J:$J,ROW()-8)="",0,INDEX(Transactions!$O:$O,ROW()-8))</f>
      </c>
    </row>
    <row r="1173" spans="1:7">
      <c r="B1173">
        <f>IF(INDEX(Transactions!$J:$J,ROW()-8)="",TODAY(),INDEX(Transactions!$G:$G,ROW()-8))</f>
      </c>
      <c r="F1173">
        <f>IF(INDEX(Transactions!$J:$J,ROW()-8)="",0,INDEX(Transactions!$O:$O,ROW()-8))</f>
      </c>
    </row>
    <row r="1174" spans="1:7">
      <c r="B1174">
        <f>IF(INDEX(Transactions!$J:$J,ROW()-8)="",TODAY(),INDEX(Transactions!$G:$G,ROW()-8))</f>
      </c>
      <c r="F1174">
        <f>IF(INDEX(Transactions!$J:$J,ROW()-8)="",0,INDEX(Transactions!$O:$O,ROW()-8))</f>
      </c>
    </row>
    <row r="1175" spans="1:7">
      <c r="B1175">
        <f>IF(INDEX(Transactions!$J:$J,ROW()-8)="",TODAY(),INDEX(Transactions!$G:$G,ROW()-8))</f>
      </c>
      <c r="F1175">
        <f>IF(INDEX(Transactions!$J:$J,ROW()-8)="",0,INDEX(Transactions!$O:$O,ROW()-8))</f>
      </c>
    </row>
    <row r="1176" spans="1:7">
      <c r="B1176">
        <f>IF(INDEX(Transactions!$J:$J,ROW()-8)="",TODAY(),INDEX(Transactions!$G:$G,ROW()-8))</f>
      </c>
      <c r="F1176">
        <f>IF(INDEX(Transactions!$J:$J,ROW()-8)="",0,INDEX(Transactions!$O:$O,ROW()-8))</f>
      </c>
    </row>
    <row r="1177" spans="1:7">
      <c r="B1177">
        <f>IF(INDEX(Transactions!$J:$J,ROW()-8)="",TODAY(),INDEX(Transactions!$G:$G,ROW()-8))</f>
      </c>
      <c r="F1177">
        <f>IF(INDEX(Transactions!$J:$J,ROW()-8)="",0,INDEX(Transactions!$O:$O,ROW()-8))</f>
      </c>
    </row>
    <row r="1178" spans="1:7">
      <c r="B1178">
        <f>IF(INDEX(Transactions!$J:$J,ROW()-8)="",TODAY(),INDEX(Transactions!$G:$G,ROW()-8))</f>
      </c>
      <c r="F1178">
        <f>IF(INDEX(Transactions!$J:$J,ROW()-8)="",0,INDEX(Transactions!$O:$O,ROW()-8))</f>
      </c>
    </row>
    <row r="1179" spans="1:7">
      <c r="B1179">
        <f>IF(INDEX(Transactions!$J:$J,ROW()-8)="",TODAY(),INDEX(Transactions!$G:$G,ROW()-8))</f>
      </c>
      <c r="F1179">
        <f>IF(INDEX(Transactions!$J:$J,ROW()-8)="",0,INDEX(Transactions!$O:$O,ROW()-8))</f>
      </c>
    </row>
    <row r="1180" spans="1:7">
      <c r="B1180">
        <f>IF(INDEX(Transactions!$J:$J,ROW()-8)="",TODAY(),INDEX(Transactions!$G:$G,ROW()-8))</f>
      </c>
      <c r="F1180">
        <f>IF(INDEX(Transactions!$J:$J,ROW()-8)="",0,INDEX(Transactions!$O:$O,ROW()-8))</f>
      </c>
    </row>
    <row r="1181" spans="1:7">
      <c r="B1181">
        <f>IF(INDEX(Transactions!$J:$J,ROW()-8)="",TODAY(),INDEX(Transactions!$G:$G,ROW()-8))</f>
      </c>
      <c r="F1181">
        <f>IF(INDEX(Transactions!$J:$J,ROW()-8)="",0,INDEX(Transactions!$O:$O,ROW()-8))</f>
      </c>
    </row>
    <row r="1182" spans="1:7">
      <c r="B1182">
        <f>IF(INDEX(Transactions!$J:$J,ROW()-8)="",TODAY(),INDEX(Transactions!$G:$G,ROW()-8))</f>
      </c>
      <c r="F1182">
        <f>IF(INDEX(Transactions!$J:$J,ROW()-8)="",0,INDEX(Transactions!$O:$O,ROW()-8))</f>
      </c>
    </row>
    <row r="1183" spans="1:7">
      <c r="B1183">
        <f>IF(INDEX(Transactions!$J:$J,ROW()-8)="",TODAY(),INDEX(Transactions!$G:$G,ROW()-8))</f>
      </c>
      <c r="F1183">
        <f>IF(INDEX(Transactions!$J:$J,ROW()-8)="",0,INDEX(Transactions!$O:$O,ROW()-8))</f>
      </c>
    </row>
    <row r="1184" spans="1:7">
      <c r="B1184">
        <f>IF(INDEX(Transactions!$J:$J,ROW()-8)="",TODAY(),INDEX(Transactions!$G:$G,ROW()-8))</f>
      </c>
      <c r="F1184">
        <f>IF(INDEX(Transactions!$J:$J,ROW()-8)="",0,INDEX(Transactions!$O:$O,ROW()-8))</f>
      </c>
    </row>
    <row r="1185" spans="1:7">
      <c r="B1185">
        <f>IF(INDEX(Transactions!$J:$J,ROW()-8)="",TODAY(),INDEX(Transactions!$G:$G,ROW()-8))</f>
      </c>
      <c r="F1185">
        <f>IF(INDEX(Transactions!$J:$J,ROW()-8)="",0,INDEX(Transactions!$O:$O,ROW()-8))</f>
      </c>
    </row>
    <row r="1186" spans="1:7">
      <c r="B1186">
        <f>IF(INDEX(Transactions!$J:$J,ROW()-8)="",TODAY(),INDEX(Transactions!$G:$G,ROW()-8))</f>
      </c>
      <c r="F1186">
        <f>IF(INDEX(Transactions!$J:$J,ROW()-8)="",0,INDEX(Transactions!$O:$O,ROW()-8))</f>
      </c>
    </row>
    <row r="1187" spans="1:7">
      <c r="B1187">
        <f>IF(INDEX(Transactions!$J:$J,ROW()-8)="",TODAY(),INDEX(Transactions!$G:$G,ROW()-8))</f>
      </c>
      <c r="F1187">
        <f>IF(INDEX(Transactions!$J:$J,ROW()-8)="",0,INDEX(Transactions!$O:$O,ROW()-8))</f>
      </c>
    </row>
    <row r="1188" spans="1:7">
      <c r="B1188">
        <f>IF(INDEX(Transactions!$J:$J,ROW()-8)="",TODAY(),INDEX(Transactions!$G:$G,ROW()-8))</f>
      </c>
      <c r="F1188">
        <f>IF(INDEX(Transactions!$J:$J,ROW()-8)="",0,INDEX(Transactions!$O:$O,ROW()-8))</f>
      </c>
    </row>
    <row r="1189" spans="1:7">
      <c r="B1189">
        <f>IF(INDEX(Transactions!$J:$J,ROW()-8)="",TODAY(),INDEX(Transactions!$G:$G,ROW()-8))</f>
      </c>
      <c r="F1189">
        <f>IF(INDEX(Transactions!$J:$J,ROW()-8)="",0,INDEX(Transactions!$O:$O,ROW()-8))</f>
      </c>
    </row>
    <row r="1190" spans="1:7">
      <c r="B1190">
        <f>IF(INDEX(Transactions!$J:$J,ROW()-8)="",TODAY(),INDEX(Transactions!$G:$G,ROW()-8))</f>
      </c>
      <c r="F1190">
        <f>IF(INDEX(Transactions!$J:$J,ROW()-8)="",0,INDEX(Transactions!$O:$O,ROW()-8))</f>
      </c>
    </row>
    <row r="1191" spans="1:7">
      <c r="B1191">
        <f>IF(INDEX(Transactions!$J:$J,ROW()-8)="",TODAY(),INDEX(Transactions!$G:$G,ROW()-8))</f>
      </c>
      <c r="F1191">
        <f>IF(INDEX(Transactions!$J:$J,ROW()-8)="",0,INDEX(Transactions!$O:$O,ROW()-8))</f>
      </c>
    </row>
    <row r="1192" spans="1:7">
      <c r="B1192">
        <f>IF(INDEX(Transactions!$J:$J,ROW()-8)="",TODAY(),INDEX(Transactions!$G:$G,ROW()-8))</f>
      </c>
      <c r="F1192">
        <f>IF(INDEX(Transactions!$J:$J,ROW()-8)="",0,INDEX(Transactions!$O:$O,ROW()-8))</f>
      </c>
    </row>
    <row r="1193" spans="1:7">
      <c r="B1193">
        <f>IF(INDEX(Transactions!$J:$J,ROW()-8)="",TODAY(),INDEX(Transactions!$G:$G,ROW()-8))</f>
      </c>
      <c r="F1193">
        <f>IF(INDEX(Transactions!$J:$J,ROW()-8)="",0,INDEX(Transactions!$O:$O,ROW()-8))</f>
      </c>
    </row>
    <row r="1194" spans="1:7">
      <c r="B1194">
        <f>IF(INDEX(Transactions!$J:$J,ROW()-8)="",TODAY(),INDEX(Transactions!$G:$G,ROW()-8))</f>
      </c>
      <c r="F1194">
        <f>IF(INDEX(Transactions!$J:$J,ROW()-8)="",0,INDEX(Transactions!$O:$O,ROW()-8))</f>
      </c>
    </row>
    <row r="1195" spans="1:7">
      <c r="B1195">
        <f>IF(INDEX(Transactions!$J:$J,ROW()-8)="",TODAY(),INDEX(Transactions!$G:$G,ROW()-8))</f>
      </c>
      <c r="F1195">
        <f>IF(INDEX(Transactions!$J:$J,ROW()-8)="",0,INDEX(Transactions!$O:$O,ROW()-8))</f>
      </c>
    </row>
    <row r="1196" spans="1:7">
      <c r="B1196">
        <f>IF(INDEX(Transactions!$J:$J,ROW()-8)="",TODAY(),INDEX(Transactions!$G:$G,ROW()-8))</f>
      </c>
      <c r="F1196">
        <f>IF(INDEX(Transactions!$J:$J,ROW()-8)="",0,INDEX(Transactions!$O:$O,ROW()-8))</f>
      </c>
    </row>
    <row r="1197" spans="1:7">
      <c r="B1197">
        <f>IF(INDEX(Transactions!$J:$J,ROW()-8)="",TODAY(),INDEX(Transactions!$G:$G,ROW()-8))</f>
      </c>
      <c r="F1197">
        <f>IF(INDEX(Transactions!$J:$J,ROW()-8)="",0,INDEX(Transactions!$O:$O,ROW()-8))</f>
      </c>
    </row>
    <row r="1198" spans="1:7">
      <c r="B1198">
        <f>IF(INDEX(Transactions!$J:$J,ROW()-8)="",TODAY(),INDEX(Transactions!$G:$G,ROW()-8))</f>
      </c>
      <c r="F1198">
        <f>IF(INDEX(Transactions!$J:$J,ROW()-8)="",0,INDEX(Transactions!$O:$O,ROW()-8))</f>
      </c>
    </row>
    <row r="1199" spans="1:7">
      <c r="B1199">
        <f>IF(INDEX(Transactions!$J:$J,ROW()-8)="",TODAY(),INDEX(Transactions!$G:$G,ROW()-8))</f>
      </c>
      <c r="F1199">
        <f>IF(INDEX(Transactions!$J:$J,ROW()-8)="",0,INDEX(Transactions!$O:$O,ROW()-8))</f>
      </c>
    </row>
    <row r="1200" spans="1:7">
      <c r="B1200">
        <f>IF(INDEX(Transactions!$J:$J,ROW()-8)="",TODAY(),INDEX(Transactions!$G:$G,ROW()-8))</f>
      </c>
      <c r="F1200">
        <f>IF(INDEX(Transactions!$J:$J,ROW()-8)="",0,INDEX(Transactions!$O:$O,ROW()-8))</f>
      </c>
    </row>
    <row r="1201" spans="1:7">
      <c r="B1201">
        <f>IF(INDEX(Transactions!$J:$J,ROW()-8)="",TODAY(),INDEX(Transactions!$G:$G,ROW()-8))</f>
      </c>
      <c r="F1201">
        <f>IF(INDEX(Transactions!$J:$J,ROW()-8)="",0,INDEX(Transactions!$O:$O,ROW()-8))</f>
      </c>
    </row>
    <row r="1202" spans="1:7">
      <c r="B1202">
        <f>IF(INDEX(Transactions!$J:$J,ROW()-8)="",TODAY(),INDEX(Transactions!$G:$G,ROW()-8))</f>
      </c>
      <c r="F1202">
        <f>IF(INDEX(Transactions!$J:$J,ROW()-8)="",0,INDEX(Transactions!$O:$O,ROW()-8))</f>
      </c>
    </row>
    <row r="1203" spans="1:7">
      <c r="B1203">
        <f>IF(INDEX(Transactions!$J:$J,ROW()-8)="",TODAY(),INDEX(Transactions!$G:$G,ROW()-8))</f>
      </c>
      <c r="F1203">
        <f>IF(INDEX(Transactions!$J:$J,ROW()-8)="",0,INDEX(Transactions!$O:$O,ROW()-8))</f>
      </c>
    </row>
    <row r="1204" spans="1:7">
      <c r="B1204">
        <f>IF(INDEX(Transactions!$J:$J,ROW()-8)="",TODAY(),INDEX(Transactions!$G:$G,ROW()-8))</f>
      </c>
      <c r="F1204">
        <f>IF(INDEX(Transactions!$J:$J,ROW()-8)="",0,INDEX(Transactions!$O:$O,ROW()-8))</f>
      </c>
    </row>
    <row r="1205" spans="1:7">
      <c r="B1205">
        <f>IF(INDEX(Transactions!$J:$J,ROW()-8)="",TODAY(),INDEX(Transactions!$G:$G,ROW()-8))</f>
      </c>
      <c r="F1205">
        <f>IF(INDEX(Transactions!$J:$J,ROW()-8)="",0,INDEX(Transactions!$O:$O,ROW()-8))</f>
      </c>
    </row>
    <row r="1206" spans="1:7">
      <c r="B1206">
        <f>IF(INDEX(Transactions!$J:$J,ROW()-8)="",TODAY(),INDEX(Transactions!$G:$G,ROW()-8))</f>
      </c>
      <c r="F1206">
        <f>IF(INDEX(Transactions!$J:$J,ROW()-8)="",0,INDEX(Transactions!$O:$O,ROW()-8))</f>
      </c>
    </row>
    <row r="1207" spans="1:7">
      <c r="B1207">
        <f>IF(INDEX(Transactions!$J:$J,ROW()-8)="",TODAY(),INDEX(Transactions!$G:$G,ROW()-8))</f>
      </c>
      <c r="F1207">
        <f>IF(INDEX(Transactions!$J:$J,ROW()-8)="",0,INDEX(Transactions!$O:$O,ROW()-8))</f>
      </c>
    </row>
    <row r="1208" spans="1:7">
      <c r="B1208">
        <f>IF(INDEX(Transactions!$J:$J,ROW()-8)="",TODAY(),INDEX(Transactions!$G:$G,ROW()-8))</f>
      </c>
      <c r="F1208">
        <f>IF(INDEX(Transactions!$J:$J,ROW()-8)="",0,INDEX(Transactions!$O:$O,ROW()-8))</f>
      </c>
    </row>
    <row r="1209" spans="1:7">
      <c r="B1209">
        <f>IF(INDEX(Transactions!$J:$J,ROW()-8)="",TODAY(),INDEX(Transactions!$G:$G,ROW()-8))</f>
      </c>
      <c r="F1209">
        <f>IF(INDEX(Transactions!$J:$J,ROW()-8)="",0,INDEX(Transactions!$O:$O,ROW()-8))</f>
      </c>
    </row>
    <row r="1210" spans="1:7">
      <c r="B1210">
        <f>IF(INDEX(Transactions!$J:$J,ROW()-8)="",TODAY(),INDEX(Transactions!$G:$G,ROW()-8))</f>
      </c>
      <c r="F1210">
        <f>IF(INDEX(Transactions!$J:$J,ROW()-8)="",0,INDEX(Transactions!$O:$O,ROW()-8))</f>
      </c>
    </row>
    <row r="1211" spans="1:7">
      <c r="B1211">
        <f>IF(INDEX(Transactions!$J:$J,ROW()-8)="",TODAY(),INDEX(Transactions!$G:$G,ROW()-8))</f>
      </c>
      <c r="F1211">
        <f>IF(INDEX(Transactions!$J:$J,ROW()-8)="",0,INDEX(Transactions!$O:$O,ROW()-8))</f>
      </c>
    </row>
    <row r="1212" spans="1:7">
      <c r="B1212">
        <f>IF(INDEX(Transactions!$J:$J,ROW()-8)="",TODAY(),INDEX(Transactions!$G:$G,ROW()-8))</f>
      </c>
      <c r="F1212">
        <f>IF(INDEX(Transactions!$J:$J,ROW()-8)="",0,INDEX(Transactions!$O:$O,ROW()-8))</f>
      </c>
    </row>
    <row r="1213" spans="1:7">
      <c r="B1213">
        <f>IF(INDEX(Transactions!$J:$J,ROW()-8)="",TODAY(),INDEX(Transactions!$G:$G,ROW()-8))</f>
      </c>
      <c r="F1213">
        <f>IF(INDEX(Transactions!$J:$J,ROW()-8)="",0,INDEX(Transactions!$O:$O,ROW()-8))</f>
      </c>
    </row>
    <row r="1214" spans="1:7">
      <c r="B1214">
        <f>IF(INDEX(Transactions!$J:$J,ROW()-8)="",TODAY(),INDEX(Transactions!$G:$G,ROW()-8))</f>
      </c>
      <c r="F1214">
        <f>IF(INDEX(Transactions!$J:$J,ROW()-8)="",0,INDEX(Transactions!$O:$O,ROW()-8))</f>
      </c>
    </row>
    <row r="1215" spans="1:7">
      <c r="B1215">
        <f>IF(INDEX(Transactions!$J:$J,ROW()-8)="",TODAY(),INDEX(Transactions!$G:$G,ROW()-8))</f>
      </c>
      <c r="F1215">
        <f>IF(INDEX(Transactions!$J:$J,ROW()-8)="",0,INDEX(Transactions!$O:$O,ROW()-8))</f>
      </c>
    </row>
    <row r="1216" spans="1:7">
      <c r="B1216">
        <f>IF(INDEX(Transactions!$J:$J,ROW()-8)="",TODAY(),INDEX(Transactions!$G:$G,ROW()-8))</f>
      </c>
      <c r="F1216">
        <f>IF(INDEX(Transactions!$J:$J,ROW()-8)="",0,INDEX(Transactions!$O:$O,ROW()-8))</f>
      </c>
    </row>
    <row r="1217" spans="1:7">
      <c r="B1217">
        <f>IF(INDEX(Transactions!$J:$J,ROW()-8)="",TODAY(),INDEX(Transactions!$G:$G,ROW()-8))</f>
      </c>
      <c r="F1217">
        <f>IF(INDEX(Transactions!$J:$J,ROW()-8)="",0,INDEX(Transactions!$O:$O,ROW()-8))</f>
      </c>
    </row>
    <row r="1218" spans="1:7">
      <c r="B1218">
        <f>IF(INDEX(Transactions!$J:$J,ROW()-8)="",TODAY(),INDEX(Transactions!$G:$G,ROW()-8))</f>
      </c>
      <c r="F1218">
        <f>IF(INDEX(Transactions!$J:$J,ROW()-8)="",0,INDEX(Transactions!$O:$O,ROW()-8))</f>
      </c>
    </row>
    <row r="1219" spans="1:7">
      <c r="B1219">
        <f>IF(INDEX(Transactions!$J:$J,ROW()-8)="",TODAY(),INDEX(Transactions!$G:$G,ROW()-8))</f>
      </c>
      <c r="F1219">
        <f>IF(INDEX(Transactions!$J:$J,ROW()-8)="",0,INDEX(Transactions!$O:$O,ROW()-8))</f>
      </c>
    </row>
    <row r="1220" spans="1:7">
      <c r="B1220">
        <f>IF(INDEX(Transactions!$J:$J,ROW()-8)="",TODAY(),INDEX(Transactions!$G:$G,ROW()-8))</f>
      </c>
      <c r="F1220">
        <f>IF(INDEX(Transactions!$J:$J,ROW()-8)="",0,INDEX(Transactions!$O:$O,ROW()-8))</f>
      </c>
    </row>
    <row r="1221" spans="1:7">
      <c r="B1221">
        <f>IF(INDEX(Transactions!$J:$J,ROW()-8)="",TODAY(),INDEX(Transactions!$G:$G,ROW()-8))</f>
      </c>
      <c r="F1221">
        <f>IF(INDEX(Transactions!$J:$J,ROW()-8)="",0,INDEX(Transactions!$O:$O,ROW()-8))</f>
      </c>
    </row>
    <row r="1222" spans="1:7">
      <c r="B1222">
        <f>IF(INDEX(Transactions!$J:$J,ROW()-8)="",TODAY(),INDEX(Transactions!$G:$G,ROW()-8))</f>
      </c>
      <c r="F1222">
        <f>IF(INDEX(Transactions!$J:$J,ROW()-8)="",0,INDEX(Transactions!$O:$O,ROW()-8))</f>
      </c>
    </row>
    <row r="1223" spans="1:7">
      <c r="B1223">
        <f>IF(INDEX(Transactions!$J:$J,ROW()-8)="",TODAY(),INDEX(Transactions!$G:$G,ROW()-8))</f>
      </c>
      <c r="F1223">
        <f>IF(INDEX(Transactions!$J:$J,ROW()-8)="",0,INDEX(Transactions!$O:$O,ROW()-8))</f>
      </c>
    </row>
    <row r="1224" spans="1:7">
      <c r="B1224">
        <f>IF(INDEX(Transactions!$J:$J,ROW()-8)="",TODAY(),INDEX(Transactions!$G:$G,ROW()-8))</f>
      </c>
      <c r="F1224">
        <f>IF(INDEX(Transactions!$J:$J,ROW()-8)="",0,INDEX(Transactions!$O:$O,ROW()-8))</f>
      </c>
    </row>
    <row r="1225" spans="1:7">
      <c r="B1225">
        <f>IF(INDEX(Transactions!$J:$J,ROW()-8)="",TODAY(),INDEX(Transactions!$G:$G,ROW()-8))</f>
      </c>
      <c r="F1225">
        <f>IF(INDEX(Transactions!$J:$J,ROW()-8)="",0,INDEX(Transactions!$O:$O,ROW()-8))</f>
      </c>
    </row>
    <row r="1226" spans="1:7">
      <c r="B1226">
        <f>IF(INDEX(Transactions!$J:$J,ROW()-8)="",TODAY(),INDEX(Transactions!$G:$G,ROW()-8))</f>
      </c>
      <c r="F1226">
        <f>IF(INDEX(Transactions!$J:$J,ROW()-8)="",0,INDEX(Transactions!$O:$O,ROW()-8))</f>
      </c>
    </row>
    <row r="1227" spans="1:7">
      <c r="B1227">
        <f>IF(INDEX(Transactions!$J:$J,ROW()-8)="",TODAY(),INDEX(Transactions!$G:$G,ROW()-8))</f>
      </c>
      <c r="F1227">
        <f>IF(INDEX(Transactions!$J:$J,ROW()-8)="",0,INDEX(Transactions!$O:$O,ROW()-8))</f>
      </c>
    </row>
    <row r="1228" spans="1:7">
      <c r="B1228">
        <f>IF(INDEX(Transactions!$J:$J,ROW()-8)="",TODAY(),INDEX(Transactions!$G:$G,ROW()-8))</f>
      </c>
      <c r="F1228">
        <f>IF(INDEX(Transactions!$J:$J,ROW()-8)="",0,INDEX(Transactions!$O:$O,ROW()-8))</f>
      </c>
    </row>
    <row r="1229" spans="1:7">
      <c r="B1229">
        <f>IF(INDEX(Transactions!$J:$J,ROW()-8)="",TODAY(),INDEX(Transactions!$G:$G,ROW()-8))</f>
      </c>
      <c r="F1229">
        <f>IF(INDEX(Transactions!$J:$J,ROW()-8)="",0,INDEX(Transactions!$O:$O,ROW()-8))</f>
      </c>
    </row>
    <row r="1230" spans="1:7">
      <c r="B1230">
        <f>IF(INDEX(Transactions!$J:$J,ROW()-8)="",TODAY(),INDEX(Transactions!$G:$G,ROW()-8))</f>
      </c>
      <c r="F1230">
        <f>IF(INDEX(Transactions!$J:$J,ROW()-8)="",0,INDEX(Transactions!$O:$O,ROW()-8))</f>
      </c>
    </row>
    <row r="1231" spans="1:7">
      <c r="B1231">
        <f>IF(INDEX(Transactions!$J:$J,ROW()-8)="",TODAY(),INDEX(Transactions!$G:$G,ROW()-8))</f>
      </c>
      <c r="F1231">
        <f>IF(INDEX(Transactions!$J:$J,ROW()-8)="",0,INDEX(Transactions!$O:$O,ROW()-8))</f>
      </c>
    </row>
    <row r="1232" spans="1:7">
      <c r="B1232">
        <f>IF(INDEX(Transactions!$J:$J,ROW()-8)="",TODAY(),INDEX(Transactions!$G:$G,ROW()-8))</f>
      </c>
      <c r="F1232">
        <f>IF(INDEX(Transactions!$J:$J,ROW()-8)="",0,INDEX(Transactions!$O:$O,ROW()-8))</f>
      </c>
    </row>
    <row r="1233" spans="1:7">
      <c r="B1233">
        <f>IF(INDEX(Transactions!$J:$J,ROW()-8)="",TODAY(),INDEX(Transactions!$G:$G,ROW()-8))</f>
      </c>
      <c r="F1233">
        <f>IF(INDEX(Transactions!$J:$J,ROW()-8)="",0,INDEX(Transactions!$O:$O,ROW()-8))</f>
      </c>
    </row>
    <row r="1234" spans="1:7">
      <c r="B1234">
        <f>IF(INDEX(Transactions!$J:$J,ROW()-8)="",TODAY(),INDEX(Transactions!$G:$G,ROW()-8))</f>
      </c>
      <c r="F1234">
        <f>IF(INDEX(Transactions!$J:$J,ROW()-8)="",0,INDEX(Transactions!$O:$O,ROW()-8))</f>
      </c>
    </row>
    <row r="1235" spans="1:7">
      <c r="B1235">
        <f>IF(INDEX(Transactions!$J:$J,ROW()-8)="",TODAY(),INDEX(Transactions!$G:$G,ROW()-8))</f>
      </c>
      <c r="F1235">
        <f>IF(INDEX(Transactions!$J:$J,ROW()-8)="",0,INDEX(Transactions!$O:$O,ROW()-8))</f>
      </c>
    </row>
    <row r="1236" spans="1:7">
      <c r="B1236">
        <f>IF(INDEX(Transactions!$J:$J,ROW()-8)="",TODAY(),INDEX(Transactions!$G:$G,ROW()-8))</f>
      </c>
      <c r="F1236">
        <f>IF(INDEX(Transactions!$J:$J,ROW()-8)="",0,INDEX(Transactions!$O:$O,ROW()-8))</f>
      </c>
    </row>
    <row r="1237" spans="1:7">
      <c r="B1237">
        <f>IF(INDEX(Transactions!$J:$J,ROW()-8)="",TODAY(),INDEX(Transactions!$G:$G,ROW()-8))</f>
      </c>
      <c r="F1237">
        <f>IF(INDEX(Transactions!$J:$J,ROW()-8)="",0,INDEX(Transactions!$O:$O,ROW()-8))</f>
      </c>
    </row>
    <row r="1238" spans="1:7">
      <c r="B1238">
        <f>IF(INDEX(Transactions!$J:$J,ROW()-8)="",TODAY(),INDEX(Transactions!$G:$G,ROW()-8))</f>
      </c>
      <c r="F1238">
        <f>IF(INDEX(Transactions!$J:$J,ROW()-8)="",0,INDEX(Transactions!$O:$O,ROW()-8))</f>
      </c>
    </row>
    <row r="1239" spans="1:7">
      <c r="B1239">
        <f>IF(INDEX(Transactions!$J:$J,ROW()-8)="",TODAY(),INDEX(Transactions!$G:$G,ROW()-8))</f>
      </c>
      <c r="F1239">
        <f>IF(INDEX(Transactions!$J:$J,ROW()-8)="",0,INDEX(Transactions!$O:$O,ROW()-8))</f>
      </c>
    </row>
    <row r="1240" spans="1:7">
      <c r="B1240">
        <f>IF(INDEX(Transactions!$J:$J,ROW()-8)="",TODAY(),INDEX(Transactions!$G:$G,ROW()-8))</f>
      </c>
      <c r="F1240">
        <f>IF(INDEX(Transactions!$J:$J,ROW()-8)="",0,INDEX(Transactions!$O:$O,ROW()-8))</f>
      </c>
    </row>
    <row r="1241" spans="1:7">
      <c r="B1241">
        <f>IF(INDEX(Transactions!$J:$J,ROW()-8)="",TODAY(),INDEX(Transactions!$G:$G,ROW()-8))</f>
      </c>
      <c r="F1241">
        <f>IF(INDEX(Transactions!$J:$J,ROW()-8)="",0,INDEX(Transactions!$O:$O,ROW()-8))</f>
      </c>
    </row>
    <row r="1242" spans="1:7">
      <c r="B1242">
        <f>IF(INDEX(Transactions!$J:$J,ROW()-8)="",TODAY(),INDEX(Transactions!$G:$G,ROW()-8))</f>
      </c>
      <c r="F1242">
        <f>IF(INDEX(Transactions!$J:$J,ROW()-8)="",0,INDEX(Transactions!$O:$O,ROW()-8))</f>
      </c>
    </row>
    <row r="1243" spans="1:7">
      <c r="B1243">
        <f>IF(INDEX(Transactions!$J:$J,ROW()-8)="",TODAY(),INDEX(Transactions!$G:$G,ROW()-8))</f>
      </c>
      <c r="F1243">
        <f>IF(INDEX(Transactions!$J:$J,ROW()-8)="",0,INDEX(Transactions!$O:$O,ROW()-8))</f>
      </c>
    </row>
    <row r="1244" spans="1:7">
      <c r="B1244">
        <f>IF(INDEX(Transactions!$J:$J,ROW()-8)="",TODAY(),INDEX(Transactions!$G:$G,ROW()-8))</f>
      </c>
      <c r="F1244">
        <f>IF(INDEX(Transactions!$J:$J,ROW()-8)="",0,INDEX(Transactions!$O:$O,ROW()-8))</f>
      </c>
    </row>
    <row r="1245" spans="1:7">
      <c r="B1245">
        <f>IF(INDEX(Transactions!$J:$J,ROW()-8)="",TODAY(),INDEX(Transactions!$G:$G,ROW()-8))</f>
      </c>
      <c r="F1245">
        <f>IF(INDEX(Transactions!$J:$J,ROW()-8)="",0,INDEX(Transactions!$O:$O,ROW()-8))</f>
      </c>
    </row>
    <row r="1246" spans="1:7">
      <c r="B1246">
        <f>IF(INDEX(Transactions!$J:$J,ROW()-8)="",TODAY(),INDEX(Transactions!$G:$G,ROW()-8))</f>
      </c>
      <c r="F1246">
        <f>IF(INDEX(Transactions!$J:$J,ROW()-8)="",0,INDEX(Transactions!$O:$O,ROW()-8))</f>
      </c>
    </row>
    <row r="1247" spans="1:7">
      <c r="B1247">
        <f>IF(INDEX(Transactions!$J:$J,ROW()-8)="",TODAY(),INDEX(Transactions!$G:$G,ROW()-8))</f>
      </c>
      <c r="F1247">
        <f>IF(INDEX(Transactions!$J:$J,ROW()-8)="",0,INDEX(Transactions!$O:$O,ROW()-8))</f>
      </c>
    </row>
    <row r="1248" spans="1:7">
      <c r="B1248">
        <f>IF(INDEX(Transactions!$J:$J,ROW()-8)="",TODAY(),INDEX(Transactions!$G:$G,ROW()-8))</f>
      </c>
      <c r="F1248">
        <f>IF(INDEX(Transactions!$J:$J,ROW()-8)="",0,INDEX(Transactions!$O:$O,ROW()-8))</f>
      </c>
    </row>
    <row r="1249" spans="1:7">
      <c r="B1249">
        <f>IF(INDEX(Transactions!$J:$J,ROW()-8)="",TODAY(),INDEX(Transactions!$G:$G,ROW()-8))</f>
      </c>
      <c r="F1249">
        <f>IF(INDEX(Transactions!$J:$J,ROW()-8)="",0,INDEX(Transactions!$O:$O,ROW()-8))</f>
      </c>
    </row>
    <row r="1250" spans="1:7">
      <c r="B1250">
        <f>IF(INDEX(Transactions!$J:$J,ROW()-8)="",TODAY(),INDEX(Transactions!$G:$G,ROW()-8))</f>
      </c>
      <c r="F1250">
        <f>IF(INDEX(Transactions!$J:$J,ROW()-8)="",0,INDEX(Transactions!$O:$O,ROW()-8))</f>
      </c>
    </row>
    <row r="1251" spans="1:7">
      <c r="B1251">
        <f>IF(INDEX(Transactions!$J:$J,ROW()-8)="",TODAY(),INDEX(Transactions!$G:$G,ROW()-8))</f>
      </c>
      <c r="F1251">
        <f>IF(INDEX(Transactions!$J:$J,ROW()-8)="",0,INDEX(Transactions!$O:$O,ROW()-8))</f>
      </c>
    </row>
    <row r="1252" spans="1:7">
      <c r="B1252">
        <f>IF(INDEX(Transactions!$J:$J,ROW()-8)="",TODAY(),INDEX(Transactions!$G:$G,ROW()-8))</f>
      </c>
      <c r="F1252">
        <f>IF(INDEX(Transactions!$J:$J,ROW()-8)="",0,INDEX(Transactions!$O:$O,ROW()-8))</f>
      </c>
    </row>
    <row r="1253" spans="1:7">
      <c r="B1253">
        <f>IF(INDEX(Transactions!$J:$J,ROW()-8)="",TODAY(),INDEX(Transactions!$G:$G,ROW()-8))</f>
      </c>
      <c r="F1253">
        <f>IF(INDEX(Transactions!$J:$J,ROW()-8)="",0,INDEX(Transactions!$O:$O,ROW()-8))</f>
      </c>
    </row>
    <row r="1254" spans="1:7">
      <c r="B1254">
        <f>IF(INDEX(Transactions!$J:$J,ROW()-8)="",TODAY(),INDEX(Transactions!$G:$G,ROW()-8))</f>
      </c>
      <c r="F1254">
        <f>IF(INDEX(Transactions!$J:$J,ROW()-8)="",0,INDEX(Transactions!$O:$O,ROW()-8))</f>
      </c>
    </row>
    <row r="1255" spans="1:7">
      <c r="B1255">
        <f>IF(INDEX(Transactions!$J:$J,ROW()-8)="",TODAY(),INDEX(Transactions!$G:$G,ROW()-8))</f>
      </c>
      <c r="F1255">
        <f>IF(INDEX(Transactions!$J:$J,ROW()-8)="",0,INDEX(Transactions!$O:$O,ROW()-8))</f>
      </c>
    </row>
    <row r="1256" spans="1:7">
      <c r="B1256">
        <f>IF(INDEX(Transactions!$J:$J,ROW()-8)="",TODAY(),INDEX(Transactions!$G:$G,ROW()-8))</f>
      </c>
      <c r="F1256">
        <f>IF(INDEX(Transactions!$J:$J,ROW()-8)="",0,INDEX(Transactions!$O:$O,ROW()-8))</f>
      </c>
    </row>
    <row r="1257" spans="1:7">
      <c r="B1257">
        <f>IF(INDEX(Transactions!$J:$J,ROW()-8)="",TODAY(),INDEX(Transactions!$G:$G,ROW()-8))</f>
      </c>
      <c r="F1257">
        <f>IF(INDEX(Transactions!$J:$J,ROW()-8)="",0,INDEX(Transactions!$O:$O,ROW()-8))</f>
      </c>
    </row>
    <row r="1258" spans="1:7">
      <c r="B1258">
        <f>IF(INDEX(Transactions!$J:$J,ROW()-8)="",TODAY(),INDEX(Transactions!$G:$G,ROW()-8))</f>
      </c>
      <c r="F1258">
        <f>IF(INDEX(Transactions!$J:$J,ROW()-8)="",0,INDEX(Transactions!$O:$O,ROW()-8))</f>
      </c>
    </row>
    <row r="1259" spans="1:7">
      <c r="B1259">
        <f>IF(INDEX(Transactions!$J:$J,ROW()-8)="",TODAY(),INDEX(Transactions!$G:$G,ROW()-8))</f>
      </c>
      <c r="F1259">
        <f>IF(INDEX(Transactions!$J:$J,ROW()-8)="",0,INDEX(Transactions!$O:$O,ROW()-8))</f>
      </c>
    </row>
    <row r="1260" spans="1:7">
      <c r="B1260">
        <f>IF(INDEX(Transactions!$J:$J,ROW()-8)="",TODAY(),INDEX(Transactions!$G:$G,ROW()-8))</f>
      </c>
      <c r="F1260">
        <f>IF(INDEX(Transactions!$J:$J,ROW()-8)="",0,INDEX(Transactions!$O:$O,ROW()-8))</f>
      </c>
    </row>
    <row r="1261" spans="1:7">
      <c r="B1261">
        <f>IF(INDEX(Transactions!$J:$J,ROW()-8)="",TODAY(),INDEX(Transactions!$G:$G,ROW()-8))</f>
      </c>
      <c r="F1261">
        <f>IF(INDEX(Transactions!$J:$J,ROW()-8)="",0,INDEX(Transactions!$O:$O,ROW()-8))</f>
      </c>
    </row>
    <row r="1262" spans="1:7">
      <c r="B1262">
        <f>IF(INDEX(Transactions!$J:$J,ROW()-8)="",TODAY(),INDEX(Transactions!$G:$G,ROW()-8))</f>
      </c>
      <c r="F1262">
        <f>IF(INDEX(Transactions!$J:$J,ROW()-8)="",0,INDEX(Transactions!$O:$O,ROW()-8))</f>
      </c>
    </row>
    <row r="1263" spans="1:7">
      <c r="B1263">
        <f>IF(INDEX(Transactions!$J:$J,ROW()-8)="",TODAY(),INDEX(Transactions!$G:$G,ROW()-8))</f>
      </c>
      <c r="F1263">
        <f>IF(INDEX(Transactions!$J:$J,ROW()-8)="",0,INDEX(Transactions!$O:$O,ROW()-8))</f>
      </c>
    </row>
    <row r="1264" spans="1:7">
      <c r="B1264">
        <f>IF(INDEX(Transactions!$J:$J,ROW()-8)="",TODAY(),INDEX(Transactions!$G:$G,ROW()-8))</f>
      </c>
      <c r="F1264">
        <f>IF(INDEX(Transactions!$J:$J,ROW()-8)="",0,INDEX(Transactions!$O:$O,ROW()-8))</f>
      </c>
    </row>
    <row r="1265" spans="1:7">
      <c r="B1265">
        <f>IF(INDEX(Transactions!$J:$J,ROW()-8)="",TODAY(),INDEX(Transactions!$G:$G,ROW()-8))</f>
      </c>
      <c r="F1265">
        <f>IF(INDEX(Transactions!$J:$J,ROW()-8)="",0,INDEX(Transactions!$O:$O,ROW()-8))</f>
      </c>
    </row>
    <row r="1266" spans="1:7">
      <c r="B1266">
        <f>IF(INDEX(Transactions!$J:$J,ROW()-8)="",TODAY(),INDEX(Transactions!$G:$G,ROW()-8))</f>
      </c>
      <c r="F1266">
        <f>IF(INDEX(Transactions!$J:$J,ROW()-8)="",0,INDEX(Transactions!$O:$O,ROW()-8))</f>
      </c>
    </row>
    <row r="1267" spans="1:7">
      <c r="B1267">
        <f>IF(INDEX(Transactions!$J:$J,ROW()-8)="",TODAY(),INDEX(Transactions!$G:$G,ROW()-8))</f>
      </c>
      <c r="F1267">
        <f>IF(INDEX(Transactions!$J:$J,ROW()-8)="",0,INDEX(Transactions!$O:$O,ROW()-8))</f>
      </c>
    </row>
    <row r="1268" spans="1:7">
      <c r="B1268">
        <f>IF(INDEX(Transactions!$J:$J,ROW()-8)="",TODAY(),INDEX(Transactions!$G:$G,ROW()-8))</f>
      </c>
      <c r="F1268">
        <f>IF(INDEX(Transactions!$J:$J,ROW()-8)="",0,INDEX(Transactions!$O:$O,ROW()-8))</f>
      </c>
    </row>
    <row r="1269" spans="1:7">
      <c r="B1269">
        <f>IF(INDEX(Transactions!$J:$J,ROW()-8)="",TODAY(),INDEX(Transactions!$G:$G,ROW()-8))</f>
      </c>
      <c r="F1269">
        <f>IF(INDEX(Transactions!$J:$J,ROW()-8)="",0,INDEX(Transactions!$O:$O,ROW()-8))</f>
      </c>
    </row>
    <row r="1270" spans="1:7">
      <c r="B1270">
        <f>IF(INDEX(Transactions!$J:$J,ROW()-8)="",TODAY(),INDEX(Transactions!$G:$G,ROW()-8))</f>
      </c>
      <c r="F1270">
        <f>IF(INDEX(Transactions!$J:$J,ROW()-8)="",0,INDEX(Transactions!$O:$O,ROW()-8))</f>
      </c>
    </row>
    <row r="1271" spans="1:7">
      <c r="B1271">
        <f>IF(INDEX(Transactions!$J:$J,ROW()-8)="",TODAY(),INDEX(Transactions!$G:$G,ROW()-8))</f>
      </c>
      <c r="F1271">
        <f>IF(INDEX(Transactions!$J:$J,ROW()-8)="",0,INDEX(Transactions!$O:$O,ROW()-8))</f>
      </c>
    </row>
    <row r="1272" spans="1:7">
      <c r="B1272">
        <f>IF(INDEX(Transactions!$J:$J,ROW()-8)="",TODAY(),INDEX(Transactions!$G:$G,ROW()-8))</f>
      </c>
      <c r="F1272">
        <f>IF(INDEX(Transactions!$J:$J,ROW()-8)="",0,INDEX(Transactions!$O:$O,ROW()-8))</f>
      </c>
    </row>
    <row r="1273" spans="1:7">
      <c r="B1273">
        <f>IF(INDEX(Transactions!$J:$J,ROW()-8)="",TODAY(),INDEX(Transactions!$G:$G,ROW()-8))</f>
      </c>
      <c r="F1273">
        <f>IF(INDEX(Transactions!$J:$J,ROW()-8)="",0,INDEX(Transactions!$O:$O,ROW()-8))</f>
      </c>
    </row>
    <row r="1274" spans="1:7">
      <c r="B1274">
        <f>IF(INDEX(Transactions!$J:$J,ROW()-8)="",TODAY(),INDEX(Transactions!$G:$G,ROW()-8))</f>
      </c>
      <c r="F1274">
        <f>IF(INDEX(Transactions!$J:$J,ROW()-8)="",0,INDEX(Transactions!$O:$O,ROW()-8))</f>
      </c>
    </row>
    <row r="1275" spans="1:7">
      <c r="B1275">
        <f>IF(INDEX(Transactions!$J:$J,ROW()-8)="",TODAY(),INDEX(Transactions!$G:$G,ROW()-8))</f>
      </c>
      <c r="F1275">
        <f>IF(INDEX(Transactions!$J:$J,ROW()-8)="",0,INDEX(Transactions!$O:$O,ROW()-8))</f>
      </c>
    </row>
    <row r="1276" spans="1:7">
      <c r="B1276">
        <f>IF(INDEX(Transactions!$J:$J,ROW()-8)="",TODAY(),INDEX(Transactions!$G:$G,ROW()-8))</f>
      </c>
      <c r="F1276">
        <f>IF(INDEX(Transactions!$J:$J,ROW()-8)="",0,INDEX(Transactions!$O:$O,ROW()-8))</f>
      </c>
    </row>
    <row r="1277" spans="1:7">
      <c r="B1277">
        <f>IF(INDEX(Transactions!$J:$J,ROW()-8)="",TODAY(),INDEX(Transactions!$G:$G,ROW()-8))</f>
      </c>
      <c r="F1277">
        <f>IF(INDEX(Transactions!$J:$J,ROW()-8)="",0,INDEX(Transactions!$O:$O,ROW()-8))</f>
      </c>
    </row>
    <row r="1278" spans="1:7">
      <c r="B1278">
        <f>IF(INDEX(Transactions!$J:$J,ROW()-8)="",TODAY(),INDEX(Transactions!$G:$G,ROW()-8))</f>
      </c>
      <c r="F1278">
        <f>IF(INDEX(Transactions!$J:$J,ROW()-8)="",0,INDEX(Transactions!$O:$O,ROW()-8))</f>
      </c>
    </row>
    <row r="1279" spans="1:7">
      <c r="B1279">
        <f>IF(INDEX(Transactions!$J:$J,ROW()-8)="",TODAY(),INDEX(Transactions!$G:$G,ROW()-8))</f>
      </c>
      <c r="F1279">
        <f>IF(INDEX(Transactions!$J:$J,ROW()-8)="",0,INDEX(Transactions!$O:$O,ROW()-8))</f>
      </c>
    </row>
    <row r="1280" spans="1:7">
      <c r="B1280">
        <f>IF(INDEX(Transactions!$J:$J,ROW()-8)="",TODAY(),INDEX(Transactions!$G:$G,ROW()-8))</f>
      </c>
      <c r="F1280">
        <f>IF(INDEX(Transactions!$J:$J,ROW()-8)="",0,INDEX(Transactions!$O:$O,ROW()-8))</f>
      </c>
    </row>
    <row r="1281" spans="1:7">
      <c r="B1281">
        <f>IF(INDEX(Transactions!$J:$J,ROW()-8)="",TODAY(),INDEX(Transactions!$G:$G,ROW()-8))</f>
      </c>
      <c r="F1281">
        <f>IF(INDEX(Transactions!$J:$J,ROW()-8)="",0,INDEX(Transactions!$O:$O,ROW()-8))</f>
      </c>
    </row>
    <row r="1282" spans="1:7">
      <c r="B1282">
        <f>IF(INDEX(Transactions!$J:$J,ROW()-8)="",TODAY(),INDEX(Transactions!$G:$G,ROW()-8))</f>
      </c>
      <c r="F1282">
        <f>IF(INDEX(Transactions!$J:$J,ROW()-8)="",0,INDEX(Transactions!$O:$O,ROW()-8))</f>
      </c>
    </row>
    <row r="1283" spans="1:7">
      <c r="B1283">
        <f>IF(INDEX(Transactions!$J:$J,ROW()-8)="",TODAY(),INDEX(Transactions!$G:$G,ROW()-8))</f>
      </c>
      <c r="F1283">
        <f>IF(INDEX(Transactions!$J:$J,ROW()-8)="",0,INDEX(Transactions!$O:$O,ROW()-8))</f>
      </c>
    </row>
    <row r="1284" spans="1:7">
      <c r="B1284">
        <f>IF(INDEX(Transactions!$J:$J,ROW()-8)="",TODAY(),INDEX(Transactions!$G:$G,ROW()-8))</f>
      </c>
      <c r="F1284">
        <f>IF(INDEX(Transactions!$J:$J,ROW()-8)="",0,INDEX(Transactions!$O:$O,ROW()-8))</f>
      </c>
    </row>
    <row r="1285" spans="1:7">
      <c r="B1285">
        <f>IF(INDEX(Transactions!$J:$J,ROW()-8)="",TODAY(),INDEX(Transactions!$G:$G,ROW()-8))</f>
      </c>
      <c r="F1285">
        <f>IF(INDEX(Transactions!$J:$J,ROW()-8)="",0,INDEX(Transactions!$O:$O,ROW()-8))</f>
      </c>
    </row>
    <row r="1286" spans="1:7">
      <c r="B1286">
        <f>IF(INDEX(Transactions!$J:$J,ROW()-8)="",TODAY(),INDEX(Transactions!$G:$G,ROW()-8))</f>
      </c>
      <c r="F1286">
        <f>IF(INDEX(Transactions!$J:$J,ROW()-8)="",0,INDEX(Transactions!$O:$O,ROW()-8))</f>
      </c>
    </row>
    <row r="1287" spans="1:7">
      <c r="B1287">
        <f>IF(INDEX(Transactions!$J:$J,ROW()-8)="",TODAY(),INDEX(Transactions!$G:$G,ROW()-8))</f>
      </c>
      <c r="F1287">
        <f>IF(INDEX(Transactions!$J:$J,ROW()-8)="",0,INDEX(Transactions!$O:$O,ROW()-8))</f>
      </c>
    </row>
    <row r="1288" spans="1:7">
      <c r="B1288">
        <f>IF(INDEX(Transactions!$J:$J,ROW()-8)="",TODAY(),INDEX(Transactions!$G:$G,ROW()-8))</f>
      </c>
      <c r="F1288">
        <f>IF(INDEX(Transactions!$J:$J,ROW()-8)="",0,INDEX(Transactions!$O:$O,ROW()-8))</f>
      </c>
    </row>
    <row r="1289" spans="1:7">
      <c r="B1289">
        <f>IF(INDEX(Transactions!$J:$J,ROW()-8)="",TODAY(),INDEX(Transactions!$G:$G,ROW()-8))</f>
      </c>
      <c r="F1289">
        <f>IF(INDEX(Transactions!$J:$J,ROW()-8)="",0,INDEX(Transactions!$O:$O,ROW()-8))</f>
      </c>
    </row>
    <row r="1290" spans="1:7">
      <c r="B1290">
        <f>IF(INDEX(Transactions!$J:$J,ROW()-8)="",TODAY(),INDEX(Transactions!$G:$G,ROW()-8))</f>
      </c>
      <c r="F1290">
        <f>IF(INDEX(Transactions!$J:$J,ROW()-8)="",0,INDEX(Transactions!$O:$O,ROW()-8))</f>
      </c>
    </row>
    <row r="1291" spans="1:7">
      <c r="B1291">
        <f>IF(INDEX(Transactions!$J:$J,ROW()-8)="",TODAY(),INDEX(Transactions!$G:$G,ROW()-8))</f>
      </c>
      <c r="F1291">
        <f>IF(INDEX(Transactions!$J:$J,ROW()-8)="",0,INDEX(Transactions!$O:$O,ROW()-8))</f>
      </c>
    </row>
    <row r="1292" spans="1:7">
      <c r="B1292">
        <f>IF(INDEX(Transactions!$J:$J,ROW()-8)="",TODAY(),INDEX(Transactions!$G:$G,ROW()-8))</f>
      </c>
      <c r="F1292">
        <f>IF(INDEX(Transactions!$J:$J,ROW()-8)="",0,INDEX(Transactions!$O:$O,ROW()-8))</f>
      </c>
    </row>
    <row r="1293" spans="1:7">
      <c r="B1293">
        <f>IF(INDEX(Transactions!$J:$J,ROW()-8)="",TODAY(),INDEX(Transactions!$G:$G,ROW()-8))</f>
      </c>
      <c r="F1293">
        <f>IF(INDEX(Transactions!$J:$J,ROW()-8)="",0,INDEX(Transactions!$O:$O,ROW()-8))</f>
      </c>
    </row>
    <row r="1294" spans="1:7">
      <c r="B1294">
        <f>IF(INDEX(Transactions!$J:$J,ROW()-8)="",TODAY(),INDEX(Transactions!$G:$G,ROW()-8))</f>
      </c>
      <c r="F1294">
        <f>IF(INDEX(Transactions!$J:$J,ROW()-8)="",0,INDEX(Transactions!$O:$O,ROW()-8))</f>
      </c>
    </row>
    <row r="1295" spans="1:7">
      <c r="B1295">
        <f>IF(INDEX(Transactions!$J:$J,ROW()-8)="",TODAY(),INDEX(Transactions!$G:$G,ROW()-8))</f>
      </c>
      <c r="F1295">
        <f>IF(INDEX(Transactions!$J:$J,ROW()-8)="",0,INDEX(Transactions!$O:$O,ROW()-8))</f>
      </c>
    </row>
    <row r="1296" spans="1:7">
      <c r="B1296">
        <f>IF(INDEX(Transactions!$J:$J,ROW()-8)="",TODAY(),INDEX(Transactions!$G:$G,ROW()-8))</f>
      </c>
      <c r="F1296">
        <f>IF(INDEX(Transactions!$J:$J,ROW()-8)="",0,INDEX(Transactions!$O:$O,ROW()-8))</f>
      </c>
    </row>
    <row r="1297" spans="1:7">
      <c r="B1297">
        <f>IF(INDEX(Transactions!$J:$J,ROW()-8)="",TODAY(),INDEX(Transactions!$G:$G,ROW()-8))</f>
      </c>
      <c r="F1297">
        <f>IF(INDEX(Transactions!$J:$J,ROW()-8)="",0,INDEX(Transactions!$O:$O,ROW()-8))</f>
      </c>
    </row>
    <row r="1298" spans="1:7">
      <c r="B1298">
        <f>IF(INDEX(Transactions!$J:$J,ROW()-8)="",TODAY(),INDEX(Transactions!$G:$G,ROW()-8))</f>
      </c>
      <c r="F1298">
        <f>IF(INDEX(Transactions!$J:$J,ROW()-8)="",0,INDEX(Transactions!$O:$O,ROW()-8))</f>
      </c>
    </row>
    <row r="1299" spans="1:7">
      <c r="B1299">
        <f>IF(INDEX(Transactions!$J:$J,ROW()-8)="",TODAY(),INDEX(Transactions!$G:$G,ROW()-8))</f>
      </c>
      <c r="F1299">
        <f>IF(INDEX(Transactions!$J:$J,ROW()-8)="",0,INDEX(Transactions!$O:$O,ROW()-8))</f>
      </c>
    </row>
    <row r="1300" spans="1:7">
      <c r="B1300">
        <f>IF(INDEX(Transactions!$J:$J,ROW()-8)="",TODAY(),INDEX(Transactions!$G:$G,ROW()-8))</f>
      </c>
      <c r="F1300">
        <f>IF(INDEX(Transactions!$J:$J,ROW()-8)="",0,INDEX(Transactions!$O:$O,ROW()-8))</f>
      </c>
    </row>
    <row r="1301" spans="1:7">
      <c r="B1301">
        <f>IF(INDEX(Transactions!$J:$J,ROW()-8)="",TODAY(),INDEX(Transactions!$G:$G,ROW()-8))</f>
      </c>
      <c r="F1301">
        <f>IF(INDEX(Transactions!$J:$J,ROW()-8)="",0,INDEX(Transactions!$O:$O,ROW()-8))</f>
      </c>
    </row>
    <row r="1302" spans="1:7">
      <c r="B1302">
        <f>IF(INDEX(Transactions!$J:$J,ROW()-8)="",TODAY(),INDEX(Transactions!$G:$G,ROW()-8))</f>
      </c>
      <c r="F1302">
        <f>IF(INDEX(Transactions!$J:$J,ROW()-8)="",0,INDEX(Transactions!$O:$O,ROW()-8))</f>
      </c>
    </row>
    <row r="1303" spans="1:7">
      <c r="B1303">
        <f>IF(INDEX(Transactions!$J:$J,ROW()-8)="",TODAY(),INDEX(Transactions!$G:$G,ROW()-8))</f>
      </c>
      <c r="F1303">
        <f>IF(INDEX(Transactions!$J:$J,ROW()-8)="",0,INDEX(Transactions!$O:$O,ROW()-8))</f>
      </c>
    </row>
    <row r="1304" spans="1:7">
      <c r="B1304">
        <f>IF(INDEX(Transactions!$J:$J,ROW()-8)="",TODAY(),INDEX(Transactions!$G:$G,ROW()-8))</f>
      </c>
      <c r="F1304">
        <f>IF(INDEX(Transactions!$J:$J,ROW()-8)="",0,INDEX(Transactions!$O:$O,ROW()-8))</f>
      </c>
    </row>
    <row r="1305" spans="1:7">
      <c r="B1305">
        <f>IF(INDEX(Transactions!$J:$J,ROW()-8)="",TODAY(),INDEX(Transactions!$G:$G,ROW()-8))</f>
      </c>
      <c r="F1305">
        <f>IF(INDEX(Transactions!$J:$J,ROW()-8)="",0,INDEX(Transactions!$O:$O,ROW()-8))</f>
      </c>
    </row>
    <row r="1306" spans="1:7">
      <c r="B1306">
        <f>IF(INDEX(Transactions!$J:$J,ROW()-8)="",TODAY(),INDEX(Transactions!$G:$G,ROW()-8))</f>
      </c>
      <c r="F1306">
        <f>IF(INDEX(Transactions!$J:$J,ROW()-8)="",0,INDEX(Transactions!$O:$O,ROW()-8))</f>
      </c>
    </row>
    <row r="1307" spans="1:7">
      <c r="B1307">
        <f>IF(INDEX(Transactions!$J:$J,ROW()-8)="",TODAY(),INDEX(Transactions!$G:$G,ROW()-8))</f>
      </c>
      <c r="F1307">
        <f>IF(INDEX(Transactions!$J:$J,ROW()-8)="",0,INDEX(Transactions!$O:$O,ROW()-8))</f>
      </c>
    </row>
    <row r="1308" spans="1:7">
      <c r="B1308">
        <f>IF(INDEX(Transactions!$J:$J,ROW()-8)="",TODAY(),INDEX(Transactions!$G:$G,ROW()-8))</f>
      </c>
      <c r="F1308">
        <f>IF(INDEX(Transactions!$J:$J,ROW()-8)="",0,INDEX(Transactions!$O:$O,ROW()-8))</f>
      </c>
    </row>
    <row r="1309" spans="1:7">
      <c r="B1309">
        <f>IF(INDEX(Transactions!$J:$J,ROW()-8)="",TODAY(),INDEX(Transactions!$G:$G,ROW()-8))</f>
      </c>
      <c r="F1309">
        <f>IF(INDEX(Transactions!$J:$J,ROW()-8)="",0,INDEX(Transactions!$O:$O,ROW()-8))</f>
      </c>
    </row>
    <row r="1310" spans="1:7">
      <c r="B1310">
        <f>IF(INDEX(Transactions!$J:$J,ROW()-8)="",TODAY(),INDEX(Transactions!$G:$G,ROW()-8))</f>
      </c>
      <c r="F1310">
        <f>IF(INDEX(Transactions!$J:$J,ROW()-8)="",0,INDEX(Transactions!$O:$O,ROW()-8))</f>
      </c>
    </row>
    <row r="1311" spans="1:7">
      <c r="B1311">
        <f>IF(INDEX(Transactions!$J:$J,ROW()-8)="",TODAY(),INDEX(Transactions!$G:$G,ROW()-8))</f>
      </c>
      <c r="F1311">
        <f>IF(INDEX(Transactions!$J:$J,ROW()-8)="",0,INDEX(Transactions!$O:$O,ROW()-8))</f>
      </c>
    </row>
    <row r="1312" spans="1:7">
      <c r="B1312">
        <f>IF(INDEX(Transactions!$J:$J,ROW()-8)="",TODAY(),INDEX(Transactions!$G:$G,ROW()-8))</f>
      </c>
      <c r="F1312">
        <f>IF(INDEX(Transactions!$J:$J,ROW()-8)="",0,INDEX(Transactions!$O:$O,ROW()-8))</f>
      </c>
    </row>
    <row r="1313" spans="1:7">
      <c r="B1313">
        <f>IF(INDEX(Transactions!$J:$J,ROW()-8)="",TODAY(),INDEX(Transactions!$G:$G,ROW()-8))</f>
      </c>
      <c r="F1313">
        <f>IF(INDEX(Transactions!$J:$J,ROW()-8)="",0,INDEX(Transactions!$O:$O,ROW()-8))</f>
      </c>
    </row>
    <row r="1314" spans="1:7">
      <c r="B1314">
        <f>IF(INDEX(Transactions!$J:$J,ROW()-8)="",TODAY(),INDEX(Transactions!$G:$G,ROW()-8))</f>
      </c>
      <c r="F1314">
        <f>IF(INDEX(Transactions!$J:$J,ROW()-8)="",0,INDEX(Transactions!$O:$O,ROW()-8))</f>
      </c>
    </row>
    <row r="1315" spans="1:7">
      <c r="B1315">
        <f>IF(INDEX(Transactions!$J:$J,ROW()-8)="",TODAY(),INDEX(Transactions!$G:$G,ROW()-8))</f>
      </c>
      <c r="F1315">
        <f>IF(INDEX(Transactions!$J:$J,ROW()-8)="",0,INDEX(Transactions!$O:$O,ROW()-8))</f>
      </c>
    </row>
    <row r="1316" spans="1:7">
      <c r="B1316">
        <f>IF(INDEX(Transactions!$J:$J,ROW()-8)="",TODAY(),INDEX(Transactions!$G:$G,ROW()-8))</f>
      </c>
      <c r="F1316">
        <f>IF(INDEX(Transactions!$J:$J,ROW()-8)="",0,INDEX(Transactions!$O:$O,ROW()-8))</f>
      </c>
    </row>
    <row r="1317" spans="1:7">
      <c r="B1317">
        <f>IF(INDEX(Transactions!$J:$J,ROW()-8)="",TODAY(),INDEX(Transactions!$G:$G,ROW()-8))</f>
      </c>
      <c r="F1317">
        <f>IF(INDEX(Transactions!$J:$J,ROW()-8)="",0,INDEX(Transactions!$O:$O,ROW()-8))</f>
      </c>
    </row>
    <row r="1318" spans="1:7">
      <c r="B1318">
        <f>IF(INDEX(Transactions!$J:$J,ROW()-8)="",TODAY(),INDEX(Transactions!$G:$G,ROW()-8))</f>
      </c>
      <c r="F1318">
        <f>IF(INDEX(Transactions!$J:$J,ROW()-8)="",0,INDEX(Transactions!$O:$O,ROW()-8))</f>
      </c>
    </row>
    <row r="1319" spans="1:7">
      <c r="B1319">
        <f>IF(INDEX(Transactions!$J:$J,ROW()-8)="",TODAY(),INDEX(Transactions!$G:$G,ROW()-8))</f>
      </c>
      <c r="F1319">
        <f>IF(INDEX(Transactions!$J:$J,ROW()-8)="",0,INDEX(Transactions!$O:$O,ROW()-8))</f>
      </c>
    </row>
    <row r="1320" spans="1:7">
      <c r="B1320">
        <f>IF(INDEX(Transactions!$J:$J,ROW()-8)="",TODAY(),INDEX(Transactions!$G:$G,ROW()-8))</f>
      </c>
      <c r="F1320">
        <f>IF(INDEX(Transactions!$J:$J,ROW()-8)="",0,INDEX(Transactions!$O:$O,ROW()-8))</f>
      </c>
    </row>
    <row r="1321" spans="1:7">
      <c r="B1321">
        <f>IF(INDEX(Transactions!$J:$J,ROW()-8)="",TODAY(),INDEX(Transactions!$G:$G,ROW()-8))</f>
      </c>
      <c r="F1321">
        <f>IF(INDEX(Transactions!$J:$J,ROW()-8)="",0,INDEX(Transactions!$O:$O,ROW()-8))</f>
      </c>
    </row>
    <row r="1322" spans="1:7">
      <c r="B1322">
        <f>IF(INDEX(Transactions!$J:$J,ROW()-8)="",TODAY(),INDEX(Transactions!$G:$G,ROW()-8))</f>
      </c>
      <c r="F1322">
        <f>IF(INDEX(Transactions!$J:$J,ROW()-8)="",0,INDEX(Transactions!$O:$O,ROW()-8))</f>
      </c>
    </row>
    <row r="1323" spans="1:7">
      <c r="B1323">
        <f>IF(INDEX(Transactions!$J:$J,ROW()-8)="",TODAY(),INDEX(Transactions!$G:$G,ROW()-8))</f>
      </c>
      <c r="F1323">
        <f>IF(INDEX(Transactions!$J:$J,ROW()-8)="",0,INDEX(Transactions!$O:$O,ROW()-8))</f>
      </c>
    </row>
    <row r="1324" spans="1:7">
      <c r="B1324">
        <f>IF(INDEX(Transactions!$J:$J,ROW()-8)="",TODAY(),INDEX(Transactions!$G:$G,ROW()-8))</f>
      </c>
      <c r="F1324">
        <f>IF(INDEX(Transactions!$J:$J,ROW()-8)="",0,INDEX(Transactions!$O:$O,ROW()-8))</f>
      </c>
    </row>
    <row r="1325" spans="1:7">
      <c r="B1325">
        <f>IF(INDEX(Transactions!$J:$J,ROW()-8)="",TODAY(),INDEX(Transactions!$G:$G,ROW()-8))</f>
      </c>
      <c r="F1325">
        <f>IF(INDEX(Transactions!$J:$J,ROW()-8)="",0,INDEX(Transactions!$O:$O,ROW()-8))</f>
      </c>
    </row>
    <row r="1326" spans="1:7">
      <c r="B1326">
        <f>IF(INDEX(Transactions!$J:$J,ROW()-8)="",TODAY(),INDEX(Transactions!$G:$G,ROW()-8))</f>
      </c>
      <c r="F1326">
        <f>IF(INDEX(Transactions!$J:$J,ROW()-8)="",0,INDEX(Transactions!$O:$O,ROW()-8))</f>
      </c>
    </row>
    <row r="1327" spans="1:7">
      <c r="B1327">
        <f>IF(INDEX(Transactions!$J:$J,ROW()-8)="",TODAY(),INDEX(Transactions!$G:$G,ROW()-8))</f>
      </c>
      <c r="F1327">
        <f>IF(INDEX(Transactions!$J:$J,ROW()-8)="",0,INDEX(Transactions!$O:$O,ROW()-8))</f>
      </c>
    </row>
    <row r="1328" spans="1:7">
      <c r="B1328">
        <f>IF(INDEX(Transactions!$J:$J,ROW()-8)="",TODAY(),INDEX(Transactions!$G:$G,ROW()-8))</f>
      </c>
      <c r="F1328">
        <f>IF(INDEX(Transactions!$J:$J,ROW()-8)="",0,INDEX(Transactions!$O:$O,ROW()-8))</f>
      </c>
    </row>
    <row r="1329" spans="1:7">
      <c r="B1329">
        <f>IF(INDEX(Transactions!$J:$J,ROW()-8)="",TODAY(),INDEX(Transactions!$G:$G,ROW()-8))</f>
      </c>
      <c r="F1329">
        <f>IF(INDEX(Transactions!$J:$J,ROW()-8)="",0,INDEX(Transactions!$O:$O,ROW()-8))</f>
      </c>
    </row>
    <row r="1330" spans="1:7">
      <c r="B1330">
        <f>IF(INDEX(Transactions!$J:$J,ROW()-8)="",TODAY(),INDEX(Transactions!$G:$G,ROW()-8))</f>
      </c>
      <c r="F1330">
        <f>IF(INDEX(Transactions!$J:$J,ROW()-8)="",0,INDEX(Transactions!$O:$O,ROW()-8))</f>
      </c>
    </row>
    <row r="1331" spans="1:7">
      <c r="B1331">
        <f>IF(INDEX(Transactions!$J:$J,ROW()-8)="",TODAY(),INDEX(Transactions!$G:$G,ROW()-8))</f>
      </c>
      <c r="F1331">
        <f>IF(INDEX(Transactions!$J:$J,ROW()-8)="",0,INDEX(Transactions!$O:$O,ROW()-8))</f>
      </c>
    </row>
    <row r="1332" spans="1:7">
      <c r="B1332">
        <f>IF(INDEX(Transactions!$J:$J,ROW()-8)="",TODAY(),INDEX(Transactions!$G:$G,ROW()-8))</f>
      </c>
      <c r="F1332">
        <f>IF(INDEX(Transactions!$J:$J,ROW()-8)="",0,INDEX(Transactions!$O:$O,ROW()-8))</f>
      </c>
    </row>
    <row r="1333" spans="1:7">
      <c r="B1333">
        <f>IF(INDEX(Transactions!$J:$J,ROW()-8)="",TODAY(),INDEX(Transactions!$G:$G,ROW()-8))</f>
      </c>
      <c r="F1333">
        <f>IF(INDEX(Transactions!$J:$J,ROW()-8)="",0,INDEX(Transactions!$O:$O,ROW()-8))</f>
      </c>
    </row>
    <row r="1334" spans="1:7">
      <c r="B1334">
        <f>IF(INDEX(Transactions!$J:$J,ROW()-8)="",TODAY(),INDEX(Transactions!$G:$G,ROW()-8))</f>
      </c>
      <c r="F1334">
        <f>IF(INDEX(Transactions!$J:$J,ROW()-8)="",0,INDEX(Transactions!$O:$O,ROW()-8))</f>
      </c>
    </row>
    <row r="1335" spans="1:7">
      <c r="B1335">
        <f>IF(INDEX(Transactions!$J:$J,ROW()-8)="",TODAY(),INDEX(Transactions!$G:$G,ROW()-8))</f>
      </c>
      <c r="F1335">
        <f>IF(INDEX(Transactions!$J:$J,ROW()-8)="",0,INDEX(Transactions!$O:$O,ROW()-8))</f>
      </c>
    </row>
    <row r="1336" spans="1:7">
      <c r="B1336">
        <f>IF(INDEX(Transactions!$J:$J,ROW()-8)="",TODAY(),INDEX(Transactions!$G:$G,ROW()-8))</f>
      </c>
      <c r="F1336">
        <f>IF(INDEX(Transactions!$J:$J,ROW()-8)="",0,INDEX(Transactions!$O:$O,ROW()-8))</f>
      </c>
    </row>
    <row r="1337" spans="1:7">
      <c r="B1337">
        <f>IF(INDEX(Transactions!$J:$J,ROW()-8)="",TODAY(),INDEX(Transactions!$G:$G,ROW()-8))</f>
      </c>
      <c r="F1337">
        <f>IF(INDEX(Transactions!$J:$J,ROW()-8)="",0,INDEX(Transactions!$O:$O,ROW()-8))</f>
      </c>
    </row>
    <row r="1338" spans="1:7">
      <c r="B1338">
        <f>IF(INDEX(Transactions!$J:$J,ROW()-8)="",TODAY(),INDEX(Transactions!$G:$G,ROW()-8))</f>
      </c>
      <c r="F1338">
        <f>IF(INDEX(Transactions!$J:$J,ROW()-8)="",0,INDEX(Transactions!$O:$O,ROW()-8))</f>
      </c>
    </row>
    <row r="1339" spans="1:7">
      <c r="B1339">
        <f>IF(INDEX(Transactions!$J:$J,ROW()-8)="",TODAY(),INDEX(Transactions!$G:$G,ROW()-8))</f>
      </c>
      <c r="F1339">
        <f>IF(INDEX(Transactions!$J:$J,ROW()-8)="",0,INDEX(Transactions!$O:$O,ROW()-8))</f>
      </c>
    </row>
    <row r="1340" spans="1:7">
      <c r="B1340">
        <f>IF(INDEX(Transactions!$J:$J,ROW()-8)="",TODAY(),INDEX(Transactions!$G:$G,ROW()-8))</f>
      </c>
      <c r="F1340">
        <f>IF(INDEX(Transactions!$J:$J,ROW()-8)="",0,INDEX(Transactions!$O:$O,ROW()-8))</f>
      </c>
    </row>
    <row r="1341" spans="1:7">
      <c r="B1341">
        <f>IF(INDEX(Transactions!$J:$J,ROW()-8)="",TODAY(),INDEX(Transactions!$G:$G,ROW()-8))</f>
      </c>
      <c r="F1341">
        <f>IF(INDEX(Transactions!$J:$J,ROW()-8)="",0,INDEX(Transactions!$O:$O,ROW()-8))</f>
      </c>
    </row>
    <row r="1342" spans="1:7">
      <c r="B1342">
        <f>IF(INDEX(Transactions!$J:$J,ROW()-8)="",TODAY(),INDEX(Transactions!$G:$G,ROW()-8))</f>
      </c>
      <c r="F1342">
        <f>IF(INDEX(Transactions!$J:$J,ROW()-8)="",0,INDEX(Transactions!$O:$O,ROW()-8))</f>
      </c>
    </row>
    <row r="1343" spans="1:7">
      <c r="B1343">
        <f>IF(INDEX(Transactions!$J:$J,ROW()-8)="",TODAY(),INDEX(Transactions!$G:$G,ROW()-8))</f>
      </c>
      <c r="F1343">
        <f>IF(INDEX(Transactions!$J:$J,ROW()-8)="",0,INDEX(Transactions!$O:$O,ROW()-8))</f>
      </c>
    </row>
    <row r="1344" spans="1:7">
      <c r="B1344">
        <f>IF(INDEX(Transactions!$J:$J,ROW()-8)="",TODAY(),INDEX(Transactions!$G:$G,ROW()-8))</f>
      </c>
      <c r="F1344">
        <f>IF(INDEX(Transactions!$J:$J,ROW()-8)="",0,INDEX(Transactions!$O:$O,ROW()-8))</f>
      </c>
    </row>
    <row r="1345" spans="1:7">
      <c r="B1345">
        <f>IF(INDEX(Transactions!$J:$J,ROW()-8)="",TODAY(),INDEX(Transactions!$G:$G,ROW()-8))</f>
      </c>
      <c r="F1345">
        <f>IF(INDEX(Transactions!$J:$J,ROW()-8)="",0,INDEX(Transactions!$O:$O,ROW()-8))</f>
      </c>
    </row>
    <row r="1346" spans="1:7">
      <c r="B1346">
        <f>IF(INDEX(Transactions!$J:$J,ROW()-8)="",TODAY(),INDEX(Transactions!$G:$G,ROW()-8))</f>
      </c>
      <c r="F1346">
        <f>IF(INDEX(Transactions!$J:$J,ROW()-8)="",0,INDEX(Transactions!$O:$O,ROW()-8))</f>
      </c>
    </row>
    <row r="1347" spans="1:7">
      <c r="B1347">
        <f>IF(INDEX(Transactions!$J:$J,ROW()-8)="",TODAY(),INDEX(Transactions!$G:$G,ROW()-8))</f>
      </c>
      <c r="F1347">
        <f>IF(INDEX(Transactions!$J:$J,ROW()-8)="",0,INDEX(Transactions!$O:$O,ROW()-8))</f>
      </c>
    </row>
    <row r="1348" spans="1:7">
      <c r="B1348">
        <f>IF(INDEX(Transactions!$J:$J,ROW()-8)="",TODAY(),INDEX(Transactions!$G:$G,ROW()-8))</f>
      </c>
      <c r="F1348">
        <f>IF(INDEX(Transactions!$J:$J,ROW()-8)="",0,INDEX(Transactions!$O:$O,ROW()-8))</f>
      </c>
    </row>
    <row r="1349" spans="1:7">
      <c r="B1349">
        <f>IF(INDEX(Transactions!$J:$J,ROW()-8)="",TODAY(),INDEX(Transactions!$G:$G,ROW()-8))</f>
      </c>
      <c r="F1349">
        <f>IF(INDEX(Transactions!$J:$J,ROW()-8)="",0,INDEX(Transactions!$O:$O,ROW()-8))</f>
      </c>
    </row>
    <row r="1350" spans="1:7">
      <c r="B1350">
        <f>IF(INDEX(Transactions!$J:$J,ROW()-8)="",TODAY(),INDEX(Transactions!$G:$G,ROW()-8))</f>
      </c>
      <c r="F1350">
        <f>IF(INDEX(Transactions!$J:$J,ROW()-8)="",0,INDEX(Transactions!$O:$O,ROW()-8))</f>
      </c>
    </row>
    <row r="1351" spans="1:7">
      <c r="B1351">
        <f>IF(INDEX(Transactions!$J:$J,ROW()-8)="",TODAY(),INDEX(Transactions!$G:$G,ROW()-8))</f>
      </c>
      <c r="F1351">
        <f>IF(INDEX(Transactions!$J:$J,ROW()-8)="",0,INDEX(Transactions!$O:$O,ROW()-8))</f>
      </c>
    </row>
    <row r="1352" spans="1:7">
      <c r="B1352">
        <f>IF(INDEX(Transactions!$J:$J,ROW()-8)="",TODAY(),INDEX(Transactions!$G:$G,ROW()-8))</f>
      </c>
      <c r="F1352">
        <f>IF(INDEX(Transactions!$J:$J,ROW()-8)="",0,INDEX(Transactions!$O:$O,ROW()-8))</f>
      </c>
    </row>
    <row r="1353" spans="1:7">
      <c r="B1353">
        <f>IF(INDEX(Transactions!$J:$J,ROW()-8)="",TODAY(),INDEX(Transactions!$G:$G,ROW()-8))</f>
      </c>
      <c r="F1353">
        <f>IF(INDEX(Transactions!$J:$J,ROW()-8)="",0,INDEX(Transactions!$O:$O,ROW()-8))</f>
      </c>
    </row>
    <row r="1354" spans="1:7">
      <c r="B1354">
        <f>IF(INDEX(Transactions!$J:$J,ROW()-8)="",TODAY(),INDEX(Transactions!$G:$G,ROW()-8))</f>
      </c>
      <c r="F1354">
        <f>IF(INDEX(Transactions!$J:$J,ROW()-8)="",0,INDEX(Transactions!$O:$O,ROW()-8))</f>
      </c>
    </row>
    <row r="1355" spans="1:7">
      <c r="B1355">
        <f>IF(INDEX(Transactions!$J:$J,ROW()-8)="",TODAY(),INDEX(Transactions!$G:$G,ROW()-8))</f>
      </c>
      <c r="F1355">
        <f>IF(INDEX(Transactions!$J:$J,ROW()-8)="",0,INDEX(Transactions!$O:$O,ROW()-8))</f>
      </c>
    </row>
    <row r="1356" spans="1:7">
      <c r="B1356">
        <f>IF(INDEX(Transactions!$J:$J,ROW()-8)="",TODAY(),INDEX(Transactions!$G:$G,ROW()-8))</f>
      </c>
      <c r="F1356">
        <f>IF(INDEX(Transactions!$J:$J,ROW()-8)="",0,INDEX(Transactions!$O:$O,ROW()-8))</f>
      </c>
    </row>
    <row r="1357" spans="1:7">
      <c r="B1357">
        <f>IF(INDEX(Transactions!$J:$J,ROW()-8)="",TODAY(),INDEX(Transactions!$G:$G,ROW()-8))</f>
      </c>
      <c r="F1357">
        <f>IF(INDEX(Transactions!$J:$J,ROW()-8)="",0,INDEX(Transactions!$O:$O,ROW()-8))</f>
      </c>
    </row>
    <row r="1358" spans="1:7">
      <c r="B1358">
        <f>IF(INDEX(Transactions!$J:$J,ROW()-8)="",TODAY(),INDEX(Transactions!$G:$G,ROW()-8))</f>
      </c>
      <c r="F1358">
        <f>IF(INDEX(Transactions!$J:$J,ROW()-8)="",0,INDEX(Transactions!$O:$O,ROW()-8))</f>
      </c>
    </row>
    <row r="1359" spans="1:7">
      <c r="B1359">
        <f>IF(INDEX(Transactions!$J:$J,ROW()-8)="",TODAY(),INDEX(Transactions!$G:$G,ROW()-8))</f>
      </c>
      <c r="F1359">
        <f>IF(INDEX(Transactions!$J:$J,ROW()-8)="",0,INDEX(Transactions!$O:$O,ROW()-8))</f>
      </c>
    </row>
    <row r="1360" spans="1:7">
      <c r="B1360">
        <f>IF(INDEX(Transactions!$J:$J,ROW()-8)="",TODAY(),INDEX(Transactions!$G:$G,ROW()-8))</f>
      </c>
      <c r="F1360">
        <f>IF(INDEX(Transactions!$J:$J,ROW()-8)="",0,INDEX(Transactions!$O:$O,ROW()-8))</f>
      </c>
    </row>
    <row r="1361" spans="1:7">
      <c r="B1361">
        <f>IF(INDEX(Transactions!$J:$J,ROW()-8)="",TODAY(),INDEX(Transactions!$G:$G,ROW()-8))</f>
      </c>
      <c r="F1361">
        <f>IF(INDEX(Transactions!$J:$J,ROW()-8)="",0,INDEX(Transactions!$O:$O,ROW()-8))</f>
      </c>
    </row>
    <row r="1362" spans="1:7">
      <c r="B1362">
        <f>IF(INDEX(Transactions!$J:$J,ROW()-8)="",TODAY(),INDEX(Transactions!$G:$G,ROW()-8))</f>
      </c>
      <c r="F1362">
        <f>IF(INDEX(Transactions!$J:$J,ROW()-8)="",0,INDEX(Transactions!$O:$O,ROW()-8))</f>
      </c>
    </row>
    <row r="1363" spans="1:7">
      <c r="B1363">
        <f>IF(INDEX(Transactions!$J:$J,ROW()-8)="",TODAY(),INDEX(Transactions!$G:$G,ROW()-8))</f>
      </c>
      <c r="F1363">
        <f>IF(INDEX(Transactions!$J:$J,ROW()-8)="",0,INDEX(Transactions!$O:$O,ROW()-8))</f>
      </c>
    </row>
    <row r="1364" spans="1:7">
      <c r="B1364">
        <f>IF(INDEX(Transactions!$J:$J,ROW()-8)="",TODAY(),INDEX(Transactions!$G:$G,ROW()-8))</f>
      </c>
      <c r="F1364">
        <f>IF(INDEX(Transactions!$J:$J,ROW()-8)="",0,INDEX(Transactions!$O:$O,ROW()-8))</f>
      </c>
    </row>
    <row r="1365" spans="1:7">
      <c r="B1365">
        <f>IF(INDEX(Transactions!$J:$J,ROW()-8)="",TODAY(),INDEX(Transactions!$G:$G,ROW()-8))</f>
      </c>
      <c r="F1365">
        <f>IF(INDEX(Transactions!$J:$J,ROW()-8)="",0,INDEX(Transactions!$O:$O,ROW()-8))</f>
      </c>
    </row>
    <row r="1366" spans="1:7">
      <c r="B1366">
        <f>IF(INDEX(Transactions!$J:$J,ROW()-8)="",TODAY(),INDEX(Transactions!$G:$G,ROW()-8))</f>
      </c>
      <c r="F1366">
        <f>IF(INDEX(Transactions!$J:$J,ROW()-8)="",0,INDEX(Transactions!$O:$O,ROW()-8))</f>
      </c>
    </row>
    <row r="1367" spans="1:7">
      <c r="B1367">
        <f>IF(INDEX(Transactions!$J:$J,ROW()-8)="",TODAY(),INDEX(Transactions!$G:$G,ROW()-8))</f>
      </c>
      <c r="F1367">
        <f>IF(INDEX(Transactions!$J:$J,ROW()-8)="",0,INDEX(Transactions!$O:$O,ROW()-8))</f>
      </c>
    </row>
    <row r="1368" spans="1:7">
      <c r="B1368">
        <f>IF(INDEX(Transactions!$J:$J,ROW()-8)="",TODAY(),INDEX(Transactions!$G:$G,ROW()-8))</f>
      </c>
      <c r="F1368">
        <f>IF(INDEX(Transactions!$J:$J,ROW()-8)="",0,INDEX(Transactions!$O:$O,ROW()-8))</f>
      </c>
    </row>
    <row r="1369" spans="1:7">
      <c r="B1369">
        <f>IF(INDEX(Transactions!$J:$J,ROW()-8)="",TODAY(),INDEX(Transactions!$G:$G,ROW()-8))</f>
      </c>
      <c r="F1369">
        <f>IF(INDEX(Transactions!$J:$J,ROW()-8)="",0,INDEX(Transactions!$O:$O,ROW()-8))</f>
      </c>
    </row>
    <row r="1370" spans="1:7">
      <c r="B1370">
        <f>IF(INDEX(Transactions!$J:$J,ROW()-8)="",TODAY(),INDEX(Transactions!$G:$G,ROW()-8))</f>
      </c>
      <c r="F1370">
        <f>IF(INDEX(Transactions!$J:$J,ROW()-8)="",0,INDEX(Transactions!$O:$O,ROW()-8))</f>
      </c>
    </row>
    <row r="1371" spans="1:7">
      <c r="B1371">
        <f>IF(INDEX(Transactions!$J:$J,ROW()-8)="",TODAY(),INDEX(Transactions!$G:$G,ROW()-8))</f>
      </c>
      <c r="F1371">
        <f>IF(INDEX(Transactions!$J:$J,ROW()-8)="",0,INDEX(Transactions!$O:$O,ROW()-8))</f>
      </c>
    </row>
    <row r="1372" spans="1:7">
      <c r="B1372">
        <f>IF(INDEX(Transactions!$J:$J,ROW()-8)="",TODAY(),INDEX(Transactions!$G:$G,ROW()-8))</f>
      </c>
      <c r="F1372">
        <f>IF(INDEX(Transactions!$J:$J,ROW()-8)="",0,INDEX(Transactions!$O:$O,ROW()-8))</f>
      </c>
    </row>
    <row r="1373" spans="1:7">
      <c r="B1373">
        <f>IF(INDEX(Transactions!$J:$J,ROW()-8)="",TODAY(),INDEX(Transactions!$G:$G,ROW()-8))</f>
      </c>
      <c r="F1373">
        <f>IF(INDEX(Transactions!$J:$J,ROW()-8)="",0,INDEX(Transactions!$O:$O,ROW()-8))</f>
      </c>
    </row>
    <row r="1374" spans="1:7">
      <c r="B1374">
        <f>IF(INDEX(Transactions!$J:$J,ROW()-8)="",TODAY(),INDEX(Transactions!$G:$G,ROW()-8))</f>
      </c>
      <c r="F1374">
        <f>IF(INDEX(Transactions!$J:$J,ROW()-8)="",0,INDEX(Transactions!$O:$O,ROW()-8))</f>
      </c>
    </row>
    <row r="1375" spans="1:7">
      <c r="B1375">
        <f>IF(INDEX(Transactions!$J:$J,ROW()-8)="",TODAY(),INDEX(Transactions!$G:$G,ROW()-8))</f>
      </c>
      <c r="F1375">
        <f>IF(INDEX(Transactions!$J:$J,ROW()-8)="",0,INDEX(Transactions!$O:$O,ROW()-8))</f>
      </c>
    </row>
    <row r="1376" spans="1:7">
      <c r="B1376">
        <f>IF(INDEX(Transactions!$J:$J,ROW()-8)="",TODAY(),INDEX(Transactions!$G:$G,ROW()-8))</f>
      </c>
      <c r="F1376">
        <f>IF(INDEX(Transactions!$J:$J,ROW()-8)="",0,INDEX(Transactions!$O:$O,ROW()-8))</f>
      </c>
    </row>
    <row r="1377" spans="1:7">
      <c r="B1377">
        <f>IF(INDEX(Transactions!$J:$J,ROW()-8)="",TODAY(),INDEX(Transactions!$G:$G,ROW()-8))</f>
      </c>
      <c r="F1377">
        <f>IF(INDEX(Transactions!$J:$J,ROW()-8)="",0,INDEX(Transactions!$O:$O,ROW()-8))</f>
      </c>
    </row>
    <row r="1378" spans="1:7">
      <c r="B1378">
        <f>IF(INDEX(Transactions!$J:$J,ROW()-8)="",TODAY(),INDEX(Transactions!$G:$G,ROW()-8))</f>
      </c>
      <c r="F1378">
        <f>IF(INDEX(Transactions!$J:$J,ROW()-8)="",0,INDEX(Transactions!$O:$O,ROW()-8))</f>
      </c>
    </row>
    <row r="1379" spans="1:7">
      <c r="B1379">
        <f>IF(INDEX(Transactions!$J:$J,ROW()-8)="",TODAY(),INDEX(Transactions!$G:$G,ROW()-8))</f>
      </c>
      <c r="F1379">
        <f>IF(INDEX(Transactions!$J:$J,ROW()-8)="",0,INDEX(Transactions!$O:$O,ROW()-8))</f>
      </c>
    </row>
    <row r="1380" spans="1:7">
      <c r="B1380">
        <f>IF(INDEX(Transactions!$J:$J,ROW()-8)="",TODAY(),INDEX(Transactions!$G:$G,ROW()-8))</f>
      </c>
      <c r="F1380">
        <f>IF(INDEX(Transactions!$J:$J,ROW()-8)="",0,INDEX(Transactions!$O:$O,ROW()-8))</f>
      </c>
    </row>
    <row r="1381" spans="1:7">
      <c r="B1381">
        <f>IF(INDEX(Transactions!$J:$J,ROW()-8)="",TODAY(),INDEX(Transactions!$G:$G,ROW()-8))</f>
      </c>
      <c r="F1381">
        <f>IF(INDEX(Transactions!$J:$J,ROW()-8)="",0,INDEX(Transactions!$O:$O,ROW()-8))</f>
      </c>
    </row>
    <row r="1382" spans="1:7">
      <c r="B1382">
        <f>IF(INDEX(Transactions!$J:$J,ROW()-8)="",TODAY(),INDEX(Transactions!$G:$G,ROW()-8))</f>
      </c>
      <c r="F1382">
        <f>IF(INDEX(Transactions!$J:$J,ROW()-8)="",0,INDEX(Transactions!$O:$O,ROW()-8))</f>
      </c>
    </row>
    <row r="1383" spans="1:7">
      <c r="B1383">
        <f>IF(INDEX(Transactions!$J:$J,ROW()-8)="",TODAY(),INDEX(Transactions!$G:$G,ROW()-8))</f>
      </c>
      <c r="F1383">
        <f>IF(INDEX(Transactions!$J:$J,ROW()-8)="",0,INDEX(Transactions!$O:$O,ROW()-8))</f>
      </c>
    </row>
    <row r="1384" spans="1:7">
      <c r="B1384">
        <f>IF(INDEX(Transactions!$J:$J,ROW()-8)="",TODAY(),INDEX(Transactions!$G:$G,ROW()-8))</f>
      </c>
      <c r="F1384">
        <f>IF(INDEX(Transactions!$J:$J,ROW()-8)="",0,INDEX(Transactions!$O:$O,ROW()-8))</f>
      </c>
    </row>
    <row r="1385" spans="1:7">
      <c r="B1385">
        <f>IF(INDEX(Transactions!$J:$J,ROW()-8)="",TODAY(),INDEX(Transactions!$G:$G,ROW()-8))</f>
      </c>
      <c r="F1385">
        <f>IF(INDEX(Transactions!$J:$J,ROW()-8)="",0,INDEX(Transactions!$O:$O,ROW()-8))</f>
      </c>
    </row>
    <row r="1386" spans="1:7">
      <c r="B1386">
        <f>IF(INDEX(Transactions!$J:$J,ROW()-8)="",TODAY(),INDEX(Transactions!$G:$G,ROW()-8))</f>
      </c>
      <c r="F1386">
        <f>IF(INDEX(Transactions!$J:$J,ROW()-8)="",0,INDEX(Transactions!$O:$O,ROW()-8))</f>
      </c>
    </row>
    <row r="1387" spans="1:7">
      <c r="B1387">
        <f>IF(INDEX(Transactions!$J:$J,ROW()-8)="",TODAY(),INDEX(Transactions!$G:$G,ROW()-8))</f>
      </c>
      <c r="F1387">
        <f>IF(INDEX(Transactions!$J:$J,ROW()-8)="",0,INDEX(Transactions!$O:$O,ROW()-8))</f>
      </c>
    </row>
    <row r="1388" spans="1:7">
      <c r="B1388">
        <f>IF(INDEX(Transactions!$J:$J,ROW()-8)="",TODAY(),INDEX(Transactions!$G:$G,ROW()-8))</f>
      </c>
      <c r="F1388">
        <f>IF(INDEX(Transactions!$J:$J,ROW()-8)="",0,INDEX(Transactions!$O:$O,ROW()-8))</f>
      </c>
    </row>
    <row r="1389" spans="1:7">
      <c r="B1389">
        <f>IF(INDEX(Transactions!$J:$J,ROW()-8)="",TODAY(),INDEX(Transactions!$G:$G,ROW()-8))</f>
      </c>
      <c r="F1389">
        <f>IF(INDEX(Transactions!$J:$J,ROW()-8)="",0,INDEX(Transactions!$O:$O,ROW()-8))</f>
      </c>
    </row>
    <row r="1390" spans="1:7">
      <c r="B1390">
        <f>IF(INDEX(Transactions!$J:$J,ROW()-8)="",TODAY(),INDEX(Transactions!$G:$G,ROW()-8))</f>
      </c>
      <c r="F1390">
        <f>IF(INDEX(Transactions!$J:$J,ROW()-8)="",0,INDEX(Transactions!$O:$O,ROW()-8))</f>
      </c>
    </row>
    <row r="1391" spans="1:7">
      <c r="B1391">
        <f>IF(INDEX(Transactions!$J:$J,ROW()-8)="",TODAY(),INDEX(Transactions!$G:$G,ROW()-8))</f>
      </c>
      <c r="F1391">
        <f>IF(INDEX(Transactions!$J:$J,ROW()-8)="",0,INDEX(Transactions!$O:$O,ROW()-8))</f>
      </c>
    </row>
    <row r="1392" spans="1:7">
      <c r="B1392">
        <f>IF(INDEX(Transactions!$J:$J,ROW()-8)="",TODAY(),INDEX(Transactions!$G:$G,ROW()-8))</f>
      </c>
      <c r="F1392">
        <f>IF(INDEX(Transactions!$J:$J,ROW()-8)="",0,INDEX(Transactions!$O:$O,ROW()-8))</f>
      </c>
    </row>
    <row r="1393" spans="1:7">
      <c r="B1393">
        <f>IF(INDEX(Transactions!$J:$J,ROW()-8)="",TODAY(),INDEX(Transactions!$G:$G,ROW()-8))</f>
      </c>
      <c r="F1393">
        <f>IF(INDEX(Transactions!$J:$J,ROW()-8)="",0,INDEX(Transactions!$O:$O,ROW()-8))</f>
      </c>
    </row>
    <row r="1394" spans="1:7">
      <c r="B1394">
        <f>IF(INDEX(Transactions!$J:$J,ROW()-8)="",TODAY(),INDEX(Transactions!$G:$G,ROW()-8))</f>
      </c>
      <c r="F1394">
        <f>IF(INDEX(Transactions!$J:$J,ROW()-8)="",0,INDEX(Transactions!$O:$O,ROW()-8))</f>
      </c>
    </row>
    <row r="1395" spans="1:7">
      <c r="B1395">
        <f>IF(INDEX(Transactions!$J:$J,ROW()-8)="",TODAY(),INDEX(Transactions!$G:$G,ROW()-8))</f>
      </c>
      <c r="F1395">
        <f>IF(INDEX(Transactions!$J:$J,ROW()-8)="",0,INDEX(Transactions!$O:$O,ROW()-8))</f>
      </c>
    </row>
    <row r="1396" spans="1:7">
      <c r="B1396">
        <f>IF(INDEX(Transactions!$J:$J,ROW()-8)="",TODAY(),INDEX(Transactions!$G:$G,ROW()-8))</f>
      </c>
      <c r="F1396">
        <f>IF(INDEX(Transactions!$J:$J,ROW()-8)="",0,INDEX(Transactions!$O:$O,ROW()-8))</f>
      </c>
    </row>
    <row r="1397" spans="1:7">
      <c r="B1397">
        <f>IF(INDEX(Transactions!$J:$J,ROW()-8)="",TODAY(),INDEX(Transactions!$G:$G,ROW()-8))</f>
      </c>
      <c r="F1397">
        <f>IF(INDEX(Transactions!$J:$J,ROW()-8)="",0,INDEX(Transactions!$O:$O,ROW()-8))</f>
      </c>
    </row>
    <row r="1398" spans="1:7">
      <c r="B1398">
        <f>IF(INDEX(Transactions!$J:$J,ROW()-8)="",TODAY(),INDEX(Transactions!$G:$G,ROW()-8))</f>
      </c>
      <c r="F1398">
        <f>IF(INDEX(Transactions!$J:$J,ROW()-8)="",0,INDEX(Transactions!$O:$O,ROW()-8))</f>
      </c>
    </row>
    <row r="1399" spans="1:7">
      <c r="B1399">
        <f>IF(INDEX(Transactions!$J:$J,ROW()-8)="",TODAY(),INDEX(Transactions!$G:$G,ROW()-8))</f>
      </c>
      <c r="F1399">
        <f>IF(INDEX(Transactions!$J:$J,ROW()-8)="",0,INDEX(Transactions!$O:$O,ROW()-8))</f>
      </c>
    </row>
    <row r="1400" spans="1:7">
      <c r="B1400">
        <f>IF(INDEX(Transactions!$J:$J,ROW()-8)="",TODAY(),INDEX(Transactions!$G:$G,ROW()-8))</f>
      </c>
      <c r="F1400">
        <f>IF(INDEX(Transactions!$J:$J,ROW()-8)="",0,INDEX(Transactions!$O:$O,ROW()-8))</f>
      </c>
    </row>
    <row r="1401" spans="1:7">
      <c r="B1401">
        <f>IF(INDEX(Transactions!$J:$J,ROW()-8)="",TODAY(),INDEX(Transactions!$G:$G,ROW()-8))</f>
      </c>
      <c r="F1401">
        <f>IF(INDEX(Transactions!$J:$J,ROW()-8)="",0,INDEX(Transactions!$O:$O,ROW()-8))</f>
      </c>
    </row>
    <row r="1402" spans="1:7">
      <c r="B1402">
        <f>IF(INDEX(Transactions!$J:$J,ROW()-8)="",TODAY(),INDEX(Transactions!$G:$G,ROW()-8))</f>
      </c>
      <c r="F1402">
        <f>IF(INDEX(Transactions!$J:$J,ROW()-8)="",0,INDEX(Transactions!$O:$O,ROW()-8))</f>
      </c>
    </row>
    <row r="1403" spans="1:7">
      <c r="B1403">
        <f>IF(INDEX(Transactions!$J:$J,ROW()-8)="",TODAY(),INDEX(Transactions!$G:$G,ROW()-8))</f>
      </c>
      <c r="F1403">
        <f>IF(INDEX(Transactions!$J:$J,ROW()-8)="",0,INDEX(Transactions!$O:$O,ROW()-8))</f>
      </c>
    </row>
    <row r="1404" spans="1:7">
      <c r="B1404">
        <f>IF(INDEX(Transactions!$J:$J,ROW()-8)="",TODAY(),INDEX(Transactions!$G:$G,ROW()-8))</f>
      </c>
      <c r="F1404">
        <f>IF(INDEX(Transactions!$J:$J,ROW()-8)="",0,INDEX(Transactions!$O:$O,ROW()-8))</f>
      </c>
    </row>
    <row r="1405" spans="1:7">
      <c r="B1405">
        <f>IF(INDEX(Transactions!$J:$J,ROW()-8)="",TODAY(),INDEX(Transactions!$G:$G,ROW()-8))</f>
      </c>
      <c r="F1405">
        <f>IF(INDEX(Transactions!$J:$J,ROW()-8)="",0,INDEX(Transactions!$O:$O,ROW()-8))</f>
      </c>
    </row>
    <row r="1406" spans="1:7">
      <c r="B1406">
        <f>IF(INDEX(Transactions!$J:$J,ROW()-8)="",TODAY(),INDEX(Transactions!$G:$G,ROW()-8))</f>
      </c>
      <c r="F1406">
        <f>IF(INDEX(Transactions!$J:$J,ROW()-8)="",0,INDEX(Transactions!$O:$O,ROW()-8))</f>
      </c>
    </row>
    <row r="1407" spans="1:7">
      <c r="B1407">
        <f>IF(INDEX(Transactions!$J:$J,ROW()-8)="",TODAY(),INDEX(Transactions!$G:$G,ROW()-8))</f>
      </c>
      <c r="F1407">
        <f>IF(INDEX(Transactions!$J:$J,ROW()-8)="",0,INDEX(Transactions!$O:$O,ROW()-8))</f>
      </c>
    </row>
    <row r="1408" spans="1:7">
      <c r="B1408">
        <f>IF(INDEX(Transactions!$J:$J,ROW()-8)="",TODAY(),INDEX(Transactions!$G:$G,ROW()-8))</f>
      </c>
      <c r="F1408">
        <f>IF(INDEX(Transactions!$J:$J,ROW()-8)="",0,INDEX(Transactions!$O:$O,ROW()-8))</f>
      </c>
    </row>
    <row r="1409" spans="1:7">
      <c r="B1409">
        <f>IF(INDEX(Transactions!$J:$J,ROW()-8)="",TODAY(),INDEX(Transactions!$G:$G,ROW()-8))</f>
      </c>
      <c r="F1409">
        <f>IF(INDEX(Transactions!$J:$J,ROW()-8)="",0,INDEX(Transactions!$O:$O,ROW()-8))</f>
      </c>
    </row>
    <row r="1410" spans="1:7">
      <c r="B1410">
        <f>IF(INDEX(Transactions!$J:$J,ROW()-8)="",TODAY(),INDEX(Transactions!$G:$G,ROW()-8))</f>
      </c>
      <c r="F1410">
        <f>IF(INDEX(Transactions!$J:$J,ROW()-8)="",0,INDEX(Transactions!$O:$O,ROW()-8))</f>
      </c>
    </row>
    <row r="1411" spans="1:7">
      <c r="B1411">
        <f>IF(INDEX(Transactions!$J:$J,ROW()-8)="",TODAY(),INDEX(Transactions!$G:$G,ROW()-8))</f>
      </c>
      <c r="F1411">
        <f>IF(INDEX(Transactions!$J:$J,ROW()-8)="",0,INDEX(Transactions!$O:$O,ROW()-8))</f>
      </c>
    </row>
    <row r="1412" spans="1:7">
      <c r="B1412">
        <f>IF(INDEX(Transactions!$J:$J,ROW()-8)="",TODAY(),INDEX(Transactions!$G:$G,ROW()-8))</f>
      </c>
      <c r="F1412">
        <f>IF(INDEX(Transactions!$J:$J,ROW()-8)="",0,INDEX(Transactions!$O:$O,ROW()-8))</f>
      </c>
    </row>
    <row r="1413" spans="1:7">
      <c r="B1413">
        <f>IF(INDEX(Transactions!$J:$J,ROW()-8)="",TODAY(),INDEX(Transactions!$G:$G,ROW()-8))</f>
      </c>
      <c r="F1413">
        <f>IF(INDEX(Transactions!$J:$J,ROW()-8)="",0,INDEX(Transactions!$O:$O,ROW()-8))</f>
      </c>
    </row>
    <row r="1414" spans="1:7">
      <c r="B1414">
        <f>IF(INDEX(Transactions!$J:$J,ROW()-8)="",TODAY(),INDEX(Transactions!$G:$G,ROW()-8))</f>
      </c>
      <c r="F1414">
        <f>IF(INDEX(Transactions!$J:$J,ROW()-8)="",0,INDEX(Transactions!$O:$O,ROW()-8))</f>
      </c>
    </row>
    <row r="1415" spans="1:7">
      <c r="B1415">
        <f>IF(INDEX(Transactions!$J:$J,ROW()-8)="",TODAY(),INDEX(Transactions!$G:$G,ROW()-8))</f>
      </c>
      <c r="F1415">
        <f>IF(INDEX(Transactions!$J:$J,ROW()-8)="",0,INDEX(Transactions!$O:$O,ROW()-8))</f>
      </c>
    </row>
    <row r="1416" spans="1:7">
      <c r="B1416">
        <f>IF(INDEX(Transactions!$J:$J,ROW()-8)="",TODAY(),INDEX(Transactions!$G:$G,ROW()-8))</f>
      </c>
      <c r="F1416">
        <f>IF(INDEX(Transactions!$J:$J,ROW()-8)="",0,INDEX(Transactions!$O:$O,ROW()-8))</f>
      </c>
    </row>
    <row r="1417" spans="1:7">
      <c r="B1417">
        <f>IF(INDEX(Transactions!$J:$J,ROW()-8)="",TODAY(),INDEX(Transactions!$G:$G,ROW()-8))</f>
      </c>
      <c r="F1417">
        <f>IF(INDEX(Transactions!$J:$J,ROW()-8)="",0,INDEX(Transactions!$O:$O,ROW()-8))</f>
      </c>
    </row>
    <row r="1418" spans="1:7">
      <c r="B1418">
        <f>IF(INDEX(Transactions!$J:$J,ROW()-8)="",TODAY(),INDEX(Transactions!$G:$G,ROW()-8))</f>
      </c>
      <c r="F1418">
        <f>IF(INDEX(Transactions!$J:$J,ROW()-8)="",0,INDEX(Transactions!$O:$O,ROW()-8))</f>
      </c>
    </row>
    <row r="1419" spans="1:7">
      <c r="B1419">
        <f>IF(INDEX(Transactions!$J:$J,ROW()-8)="",TODAY(),INDEX(Transactions!$G:$G,ROW()-8))</f>
      </c>
      <c r="F1419">
        <f>IF(INDEX(Transactions!$J:$J,ROW()-8)="",0,INDEX(Transactions!$O:$O,ROW()-8))</f>
      </c>
    </row>
    <row r="1420" spans="1:7">
      <c r="B1420">
        <f>IF(INDEX(Transactions!$J:$J,ROW()-8)="",TODAY(),INDEX(Transactions!$G:$G,ROW()-8))</f>
      </c>
      <c r="F1420">
        <f>IF(INDEX(Transactions!$J:$J,ROW()-8)="",0,INDEX(Transactions!$O:$O,ROW()-8))</f>
      </c>
    </row>
    <row r="1421" spans="1:7">
      <c r="B1421">
        <f>IF(INDEX(Transactions!$J:$J,ROW()-8)="",TODAY(),INDEX(Transactions!$G:$G,ROW()-8))</f>
      </c>
      <c r="F1421">
        <f>IF(INDEX(Transactions!$J:$J,ROW()-8)="",0,INDEX(Transactions!$O:$O,ROW()-8))</f>
      </c>
    </row>
    <row r="1422" spans="1:7">
      <c r="B1422">
        <f>IF(INDEX(Transactions!$J:$J,ROW()-8)="",TODAY(),INDEX(Transactions!$G:$G,ROW()-8))</f>
      </c>
      <c r="F1422">
        <f>IF(INDEX(Transactions!$J:$J,ROW()-8)="",0,INDEX(Transactions!$O:$O,ROW()-8))</f>
      </c>
    </row>
    <row r="1423" spans="1:7">
      <c r="B1423">
        <f>IF(INDEX(Transactions!$J:$J,ROW()-8)="",TODAY(),INDEX(Transactions!$G:$G,ROW()-8))</f>
      </c>
      <c r="F1423">
        <f>IF(INDEX(Transactions!$J:$J,ROW()-8)="",0,INDEX(Transactions!$O:$O,ROW()-8))</f>
      </c>
    </row>
    <row r="1424" spans="1:7">
      <c r="B1424">
        <f>IF(INDEX(Transactions!$J:$J,ROW()-8)="",TODAY(),INDEX(Transactions!$G:$G,ROW()-8))</f>
      </c>
      <c r="F1424">
        <f>IF(INDEX(Transactions!$J:$J,ROW()-8)="",0,INDEX(Transactions!$O:$O,ROW()-8))</f>
      </c>
    </row>
    <row r="1425" spans="1:7">
      <c r="B1425">
        <f>IF(INDEX(Transactions!$J:$J,ROW()-8)="",TODAY(),INDEX(Transactions!$G:$G,ROW()-8))</f>
      </c>
      <c r="F1425">
        <f>IF(INDEX(Transactions!$J:$J,ROW()-8)="",0,INDEX(Transactions!$O:$O,ROW()-8))</f>
      </c>
    </row>
    <row r="1426" spans="1:7">
      <c r="B1426">
        <f>IF(INDEX(Transactions!$J:$J,ROW()-8)="",TODAY(),INDEX(Transactions!$G:$G,ROW()-8))</f>
      </c>
      <c r="F1426">
        <f>IF(INDEX(Transactions!$J:$J,ROW()-8)="",0,INDEX(Transactions!$O:$O,ROW()-8))</f>
      </c>
    </row>
    <row r="1427" spans="1:7">
      <c r="B1427">
        <f>IF(INDEX(Transactions!$J:$J,ROW()-8)="",TODAY(),INDEX(Transactions!$G:$G,ROW()-8))</f>
      </c>
      <c r="F1427">
        <f>IF(INDEX(Transactions!$J:$J,ROW()-8)="",0,INDEX(Transactions!$O:$O,ROW()-8))</f>
      </c>
    </row>
    <row r="1428" spans="1:7">
      <c r="B1428">
        <f>IF(INDEX(Transactions!$J:$J,ROW()-8)="",TODAY(),INDEX(Transactions!$G:$G,ROW()-8))</f>
      </c>
      <c r="F1428">
        <f>IF(INDEX(Transactions!$J:$J,ROW()-8)="",0,INDEX(Transactions!$O:$O,ROW()-8))</f>
      </c>
    </row>
    <row r="1429" spans="1:7">
      <c r="B1429">
        <f>IF(INDEX(Transactions!$J:$J,ROW()-8)="",TODAY(),INDEX(Transactions!$G:$G,ROW()-8))</f>
      </c>
      <c r="F1429">
        <f>IF(INDEX(Transactions!$J:$J,ROW()-8)="",0,INDEX(Transactions!$O:$O,ROW()-8))</f>
      </c>
    </row>
    <row r="1430" spans="1:7">
      <c r="B1430">
        <f>IF(INDEX(Transactions!$J:$J,ROW()-8)="",TODAY(),INDEX(Transactions!$G:$G,ROW()-8))</f>
      </c>
      <c r="F1430">
        <f>IF(INDEX(Transactions!$J:$J,ROW()-8)="",0,INDEX(Transactions!$O:$O,ROW()-8))</f>
      </c>
    </row>
    <row r="1431" spans="1:7">
      <c r="B1431">
        <f>IF(INDEX(Transactions!$J:$J,ROW()-8)="",TODAY(),INDEX(Transactions!$G:$G,ROW()-8))</f>
      </c>
      <c r="F1431">
        <f>IF(INDEX(Transactions!$J:$J,ROW()-8)="",0,INDEX(Transactions!$O:$O,ROW()-8))</f>
      </c>
    </row>
    <row r="1432" spans="1:7">
      <c r="B1432">
        <f>IF(INDEX(Transactions!$J:$J,ROW()-8)="",TODAY(),INDEX(Transactions!$G:$G,ROW()-8))</f>
      </c>
      <c r="F1432">
        <f>IF(INDEX(Transactions!$J:$J,ROW()-8)="",0,INDEX(Transactions!$O:$O,ROW()-8))</f>
      </c>
    </row>
    <row r="1433" spans="1:7">
      <c r="B1433">
        <f>IF(INDEX(Transactions!$J:$J,ROW()-8)="",TODAY(),INDEX(Transactions!$G:$G,ROW()-8))</f>
      </c>
      <c r="F1433">
        <f>IF(INDEX(Transactions!$J:$J,ROW()-8)="",0,INDEX(Transactions!$O:$O,ROW()-8))</f>
      </c>
    </row>
    <row r="1434" spans="1:7">
      <c r="B1434">
        <f>IF(INDEX(Transactions!$J:$J,ROW()-8)="",TODAY(),INDEX(Transactions!$G:$G,ROW()-8))</f>
      </c>
      <c r="F1434">
        <f>IF(INDEX(Transactions!$J:$J,ROW()-8)="",0,INDEX(Transactions!$O:$O,ROW()-8))</f>
      </c>
    </row>
    <row r="1435" spans="1:7">
      <c r="B1435">
        <f>IF(INDEX(Transactions!$J:$J,ROW()-8)="",TODAY(),INDEX(Transactions!$G:$G,ROW()-8))</f>
      </c>
      <c r="F1435">
        <f>IF(INDEX(Transactions!$J:$J,ROW()-8)="",0,INDEX(Transactions!$O:$O,ROW()-8))</f>
      </c>
    </row>
    <row r="1436" spans="1:7">
      <c r="B1436">
        <f>IF(INDEX(Transactions!$J:$J,ROW()-8)="",TODAY(),INDEX(Transactions!$G:$G,ROW()-8))</f>
      </c>
      <c r="F1436">
        <f>IF(INDEX(Transactions!$J:$J,ROW()-8)="",0,INDEX(Transactions!$O:$O,ROW()-8))</f>
      </c>
    </row>
    <row r="1437" spans="1:7">
      <c r="B1437">
        <f>IF(INDEX(Transactions!$J:$J,ROW()-8)="",TODAY(),INDEX(Transactions!$G:$G,ROW()-8))</f>
      </c>
      <c r="F1437">
        <f>IF(INDEX(Transactions!$J:$J,ROW()-8)="",0,INDEX(Transactions!$O:$O,ROW()-8))</f>
      </c>
    </row>
    <row r="1438" spans="1:7">
      <c r="B1438">
        <f>IF(INDEX(Transactions!$J:$J,ROW()-8)="",TODAY(),INDEX(Transactions!$G:$G,ROW()-8))</f>
      </c>
      <c r="F1438">
        <f>IF(INDEX(Transactions!$J:$J,ROW()-8)="",0,INDEX(Transactions!$O:$O,ROW()-8))</f>
      </c>
    </row>
    <row r="1439" spans="1:7">
      <c r="B1439">
        <f>IF(INDEX(Transactions!$J:$J,ROW()-8)="",TODAY(),INDEX(Transactions!$G:$G,ROW()-8))</f>
      </c>
      <c r="F1439">
        <f>IF(INDEX(Transactions!$J:$J,ROW()-8)="",0,INDEX(Transactions!$O:$O,ROW()-8))</f>
      </c>
    </row>
    <row r="1440" spans="1:7">
      <c r="B1440">
        <f>IF(INDEX(Transactions!$J:$J,ROW()-8)="",TODAY(),INDEX(Transactions!$G:$G,ROW()-8))</f>
      </c>
      <c r="F1440">
        <f>IF(INDEX(Transactions!$J:$J,ROW()-8)="",0,INDEX(Transactions!$O:$O,ROW()-8))</f>
      </c>
    </row>
    <row r="1441" spans="1:7">
      <c r="B1441">
        <f>IF(INDEX(Transactions!$J:$J,ROW()-8)="",TODAY(),INDEX(Transactions!$G:$G,ROW()-8))</f>
      </c>
      <c r="F1441">
        <f>IF(INDEX(Transactions!$J:$J,ROW()-8)="",0,INDEX(Transactions!$O:$O,ROW()-8))</f>
      </c>
    </row>
    <row r="1442" spans="1:7">
      <c r="B1442">
        <f>IF(INDEX(Transactions!$J:$J,ROW()-8)="",TODAY(),INDEX(Transactions!$G:$G,ROW()-8))</f>
      </c>
      <c r="F1442">
        <f>IF(INDEX(Transactions!$J:$J,ROW()-8)="",0,INDEX(Transactions!$O:$O,ROW()-8))</f>
      </c>
    </row>
    <row r="1443" spans="1:7">
      <c r="B1443">
        <f>IF(INDEX(Transactions!$J:$J,ROW()-8)="",TODAY(),INDEX(Transactions!$G:$G,ROW()-8))</f>
      </c>
      <c r="F1443">
        <f>IF(INDEX(Transactions!$J:$J,ROW()-8)="",0,INDEX(Transactions!$O:$O,ROW()-8))</f>
      </c>
    </row>
    <row r="1444" spans="1:7">
      <c r="B1444">
        <f>IF(INDEX(Transactions!$J:$J,ROW()-8)="",TODAY(),INDEX(Transactions!$G:$G,ROW()-8))</f>
      </c>
      <c r="F1444">
        <f>IF(INDEX(Transactions!$J:$J,ROW()-8)="",0,INDEX(Transactions!$O:$O,ROW()-8))</f>
      </c>
    </row>
    <row r="1445" spans="1:7">
      <c r="B1445">
        <f>IF(INDEX(Transactions!$J:$J,ROW()-8)="",TODAY(),INDEX(Transactions!$G:$G,ROW()-8))</f>
      </c>
      <c r="F1445">
        <f>IF(INDEX(Transactions!$J:$J,ROW()-8)="",0,INDEX(Transactions!$O:$O,ROW()-8))</f>
      </c>
    </row>
    <row r="1446" spans="1:7">
      <c r="B1446">
        <f>IF(INDEX(Transactions!$J:$J,ROW()-8)="",TODAY(),INDEX(Transactions!$G:$G,ROW()-8))</f>
      </c>
      <c r="F1446">
        <f>IF(INDEX(Transactions!$J:$J,ROW()-8)="",0,INDEX(Transactions!$O:$O,ROW()-8))</f>
      </c>
    </row>
    <row r="1447" spans="1:7">
      <c r="B1447">
        <f>IF(INDEX(Transactions!$J:$J,ROW()-8)="",TODAY(),INDEX(Transactions!$G:$G,ROW()-8))</f>
      </c>
      <c r="F1447">
        <f>IF(INDEX(Transactions!$J:$J,ROW()-8)="",0,INDEX(Transactions!$O:$O,ROW()-8))</f>
      </c>
    </row>
    <row r="1448" spans="1:7">
      <c r="B1448">
        <f>IF(INDEX(Transactions!$J:$J,ROW()-8)="",TODAY(),INDEX(Transactions!$G:$G,ROW()-8))</f>
      </c>
      <c r="F1448">
        <f>IF(INDEX(Transactions!$J:$J,ROW()-8)="",0,INDEX(Transactions!$O:$O,ROW()-8))</f>
      </c>
    </row>
    <row r="1449" spans="1:7">
      <c r="B1449">
        <f>IF(INDEX(Transactions!$J:$J,ROW()-8)="",TODAY(),INDEX(Transactions!$G:$G,ROW()-8))</f>
      </c>
      <c r="F1449">
        <f>IF(INDEX(Transactions!$J:$J,ROW()-8)="",0,INDEX(Transactions!$O:$O,ROW()-8))</f>
      </c>
    </row>
    <row r="1450" spans="1:7">
      <c r="B1450">
        <f>IF(INDEX(Transactions!$J:$J,ROW()-8)="",TODAY(),INDEX(Transactions!$G:$G,ROW()-8))</f>
      </c>
      <c r="F1450">
        <f>IF(INDEX(Transactions!$J:$J,ROW()-8)="",0,INDEX(Transactions!$O:$O,ROW()-8))</f>
      </c>
    </row>
    <row r="1451" spans="1:7">
      <c r="B1451">
        <f>IF(INDEX(Transactions!$J:$J,ROW()-8)="",TODAY(),INDEX(Transactions!$G:$G,ROW()-8))</f>
      </c>
      <c r="F1451">
        <f>IF(INDEX(Transactions!$J:$J,ROW()-8)="",0,INDEX(Transactions!$O:$O,ROW()-8))</f>
      </c>
    </row>
    <row r="1452" spans="1:7">
      <c r="B1452">
        <f>IF(INDEX(Transactions!$J:$J,ROW()-8)="",TODAY(),INDEX(Transactions!$G:$G,ROW()-8))</f>
      </c>
      <c r="F1452">
        <f>IF(INDEX(Transactions!$J:$J,ROW()-8)="",0,INDEX(Transactions!$O:$O,ROW()-8))</f>
      </c>
    </row>
    <row r="1453" spans="1:7">
      <c r="B1453">
        <f>IF(INDEX(Transactions!$J:$J,ROW()-8)="",TODAY(),INDEX(Transactions!$G:$G,ROW()-8))</f>
      </c>
      <c r="F1453">
        <f>IF(INDEX(Transactions!$J:$J,ROW()-8)="",0,INDEX(Transactions!$O:$O,ROW()-8))</f>
      </c>
    </row>
    <row r="1454" spans="1:7">
      <c r="B1454">
        <f>IF(INDEX(Transactions!$J:$J,ROW()-8)="",TODAY(),INDEX(Transactions!$G:$G,ROW()-8))</f>
      </c>
      <c r="F1454">
        <f>IF(INDEX(Transactions!$J:$J,ROW()-8)="",0,INDEX(Transactions!$O:$O,ROW()-8))</f>
      </c>
    </row>
    <row r="1455" spans="1:7">
      <c r="B1455">
        <f>IF(INDEX(Transactions!$J:$J,ROW()-8)="",TODAY(),INDEX(Transactions!$G:$G,ROW()-8))</f>
      </c>
      <c r="F1455">
        <f>IF(INDEX(Transactions!$J:$J,ROW()-8)="",0,INDEX(Transactions!$O:$O,ROW()-8))</f>
      </c>
    </row>
    <row r="1456" spans="1:7">
      <c r="B1456">
        <f>IF(INDEX(Transactions!$J:$J,ROW()-8)="",TODAY(),INDEX(Transactions!$G:$G,ROW()-8))</f>
      </c>
      <c r="F1456">
        <f>IF(INDEX(Transactions!$J:$J,ROW()-8)="",0,INDEX(Transactions!$O:$O,ROW()-8))</f>
      </c>
    </row>
    <row r="1457" spans="1:7">
      <c r="B1457">
        <f>IF(INDEX(Transactions!$J:$J,ROW()-8)="",TODAY(),INDEX(Transactions!$G:$G,ROW()-8))</f>
      </c>
      <c r="F1457">
        <f>IF(INDEX(Transactions!$J:$J,ROW()-8)="",0,INDEX(Transactions!$O:$O,ROW()-8))</f>
      </c>
    </row>
    <row r="1458" spans="1:7">
      <c r="B1458">
        <f>IF(INDEX(Transactions!$J:$J,ROW()-8)="",TODAY(),INDEX(Transactions!$G:$G,ROW()-8))</f>
      </c>
      <c r="F1458">
        <f>IF(INDEX(Transactions!$J:$J,ROW()-8)="",0,INDEX(Transactions!$O:$O,ROW()-8))</f>
      </c>
    </row>
    <row r="1459" spans="1:7">
      <c r="B1459">
        <f>IF(INDEX(Transactions!$J:$J,ROW()-8)="",TODAY(),INDEX(Transactions!$G:$G,ROW()-8))</f>
      </c>
      <c r="F1459">
        <f>IF(INDEX(Transactions!$J:$J,ROW()-8)="",0,INDEX(Transactions!$O:$O,ROW()-8))</f>
      </c>
    </row>
    <row r="1460" spans="1:7">
      <c r="B1460">
        <f>IF(INDEX(Transactions!$J:$J,ROW()-8)="",TODAY(),INDEX(Transactions!$G:$G,ROW()-8))</f>
      </c>
      <c r="F1460">
        <f>IF(INDEX(Transactions!$J:$J,ROW()-8)="",0,INDEX(Transactions!$O:$O,ROW()-8))</f>
      </c>
    </row>
    <row r="1461" spans="1:7">
      <c r="B1461">
        <f>IF(INDEX(Transactions!$J:$J,ROW()-8)="",TODAY(),INDEX(Transactions!$G:$G,ROW()-8))</f>
      </c>
      <c r="F1461">
        <f>IF(INDEX(Transactions!$J:$J,ROW()-8)="",0,INDEX(Transactions!$O:$O,ROW()-8))</f>
      </c>
    </row>
    <row r="1462" spans="1:7">
      <c r="B1462">
        <f>IF(INDEX(Transactions!$J:$J,ROW()-8)="",TODAY(),INDEX(Transactions!$G:$G,ROW()-8))</f>
      </c>
      <c r="F1462">
        <f>IF(INDEX(Transactions!$J:$J,ROW()-8)="",0,INDEX(Transactions!$O:$O,ROW()-8))</f>
      </c>
    </row>
    <row r="1463" spans="1:7">
      <c r="B1463">
        <f>IF(INDEX(Transactions!$J:$J,ROW()-8)="",TODAY(),INDEX(Transactions!$G:$G,ROW()-8))</f>
      </c>
      <c r="F1463">
        <f>IF(INDEX(Transactions!$J:$J,ROW()-8)="",0,INDEX(Transactions!$O:$O,ROW()-8))</f>
      </c>
    </row>
    <row r="1464" spans="1:7">
      <c r="B1464">
        <f>IF(INDEX(Transactions!$J:$J,ROW()-8)="",TODAY(),INDEX(Transactions!$G:$G,ROW()-8))</f>
      </c>
      <c r="F1464">
        <f>IF(INDEX(Transactions!$J:$J,ROW()-8)="",0,INDEX(Transactions!$O:$O,ROW()-8))</f>
      </c>
    </row>
    <row r="1465" spans="1:7">
      <c r="B1465">
        <f>IF(INDEX(Transactions!$J:$J,ROW()-8)="",TODAY(),INDEX(Transactions!$G:$G,ROW()-8))</f>
      </c>
      <c r="F1465">
        <f>IF(INDEX(Transactions!$J:$J,ROW()-8)="",0,INDEX(Transactions!$O:$O,ROW()-8))</f>
      </c>
    </row>
    <row r="1466" spans="1:7">
      <c r="B1466">
        <f>IF(INDEX(Transactions!$J:$J,ROW()-8)="",TODAY(),INDEX(Transactions!$G:$G,ROW()-8))</f>
      </c>
      <c r="F1466">
        <f>IF(INDEX(Transactions!$J:$J,ROW()-8)="",0,INDEX(Transactions!$O:$O,ROW()-8))</f>
      </c>
    </row>
    <row r="1467" spans="1:7">
      <c r="B1467">
        <f>IF(INDEX(Transactions!$J:$J,ROW()-8)="",TODAY(),INDEX(Transactions!$G:$G,ROW()-8))</f>
      </c>
      <c r="F1467">
        <f>IF(INDEX(Transactions!$J:$J,ROW()-8)="",0,INDEX(Transactions!$O:$O,ROW()-8))</f>
      </c>
    </row>
    <row r="1468" spans="1:7">
      <c r="B1468">
        <f>IF(INDEX(Transactions!$J:$J,ROW()-8)="",TODAY(),INDEX(Transactions!$G:$G,ROW()-8))</f>
      </c>
      <c r="F1468">
        <f>IF(INDEX(Transactions!$J:$J,ROW()-8)="",0,INDEX(Transactions!$O:$O,ROW()-8))</f>
      </c>
    </row>
    <row r="1469" spans="1:7">
      <c r="B1469">
        <f>IF(INDEX(Transactions!$J:$J,ROW()-8)="",TODAY(),INDEX(Transactions!$G:$G,ROW()-8))</f>
      </c>
      <c r="F1469">
        <f>IF(INDEX(Transactions!$J:$J,ROW()-8)="",0,INDEX(Transactions!$O:$O,ROW()-8))</f>
      </c>
    </row>
    <row r="1470" spans="1:7">
      <c r="B1470">
        <f>IF(INDEX(Transactions!$J:$J,ROW()-8)="",TODAY(),INDEX(Transactions!$G:$G,ROW()-8))</f>
      </c>
      <c r="F1470">
        <f>IF(INDEX(Transactions!$J:$J,ROW()-8)="",0,INDEX(Transactions!$O:$O,ROW()-8))</f>
      </c>
    </row>
    <row r="1471" spans="1:7">
      <c r="B1471">
        <f>IF(INDEX(Transactions!$J:$J,ROW()-8)="",TODAY(),INDEX(Transactions!$G:$G,ROW()-8))</f>
      </c>
      <c r="F1471">
        <f>IF(INDEX(Transactions!$J:$J,ROW()-8)="",0,INDEX(Transactions!$O:$O,ROW()-8))</f>
      </c>
    </row>
    <row r="1472" spans="1:7">
      <c r="B1472">
        <f>IF(INDEX(Transactions!$J:$J,ROW()-8)="",TODAY(),INDEX(Transactions!$G:$G,ROW()-8))</f>
      </c>
      <c r="F1472">
        <f>IF(INDEX(Transactions!$J:$J,ROW()-8)="",0,INDEX(Transactions!$O:$O,ROW()-8))</f>
      </c>
    </row>
    <row r="1473" spans="1:7">
      <c r="B1473">
        <f>IF(INDEX(Transactions!$J:$J,ROW()-8)="",TODAY(),INDEX(Transactions!$G:$G,ROW()-8))</f>
      </c>
      <c r="F1473">
        <f>IF(INDEX(Transactions!$J:$J,ROW()-8)="",0,INDEX(Transactions!$O:$O,ROW()-8))</f>
      </c>
    </row>
    <row r="1474" spans="1:7">
      <c r="B1474">
        <f>IF(INDEX(Transactions!$J:$J,ROW()-8)="",TODAY(),INDEX(Transactions!$G:$G,ROW()-8))</f>
      </c>
      <c r="F1474">
        <f>IF(INDEX(Transactions!$J:$J,ROW()-8)="",0,INDEX(Transactions!$O:$O,ROW()-8))</f>
      </c>
    </row>
    <row r="1475" spans="1:7">
      <c r="B1475">
        <f>IF(INDEX(Transactions!$J:$J,ROW()-8)="",TODAY(),INDEX(Transactions!$G:$G,ROW()-8))</f>
      </c>
      <c r="F1475">
        <f>IF(INDEX(Transactions!$J:$J,ROW()-8)="",0,INDEX(Transactions!$O:$O,ROW()-8))</f>
      </c>
    </row>
    <row r="1476" spans="1:7">
      <c r="B1476">
        <f>IF(INDEX(Transactions!$J:$J,ROW()-8)="",TODAY(),INDEX(Transactions!$G:$G,ROW()-8))</f>
      </c>
      <c r="F1476">
        <f>IF(INDEX(Transactions!$J:$J,ROW()-8)="",0,INDEX(Transactions!$O:$O,ROW()-8))</f>
      </c>
    </row>
    <row r="1477" spans="1:7">
      <c r="B1477">
        <f>IF(INDEX(Transactions!$J:$J,ROW()-8)="",TODAY(),INDEX(Transactions!$G:$G,ROW()-8))</f>
      </c>
      <c r="F1477">
        <f>IF(INDEX(Transactions!$J:$J,ROW()-8)="",0,INDEX(Transactions!$O:$O,ROW()-8))</f>
      </c>
    </row>
    <row r="1478" spans="1:7">
      <c r="B1478">
        <f>IF(INDEX(Transactions!$J:$J,ROW()-8)="",TODAY(),INDEX(Transactions!$G:$G,ROW()-8))</f>
      </c>
      <c r="F1478">
        <f>IF(INDEX(Transactions!$J:$J,ROW()-8)="",0,INDEX(Transactions!$O:$O,ROW()-8))</f>
      </c>
    </row>
    <row r="1479" spans="1:7">
      <c r="B1479">
        <f>IF(INDEX(Transactions!$J:$J,ROW()-8)="",TODAY(),INDEX(Transactions!$G:$G,ROW()-8))</f>
      </c>
      <c r="F1479">
        <f>IF(INDEX(Transactions!$J:$J,ROW()-8)="",0,INDEX(Transactions!$O:$O,ROW()-8))</f>
      </c>
    </row>
    <row r="1480" spans="1:7">
      <c r="B1480">
        <f>IF(INDEX(Transactions!$J:$J,ROW()-8)="",TODAY(),INDEX(Transactions!$G:$G,ROW()-8))</f>
      </c>
      <c r="F1480">
        <f>IF(INDEX(Transactions!$J:$J,ROW()-8)="",0,INDEX(Transactions!$O:$O,ROW()-8))</f>
      </c>
    </row>
    <row r="1481" spans="1:7">
      <c r="B1481">
        <f>IF(INDEX(Transactions!$J:$J,ROW()-8)="",TODAY(),INDEX(Transactions!$G:$G,ROW()-8))</f>
      </c>
      <c r="F1481">
        <f>IF(INDEX(Transactions!$J:$J,ROW()-8)="",0,INDEX(Transactions!$O:$O,ROW()-8))</f>
      </c>
    </row>
    <row r="1482" spans="1:7">
      <c r="B1482">
        <f>IF(INDEX(Transactions!$J:$J,ROW()-8)="",TODAY(),INDEX(Transactions!$G:$G,ROW()-8))</f>
      </c>
      <c r="F1482">
        <f>IF(INDEX(Transactions!$J:$J,ROW()-8)="",0,INDEX(Transactions!$O:$O,ROW()-8))</f>
      </c>
    </row>
    <row r="1483" spans="1:7">
      <c r="B1483">
        <f>IF(INDEX(Transactions!$J:$J,ROW()-8)="",TODAY(),INDEX(Transactions!$G:$G,ROW()-8))</f>
      </c>
      <c r="F1483">
        <f>IF(INDEX(Transactions!$J:$J,ROW()-8)="",0,INDEX(Transactions!$O:$O,ROW()-8))</f>
      </c>
    </row>
    <row r="1484" spans="1:7">
      <c r="B1484">
        <f>IF(INDEX(Transactions!$J:$J,ROW()-8)="",TODAY(),INDEX(Transactions!$G:$G,ROW()-8))</f>
      </c>
      <c r="F1484">
        <f>IF(INDEX(Transactions!$J:$J,ROW()-8)="",0,INDEX(Transactions!$O:$O,ROW()-8))</f>
      </c>
    </row>
    <row r="1485" spans="1:7">
      <c r="B1485">
        <f>IF(INDEX(Transactions!$J:$J,ROW()-8)="",TODAY(),INDEX(Transactions!$G:$G,ROW()-8))</f>
      </c>
      <c r="F1485">
        <f>IF(INDEX(Transactions!$J:$J,ROW()-8)="",0,INDEX(Transactions!$O:$O,ROW()-8))</f>
      </c>
    </row>
    <row r="1486" spans="1:7">
      <c r="B1486">
        <f>IF(INDEX(Transactions!$J:$J,ROW()-8)="",TODAY(),INDEX(Transactions!$G:$G,ROW()-8))</f>
      </c>
      <c r="F1486">
        <f>IF(INDEX(Transactions!$J:$J,ROW()-8)="",0,INDEX(Transactions!$O:$O,ROW()-8))</f>
      </c>
    </row>
    <row r="1487" spans="1:7">
      <c r="B1487">
        <f>IF(INDEX(Transactions!$J:$J,ROW()-8)="",TODAY(),INDEX(Transactions!$G:$G,ROW()-8))</f>
      </c>
      <c r="F1487">
        <f>IF(INDEX(Transactions!$J:$J,ROW()-8)="",0,INDEX(Transactions!$O:$O,ROW()-8))</f>
      </c>
    </row>
    <row r="1488" spans="1:7">
      <c r="B1488">
        <f>IF(INDEX(Transactions!$J:$J,ROW()-8)="",TODAY(),INDEX(Transactions!$G:$G,ROW()-8))</f>
      </c>
      <c r="F1488">
        <f>IF(INDEX(Transactions!$J:$J,ROW()-8)="",0,INDEX(Transactions!$O:$O,ROW()-8))</f>
      </c>
    </row>
    <row r="1489" spans="1:7">
      <c r="B1489">
        <f>IF(INDEX(Transactions!$J:$J,ROW()-8)="",TODAY(),INDEX(Transactions!$G:$G,ROW()-8))</f>
      </c>
      <c r="F1489">
        <f>IF(INDEX(Transactions!$J:$J,ROW()-8)="",0,INDEX(Transactions!$O:$O,ROW()-8))</f>
      </c>
    </row>
    <row r="1490" spans="1:7">
      <c r="B1490">
        <f>IF(INDEX(Transactions!$J:$J,ROW()-8)="",TODAY(),INDEX(Transactions!$G:$G,ROW()-8))</f>
      </c>
      <c r="F1490">
        <f>IF(INDEX(Transactions!$J:$J,ROW()-8)="",0,INDEX(Transactions!$O:$O,ROW()-8))</f>
      </c>
    </row>
    <row r="1491" spans="1:7">
      <c r="B1491">
        <f>IF(INDEX(Transactions!$J:$J,ROW()-8)="",TODAY(),INDEX(Transactions!$G:$G,ROW()-8))</f>
      </c>
      <c r="F1491">
        <f>IF(INDEX(Transactions!$J:$J,ROW()-8)="",0,INDEX(Transactions!$O:$O,ROW()-8))</f>
      </c>
    </row>
    <row r="1492" spans="1:7">
      <c r="B1492">
        <f>IF(INDEX(Transactions!$J:$J,ROW()-8)="",TODAY(),INDEX(Transactions!$G:$G,ROW()-8))</f>
      </c>
      <c r="F1492">
        <f>IF(INDEX(Transactions!$J:$J,ROW()-8)="",0,INDEX(Transactions!$O:$O,ROW()-8))</f>
      </c>
    </row>
    <row r="1493" spans="1:7">
      <c r="B1493">
        <f>IF(INDEX(Transactions!$J:$J,ROW()-8)="",TODAY(),INDEX(Transactions!$G:$G,ROW()-8))</f>
      </c>
      <c r="F1493">
        <f>IF(INDEX(Transactions!$J:$J,ROW()-8)="",0,INDEX(Transactions!$O:$O,ROW()-8))</f>
      </c>
    </row>
    <row r="1494" spans="1:7">
      <c r="B1494">
        <f>IF(INDEX(Transactions!$J:$J,ROW()-8)="",TODAY(),INDEX(Transactions!$G:$G,ROW()-8))</f>
      </c>
      <c r="F1494">
        <f>IF(INDEX(Transactions!$J:$J,ROW()-8)="",0,INDEX(Transactions!$O:$O,ROW()-8))</f>
      </c>
    </row>
    <row r="1495" spans="1:7">
      <c r="B1495">
        <f>IF(INDEX(Transactions!$J:$J,ROW()-8)="",TODAY(),INDEX(Transactions!$G:$G,ROW()-8))</f>
      </c>
      <c r="F1495">
        <f>IF(INDEX(Transactions!$J:$J,ROW()-8)="",0,INDEX(Transactions!$O:$O,ROW()-8))</f>
      </c>
    </row>
    <row r="1496" spans="1:7">
      <c r="B1496">
        <f>IF(INDEX(Transactions!$J:$J,ROW()-8)="",TODAY(),INDEX(Transactions!$G:$G,ROW()-8))</f>
      </c>
      <c r="F1496">
        <f>IF(INDEX(Transactions!$J:$J,ROW()-8)="",0,INDEX(Transactions!$O:$O,ROW()-8))</f>
      </c>
    </row>
    <row r="1497" spans="1:7">
      <c r="B1497">
        <f>IF(INDEX(Transactions!$J:$J,ROW()-8)="",TODAY(),INDEX(Transactions!$G:$G,ROW()-8))</f>
      </c>
      <c r="F1497">
        <f>IF(INDEX(Transactions!$J:$J,ROW()-8)="",0,INDEX(Transactions!$O:$O,ROW()-8))</f>
      </c>
    </row>
    <row r="1498" spans="1:7">
      <c r="B1498">
        <f>IF(INDEX(Transactions!$J:$J,ROW()-8)="",TODAY(),INDEX(Transactions!$G:$G,ROW()-8))</f>
      </c>
      <c r="F1498">
        <f>IF(INDEX(Transactions!$J:$J,ROW()-8)="",0,INDEX(Transactions!$O:$O,ROW()-8))</f>
      </c>
    </row>
    <row r="1499" spans="1:7">
      <c r="B1499">
        <f>IF(INDEX(Transactions!$J:$J,ROW()-8)="",TODAY(),INDEX(Transactions!$G:$G,ROW()-8))</f>
      </c>
      <c r="F1499">
        <f>IF(INDEX(Transactions!$J:$J,ROW()-8)="",0,INDEX(Transactions!$O:$O,ROW()-8))</f>
      </c>
    </row>
    <row r="1500" spans="1:7">
      <c r="B1500">
        <f>IF(INDEX(Transactions!$J:$J,ROW()-8)="",TODAY(),INDEX(Transactions!$G:$G,ROW()-8))</f>
      </c>
      <c r="F1500">
        <f>IF(INDEX(Transactions!$J:$J,ROW()-8)="",0,INDEX(Transactions!$O:$O,ROW()-8))</f>
      </c>
    </row>
    <row r="1501" spans="1:7">
      <c r="B1501">
        <f>IF(INDEX(Transactions!$J:$J,ROW()-8)="",TODAY(),INDEX(Transactions!$G:$G,ROW()-8))</f>
      </c>
      <c r="F1501">
        <f>IF(INDEX(Transactions!$J:$J,ROW()-8)="",0,INDEX(Transactions!$O:$O,ROW()-8))</f>
      </c>
    </row>
    <row r="1502" spans="1:7">
      <c r="B1502">
        <f>IF(INDEX(Transactions!$J:$J,ROW()-8)="",TODAY(),INDEX(Transactions!$G:$G,ROW()-8))</f>
      </c>
      <c r="F1502">
        <f>IF(INDEX(Transactions!$J:$J,ROW()-8)="",0,INDEX(Transactions!$O:$O,ROW()-8))</f>
      </c>
    </row>
    <row r="1503" spans="1:7">
      <c r="B1503">
        <f>IF(INDEX(Transactions!$J:$J,ROW()-8)="",TODAY(),INDEX(Transactions!$G:$G,ROW()-8))</f>
      </c>
      <c r="F1503">
        <f>IF(INDEX(Transactions!$J:$J,ROW()-8)="",0,INDEX(Transactions!$O:$O,ROW()-8))</f>
      </c>
    </row>
    <row r="1504" spans="1:7">
      <c r="B1504">
        <f>IF(INDEX(Transactions!$J:$J,ROW()-8)="",TODAY(),INDEX(Transactions!$G:$G,ROW()-8))</f>
      </c>
      <c r="F1504">
        <f>IF(INDEX(Transactions!$J:$J,ROW()-8)="",0,INDEX(Transactions!$O:$O,ROW()-8))</f>
      </c>
    </row>
    <row r="1505" spans="1:7">
      <c r="B1505">
        <f>IF(INDEX(Transactions!$J:$J,ROW()-8)="",TODAY(),INDEX(Transactions!$G:$G,ROW()-8))</f>
      </c>
      <c r="F1505">
        <f>IF(INDEX(Transactions!$J:$J,ROW()-8)="",0,INDEX(Transactions!$O:$O,ROW()-8))</f>
      </c>
    </row>
    <row r="1506" spans="1:7">
      <c r="B1506">
        <f>IF(INDEX(Transactions!$J:$J,ROW()-8)="",TODAY(),INDEX(Transactions!$G:$G,ROW()-8))</f>
      </c>
      <c r="F1506">
        <f>IF(INDEX(Transactions!$J:$J,ROW()-8)="",0,INDEX(Transactions!$O:$O,ROW()-8))</f>
      </c>
    </row>
    <row r="1507" spans="1:7">
      <c r="B1507">
        <f>IF(INDEX(Transactions!$J:$J,ROW()-8)="",TODAY(),INDEX(Transactions!$G:$G,ROW()-8))</f>
      </c>
      <c r="F1507">
        <f>IF(INDEX(Transactions!$J:$J,ROW()-8)="",0,INDEX(Transactions!$O:$O,ROW()-8))</f>
      </c>
    </row>
    <row r="1508" spans="1:7">
      <c r="B1508">
        <f>IF(INDEX(Transactions!$J:$J,ROW()-8)="",TODAY(),INDEX(Transactions!$G:$G,ROW()-8))</f>
      </c>
      <c r="F1508">
        <f>IF(INDEX(Transactions!$J:$J,ROW()-8)="",0,INDEX(Transactions!$O:$O,ROW()-8))</f>
      </c>
    </row>
    <row r="1509" spans="1:7">
      <c r="B1509">
        <f>IF(INDEX(Transactions!$J:$J,ROW()-8)="",TODAY(),INDEX(Transactions!$G:$G,ROW()-8))</f>
      </c>
      <c r="F1509">
        <f>IF(INDEX(Transactions!$J:$J,ROW()-8)="",0,INDEX(Transactions!$O:$O,ROW()-8))</f>
      </c>
    </row>
    <row r="1510" spans="1:7">
      <c r="B1510">
        <f>IF(INDEX(Transactions!$J:$J,ROW()-8)="",TODAY(),INDEX(Transactions!$G:$G,ROW()-8))</f>
      </c>
      <c r="F1510">
        <f>IF(INDEX(Transactions!$J:$J,ROW()-8)="",0,INDEX(Transactions!$O:$O,ROW()-8))</f>
      </c>
    </row>
    <row r="1511" spans="1:7">
      <c r="B1511">
        <f>IF(INDEX(Transactions!$J:$J,ROW()-8)="",TODAY(),INDEX(Transactions!$G:$G,ROW()-8))</f>
      </c>
      <c r="F1511">
        <f>IF(INDEX(Transactions!$J:$J,ROW()-8)="",0,INDEX(Transactions!$O:$O,ROW()-8))</f>
      </c>
    </row>
    <row r="1512" spans="1:7">
      <c r="B1512">
        <f>IF(INDEX(Transactions!$J:$J,ROW()-8)="",TODAY(),INDEX(Transactions!$G:$G,ROW()-8))</f>
      </c>
      <c r="F1512">
        <f>IF(INDEX(Transactions!$J:$J,ROW()-8)="",0,INDEX(Transactions!$O:$O,ROW()-8))</f>
      </c>
    </row>
    <row r="1513" spans="1:7">
      <c r="B1513">
        <f>IF(INDEX(Transactions!$J:$J,ROW()-8)="",TODAY(),INDEX(Transactions!$G:$G,ROW()-8))</f>
      </c>
      <c r="F1513">
        <f>IF(INDEX(Transactions!$J:$J,ROW()-8)="",0,INDEX(Transactions!$O:$O,ROW()-8))</f>
      </c>
    </row>
    <row r="1514" spans="1:7">
      <c r="B1514">
        <f>IF(INDEX(Transactions!$J:$J,ROW()-8)="",TODAY(),INDEX(Transactions!$G:$G,ROW()-8))</f>
      </c>
      <c r="F1514">
        <f>IF(INDEX(Transactions!$J:$J,ROW()-8)="",0,INDEX(Transactions!$O:$O,ROW()-8))</f>
      </c>
    </row>
    <row r="1515" spans="1:7">
      <c r="B1515">
        <f>IF(INDEX(Transactions!$J:$J,ROW()-8)="",TODAY(),INDEX(Transactions!$G:$G,ROW()-8))</f>
      </c>
      <c r="F1515">
        <f>IF(INDEX(Transactions!$J:$J,ROW()-8)="",0,INDEX(Transactions!$O:$O,ROW()-8))</f>
      </c>
    </row>
    <row r="1516" spans="1:7">
      <c r="B1516">
        <f>IF(INDEX(Transactions!$J:$J,ROW()-8)="",TODAY(),INDEX(Transactions!$G:$G,ROW()-8))</f>
      </c>
      <c r="F1516">
        <f>IF(INDEX(Transactions!$J:$J,ROW()-8)="",0,INDEX(Transactions!$O:$O,ROW()-8))</f>
      </c>
    </row>
    <row r="1517" spans="1:7">
      <c r="B1517">
        <f>IF(INDEX(Transactions!$J:$J,ROW()-8)="",TODAY(),INDEX(Transactions!$G:$G,ROW()-8))</f>
      </c>
      <c r="F1517">
        <f>IF(INDEX(Transactions!$J:$J,ROW()-8)="",0,INDEX(Transactions!$O:$O,ROW()-8))</f>
      </c>
    </row>
    <row r="1518" spans="1:7">
      <c r="B1518">
        <f>IF(INDEX(Transactions!$J:$J,ROW()-8)="",TODAY(),INDEX(Transactions!$G:$G,ROW()-8))</f>
      </c>
      <c r="F1518">
        <f>IF(INDEX(Transactions!$J:$J,ROW()-8)="",0,INDEX(Transactions!$O:$O,ROW()-8))</f>
      </c>
    </row>
    <row r="1519" spans="1:7">
      <c r="B1519">
        <f>IF(INDEX(Transactions!$J:$J,ROW()-8)="",TODAY(),INDEX(Transactions!$G:$G,ROW()-8))</f>
      </c>
      <c r="F1519">
        <f>IF(INDEX(Transactions!$J:$J,ROW()-8)="",0,INDEX(Transactions!$O:$O,ROW()-8))</f>
      </c>
    </row>
    <row r="1520" spans="1:7">
      <c r="B1520">
        <f>IF(INDEX(Transactions!$J:$J,ROW()-8)="",TODAY(),INDEX(Transactions!$G:$G,ROW()-8))</f>
      </c>
      <c r="F1520">
        <f>IF(INDEX(Transactions!$J:$J,ROW()-8)="",0,INDEX(Transactions!$O:$O,ROW()-8))</f>
      </c>
    </row>
    <row r="1521" spans="1:7">
      <c r="B1521">
        <f>IF(INDEX(Transactions!$J:$J,ROW()-8)="",TODAY(),INDEX(Transactions!$G:$G,ROW()-8))</f>
      </c>
      <c r="F1521">
        <f>IF(INDEX(Transactions!$J:$J,ROW()-8)="",0,INDEX(Transactions!$O:$O,ROW()-8))</f>
      </c>
    </row>
    <row r="1522" spans="1:7">
      <c r="B1522">
        <f>IF(INDEX(Transactions!$J:$J,ROW()-8)="",TODAY(),INDEX(Transactions!$G:$G,ROW()-8))</f>
      </c>
      <c r="F1522">
        <f>IF(INDEX(Transactions!$J:$J,ROW()-8)="",0,INDEX(Transactions!$O:$O,ROW()-8))</f>
      </c>
    </row>
    <row r="1523" spans="1:7">
      <c r="B1523">
        <f>IF(INDEX(Transactions!$J:$J,ROW()-8)="",TODAY(),INDEX(Transactions!$G:$G,ROW()-8))</f>
      </c>
      <c r="F1523">
        <f>IF(INDEX(Transactions!$J:$J,ROW()-8)="",0,INDEX(Transactions!$O:$O,ROW()-8))</f>
      </c>
    </row>
    <row r="1524" spans="1:7">
      <c r="B1524">
        <f>IF(INDEX(Transactions!$J:$J,ROW()-8)="",TODAY(),INDEX(Transactions!$G:$G,ROW()-8))</f>
      </c>
      <c r="F1524">
        <f>IF(INDEX(Transactions!$J:$J,ROW()-8)="",0,INDEX(Transactions!$O:$O,ROW()-8))</f>
      </c>
    </row>
    <row r="1525" spans="1:7">
      <c r="B1525">
        <f>IF(INDEX(Transactions!$J:$J,ROW()-8)="",TODAY(),INDEX(Transactions!$G:$G,ROW()-8))</f>
      </c>
      <c r="F1525">
        <f>IF(INDEX(Transactions!$J:$J,ROW()-8)="",0,INDEX(Transactions!$O:$O,ROW()-8))</f>
      </c>
    </row>
    <row r="1526" spans="1:7">
      <c r="B1526">
        <f>IF(INDEX(Transactions!$J:$J,ROW()-8)="",TODAY(),INDEX(Transactions!$G:$G,ROW()-8))</f>
      </c>
      <c r="F1526">
        <f>IF(INDEX(Transactions!$J:$J,ROW()-8)="",0,INDEX(Transactions!$O:$O,ROW()-8))</f>
      </c>
    </row>
    <row r="1527" spans="1:7">
      <c r="B1527">
        <f>IF(INDEX(Transactions!$J:$J,ROW()-8)="",TODAY(),INDEX(Transactions!$G:$G,ROW()-8))</f>
      </c>
      <c r="F1527">
        <f>IF(INDEX(Transactions!$J:$J,ROW()-8)="",0,INDEX(Transactions!$O:$O,ROW()-8))</f>
      </c>
    </row>
    <row r="1528" spans="1:7">
      <c r="B1528">
        <f>IF(INDEX(Transactions!$J:$J,ROW()-8)="",TODAY(),INDEX(Transactions!$G:$G,ROW()-8))</f>
      </c>
      <c r="F1528">
        <f>IF(INDEX(Transactions!$J:$J,ROW()-8)="",0,INDEX(Transactions!$O:$O,ROW()-8))</f>
      </c>
    </row>
    <row r="1529" spans="1:7">
      <c r="B1529">
        <f>IF(INDEX(Transactions!$J:$J,ROW()-8)="",TODAY(),INDEX(Transactions!$G:$G,ROW()-8))</f>
      </c>
      <c r="F1529">
        <f>IF(INDEX(Transactions!$J:$J,ROW()-8)="",0,INDEX(Transactions!$O:$O,ROW()-8))</f>
      </c>
    </row>
    <row r="1530" spans="1:7">
      <c r="B1530">
        <f>IF(INDEX(Transactions!$J:$J,ROW()-8)="",TODAY(),INDEX(Transactions!$G:$G,ROW()-8))</f>
      </c>
      <c r="F1530">
        <f>IF(INDEX(Transactions!$J:$J,ROW()-8)="",0,INDEX(Transactions!$O:$O,ROW()-8))</f>
      </c>
    </row>
    <row r="1531" spans="1:7">
      <c r="B1531">
        <f>IF(INDEX(Transactions!$J:$J,ROW()-8)="",TODAY(),INDEX(Transactions!$G:$G,ROW()-8))</f>
      </c>
      <c r="F1531">
        <f>IF(INDEX(Transactions!$J:$J,ROW()-8)="",0,INDEX(Transactions!$O:$O,ROW()-8))</f>
      </c>
    </row>
    <row r="1532" spans="1:7">
      <c r="B1532">
        <f>IF(INDEX(Transactions!$J:$J,ROW()-8)="",TODAY(),INDEX(Transactions!$G:$G,ROW()-8))</f>
      </c>
      <c r="F1532">
        <f>IF(INDEX(Transactions!$J:$J,ROW()-8)="",0,INDEX(Transactions!$O:$O,ROW()-8))</f>
      </c>
    </row>
    <row r="1533" spans="1:7">
      <c r="B1533">
        <f>IF(INDEX(Transactions!$J:$J,ROW()-8)="",TODAY(),INDEX(Transactions!$G:$G,ROW()-8))</f>
      </c>
      <c r="F1533">
        <f>IF(INDEX(Transactions!$J:$J,ROW()-8)="",0,INDEX(Transactions!$O:$O,ROW()-8))</f>
      </c>
    </row>
    <row r="1534" spans="1:7">
      <c r="B1534">
        <f>IF(INDEX(Transactions!$J:$J,ROW()-8)="",TODAY(),INDEX(Transactions!$G:$G,ROW()-8))</f>
      </c>
      <c r="F1534">
        <f>IF(INDEX(Transactions!$J:$J,ROW()-8)="",0,INDEX(Transactions!$O:$O,ROW()-8))</f>
      </c>
    </row>
    <row r="1535" spans="1:7">
      <c r="B1535">
        <f>IF(INDEX(Transactions!$J:$J,ROW()-8)="",TODAY(),INDEX(Transactions!$G:$G,ROW()-8))</f>
      </c>
      <c r="F1535">
        <f>IF(INDEX(Transactions!$J:$J,ROW()-8)="",0,INDEX(Transactions!$O:$O,ROW()-8))</f>
      </c>
    </row>
    <row r="1536" spans="1:7">
      <c r="B1536">
        <f>IF(INDEX(Transactions!$J:$J,ROW()-8)="",TODAY(),INDEX(Transactions!$G:$G,ROW()-8))</f>
      </c>
      <c r="F1536">
        <f>IF(INDEX(Transactions!$J:$J,ROW()-8)="",0,INDEX(Transactions!$O:$O,ROW()-8))</f>
      </c>
    </row>
    <row r="1537" spans="1:7">
      <c r="B1537">
        <f>IF(INDEX(Transactions!$J:$J,ROW()-8)="",TODAY(),INDEX(Transactions!$G:$G,ROW()-8))</f>
      </c>
      <c r="F1537">
        <f>IF(INDEX(Transactions!$J:$J,ROW()-8)="",0,INDEX(Transactions!$O:$O,ROW()-8))</f>
      </c>
    </row>
    <row r="1538" spans="1:7">
      <c r="B1538">
        <f>IF(INDEX(Transactions!$J:$J,ROW()-8)="",TODAY(),INDEX(Transactions!$G:$G,ROW()-8))</f>
      </c>
      <c r="F1538">
        <f>IF(INDEX(Transactions!$J:$J,ROW()-8)="",0,INDEX(Transactions!$O:$O,ROW()-8))</f>
      </c>
    </row>
    <row r="1539" spans="1:7">
      <c r="B1539">
        <f>IF(INDEX(Transactions!$J:$J,ROW()-8)="",TODAY(),INDEX(Transactions!$G:$G,ROW()-8))</f>
      </c>
      <c r="F1539">
        <f>IF(INDEX(Transactions!$J:$J,ROW()-8)="",0,INDEX(Transactions!$O:$O,ROW()-8))</f>
      </c>
    </row>
    <row r="1540" spans="1:7">
      <c r="B1540">
        <f>IF(INDEX(Transactions!$J:$J,ROW()-8)="",TODAY(),INDEX(Transactions!$G:$G,ROW()-8))</f>
      </c>
      <c r="F1540">
        <f>IF(INDEX(Transactions!$J:$J,ROW()-8)="",0,INDEX(Transactions!$O:$O,ROW()-8))</f>
      </c>
    </row>
    <row r="1541" spans="1:7">
      <c r="B1541">
        <f>IF(INDEX(Transactions!$J:$J,ROW()-8)="",TODAY(),INDEX(Transactions!$G:$G,ROW()-8))</f>
      </c>
      <c r="F1541">
        <f>IF(INDEX(Transactions!$J:$J,ROW()-8)="",0,INDEX(Transactions!$O:$O,ROW()-8))</f>
      </c>
    </row>
    <row r="1542" spans="1:7">
      <c r="B1542">
        <f>IF(INDEX(Transactions!$J:$J,ROW()-8)="",TODAY(),INDEX(Transactions!$G:$G,ROW()-8))</f>
      </c>
      <c r="F1542">
        <f>IF(INDEX(Transactions!$J:$J,ROW()-8)="",0,INDEX(Transactions!$O:$O,ROW()-8))</f>
      </c>
    </row>
    <row r="1543" spans="1:7">
      <c r="B1543">
        <f>IF(INDEX(Transactions!$J:$J,ROW()-8)="",TODAY(),INDEX(Transactions!$G:$G,ROW()-8))</f>
      </c>
      <c r="F1543">
        <f>IF(INDEX(Transactions!$J:$J,ROW()-8)="",0,INDEX(Transactions!$O:$O,ROW()-8))</f>
      </c>
    </row>
    <row r="1544" spans="1:7">
      <c r="B1544">
        <f>IF(INDEX(Transactions!$J:$J,ROW()-8)="",TODAY(),INDEX(Transactions!$G:$G,ROW()-8))</f>
      </c>
      <c r="F1544">
        <f>IF(INDEX(Transactions!$J:$J,ROW()-8)="",0,INDEX(Transactions!$O:$O,ROW()-8))</f>
      </c>
    </row>
    <row r="1545" spans="1:7">
      <c r="B1545">
        <f>IF(INDEX(Transactions!$J:$J,ROW()-8)="",TODAY(),INDEX(Transactions!$G:$G,ROW()-8))</f>
      </c>
      <c r="F1545">
        <f>IF(INDEX(Transactions!$J:$J,ROW()-8)="",0,INDEX(Transactions!$O:$O,ROW()-8))</f>
      </c>
    </row>
    <row r="1546" spans="1:7">
      <c r="B1546">
        <f>IF(INDEX(Transactions!$J:$J,ROW()-8)="",TODAY(),INDEX(Transactions!$G:$G,ROW()-8))</f>
      </c>
      <c r="F1546">
        <f>IF(INDEX(Transactions!$J:$J,ROW()-8)="",0,INDEX(Transactions!$O:$O,ROW()-8))</f>
      </c>
    </row>
    <row r="1547" spans="1:7">
      <c r="B1547">
        <f>IF(INDEX(Transactions!$J:$J,ROW()-8)="",TODAY(),INDEX(Transactions!$G:$G,ROW()-8))</f>
      </c>
      <c r="F1547">
        <f>IF(INDEX(Transactions!$J:$J,ROW()-8)="",0,INDEX(Transactions!$O:$O,ROW()-8))</f>
      </c>
    </row>
    <row r="1548" spans="1:7">
      <c r="B1548">
        <f>IF(INDEX(Transactions!$J:$J,ROW()-8)="",TODAY(),INDEX(Transactions!$G:$G,ROW()-8))</f>
      </c>
      <c r="F1548">
        <f>IF(INDEX(Transactions!$J:$J,ROW()-8)="",0,INDEX(Transactions!$O:$O,ROW()-8))</f>
      </c>
    </row>
    <row r="1549" spans="1:7">
      <c r="B1549">
        <f>IF(INDEX(Transactions!$J:$J,ROW()-8)="",TODAY(),INDEX(Transactions!$G:$G,ROW()-8))</f>
      </c>
      <c r="F1549">
        <f>IF(INDEX(Transactions!$J:$J,ROW()-8)="",0,INDEX(Transactions!$O:$O,ROW()-8))</f>
      </c>
    </row>
    <row r="1550" spans="1:7">
      <c r="B1550">
        <f>IF(INDEX(Transactions!$J:$J,ROW()-8)="",TODAY(),INDEX(Transactions!$G:$G,ROW()-8))</f>
      </c>
      <c r="F1550">
        <f>IF(INDEX(Transactions!$J:$J,ROW()-8)="",0,INDEX(Transactions!$O:$O,ROW()-8))</f>
      </c>
    </row>
    <row r="1551" spans="1:7">
      <c r="B1551">
        <f>IF(INDEX(Transactions!$J:$J,ROW()-8)="",TODAY(),INDEX(Transactions!$G:$G,ROW()-8))</f>
      </c>
      <c r="F1551">
        <f>IF(INDEX(Transactions!$J:$J,ROW()-8)="",0,INDEX(Transactions!$O:$O,ROW()-8))</f>
      </c>
    </row>
    <row r="1552" spans="1:7">
      <c r="B1552">
        <f>IF(INDEX(Transactions!$J:$J,ROW()-8)="",TODAY(),INDEX(Transactions!$G:$G,ROW()-8))</f>
      </c>
      <c r="F1552">
        <f>IF(INDEX(Transactions!$J:$J,ROW()-8)="",0,INDEX(Transactions!$O:$O,ROW()-8))</f>
      </c>
    </row>
    <row r="1553" spans="1:7">
      <c r="B1553">
        <f>IF(INDEX(Transactions!$J:$J,ROW()-8)="",TODAY(),INDEX(Transactions!$G:$G,ROW()-8))</f>
      </c>
      <c r="F1553">
        <f>IF(INDEX(Transactions!$J:$J,ROW()-8)="",0,INDEX(Transactions!$O:$O,ROW()-8))</f>
      </c>
    </row>
    <row r="1554" spans="1:7">
      <c r="B1554">
        <f>IF(INDEX(Transactions!$J:$J,ROW()-8)="",TODAY(),INDEX(Transactions!$G:$G,ROW()-8))</f>
      </c>
      <c r="F1554">
        <f>IF(INDEX(Transactions!$J:$J,ROW()-8)="",0,INDEX(Transactions!$O:$O,ROW()-8))</f>
      </c>
    </row>
    <row r="1555" spans="1:7">
      <c r="B1555">
        <f>IF(INDEX(Transactions!$J:$J,ROW()-8)="",TODAY(),INDEX(Transactions!$G:$G,ROW()-8))</f>
      </c>
      <c r="F1555">
        <f>IF(INDEX(Transactions!$J:$J,ROW()-8)="",0,INDEX(Transactions!$O:$O,ROW()-8))</f>
      </c>
    </row>
    <row r="1556" spans="1:7">
      <c r="B1556">
        <f>IF(INDEX(Transactions!$J:$J,ROW()-8)="",TODAY(),INDEX(Transactions!$G:$G,ROW()-8))</f>
      </c>
      <c r="F1556">
        <f>IF(INDEX(Transactions!$J:$J,ROW()-8)="",0,INDEX(Transactions!$O:$O,ROW()-8))</f>
      </c>
    </row>
    <row r="1557" spans="1:7">
      <c r="B1557">
        <f>IF(INDEX(Transactions!$J:$J,ROW()-8)="",TODAY(),INDEX(Transactions!$G:$G,ROW()-8))</f>
      </c>
      <c r="F1557">
        <f>IF(INDEX(Transactions!$J:$J,ROW()-8)="",0,INDEX(Transactions!$O:$O,ROW()-8))</f>
      </c>
    </row>
    <row r="1558" spans="1:7">
      <c r="B1558">
        <f>IF(INDEX(Transactions!$J:$J,ROW()-8)="",TODAY(),INDEX(Transactions!$G:$G,ROW()-8))</f>
      </c>
      <c r="F1558">
        <f>IF(INDEX(Transactions!$J:$J,ROW()-8)="",0,INDEX(Transactions!$O:$O,ROW()-8))</f>
      </c>
    </row>
    <row r="1559" spans="1:7">
      <c r="B1559">
        <f>IF(INDEX(Transactions!$J:$J,ROW()-8)="",TODAY(),INDEX(Transactions!$G:$G,ROW()-8))</f>
      </c>
      <c r="F1559">
        <f>IF(INDEX(Transactions!$J:$J,ROW()-8)="",0,INDEX(Transactions!$O:$O,ROW()-8))</f>
      </c>
    </row>
    <row r="1560" spans="1:7">
      <c r="B1560">
        <f>IF(INDEX(Transactions!$J:$J,ROW()-8)="",TODAY(),INDEX(Transactions!$G:$G,ROW()-8))</f>
      </c>
      <c r="F1560">
        <f>IF(INDEX(Transactions!$J:$J,ROW()-8)="",0,INDEX(Transactions!$O:$O,ROW()-8))</f>
      </c>
    </row>
    <row r="1561" spans="1:7">
      <c r="B1561">
        <f>IF(INDEX(Transactions!$J:$J,ROW()-8)="",TODAY(),INDEX(Transactions!$G:$G,ROW()-8))</f>
      </c>
      <c r="F1561">
        <f>IF(INDEX(Transactions!$J:$J,ROW()-8)="",0,INDEX(Transactions!$O:$O,ROW()-8))</f>
      </c>
    </row>
    <row r="1562" spans="1:7">
      <c r="B1562">
        <f>IF(INDEX(Transactions!$J:$J,ROW()-8)="",TODAY(),INDEX(Transactions!$G:$G,ROW()-8))</f>
      </c>
      <c r="F1562">
        <f>IF(INDEX(Transactions!$J:$J,ROW()-8)="",0,INDEX(Transactions!$O:$O,ROW()-8))</f>
      </c>
    </row>
    <row r="1563" spans="1:7">
      <c r="B1563">
        <f>IF(INDEX(Transactions!$J:$J,ROW()-8)="",TODAY(),INDEX(Transactions!$G:$G,ROW()-8))</f>
      </c>
      <c r="F1563">
        <f>IF(INDEX(Transactions!$J:$J,ROW()-8)="",0,INDEX(Transactions!$O:$O,ROW()-8))</f>
      </c>
    </row>
    <row r="1564" spans="1:7">
      <c r="B1564">
        <f>IF(INDEX(Transactions!$J:$J,ROW()-8)="",TODAY(),INDEX(Transactions!$G:$G,ROW()-8))</f>
      </c>
      <c r="F1564">
        <f>IF(INDEX(Transactions!$J:$J,ROW()-8)="",0,INDEX(Transactions!$O:$O,ROW()-8))</f>
      </c>
    </row>
    <row r="1565" spans="1:7">
      <c r="B1565">
        <f>IF(INDEX(Transactions!$J:$J,ROW()-8)="",TODAY(),INDEX(Transactions!$G:$G,ROW()-8))</f>
      </c>
      <c r="F1565">
        <f>IF(INDEX(Transactions!$J:$J,ROW()-8)="",0,INDEX(Transactions!$O:$O,ROW()-8))</f>
      </c>
    </row>
    <row r="1566" spans="1:7">
      <c r="B1566">
        <f>IF(INDEX(Transactions!$J:$J,ROW()-8)="",TODAY(),INDEX(Transactions!$G:$G,ROW()-8))</f>
      </c>
      <c r="F1566">
        <f>IF(INDEX(Transactions!$J:$J,ROW()-8)="",0,INDEX(Transactions!$O:$O,ROW()-8))</f>
      </c>
    </row>
    <row r="1567" spans="1:7">
      <c r="B1567">
        <f>IF(INDEX(Transactions!$J:$J,ROW()-8)="",TODAY(),INDEX(Transactions!$G:$G,ROW()-8))</f>
      </c>
      <c r="F1567">
        <f>IF(INDEX(Transactions!$J:$J,ROW()-8)="",0,INDEX(Transactions!$O:$O,ROW()-8))</f>
      </c>
    </row>
    <row r="1568" spans="1:7">
      <c r="B1568">
        <f>IF(INDEX(Transactions!$J:$J,ROW()-8)="",TODAY(),INDEX(Transactions!$G:$G,ROW()-8))</f>
      </c>
      <c r="F1568">
        <f>IF(INDEX(Transactions!$J:$J,ROW()-8)="",0,INDEX(Transactions!$O:$O,ROW()-8))</f>
      </c>
    </row>
    <row r="1569" spans="1:7">
      <c r="B1569">
        <f>IF(INDEX(Transactions!$J:$J,ROW()-8)="",TODAY(),INDEX(Transactions!$G:$G,ROW()-8))</f>
      </c>
      <c r="F1569">
        <f>IF(INDEX(Transactions!$J:$J,ROW()-8)="",0,INDEX(Transactions!$O:$O,ROW()-8))</f>
      </c>
    </row>
    <row r="1570" spans="1:7">
      <c r="B1570">
        <f>IF(INDEX(Transactions!$J:$J,ROW()-8)="",TODAY(),INDEX(Transactions!$G:$G,ROW()-8))</f>
      </c>
      <c r="F1570">
        <f>IF(INDEX(Transactions!$J:$J,ROW()-8)="",0,INDEX(Transactions!$O:$O,ROW()-8))</f>
      </c>
    </row>
    <row r="1571" spans="1:7">
      <c r="B1571">
        <f>IF(INDEX(Transactions!$J:$J,ROW()-8)="",TODAY(),INDEX(Transactions!$G:$G,ROW()-8))</f>
      </c>
      <c r="F1571">
        <f>IF(INDEX(Transactions!$J:$J,ROW()-8)="",0,INDEX(Transactions!$O:$O,ROW()-8))</f>
      </c>
    </row>
    <row r="1572" spans="1:7">
      <c r="B1572">
        <f>IF(INDEX(Transactions!$J:$J,ROW()-8)="",TODAY(),INDEX(Transactions!$G:$G,ROW()-8))</f>
      </c>
      <c r="F1572">
        <f>IF(INDEX(Transactions!$J:$J,ROW()-8)="",0,INDEX(Transactions!$O:$O,ROW()-8))</f>
      </c>
    </row>
    <row r="1573" spans="1:7">
      <c r="B1573">
        <f>IF(INDEX(Transactions!$J:$J,ROW()-8)="",TODAY(),INDEX(Transactions!$G:$G,ROW()-8))</f>
      </c>
      <c r="F1573">
        <f>IF(INDEX(Transactions!$J:$J,ROW()-8)="",0,INDEX(Transactions!$O:$O,ROW()-8))</f>
      </c>
    </row>
    <row r="1574" spans="1:7">
      <c r="B1574">
        <f>IF(INDEX(Transactions!$J:$J,ROW()-8)="",TODAY(),INDEX(Transactions!$G:$G,ROW()-8))</f>
      </c>
      <c r="F1574">
        <f>IF(INDEX(Transactions!$J:$J,ROW()-8)="",0,INDEX(Transactions!$O:$O,ROW()-8))</f>
      </c>
    </row>
    <row r="1575" spans="1:7">
      <c r="B1575">
        <f>IF(INDEX(Transactions!$J:$J,ROW()-8)="",TODAY(),INDEX(Transactions!$G:$G,ROW()-8))</f>
      </c>
      <c r="F1575">
        <f>IF(INDEX(Transactions!$J:$J,ROW()-8)="",0,INDEX(Transactions!$O:$O,ROW()-8))</f>
      </c>
    </row>
    <row r="1576" spans="1:7">
      <c r="B1576">
        <f>IF(INDEX(Transactions!$J:$J,ROW()-8)="",TODAY(),INDEX(Transactions!$G:$G,ROW()-8))</f>
      </c>
      <c r="F1576">
        <f>IF(INDEX(Transactions!$J:$J,ROW()-8)="",0,INDEX(Transactions!$O:$O,ROW()-8))</f>
      </c>
    </row>
    <row r="1577" spans="1:7">
      <c r="B1577">
        <f>IF(INDEX(Transactions!$J:$J,ROW()-8)="",TODAY(),INDEX(Transactions!$G:$G,ROW()-8))</f>
      </c>
      <c r="F1577">
        <f>IF(INDEX(Transactions!$J:$J,ROW()-8)="",0,INDEX(Transactions!$O:$O,ROW()-8))</f>
      </c>
    </row>
    <row r="1578" spans="1:7">
      <c r="B1578">
        <f>IF(INDEX(Transactions!$J:$J,ROW()-8)="",TODAY(),INDEX(Transactions!$G:$G,ROW()-8))</f>
      </c>
      <c r="F1578">
        <f>IF(INDEX(Transactions!$J:$J,ROW()-8)="",0,INDEX(Transactions!$O:$O,ROW()-8))</f>
      </c>
    </row>
    <row r="1579" spans="1:7">
      <c r="B1579">
        <f>IF(INDEX(Transactions!$J:$J,ROW()-8)="",TODAY(),INDEX(Transactions!$G:$G,ROW()-8))</f>
      </c>
      <c r="F1579">
        <f>IF(INDEX(Transactions!$J:$J,ROW()-8)="",0,INDEX(Transactions!$O:$O,ROW()-8))</f>
      </c>
    </row>
    <row r="1580" spans="1:7">
      <c r="B1580">
        <f>IF(INDEX(Transactions!$J:$J,ROW()-8)="",TODAY(),INDEX(Transactions!$G:$G,ROW()-8))</f>
      </c>
      <c r="F1580">
        <f>IF(INDEX(Transactions!$J:$J,ROW()-8)="",0,INDEX(Transactions!$O:$O,ROW()-8))</f>
      </c>
    </row>
    <row r="1581" spans="1:7">
      <c r="B1581">
        <f>IF(INDEX(Transactions!$J:$J,ROW()-8)="",TODAY(),INDEX(Transactions!$G:$G,ROW()-8))</f>
      </c>
      <c r="F1581">
        <f>IF(INDEX(Transactions!$J:$J,ROW()-8)="",0,INDEX(Transactions!$O:$O,ROW()-8))</f>
      </c>
    </row>
    <row r="1582" spans="1:7">
      <c r="B1582">
        <f>IF(INDEX(Transactions!$J:$J,ROW()-8)="",TODAY(),INDEX(Transactions!$G:$G,ROW()-8))</f>
      </c>
      <c r="F1582">
        <f>IF(INDEX(Transactions!$J:$J,ROW()-8)="",0,INDEX(Transactions!$O:$O,ROW()-8))</f>
      </c>
    </row>
    <row r="1583" spans="1:7">
      <c r="B1583">
        <f>IF(INDEX(Transactions!$J:$J,ROW()-8)="",TODAY(),INDEX(Transactions!$G:$G,ROW()-8))</f>
      </c>
      <c r="F1583">
        <f>IF(INDEX(Transactions!$J:$J,ROW()-8)="",0,INDEX(Transactions!$O:$O,ROW()-8))</f>
      </c>
    </row>
    <row r="1584" spans="1:7">
      <c r="B1584">
        <f>IF(INDEX(Transactions!$J:$J,ROW()-8)="",TODAY(),INDEX(Transactions!$G:$G,ROW()-8))</f>
      </c>
      <c r="F1584">
        <f>IF(INDEX(Transactions!$J:$J,ROW()-8)="",0,INDEX(Transactions!$O:$O,ROW()-8))</f>
      </c>
    </row>
    <row r="1585" spans="1:7">
      <c r="B1585">
        <f>IF(INDEX(Transactions!$J:$J,ROW()-8)="",TODAY(),INDEX(Transactions!$G:$G,ROW()-8))</f>
      </c>
      <c r="F1585">
        <f>IF(INDEX(Transactions!$J:$J,ROW()-8)="",0,INDEX(Transactions!$O:$O,ROW()-8))</f>
      </c>
    </row>
    <row r="1586" spans="1:7">
      <c r="B1586">
        <f>IF(INDEX(Transactions!$J:$J,ROW()-8)="",TODAY(),INDEX(Transactions!$G:$G,ROW()-8))</f>
      </c>
      <c r="F1586">
        <f>IF(INDEX(Transactions!$J:$J,ROW()-8)="",0,INDEX(Transactions!$O:$O,ROW()-8))</f>
      </c>
    </row>
    <row r="1587" spans="1:7">
      <c r="B1587">
        <f>IF(INDEX(Transactions!$J:$J,ROW()-8)="",TODAY(),INDEX(Transactions!$G:$G,ROW()-8))</f>
      </c>
      <c r="F1587">
        <f>IF(INDEX(Transactions!$J:$J,ROW()-8)="",0,INDEX(Transactions!$O:$O,ROW()-8))</f>
      </c>
    </row>
    <row r="1588" spans="1:7">
      <c r="B1588">
        <f>IF(INDEX(Transactions!$J:$J,ROW()-8)="",TODAY(),INDEX(Transactions!$G:$G,ROW()-8))</f>
      </c>
      <c r="F1588">
        <f>IF(INDEX(Transactions!$J:$J,ROW()-8)="",0,INDEX(Transactions!$O:$O,ROW()-8))</f>
      </c>
    </row>
    <row r="1589" spans="1:7">
      <c r="B1589">
        <f>IF(INDEX(Transactions!$J:$J,ROW()-8)="",TODAY(),INDEX(Transactions!$G:$G,ROW()-8))</f>
      </c>
      <c r="F1589">
        <f>IF(INDEX(Transactions!$J:$J,ROW()-8)="",0,INDEX(Transactions!$O:$O,ROW()-8))</f>
      </c>
    </row>
    <row r="1590" spans="1:7">
      <c r="B1590">
        <f>IF(INDEX(Transactions!$J:$J,ROW()-8)="",TODAY(),INDEX(Transactions!$G:$G,ROW()-8))</f>
      </c>
      <c r="F1590">
        <f>IF(INDEX(Transactions!$J:$J,ROW()-8)="",0,INDEX(Transactions!$O:$O,ROW()-8))</f>
      </c>
    </row>
    <row r="1591" spans="1:7">
      <c r="B1591">
        <f>IF(INDEX(Transactions!$J:$J,ROW()-8)="",TODAY(),INDEX(Transactions!$G:$G,ROW()-8))</f>
      </c>
      <c r="F1591">
        <f>IF(INDEX(Transactions!$J:$J,ROW()-8)="",0,INDEX(Transactions!$O:$O,ROW()-8))</f>
      </c>
    </row>
    <row r="1592" spans="1:7">
      <c r="B1592">
        <f>IF(INDEX(Transactions!$J:$J,ROW()-8)="",TODAY(),INDEX(Transactions!$G:$G,ROW()-8))</f>
      </c>
      <c r="F1592">
        <f>IF(INDEX(Transactions!$J:$J,ROW()-8)="",0,INDEX(Transactions!$O:$O,ROW()-8))</f>
      </c>
    </row>
    <row r="1593" spans="1:7">
      <c r="B1593">
        <f>IF(INDEX(Transactions!$J:$J,ROW()-8)="",TODAY(),INDEX(Transactions!$G:$G,ROW()-8))</f>
      </c>
      <c r="F1593">
        <f>IF(INDEX(Transactions!$J:$J,ROW()-8)="",0,INDEX(Transactions!$O:$O,ROW()-8))</f>
      </c>
    </row>
    <row r="1594" spans="1:7">
      <c r="B1594">
        <f>IF(INDEX(Transactions!$J:$J,ROW()-8)="",TODAY(),INDEX(Transactions!$G:$G,ROW()-8))</f>
      </c>
      <c r="F1594">
        <f>IF(INDEX(Transactions!$J:$J,ROW()-8)="",0,INDEX(Transactions!$O:$O,ROW()-8))</f>
      </c>
    </row>
    <row r="1595" spans="1:7">
      <c r="B1595">
        <f>IF(INDEX(Transactions!$J:$J,ROW()-8)="",TODAY(),INDEX(Transactions!$G:$G,ROW()-8))</f>
      </c>
      <c r="F1595">
        <f>IF(INDEX(Transactions!$J:$J,ROW()-8)="",0,INDEX(Transactions!$O:$O,ROW()-8))</f>
      </c>
    </row>
    <row r="1596" spans="1:7">
      <c r="B1596">
        <f>IF(INDEX(Transactions!$J:$J,ROW()-8)="",TODAY(),INDEX(Transactions!$G:$G,ROW()-8))</f>
      </c>
      <c r="F1596">
        <f>IF(INDEX(Transactions!$J:$J,ROW()-8)="",0,INDEX(Transactions!$O:$O,ROW()-8))</f>
      </c>
    </row>
    <row r="1597" spans="1:7">
      <c r="B1597">
        <f>IF(INDEX(Transactions!$J:$J,ROW()-8)="",TODAY(),INDEX(Transactions!$G:$G,ROW()-8))</f>
      </c>
      <c r="F1597">
        <f>IF(INDEX(Transactions!$J:$J,ROW()-8)="",0,INDEX(Transactions!$O:$O,ROW()-8))</f>
      </c>
    </row>
    <row r="1598" spans="1:7">
      <c r="B1598">
        <f>IF(INDEX(Transactions!$J:$J,ROW()-8)="",TODAY(),INDEX(Transactions!$G:$G,ROW()-8))</f>
      </c>
      <c r="F1598">
        <f>IF(INDEX(Transactions!$J:$J,ROW()-8)="",0,INDEX(Transactions!$O:$O,ROW()-8))</f>
      </c>
    </row>
    <row r="1599" spans="1:7">
      <c r="B1599">
        <f>IF(INDEX(Transactions!$J:$J,ROW()-8)="",TODAY(),INDEX(Transactions!$G:$G,ROW()-8))</f>
      </c>
      <c r="F1599">
        <f>IF(INDEX(Transactions!$J:$J,ROW()-8)="",0,INDEX(Transactions!$O:$O,ROW()-8))</f>
      </c>
    </row>
    <row r="1600" spans="1:7">
      <c r="B1600">
        <f>IF(INDEX(Transactions!$J:$J,ROW()-8)="",TODAY(),INDEX(Transactions!$G:$G,ROW()-8))</f>
      </c>
      <c r="F1600">
        <f>IF(INDEX(Transactions!$J:$J,ROW()-8)="",0,INDEX(Transactions!$O:$O,ROW()-8))</f>
      </c>
    </row>
    <row r="1601" spans="1:7">
      <c r="B1601">
        <f>IF(INDEX(Transactions!$J:$J,ROW()-8)="",TODAY(),INDEX(Transactions!$G:$G,ROW()-8))</f>
      </c>
      <c r="F1601">
        <f>IF(INDEX(Transactions!$J:$J,ROW()-8)="",0,INDEX(Transactions!$O:$O,ROW()-8))</f>
      </c>
    </row>
    <row r="1602" spans="1:7">
      <c r="B1602">
        <f>IF(INDEX(Transactions!$J:$J,ROW()-8)="",TODAY(),INDEX(Transactions!$G:$G,ROW()-8))</f>
      </c>
      <c r="F1602">
        <f>IF(INDEX(Transactions!$J:$J,ROW()-8)="",0,INDEX(Transactions!$O:$O,ROW()-8))</f>
      </c>
    </row>
    <row r="1603" spans="1:7">
      <c r="B1603">
        <f>IF(INDEX(Transactions!$J:$J,ROW()-8)="",TODAY(),INDEX(Transactions!$G:$G,ROW()-8))</f>
      </c>
      <c r="F1603">
        <f>IF(INDEX(Transactions!$J:$J,ROW()-8)="",0,INDEX(Transactions!$O:$O,ROW()-8))</f>
      </c>
    </row>
    <row r="1604" spans="1:7">
      <c r="B1604">
        <f>IF(INDEX(Transactions!$J:$J,ROW()-8)="",TODAY(),INDEX(Transactions!$G:$G,ROW()-8))</f>
      </c>
      <c r="F1604">
        <f>IF(INDEX(Transactions!$J:$J,ROW()-8)="",0,INDEX(Transactions!$O:$O,ROW()-8))</f>
      </c>
    </row>
    <row r="1605" spans="1:7">
      <c r="B1605">
        <f>IF(INDEX(Transactions!$J:$J,ROW()-8)="",TODAY(),INDEX(Transactions!$G:$G,ROW()-8))</f>
      </c>
      <c r="F1605">
        <f>IF(INDEX(Transactions!$J:$J,ROW()-8)="",0,INDEX(Transactions!$O:$O,ROW()-8))</f>
      </c>
    </row>
    <row r="1606" spans="1:7">
      <c r="B1606">
        <f>IF(INDEX(Transactions!$J:$J,ROW()-8)="",TODAY(),INDEX(Transactions!$G:$G,ROW()-8))</f>
      </c>
      <c r="F1606">
        <f>IF(INDEX(Transactions!$J:$J,ROW()-8)="",0,INDEX(Transactions!$O:$O,ROW()-8))</f>
      </c>
    </row>
    <row r="1607" spans="1:7">
      <c r="B1607">
        <f>IF(INDEX(Transactions!$J:$J,ROW()-8)="",TODAY(),INDEX(Transactions!$G:$G,ROW()-8))</f>
      </c>
      <c r="F1607">
        <f>IF(INDEX(Transactions!$J:$J,ROW()-8)="",0,INDEX(Transactions!$O:$O,ROW()-8))</f>
      </c>
    </row>
    <row r="1608" spans="1:7">
      <c r="B1608">
        <f>IF(INDEX(Transactions!$J:$J,ROW()-8)="",TODAY(),INDEX(Transactions!$G:$G,ROW()-8))</f>
      </c>
      <c r="F1608">
        <f>IF(INDEX(Transactions!$J:$J,ROW()-8)="",0,INDEX(Transactions!$O:$O,ROW()-8))</f>
      </c>
    </row>
    <row r="1609" spans="1:7">
      <c r="B1609">
        <f>IF(INDEX(Transactions!$J:$J,ROW()-8)="",TODAY(),INDEX(Transactions!$G:$G,ROW()-8))</f>
      </c>
      <c r="F1609">
        <f>IF(INDEX(Transactions!$J:$J,ROW()-8)="",0,INDEX(Transactions!$O:$O,ROW()-8))</f>
      </c>
    </row>
    <row r="1610" spans="1:7">
      <c r="B1610">
        <f>IF(INDEX(Transactions!$J:$J,ROW()-8)="",TODAY(),INDEX(Transactions!$G:$G,ROW()-8))</f>
      </c>
      <c r="F1610">
        <f>IF(INDEX(Transactions!$J:$J,ROW()-8)="",0,INDEX(Transactions!$O:$O,ROW()-8))</f>
      </c>
    </row>
    <row r="1611" spans="1:7">
      <c r="B1611">
        <f>IF(INDEX(Transactions!$J:$J,ROW()-8)="",TODAY(),INDEX(Transactions!$G:$G,ROW()-8))</f>
      </c>
      <c r="F1611">
        <f>IF(INDEX(Transactions!$J:$J,ROW()-8)="",0,INDEX(Transactions!$O:$O,ROW()-8))</f>
      </c>
    </row>
    <row r="1612" spans="1:7">
      <c r="B1612">
        <f>IF(INDEX(Transactions!$J:$J,ROW()-8)="",TODAY(),INDEX(Transactions!$G:$G,ROW()-8))</f>
      </c>
      <c r="F1612">
        <f>IF(INDEX(Transactions!$J:$J,ROW()-8)="",0,INDEX(Transactions!$O:$O,ROW()-8))</f>
      </c>
    </row>
    <row r="1613" spans="1:7">
      <c r="B1613">
        <f>IF(INDEX(Transactions!$J:$J,ROW()-8)="",TODAY(),INDEX(Transactions!$G:$G,ROW()-8))</f>
      </c>
      <c r="F1613">
        <f>IF(INDEX(Transactions!$J:$J,ROW()-8)="",0,INDEX(Transactions!$O:$O,ROW()-8))</f>
      </c>
    </row>
    <row r="1614" spans="1:7">
      <c r="B1614">
        <f>IF(INDEX(Transactions!$J:$J,ROW()-8)="",TODAY(),INDEX(Transactions!$G:$G,ROW()-8))</f>
      </c>
      <c r="F1614">
        <f>IF(INDEX(Transactions!$J:$J,ROW()-8)="",0,INDEX(Transactions!$O:$O,ROW()-8))</f>
      </c>
    </row>
    <row r="1615" spans="1:7">
      <c r="B1615">
        <f>IF(INDEX(Transactions!$J:$J,ROW()-8)="",TODAY(),INDEX(Transactions!$G:$G,ROW()-8))</f>
      </c>
      <c r="F1615">
        <f>IF(INDEX(Transactions!$J:$J,ROW()-8)="",0,INDEX(Transactions!$O:$O,ROW()-8))</f>
      </c>
    </row>
    <row r="1616" spans="1:7">
      <c r="B1616">
        <f>IF(INDEX(Transactions!$J:$J,ROW()-8)="",TODAY(),INDEX(Transactions!$G:$G,ROW()-8))</f>
      </c>
      <c r="F1616">
        <f>IF(INDEX(Transactions!$J:$J,ROW()-8)="",0,INDEX(Transactions!$O:$O,ROW()-8))</f>
      </c>
    </row>
    <row r="1617" spans="1:7">
      <c r="B1617">
        <f>IF(INDEX(Transactions!$J:$J,ROW()-8)="",TODAY(),INDEX(Transactions!$G:$G,ROW()-8))</f>
      </c>
      <c r="F1617">
        <f>IF(INDEX(Transactions!$J:$J,ROW()-8)="",0,INDEX(Transactions!$O:$O,ROW()-8))</f>
      </c>
    </row>
    <row r="1618" spans="1:7">
      <c r="B1618">
        <f>IF(INDEX(Transactions!$J:$J,ROW()-8)="",TODAY(),INDEX(Transactions!$G:$G,ROW()-8))</f>
      </c>
      <c r="F1618">
        <f>IF(INDEX(Transactions!$J:$J,ROW()-8)="",0,INDEX(Transactions!$O:$O,ROW()-8))</f>
      </c>
    </row>
    <row r="1619" spans="1:7">
      <c r="B1619">
        <f>IF(INDEX(Transactions!$J:$J,ROW()-8)="",TODAY(),INDEX(Transactions!$G:$G,ROW()-8))</f>
      </c>
      <c r="F1619">
        <f>IF(INDEX(Transactions!$J:$J,ROW()-8)="",0,INDEX(Transactions!$O:$O,ROW()-8))</f>
      </c>
    </row>
    <row r="1620" spans="1:7">
      <c r="B1620">
        <f>IF(INDEX(Transactions!$J:$J,ROW()-8)="",TODAY(),INDEX(Transactions!$G:$G,ROW()-8))</f>
      </c>
      <c r="F1620">
        <f>IF(INDEX(Transactions!$J:$J,ROW()-8)="",0,INDEX(Transactions!$O:$O,ROW()-8))</f>
      </c>
    </row>
    <row r="1621" spans="1:7">
      <c r="B1621">
        <f>IF(INDEX(Transactions!$J:$J,ROW()-8)="",TODAY(),INDEX(Transactions!$G:$G,ROW()-8))</f>
      </c>
      <c r="F1621">
        <f>IF(INDEX(Transactions!$J:$J,ROW()-8)="",0,INDEX(Transactions!$O:$O,ROW()-8))</f>
      </c>
    </row>
    <row r="1622" spans="1:7">
      <c r="B1622">
        <f>IF(INDEX(Transactions!$J:$J,ROW()-8)="",TODAY(),INDEX(Transactions!$G:$G,ROW()-8))</f>
      </c>
      <c r="F1622">
        <f>IF(INDEX(Transactions!$J:$J,ROW()-8)="",0,INDEX(Transactions!$O:$O,ROW()-8))</f>
      </c>
    </row>
    <row r="1623" spans="1:7">
      <c r="B1623">
        <f>IF(INDEX(Transactions!$J:$J,ROW()-8)="",TODAY(),INDEX(Transactions!$G:$G,ROW()-8))</f>
      </c>
      <c r="F1623">
        <f>IF(INDEX(Transactions!$J:$J,ROW()-8)="",0,INDEX(Transactions!$O:$O,ROW()-8))</f>
      </c>
    </row>
    <row r="1624" spans="1:7">
      <c r="B1624">
        <f>IF(INDEX(Transactions!$J:$J,ROW()-8)="",TODAY(),INDEX(Transactions!$G:$G,ROW()-8))</f>
      </c>
      <c r="F1624">
        <f>IF(INDEX(Transactions!$J:$J,ROW()-8)="",0,INDEX(Transactions!$O:$O,ROW()-8))</f>
      </c>
    </row>
    <row r="1625" spans="1:7">
      <c r="B1625">
        <f>IF(INDEX(Transactions!$J:$J,ROW()-8)="",TODAY(),INDEX(Transactions!$G:$G,ROW()-8))</f>
      </c>
      <c r="F1625">
        <f>IF(INDEX(Transactions!$J:$J,ROW()-8)="",0,INDEX(Transactions!$O:$O,ROW()-8))</f>
      </c>
    </row>
    <row r="1626" spans="1:7">
      <c r="B1626">
        <f>IF(INDEX(Transactions!$J:$J,ROW()-8)="",TODAY(),INDEX(Transactions!$G:$G,ROW()-8))</f>
      </c>
      <c r="F1626">
        <f>IF(INDEX(Transactions!$J:$J,ROW()-8)="",0,INDEX(Transactions!$O:$O,ROW()-8))</f>
      </c>
    </row>
    <row r="1627" spans="1:7">
      <c r="B1627">
        <f>IF(INDEX(Transactions!$J:$J,ROW()-8)="",TODAY(),INDEX(Transactions!$G:$G,ROW()-8))</f>
      </c>
      <c r="F1627">
        <f>IF(INDEX(Transactions!$J:$J,ROW()-8)="",0,INDEX(Transactions!$O:$O,ROW()-8))</f>
      </c>
    </row>
    <row r="1628" spans="1:7">
      <c r="B1628">
        <f>IF(INDEX(Transactions!$J:$J,ROW()-8)="",TODAY(),INDEX(Transactions!$G:$G,ROW()-8))</f>
      </c>
      <c r="F1628">
        <f>IF(INDEX(Transactions!$J:$J,ROW()-8)="",0,INDEX(Transactions!$O:$O,ROW()-8))</f>
      </c>
    </row>
    <row r="1629" spans="1:7">
      <c r="B1629">
        <f>IF(INDEX(Transactions!$J:$J,ROW()-8)="",TODAY(),INDEX(Transactions!$G:$G,ROW()-8))</f>
      </c>
      <c r="F1629">
        <f>IF(INDEX(Transactions!$J:$J,ROW()-8)="",0,INDEX(Transactions!$O:$O,ROW()-8))</f>
      </c>
    </row>
    <row r="1630" spans="1:7">
      <c r="B1630">
        <f>IF(INDEX(Transactions!$J:$J,ROW()-8)="",TODAY(),INDEX(Transactions!$G:$G,ROW()-8))</f>
      </c>
      <c r="F1630">
        <f>IF(INDEX(Transactions!$J:$J,ROW()-8)="",0,INDEX(Transactions!$O:$O,ROW()-8))</f>
      </c>
    </row>
    <row r="1631" spans="1:7">
      <c r="B1631">
        <f>IF(INDEX(Transactions!$J:$J,ROW()-8)="",TODAY(),INDEX(Transactions!$G:$G,ROW()-8))</f>
      </c>
      <c r="F1631">
        <f>IF(INDEX(Transactions!$J:$J,ROW()-8)="",0,INDEX(Transactions!$O:$O,ROW()-8))</f>
      </c>
    </row>
    <row r="1632" spans="1:7">
      <c r="B1632">
        <f>IF(INDEX(Transactions!$J:$J,ROW()-8)="",TODAY(),INDEX(Transactions!$G:$G,ROW()-8))</f>
      </c>
      <c r="F1632">
        <f>IF(INDEX(Transactions!$J:$J,ROW()-8)="",0,INDEX(Transactions!$O:$O,ROW()-8))</f>
      </c>
    </row>
    <row r="1633" spans="1:7">
      <c r="B1633">
        <f>IF(INDEX(Transactions!$J:$J,ROW()-8)="",TODAY(),INDEX(Transactions!$G:$G,ROW()-8))</f>
      </c>
      <c r="F1633">
        <f>IF(INDEX(Transactions!$J:$J,ROW()-8)="",0,INDEX(Transactions!$O:$O,ROW()-8))</f>
      </c>
    </row>
    <row r="1634" spans="1:7">
      <c r="B1634">
        <f>IF(INDEX(Transactions!$J:$J,ROW()-8)="",TODAY(),INDEX(Transactions!$G:$G,ROW()-8))</f>
      </c>
      <c r="F1634">
        <f>IF(INDEX(Transactions!$J:$J,ROW()-8)="",0,INDEX(Transactions!$O:$O,ROW()-8))</f>
      </c>
    </row>
    <row r="1635" spans="1:7">
      <c r="B1635">
        <f>IF(INDEX(Transactions!$J:$J,ROW()-8)="",TODAY(),INDEX(Transactions!$G:$G,ROW()-8))</f>
      </c>
      <c r="F1635">
        <f>IF(INDEX(Transactions!$J:$J,ROW()-8)="",0,INDEX(Transactions!$O:$O,ROW()-8))</f>
      </c>
    </row>
    <row r="1636" spans="1:7">
      <c r="B1636">
        <f>IF(INDEX(Transactions!$J:$J,ROW()-8)="",TODAY(),INDEX(Transactions!$G:$G,ROW()-8))</f>
      </c>
      <c r="F1636">
        <f>IF(INDEX(Transactions!$J:$J,ROW()-8)="",0,INDEX(Transactions!$O:$O,ROW()-8))</f>
      </c>
    </row>
    <row r="1637" spans="1:7">
      <c r="B1637">
        <f>IF(INDEX(Transactions!$J:$J,ROW()-8)="",TODAY(),INDEX(Transactions!$G:$G,ROW()-8))</f>
      </c>
      <c r="F1637">
        <f>IF(INDEX(Transactions!$J:$J,ROW()-8)="",0,INDEX(Transactions!$O:$O,ROW()-8))</f>
      </c>
    </row>
    <row r="1638" spans="1:7">
      <c r="B1638">
        <f>IF(INDEX(Transactions!$J:$J,ROW()-8)="",TODAY(),INDEX(Transactions!$G:$G,ROW()-8))</f>
      </c>
      <c r="F1638">
        <f>IF(INDEX(Transactions!$J:$J,ROW()-8)="",0,INDEX(Transactions!$O:$O,ROW()-8))</f>
      </c>
    </row>
    <row r="1639" spans="1:7">
      <c r="B1639">
        <f>IF(INDEX(Transactions!$J:$J,ROW()-8)="",TODAY(),INDEX(Transactions!$G:$G,ROW()-8))</f>
      </c>
      <c r="F1639">
        <f>IF(INDEX(Transactions!$J:$J,ROW()-8)="",0,INDEX(Transactions!$O:$O,ROW()-8))</f>
      </c>
    </row>
    <row r="1640" spans="1:7">
      <c r="B1640">
        <f>IF(INDEX(Transactions!$J:$J,ROW()-8)="",TODAY(),INDEX(Transactions!$G:$G,ROW()-8))</f>
      </c>
      <c r="F1640">
        <f>IF(INDEX(Transactions!$J:$J,ROW()-8)="",0,INDEX(Transactions!$O:$O,ROW()-8))</f>
      </c>
    </row>
    <row r="1641" spans="1:7">
      <c r="B1641">
        <f>IF(INDEX(Transactions!$J:$J,ROW()-8)="",TODAY(),INDEX(Transactions!$G:$G,ROW()-8))</f>
      </c>
      <c r="F1641">
        <f>IF(INDEX(Transactions!$J:$J,ROW()-8)="",0,INDEX(Transactions!$O:$O,ROW()-8))</f>
      </c>
    </row>
    <row r="1642" spans="1:7">
      <c r="B1642">
        <f>IF(INDEX(Transactions!$J:$J,ROW()-8)="",TODAY(),INDEX(Transactions!$G:$G,ROW()-8))</f>
      </c>
      <c r="F1642">
        <f>IF(INDEX(Transactions!$J:$J,ROW()-8)="",0,INDEX(Transactions!$O:$O,ROW()-8))</f>
      </c>
    </row>
    <row r="1643" spans="1:7">
      <c r="B1643">
        <f>IF(INDEX(Transactions!$J:$J,ROW()-8)="",TODAY(),INDEX(Transactions!$G:$G,ROW()-8))</f>
      </c>
      <c r="F1643">
        <f>IF(INDEX(Transactions!$J:$J,ROW()-8)="",0,INDEX(Transactions!$O:$O,ROW()-8))</f>
      </c>
    </row>
    <row r="1644" spans="1:7">
      <c r="B1644">
        <f>IF(INDEX(Transactions!$J:$J,ROW()-8)="",TODAY(),INDEX(Transactions!$G:$G,ROW()-8))</f>
      </c>
      <c r="F1644">
        <f>IF(INDEX(Transactions!$J:$J,ROW()-8)="",0,INDEX(Transactions!$O:$O,ROW()-8))</f>
      </c>
    </row>
    <row r="1645" spans="1:7">
      <c r="B1645">
        <f>IF(INDEX(Transactions!$J:$J,ROW()-8)="",TODAY(),INDEX(Transactions!$G:$G,ROW()-8))</f>
      </c>
      <c r="F1645">
        <f>IF(INDEX(Transactions!$J:$J,ROW()-8)="",0,INDEX(Transactions!$O:$O,ROW()-8))</f>
      </c>
    </row>
    <row r="1646" spans="1:7">
      <c r="B1646">
        <f>IF(INDEX(Transactions!$J:$J,ROW()-8)="",TODAY(),INDEX(Transactions!$G:$G,ROW()-8))</f>
      </c>
      <c r="F1646">
        <f>IF(INDEX(Transactions!$J:$J,ROW()-8)="",0,INDEX(Transactions!$O:$O,ROW()-8))</f>
      </c>
    </row>
    <row r="1647" spans="1:7">
      <c r="B1647">
        <f>IF(INDEX(Transactions!$J:$J,ROW()-8)="",TODAY(),INDEX(Transactions!$G:$G,ROW()-8))</f>
      </c>
      <c r="F1647">
        <f>IF(INDEX(Transactions!$J:$J,ROW()-8)="",0,INDEX(Transactions!$O:$O,ROW()-8))</f>
      </c>
    </row>
    <row r="1648" spans="1:7">
      <c r="B1648">
        <f>IF(INDEX(Transactions!$J:$J,ROW()-8)="",TODAY(),INDEX(Transactions!$G:$G,ROW()-8))</f>
      </c>
      <c r="F1648">
        <f>IF(INDEX(Transactions!$J:$J,ROW()-8)="",0,INDEX(Transactions!$O:$O,ROW()-8))</f>
      </c>
    </row>
    <row r="1649" spans="1:7">
      <c r="B1649">
        <f>IF(INDEX(Transactions!$J:$J,ROW()-8)="",TODAY(),INDEX(Transactions!$G:$G,ROW()-8))</f>
      </c>
      <c r="F1649">
        <f>IF(INDEX(Transactions!$J:$J,ROW()-8)="",0,INDEX(Transactions!$O:$O,ROW()-8))</f>
      </c>
    </row>
    <row r="1650" spans="1:7">
      <c r="B1650">
        <f>IF(INDEX(Transactions!$J:$J,ROW()-8)="",TODAY(),INDEX(Transactions!$G:$G,ROW()-8))</f>
      </c>
      <c r="F1650">
        <f>IF(INDEX(Transactions!$J:$J,ROW()-8)="",0,INDEX(Transactions!$O:$O,ROW()-8))</f>
      </c>
    </row>
    <row r="1651" spans="1:7">
      <c r="B1651">
        <f>IF(INDEX(Transactions!$J:$J,ROW()-8)="",TODAY(),INDEX(Transactions!$G:$G,ROW()-8))</f>
      </c>
      <c r="F1651">
        <f>IF(INDEX(Transactions!$J:$J,ROW()-8)="",0,INDEX(Transactions!$O:$O,ROW()-8))</f>
      </c>
    </row>
    <row r="1652" spans="1:7">
      <c r="B1652">
        <f>IF(INDEX(Transactions!$J:$J,ROW()-8)="",TODAY(),INDEX(Transactions!$G:$G,ROW()-8))</f>
      </c>
      <c r="F1652">
        <f>IF(INDEX(Transactions!$J:$J,ROW()-8)="",0,INDEX(Transactions!$O:$O,ROW()-8))</f>
      </c>
    </row>
    <row r="1653" spans="1:7">
      <c r="B1653">
        <f>IF(INDEX(Transactions!$J:$J,ROW()-8)="",TODAY(),INDEX(Transactions!$G:$G,ROW()-8))</f>
      </c>
      <c r="F1653">
        <f>IF(INDEX(Transactions!$J:$J,ROW()-8)="",0,INDEX(Transactions!$O:$O,ROW()-8))</f>
      </c>
    </row>
    <row r="1654" spans="1:7">
      <c r="B1654">
        <f>IF(INDEX(Transactions!$J:$J,ROW()-8)="",TODAY(),INDEX(Transactions!$G:$G,ROW()-8))</f>
      </c>
      <c r="F1654">
        <f>IF(INDEX(Transactions!$J:$J,ROW()-8)="",0,INDEX(Transactions!$O:$O,ROW()-8))</f>
      </c>
    </row>
    <row r="1655" spans="1:7">
      <c r="B1655">
        <f>IF(INDEX(Transactions!$J:$J,ROW()-8)="",TODAY(),INDEX(Transactions!$G:$G,ROW()-8))</f>
      </c>
      <c r="F1655">
        <f>IF(INDEX(Transactions!$J:$J,ROW()-8)="",0,INDEX(Transactions!$O:$O,ROW()-8))</f>
      </c>
    </row>
    <row r="1656" spans="1:7">
      <c r="B1656">
        <f>IF(INDEX(Transactions!$J:$J,ROW()-8)="",TODAY(),INDEX(Transactions!$G:$G,ROW()-8))</f>
      </c>
      <c r="F1656">
        <f>IF(INDEX(Transactions!$J:$J,ROW()-8)="",0,INDEX(Transactions!$O:$O,ROW()-8))</f>
      </c>
    </row>
    <row r="1657" spans="1:7">
      <c r="B1657">
        <f>IF(INDEX(Transactions!$J:$J,ROW()-8)="",TODAY(),INDEX(Transactions!$G:$G,ROW()-8))</f>
      </c>
      <c r="F1657">
        <f>IF(INDEX(Transactions!$J:$J,ROW()-8)="",0,INDEX(Transactions!$O:$O,ROW()-8))</f>
      </c>
    </row>
    <row r="1658" spans="1:7">
      <c r="B1658">
        <f>IF(INDEX(Transactions!$J:$J,ROW()-8)="",TODAY(),INDEX(Transactions!$G:$G,ROW()-8))</f>
      </c>
      <c r="F1658">
        <f>IF(INDEX(Transactions!$J:$J,ROW()-8)="",0,INDEX(Transactions!$O:$O,ROW()-8))</f>
      </c>
    </row>
    <row r="1659" spans="1:7">
      <c r="B1659">
        <f>IF(INDEX(Transactions!$J:$J,ROW()-8)="",TODAY(),INDEX(Transactions!$G:$G,ROW()-8))</f>
      </c>
      <c r="F1659">
        <f>IF(INDEX(Transactions!$J:$J,ROW()-8)="",0,INDEX(Transactions!$O:$O,ROW()-8))</f>
      </c>
    </row>
    <row r="1660" spans="1:7">
      <c r="B1660">
        <f>IF(INDEX(Transactions!$J:$J,ROW()-8)="",TODAY(),INDEX(Transactions!$G:$G,ROW()-8))</f>
      </c>
      <c r="F1660">
        <f>IF(INDEX(Transactions!$J:$J,ROW()-8)="",0,INDEX(Transactions!$O:$O,ROW()-8))</f>
      </c>
    </row>
    <row r="1661" spans="1:7">
      <c r="B1661">
        <f>IF(INDEX(Transactions!$J:$J,ROW()-8)="",TODAY(),INDEX(Transactions!$G:$G,ROW()-8))</f>
      </c>
      <c r="F1661">
        <f>IF(INDEX(Transactions!$J:$J,ROW()-8)="",0,INDEX(Transactions!$O:$O,ROW()-8))</f>
      </c>
    </row>
    <row r="1662" spans="1:7">
      <c r="B1662">
        <f>IF(INDEX(Transactions!$J:$J,ROW()-8)="",TODAY(),INDEX(Transactions!$G:$G,ROW()-8))</f>
      </c>
      <c r="F1662">
        <f>IF(INDEX(Transactions!$J:$J,ROW()-8)="",0,INDEX(Transactions!$O:$O,ROW()-8))</f>
      </c>
    </row>
    <row r="1663" spans="1:7">
      <c r="B1663">
        <f>IF(INDEX(Transactions!$J:$J,ROW()-8)="",TODAY(),INDEX(Transactions!$G:$G,ROW()-8))</f>
      </c>
      <c r="F1663">
        <f>IF(INDEX(Transactions!$J:$J,ROW()-8)="",0,INDEX(Transactions!$O:$O,ROW()-8))</f>
      </c>
    </row>
    <row r="1664" spans="1:7">
      <c r="B1664">
        <f>IF(INDEX(Transactions!$J:$J,ROW()-8)="",TODAY(),INDEX(Transactions!$G:$G,ROW()-8))</f>
      </c>
      <c r="F1664">
        <f>IF(INDEX(Transactions!$J:$J,ROW()-8)="",0,INDEX(Transactions!$O:$O,ROW()-8))</f>
      </c>
    </row>
    <row r="1665" spans="1:7">
      <c r="B1665">
        <f>IF(INDEX(Transactions!$J:$J,ROW()-8)="",TODAY(),INDEX(Transactions!$G:$G,ROW()-8))</f>
      </c>
      <c r="F1665">
        <f>IF(INDEX(Transactions!$J:$J,ROW()-8)="",0,INDEX(Transactions!$O:$O,ROW()-8))</f>
      </c>
    </row>
    <row r="1666" spans="1:7">
      <c r="B1666">
        <f>IF(INDEX(Transactions!$J:$J,ROW()-8)="",TODAY(),INDEX(Transactions!$G:$G,ROW()-8))</f>
      </c>
      <c r="F1666">
        <f>IF(INDEX(Transactions!$J:$J,ROW()-8)="",0,INDEX(Transactions!$O:$O,ROW()-8))</f>
      </c>
    </row>
    <row r="1667" spans="1:7">
      <c r="B1667">
        <f>IF(INDEX(Transactions!$J:$J,ROW()-8)="",TODAY(),INDEX(Transactions!$G:$G,ROW()-8))</f>
      </c>
      <c r="F1667">
        <f>IF(INDEX(Transactions!$J:$J,ROW()-8)="",0,INDEX(Transactions!$O:$O,ROW()-8))</f>
      </c>
    </row>
    <row r="1668" spans="1:7">
      <c r="B1668">
        <f>IF(INDEX(Transactions!$J:$J,ROW()-8)="",TODAY(),INDEX(Transactions!$G:$G,ROW()-8))</f>
      </c>
      <c r="F1668">
        <f>IF(INDEX(Transactions!$J:$J,ROW()-8)="",0,INDEX(Transactions!$O:$O,ROW()-8))</f>
      </c>
    </row>
    <row r="1669" spans="1:7">
      <c r="B1669">
        <f>IF(INDEX(Transactions!$J:$J,ROW()-8)="",TODAY(),INDEX(Transactions!$G:$G,ROW()-8))</f>
      </c>
      <c r="F1669">
        <f>IF(INDEX(Transactions!$J:$J,ROW()-8)="",0,INDEX(Transactions!$O:$O,ROW()-8))</f>
      </c>
    </row>
    <row r="1670" spans="1:7">
      <c r="B1670">
        <f>IF(INDEX(Transactions!$J:$J,ROW()-8)="",TODAY(),INDEX(Transactions!$G:$G,ROW()-8))</f>
      </c>
      <c r="F1670">
        <f>IF(INDEX(Transactions!$J:$J,ROW()-8)="",0,INDEX(Transactions!$O:$O,ROW()-8))</f>
      </c>
    </row>
    <row r="1671" spans="1:7">
      <c r="B1671">
        <f>IF(INDEX(Transactions!$J:$J,ROW()-8)="",TODAY(),INDEX(Transactions!$G:$G,ROW()-8))</f>
      </c>
      <c r="F1671">
        <f>IF(INDEX(Transactions!$J:$J,ROW()-8)="",0,INDEX(Transactions!$O:$O,ROW()-8))</f>
      </c>
    </row>
    <row r="1672" spans="1:7">
      <c r="B1672">
        <f>IF(INDEX(Transactions!$J:$J,ROW()-8)="",TODAY(),INDEX(Transactions!$G:$G,ROW()-8))</f>
      </c>
      <c r="F1672">
        <f>IF(INDEX(Transactions!$J:$J,ROW()-8)="",0,INDEX(Transactions!$O:$O,ROW()-8))</f>
      </c>
    </row>
    <row r="1673" spans="1:7">
      <c r="B1673">
        <f>IF(INDEX(Transactions!$J:$J,ROW()-8)="",TODAY(),INDEX(Transactions!$G:$G,ROW()-8))</f>
      </c>
      <c r="F1673">
        <f>IF(INDEX(Transactions!$J:$J,ROW()-8)="",0,INDEX(Transactions!$O:$O,ROW()-8))</f>
      </c>
    </row>
    <row r="1674" spans="1:7">
      <c r="B1674">
        <f>IF(INDEX(Transactions!$J:$J,ROW()-8)="",TODAY(),INDEX(Transactions!$G:$G,ROW()-8))</f>
      </c>
      <c r="F1674">
        <f>IF(INDEX(Transactions!$J:$J,ROW()-8)="",0,INDEX(Transactions!$O:$O,ROW()-8))</f>
      </c>
    </row>
    <row r="1675" spans="1:7">
      <c r="B1675">
        <f>IF(INDEX(Transactions!$J:$J,ROW()-8)="",TODAY(),INDEX(Transactions!$G:$G,ROW()-8))</f>
      </c>
      <c r="F1675">
        <f>IF(INDEX(Transactions!$J:$J,ROW()-8)="",0,INDEX(Transactions!$O:$O,ROW()-8))</f>
      </c>
    </row>
    <row r="1676" spans="1:7">
      <c r="B1676">
        <f>IF(INDEX(Transactions!$J:$J,ROW()-8)="",TODAY(),INDEX(Transactions!$G:$G,ROW()-8))</f>
      </c>
      <c r="F1676">
        <f>IF(INDEX(Transactions!$J:$J,ROW()-8)="",0,INDEX(Transactions!$O:$O,ROW()-8))</f>
      </c>
    </row>
    <row r="1677" spans="1:7">
      <c r="B1677">
        <f>IF(INDEX(Transactions!$J:$J,ROW()-8)="",TODAY(),INDEX(Transactions!$G:$G,ROW()-8))</f>
      </c>
      <c r="F1677">
        <f>IF(INDEX(Transactions!$J:$J,ROW()-8)="",0,INDEX(Transactions!$O:$O,ROW()-8))</f>
      </c>
    </row>
    <row r="1678" spans="1:7">
      <c r="B1678">
        <f>IF(INDEX(Transactions!$J:$J,ROW()-8)="",TODAY(),INDEX(Transactions!$G:$G,ROW()-8))</f>
      </c>
      <c r="F1678">
        <f>IF(INDEX(Transactions!$J:$J,ROW()-8)="",0,INDEX(Transactions!$O:$O,ROW()-8))</f>
      </c>
    </row>
    <row r="1679" spans="1:7">
      <c r="B1679">
        <f>IF(INDEX(Transactions!$J:$J,ROW()-8)="",TODAY(),INDEX(Transactions!$G:$G,ROW()-8))</f>
      </c>
      <c r="F1679">
        <f>IF(INDEX(Transactions!$J:$J,ROW()-8)="",0,INDEX(Transactions!$O:$O,ROW()-8))</f>
      </c>
    </row>
    <row r="1680" spans="1:7">
      <c r="B1680">
        <f>IF(INDEX(Transactions!$J:$J,ROW()-8)="",TODAY(),INDEX(Transactions!$G:$G,ROW()-8))</f>
      </c>
      <c r="F1680">
        <f>IF(INDEX(Transactions!$J:$J,ROW()-8)="",0,INDEX(Transactions!$O:$O,ROW()-8))</f>
      </c>
    </row>
    <row r="1681" spans="1:7">
      <c r="B1681">
        <f>IF(INDEX(Transactions!$J:$J,ROW()-8)="",TODAY(),INDEX(Transactions!$G:$G,ROW()-8))</f>
      </c>
      <c r="F1681">
        <f>IF(INDEX(Transactions!$J:$J,ROW()-8)="",0,INDEX(Transactions!$O:$O,ROW()-8))</f>
      </c>
    </row>
    <row r="1682" spans="1:7">
      <c r="B1682">
        <f>IF(INDEX(Transactions!$J:$J,ROW()-8)="",TODAY(),INDEX(Transactions!$G:$G,ROW()-8))</f>
      </c>
      <c r="F1682">
        <f>IF(INDEX(Transactions!$J:$J,ROW()-8)="",0,INDEX(Transactions!$O:$O,ROW()-8))</f>
      </c>
    </row>
    <row r="1683" spans="1:7">
      <c r="B1683">
        <f>IF(INDEX(Transactions!$J:$J,ROW()-8)="",TODAY(),INDEX(Transactions!$G:$G,ROW()-8))</f>
      </c>
      <c r="F1683">
        <f>IF(INDEX(Transactions!$J:$J,ROW()-8)="",0,INDEX(Transactions!$O:$O,ROW()-8))</f>
      </c>
    </row>
    <row r="1684" spans="1:7">
      <c r="B1684">
        <f>IF(INDEX(Transactions!$J:$J,ROW()-8)="",TODAY(),INDEX(Transactions!$G:$G,ROW()-8))</f>
      </c>
      <c r="F1684">
        <f>IF(INDEX(Transactions!$J:$J,ROW()-8)="",0,INDEX(Transactions!$O:$O,ROW()-8))</f>
      </c>
    </row>
    <row r="1685" spans="1:7">
      <c r="B1685">
        <f>IF(INDEX(Transactions!$J:$J,ROW()-8)="",TODAY(),INDEX(Transactions!$G:$G,ROW()-8))</f>
      </c>
      <c r="F1685">
        <f>IF(INDEX(Transactions!$J:$J,ROW()-8)="",0,INDEX(Transactions!$O:$O,ROW()-8))</f>
      </c>
    </row>
    <row r="1686" spans="1:7">
      <c r="B1686">
        <f>IF(INDEX(Transactions!$J:$J,ROW()-8)="",TODAY(),INDEX(Transactions!$G:$G,ROW()-8))</f>
      </c>
      <c r="F1686">
        <f>IF(INDEX(Transactions!$J:$J,ROW()-8)="",0,INDEX(Transactions!$O:$O,ROW()-8))</f>
      </c>
    </row>
    <row r="1687" spans="1:7">
      <c r="B1687">
        <f>IF(INDEX(Transactions!$J:$J,ROW()-8)="",TODAY(),INDEX(Transactions!$G:$G,ROW()-8))</f>
      </c>
      <c r="F1687">
        <f>IF(INDEX(Transactions!$J:$J,ROW()-8)="",0,INDEX(Transactions!$O:$O,ROW()-8))</f>
      </c>
    </row>
    <row r="1688" spans="1:7">
      <c r="B1688">
        <f>IF(INDEX(Transactions!$J:$J,ROW()-8)="",TODAY(),INDEX(Transactions!$G:$G,ROW()-8))</f>
      </c>
      <c r="F1688">
        <f>IF(INDEX(Transactions!$J:$J,ROW()-8)="",0,INDEX(Transactions!$O:$O,ROW()-8))</f>
      </c>
    </row>
    <row r="1689" spans="1:7">
      <c r="B1689">
        <f>IF(INDEX(Transactions!$J:$J,ROW()-8)="",TODAY(),INDEX(Transactions!$G:$G,ROW()-8))</f>
      </c>
      <c r="F1689">
        <f>IF(INDEX(Transactions!$J:$J,ROW()-8)="",0,INDEX(Transactions!$O:$O,ROW()-8))</f>
      </c>
    </row>
    <row r="1690" spans="1:7">
      <c r="B1690">
        <f>IF(INDEX(Transactions!$J:$J,ROW()-8)="",TODAY(),INDEX(Transactions!$G:$G,ROW()-8))</f>
      </c>
      <c r="F1690">
        <f>IF(INDEX(Transactions!$J:$J,ROW()-8)="",0,INDEX(Transactions!$O:$O,ROW()-8))</f>
      </c>
    </row>
    <row r="1691" spans="1:7">
      <c r="B1691">
        <f>IF(INDEX(Transactions!$J:$J,ROW()-8)="",TODAY(),INDEX(Transactions!$G:$G,ROW()-8))</f>
      </c>
      <c r="F1691">
        <f>IF(INDEX(Transactions!$J:$J,ROW()-8)="",0,INDEX(Transactions!$O:$O,ROW()-8))</f>
      </c>
    </row>
    <row r="1692" spans="1:7">
      <c r="B1692">
        <f>IF(INDEX(Transactions!$J:$J,ROW()-8)="",TODAY(),INDEX(Transactions!$G:$G,ROW()-8))</f>
      </c>
      <c r="F1692">
        <f>IF(INDEX(Transactions!$J:$J,ROW()-8)="",0,INDEX(Transactions!$O:$O,ROW()-8))</f>
      </c>
    </row>
    <row r="1693" spans="1:7">
      <c r="B1693">
        <f>IF(INDEX(Transactions!$J:$J,ROW()-8)="",TODAY(),INDEX(Transactions!$G:$G,ROW()-8))</f>
      </c>
      <c r="F1693">
        <f>IF(INDEX(Transactions!$J:$J,ROW()-8)="",0,INDEX(Transactions!$O:$O,ROW()-8))</f>
      </c>
    </row>
    <row r="1694" spans="1:7">
      <c r="B1694">
        <f>IF(INDEX(Transactions!$J:$J,ROW()-8)="",TODAY(),INDEX(Transactions!$G:$G,ROW()-8))</f>
      </c>
      <c r="F1694">
        <f>IF(INDEX(Transactions!$J:$J,ROW()-8)="",0,INDEX(Transactions!$O:$O,ROW()-8))</f>
      </c>
    </row>
    <row r="1695" spans="1:7">
      <c r="B1695">
        <f>IF(INDEX(Transactions!$J:$J,ROW()-8)="",TODAY(),INDEX(Transactions!$G:$G,ROW()-8))</f>
      </c>
      <c r="F1695">
        <f>IF(INDEX(Transactions!$J:$J,ROW()-8)="",0,INDEX(Transactions!$O:$O,ROW()-8))</f>
      </c>
    </row>
    <row r="1696" spans="1:7">
      <c r="B1696">
        <f>IF(INDEX(Transactions!$J:$J,ROW()-8)="",TODAY(),INDEX(Transactions!$G:$G,ROW()-8))</f>
      </c>
      <c r="F1696">
        <f>IF(INDEX(Transactions!$J:$J,ROW()-8)="",0,INDEX(Transactions!$O:$O,ROW()-8))</f>
      </c>
    </row>
    <row r="1697" spans="1:7">
      <c r="B1697">
        <f>IF(INDEX(Transactions!$J:$J,ROW()-8)="",TODAY(),INDEX(Transactions!$G:$G,ROW()-8))</f>
      </c>
      <c r="F1697">
        <f>IF(INDEX(Transactions!$J:$J,ROW()-8)="",0,INDEX(Transactions!$O:$O,ROW()-8))</f>
      </c>
    </row>
    <row r="1698" spans="1:7">
      <c r="B1698">
        <f>IF(INDEX(Transactions!$J:$J,ROW()-8)="",TODAY(),INDEX(Transactions!$G:$G,ROW()-8))</f>
      </c>
      <c r="F1698">
        <f>IF(INDEX(Transactions!$J:$J,ROW()-8)="",0,INDEX(Transactions!$O:$O,ROW()-8))</f>
      </c>
    </row>
    <row r="1699" spans="1:7">
      <c r="B1699">
        <f>IF(INDEX(Transactions!$J:$J,ROW()-8)="",TODAY(),INDEX(Transactions!$G:$G,ROW()-8))</f>
      </c>
      <c r="F1699">
        <f>IF(INDEX(Transactions!$J:$J,ROW()-8)="",0,INDEX(Transactions!$O:$O,ROW()-8))</f>
      </c>
    </row>
    <row r="1700" spans="1:7">
      <c r="B1700">
        <f>IF(INDEX(Transactions!$J:$J,ROW()-8)="",TODAY(),INDEX(Transactions!$G:$G,ROW()-8))</f>
      </c>
      <c r="F1700">
        <f>IF(INDEX(Transactions!$J:$J,ROW()-8)="",0,INDEX(Transactions!$O:$O,ROW()-8))</f>
      </c>
    </row>
    <row r="1701" spans="1:7">
      <c r="B1701">
        <f>IF(INDEX(Transactions!$J:$J,ROW()-8)="",TODAY(),INDEX(Transactions!$G:$G,ROW()-8))</f>
      </c>
      <c r="F1701">
        <f>IF(INDEX(Transactions!$J:$J,ROW()-8)="",0,INDEX(Transactions!$O:$O,ROW()-8))</f>
      </c>
    </row>
    <row r="1702" spans="1:7">
      <c r="B1702">
        <f>IF(INDEX(Transactions!$J:$J,ROW()-8)="",TODAY(),INDEX(Transactions!$G:$G,ROW()-8))</f>
      </c>
      <c r="F1702">
        <f>IF(INDEX(Transactions!$J:$J,ROW()-8)="",0,INDEX(Transactions!$O:$O,ROW()-8))</f>
      </c>
    </row>
    <row r="1703" spans="1:7">
      <c r="B1703">
        <f>IF(INDEX(Transactions!$J:$J,ROW()-8)="",TODAY(),INDEX(Transactions!$G:$G,ROW()-8))</f>
      </c>
      <c r="F1703">
        <f>IF(INDEX(Transactions!$J:$J,ROW()-8)="",0,INDEX(Transactions!$O:$O,ROW()-8))</f>
      </c>
    </row>
    <row r="1704" spans="1:7">
      <c r="B1704">
        <f>IF(INDEX(Transactions!$J:$J,ROW()-8)="",TODAY(),INDEX(Transactions!$G:$G,ROW()-8))</f>
      </c>
      <c r="F1704">
        <f>IF(INDEX(Transactions!$J:$J,ROW()-8)="",0,INDEX(Transactions!$O:$O,ROW()-8))</f>
      </c>
    </row>
    <row r="1705" spans="1:7">
      <c r="B1705">
        <f>IF(INDEX(Transactions!$J:$J,ROW()-8)="",TODAY(),INDEX(Transactions!$G:$G,ROW()-8))</f>
      </c>
      <c r="F1705">
        <f>IF(INDEX(Transactions!$J:$J,ROW()-8)="",0,INDEX(Transactions!$O:$O,ROW()-8))</f>
      </c>
    </row>
    <row r="1706" spans="1:7">
      <c r="B1706">
        <f>IF(INDEX(Transactions!$J:$J,ROW()-8)="",TODAY(),INDEX(Transactions!$G:$G,ROW()-8))</f>
      </c>
      <c r="F1706">
        <f>IF(INDEX(Transactions!$J:$J,ROW()-8)="",0,INDEX(Transactions!$O:$O,ROW()-8))</f>
      </c>
    </row>
    <row r="1707" spans="1:7">
      <c r="B1707">
        <f>IF(INDEX(Transactions!$J:$J,ROW()-8)="",TODAY(),INDEX(Transactions!$G:$G,ROW()-8))</f>
      </c>
      <c r="F1707">
        <f>IF(INDEX(Transactions!$J:$J,ROW()-8)="",0,INDEX(Transactions!$O:$O,ROW()-8))</f>
      </c>
    </row>
    <row r="1708" spans="1:7">
      <c r="B1708">
        <f>IF(INDEX(Transactions!$J:$J,ROW()-8)="",TODAY(),INDEX(Transactions!$G:$G,ROW()-8))</f>
      </c>
      <c r="F1708">
        <f>IF(INDEX(Transactions!$J:$J,ROW()-8)="",0,INDEX(Transactions!$O:$O,ROW()-8))</f>
      </c>
    </row>
    <row r="1709" spans="1:7">
      <c r="B1709">
        <f>IF(INDEX(Transactions!$J:$J,ROW()-8)="",TODAY(),INDEX(Transactions!$G:$G,ROW()-8))</f>
      </c>
      <c r="F1709">
        <f>IF(INDEX(Transactions!$J:$J,ROW()-8)="",0,INDEX(Transactions!$O:$O,ROW()-8))</f>
      </c>
    </row>
    <row r="1710" spans="1:7">
      <c r="B1710">
        <f>IF(INDEX(Transactions!$J:$J,ROW()-8)="",TODAY(),INDEX(Transactions!$G:$G,ROW()-8))</f>
      </c>
      <c r="F1710">
        <f>IF(INDEX(Transactions!$J:$J,ROW()-8)="",0,INDEX(Transactions!$O:$O,ROW()-8))</f>
      </c>
    </row>
    <row r="1711" spans="1:7">
      <c r="B1711">
        <f>IF(INDEX(Transactions!$J:$J,ROW()-8)="",TODAY(),INDEX(Transactions!$G:$G,ROW()-8))</f>
      </c>
      <c r="F1711">
        <f>IF(INDEX(Transactions!$J:$J,ROW()-8)="",0,INDEX(Transactions!$O:$O,ROW()-8))</f>
      </c>
    </row>
    <row r="1712" spans="1:7">
      <c r="B1712">
        <f>IF(INDEX(Transactions!$J:$J,ROW()-8)="",TODAY(),INDEX(Transactions!$G:$G,ROW()-8))</f>
      </c>
      <c r="F1712">
        <f>IF(INDEX(Transactions!$J:$J,ROW()-8)="",0,INDEX(Transactions!$O:$O,ROW()-8))</f>
      </c>
    </row>
    <row r="1713" spans="1:7">
      <c r="B1713">
        <f>IF(INDEX(Transactions!$J:$J,ROW()-8)="",TODAY(),INDEX(Transactions!$G:$G,ROW()-8))</f>
      </c>
      <c r="F1713">
        <f>IF(INDEX(Transactions!$J:$J,ROW()-8)="",0,INDEX(Transactions!$O:$O,ROW()-8))</f>
      </c>
    </row>
    <row r="1714" spans="1:7">
      <c r="B1714">
        <f>IF(INDEX(Transactions!$J:$J,ROW()-8)="",TODAY(),INDEX(Transactions!$G:$G,ROW()-8))</f>
      </c>
      <c r="F1714">
        <f>IF(INDEX(Transactions!$J:$J,ROW()-8)="",0,INDEX(Transactions!$O:$O,ROW()-8))</f>
      </c>
    </row>
    <row r="1715" spans="1:7">
      <c r="B1715">
        <f>IF(INDEX(Transactions!$J:$J,ROW()-8)="",TODAY(),INDEX(Transactions!$G:$G,ROW()-8))</f>
      </c>
      <c r="F1715">
        <f>IF(INDEX(Transactions!$J:$J,ROW()-8)="",0,INDEX(Transactions!$O:$O,ROW()-8))</f>
      </c>
    </row>
    <row r="1716" spans="1:7">
      <c r="B1716">
        <f>IF(INDEX(Transactions!$J:$J,ROW()-8)="",TODAY(),INDEX(Transactions!$G:$G,ROW()-8))</f>
      </c>
      <c r="F1716">
        <f>IF(INDEX(Transactions!$J:$J,ROW()-8)="",0,INDEX(Transactions!$O:$O,ROW()-8))</f>
      </c>
    </row>
    <row r="1717" spans="1:7">
      <c r="B1717">
        <f>IF(INDEX(Transactions!$J:$J,ROW()-8)="",TODAY(),INDEX(Transactions!$G:$G,ROW()-8))</f>
      </c>
      <c r="F1717">
        <f>IF(INDEX(Transactions!$J:$J,ROW()-8)="",0,INDEX(Transactions!$O:$O,ROW()-8))</f>
      </c>
    </row>
    <row r="1718" spans="1:7">
      <c r="B1718">
        <f>IF(INDEX(Transactions!$J:$J,ROW()-8)="",TODAY(),INDEX(Transactions!$G:$G,ROW()-8))</f>
      </c>
      <c r="F1718">
        <f>IF(INDEX(Transactions!$J:$J,ROW()-8)="",0,INDEX(Transactions!$O:$O,ROW()-8))</f>
      </c>
    </row>
    <row r="1719" spans="1:7">
      <c r="B1719">
        <f>IF(INDEX(Transactions!$J:$J,ROW()-8)="",TODAY(),INDEX(Transactions!$G:$G,ROW()-8))</f>
      </c>
      <c r="F1719">
        <f>IF(INDEX(Transactions!$J:$J,ROW()-8)="",0,INDEX(Transactions!$O:$O,ROW()-8))</f>
      </c>
    </row>
    <row r="1720" spans="1:7">
      <c r="B1720">
        <f>IF(INDEX(Transactions!$J:$J,ROW()-8)="",TODAY(),INDEX(Transactions!$G:$G,ROW()-8))</f>
      </c>
      <c r="F1720">
        <f>IF(INDEX(Transactions!$J:$J,ROW()-8)="",0,INDEX(Transactions!$O:$O,ROW()-8))</f>
      </c>
    </row>
    <row r="1721" spans="1:7">
      <c r="B1721">
        <f>IF(INDEX(Transactions!$J:$J,ROW()-8)="",TODAY(),INDEX(Transactions!$G:$G,ROW()-8))</f>
      </c>
      <c r="F1721">
        <f>IF(INDEX(Transactions!$J:$J,ROW()-8)="",0,INDEX(Transactions!$O:$O,ROW()-8))</f>
      </c>
    </row>
    <row r="1722" spans="1:7">
      <c r="B1722">
        <f>IF(INDEX(Transactions!$J:$J,ROW()-8)="",TODAY(),INDEX(Transactions!$G:$G,ROW()-8))</f>
      </c>
      <c r="F1722">
        <f>IF(INDEX(Transactions!$J:$J,ROW()-8)="",0,INDEX(Transactions!$O:$O,ROW()-8))</f>
      </c>
    </row>
    <row r="1723" spans="1:7">
      <c r="B1723">
        <f>IF(INDEX(Transactions!$J:$J,ROW()-8)="",TODAY(),INDEX(Transactions!$G:$G,ROW()-8))</f>
      </c>
      <c r="F1723">
        <f>IF(INDEX(Transactions!$J:$J,ROW()-8)="",0,INDEX(Transactions!$O:$O,ROW()-8))</f>
      </c>
    </row>
    <row r="1724" spans="1:7">
      <c r="B1724">
        <f>IF(INDEX(Transactions!$J:$J,ROW()-8)="",TODAY(),INDEX(Transactions!$G:$G,ROW()-8))</f>
      </c>
      <c r="F1724">
        <f>IF(INDEX(Transactions!$J:$J,ROW()-8)="",0,INDEX(Transactions!$O:$O,ROW()-8))</f>
      </c>
    </row>
    <row r="1725" spans="1:7">
      <c r="B1725">
        <f>IF(INDEX(Transactions!$J:$J,ROW()-8)="",TODAY(),INDEX(Transactions!$G:$G,ROW()-8))</f>
      </c>
      <c r="F1725">
        <f>IF(INDEX(Transactions!$J:$J,ROW()-8)="",0,INDEX(Transactions!$O:$O,ROW()-8))</f>
      </c>
    </row>
    <row r="1726" spans="1:7">
      <c r="B1726">
        <f>IF(INDEX(Transactions!$J:$J,ROW()-8)="",TODAY(),INDEX(Transactions!$G:$G,ROW()-8))</f>
      </c>
      <c r="F1726">
        <f>IF(INDEX(Transactions!$J:$J,ROW()-8)="",0,INDEX(Transactions!$O:$O,ROW()-8))</f>
      </c>
    </row>
    <row r="1727" spans="1:7">
      <c r="B1727">
        <f>IF(INDEX(Transactions!$J:$J,ROW()-8)="",TODAY(),INDEX(Transactions!$G:$G,ROW()-8))</f>
      </c>
      <c r="F1727">
        <f>IF(INDEX(Transactions!$J:$J,ROW()-8)="",0,INDEX(Transactions!$O:$O,ROW()-8))</f>
      </c>
    </row>
    <row r="1728" spans="1:7">
      <c r="B1728">
        <f>IF(INDEX(Transactions!$J:$J,ROW()-8)="",TODAY(),INDEX(Transactions!$G:$G,ROW()-8))</f>
      </c>
      <c r="F1728">
        <f>IF(INDEX(Transactions!$J:$J,ROW()-8)="",0,INDEX(Transactions!$O:$O,ROW()-8))</f>
      </c>
    </row>
    <row r="1729" spans="1:7">
      <c r="B1729">
        <f>IF(INDEX(Transactions!$J:$J,ROW()-8)="",TODAY(),INDEX(Transactions!$G:$G,ROW()-8))</f>
      </c>
      <c r="F1729">
        <f>IF(INDEX(Transactions!$J:$J,ROW()-8)="",0,INDEX(Transactions!$O:$O,ROW()-8))</f>
      </c>
    </row>
    <row r="1730" spans="1:7">
      <c r="B1730">
        <f>IF(INDEX(Transactions!$J:$J,ROW()-8)="",TODAY(),INDEX(Transactions!$G:$G,ROW()-8))</f>
      </c>
      <c r="F1730">
        <f>IF(INDEX(Transactions!$J:$J,ROW()-8)="",0,INDEX(Transactions!$O:$O,ROW()-8))</f>
      </c>
    </row>
    <row r="1731" spans="1:7">
      <c r="B1731">
        <f>IF(INDEX(Transactions!$J:$J,ROW()-8)="",TODAY(),INDEX(Transactions!$G:$G,ROW()-8))</f>
      </c>
      <c r="F1731">
        <f>IF(INDEX(Transactions!$J:$J,ROW()-8)="",0,INDEX(Transactions!$O:$O,ROW()-8))</f>
      </c>
    </row>
    <row r="1732" spans="1:7">
      <c r="B1732">
        <f>IF(INDEX(Transactions!$J:$J,ROW()-8)="",TODAY(),INDEX(Transactions!$G:$G,ROW()-8))</f>
      </c>
      <c r="F1732">
        <f>IF(INDEX(Transactions!$J:$J,ROW()-8)="",0,INDEX(Transactions!$O:$O,ROW()-8))</f>
      </c>
    </row>
    <row r="1733" spans="1:7">
      <c r="B1733">
        <f>IF(INDEX(Transactions!$J:$J,ROW()-8)="",TODAY(),INDEX(Transactions!$G:$G,ROW()-8))</f>
      </c>
      <c r="F1733">
        <f>IF(INDEX(Transactions!$J:$J,ROW()-8)="",0,INDEX(Transactions!$O:$O,ROW()-8))</f>
      </c>
    </row>
    <row r="1734" spans="1:7">
      <c r="B1734">
        <f>IF(INDEX(Transactions!$J:$J,ROW()-8)="",TODAY(),INDEX(Transactions!$G:$G,ROW()-8))</f>
      </c>
      <c r="F1734">
        <f>IF(INDEX(Transactions!$J:$J,ROW()-8)="",0,INDEX(Transactions!$O:$O,ROW()-8))</f>
      </c>
    </row>
    <row r="1735" spans="1:7">
      <c r="B1735">
        <f>IF(INDEX(Transactions!$J:$J,ROW()-8)="",TODAY(),INDEX(Transactions!$G:$G,ROW()-8))</f>
      </c>
      <c r="F1735">
        <f>IF(INDEX(Transactions!$J:$J,ROW()-8)="",0,INDEX(Transactions!$O:$O,ROW()-8))</f>
      </c>
    </row>
    <row r="1736" spans="1:7">
      <c r="B1736">
        <f>IF(INDEX(Transactions!$J:$J,ROW()-8)="",TODAY(),INDEX(Transactions!$G:$G,ROW()-8))</f>
      </c>
      <c r="F1736">
        <f>IF(INDEX(Transactions!$J:$J,ROW()-8)="",0,INDEX(Transactions!$O:$O,ROW()-8))</f>
      </c>
    </row>
    <row r="1737" spans="1:7">
      <c r="B1737">
        <f>IF(INDEX(Transactions!$J:$J,ROW()-8)="",TODAY(),INDEX(Transactions!$G:$G,ROW()-8))</f>
      </c>
      <c r="F1737">
        <f>IF(INDEX(Transactions!$J:$J,ROW()-8)="",0,INDEX(Transactions!$O:$O,ROW()-8))</f>
      </c>
    </row>
    <row r="1738" spans="1:7">
      <c r="B1738">
        <f>IF(INDEX(Transactions!$J:$J,ROW()-8)="",TODAY(),INDEX(Transactions!$G:$G,ROW()-8))</f>
      </c>
      <c r="F1738">
        <f>IF(INDEX(Transactions!$J:$J,ROW()-8)="",0,INDEX(Transactions!$O:$O,ROW()-8))</f>
      </c>
    </row>
    <row r="1739" spans="1:7">
      <c r="B1739">
        <f>IF(INDEX(Transactions!$J:$J,ROW()-8)="",TODAY(),INDEX(Transactions!$G:$G,ROW()-8))</f>
      </c>
      <c r="F1739">
        <f>IF(INDEX(Transactions!$J:$J,ROW()-8)="",0,INDEX(Transactions!$O:$O,ROW()-8))</f>
      </c>
    </row>
    <row r="1740" spans="1:7">
      <c r="B1740">
        <f>IF(INDEX(Transactions!$J:$J,ROW()-8)="",TODAY(),INDEX(Transactions!$G:$G,ROW()-8))</f>
      </c>
      <c r="F1740">
        <f>IF(INDEX(Transactions!$J:$J,ROW()-8)="",0,INDEX(Transactions!$O:$O,ROW()-8))</f>
      </c>
    </row>
    <row r="1741" spans="1:7">
      <c r="B1741">
        <f>IF(INDEX(Transactions!$J:$J,ROW()-8)="",TODAY(),INDEX(Transactions!$G:$G,ROW()-8))</f>
      </c>
      <c r="F1741">
        <f>IF(INDEX(Transactions!$J:$J,ROW()-8)="",0,INDEX(Transactions!$O:$O,ROW()-8))</f>
      </c>
    </row>
    <row r="1742" spans="1:7">
      <c r="B1742">
        <f>IF(INDEX(Transactions!$J:$J,ROW()-8)="",TODAY(),INDEX(Transactions!$G:$G,ROW()-8))</f>
      </c>
      <c r="F1742">
        <f>IF(INDEX(Transactions!$J:$J,ROW()-8)="",0,INDEX(Transactions!$O:$O,ROW()-8))</f>
      </c>
    </row>
    <row r="1743" spans="1:7">
      <c r="B1743">
        <f>IF(INDEX(Transactions!$J:$J,ROW()-8)="",TODAY(),INDEX(Transactions!$G:$G,ROW()-8))</f>
      </c>
      <c r="F1743">
        <f>IF(INDEX(Transactions!$J:$J,ROW()-8)="",0,INDEX(Transactions!$O:$O,ROW()-8))</f>
      </c>
    </row>
    <row r="1744" spans="1:7">
      <c r="B1744">
        <f>IF(INDEX(Transactions!$J:$J,ROW()-8)="",TODAY(),INDEX(Transactions!$G:$G,ROW()-8))</f>
      </c>
      <c r="F1744">
        <f>IF(INDEX(Transactions!$J:$J,ROW()-8)="",0,INDEX(Transactions!$O:$O,ROW()-8))</f>
      </c>
    </row>
    <row r="1745" spans="1:7">
      <c r="B1745">
        <f>IF(INDEX(Transactions!$J:$J,ROW()-8)="",TODAY(),INDEX(Transactions!$G:$G,ROW()-8))</f>
      </c>
      <c r="F1745">
        <f>IF(INDEX(Transactions!$J:$J,ROW()-8)="",0,INDEX(Transactions!$O:$O,ROW()-8))</f>
      </c>
    </row>
    <row r="1746" spans="1:7">
      <c r="B1746">
        <f>IF(INDEX(Transactions!$J:$J,ROW()-8)="",TODAY(),INDEX(Transactions!$G:$G,ROW()-8))</f>
      </c>
      <c r="F1746">
        <f>IF(INDEX(Transactions!$J:$J,ROW()-8)="",0,INDEX(Transactions!$O:$O,ROW()-8))</f>
      </c>
    </row>
    <row r="1747" spans="1:7">
      <c r="B1747">
        <f>IF(INDEX(Transactions!$J:$J,ROW()-8)="",TODAY(),INDEX(Transactions!$G:$G,ROW()-8))</f>
      </c>
      <c r="F1747">
        <f>IF(INDEX(Transactions!$J:$J,ROW()-8)="",0,INDEX(Transactions!$O:$O,ROW()-8))</f>
      </c>
    </row>
    <row r="1748" spans="1:7">
      <c r="B1748">
        <f>IF(INDEX(Transactions!$J:$J,ROW()-8)="",TODAY(),INDEX(Transactions!$G:$G,ROW()-8))</f>
      </c>
      <c r="F1748">
        <f>IF(INDEX(Transactions!$J:$J,ROW()-8)="",0,INDEX(Transactions!$O:$O,ROW()-8))</f>
      </c>
    </row>
    <row r="1749" spans="1:7">
      <c r="B1749">
        <f>IF(INDEX(Transactions!$J:$J,ROW()-8)="",TODAY(),INDEX(Transactions!$G:$G,ROW()-8))</f>
      </c>
      <c r="F1749">
        <f>IF(INDEX(Transactions!$J:$J,ROW()-8)="",0,INDEX(Transactions!$O:$O,ROW()-8))</f>
      </c>
    </row>
    <row r="1750" spans="1:7">
      <c r="B1750">
        <f>IF(INDEX(Transactions!$J:$J,ROW()-8)="",TODAY(),INDEX(Transactions!$G:$G,ROW()-8))</f>
      </c>
      <c r="F1750">
        <f>IF(INDEX(Transactions!$J:$J,ROW()-8)="",0,INDEX(Transactions!$O:$O,ROW()-8))</f>
      </c>
    </row>
    <row r="1751" spans="1:7">
      <c r="B1751">
        <f>IF(INDEX(Transactions!$J:$J,ROW()-8)="",TODAY(),INDEX(Transactions!$G:$G,ROW()-8))</f>
      </c>
      <c r="F1751">
        <f>IF(INDEX(Transactions!$J:$J,ROW()-8)="",0,INDEX(Transactions!$O:$O,ROW()-8))</f>
      </c>
    </row>
    <row r="1752" spans="1:7">
      <c r="B1752">
        <f>IF(INDEX(Transactions!$J:$J,ROW()-8)="",TODAY(),INDEX(Transactions!$G:$G,ROW()-8))</f>
      </c>
      <c r="F1752">
        <f>IF(INDEX(Transactions!$J:$J,ROW()-8)="",0,INDEX(Transactions!$O:$O,ROW()-8))</f>
      </c>
    </row>
    <row r="1753" spans="1:7">
      <c r="B1753">
        <f>IF(INDEX(Transactions!$J:$J,ROW()-8)="",TODAY(),INDEX(Transactions!$G:$G,ROW()-8))</f>
      </c>
      <c r="F1753">
        <f>IF(INDEX(Transactions!$J:$J,ROW()-8)="",0,INDEX(Transactions!$O:$O,ROW()-8))</f>
      </c>
    </row>
    <row r="1754" spans="1:7">
      <c r="B1754">
        <f>IF(INDEX(Transactions!$J:$J,ROW()-8)="",TODAY(),INDEX(Transactions!$G:$G,ROW()-8))</f>
      </c>
      <c r="F1754">
        <f>IF(INDEX(Transactions!$J:$J,ROW()-8)="",0,INDEX(Transactions!$O:$O,ROW()-8))</f>
      </c>
    </row>
    <row r="1755" spans="1:7">
      <c r="B1755">
        <f>IF(INDEX(Transactions!$J:$J,ROW()-8)="",TODAY(),INDEX(Transactions!$G:$G,ROW()-8))</f>
      </c>
      <c r="F1755">
        <f>IF(INDEX(Transactions!$J:$J,ROW()-8)="",0,INDEX(Transactions!$O:$O,ROW()-8))</f>
      </c>
    </row>
    <row r="1756" spans="1:7">
      <c r="B1756">
        <f>IF(INDEX(Transactions!$J:$J,ROW()-8)="",TODAY(),INDEX(Transactions!$G:$G,ROW()-8))</f>
      </c>
      <c r="F1756">
        <f>IF(INDEX(Transactions!$J:$J,ROW()-8)="",0,INDEX(Transactions!$O:$O,ROW()-8))</f>
      </c>
    </row>
    <row r="1757" spans="1:7">
      <c r="B1757">
        <f>IF(INDEX(Transactions!$J:$J,ROW()-8)="",TODAY(),INDEX(Transactions!$G:$G,ROW()-8))</f>
      </c>
      <c r="F1757">
        <f>IF(INDEX(Transactions!$J:$J,ROW()-8)="",0,INDEX(Transactions!$O:$O,ROW()-8))</f>
      </c>
    </row>
    <row r="1758" spans="1:7">
      <c r="B1758">
        <f>IF(INDEX(Transactions!$J:$J,ROW()-8)="",TODAY(),INDEX(Transactions!$G:$G,ROW()-8))</f>
      </c>
      <c r="F1758">
        <f>IF(INDEX(Transactions!$J:$J,ROW()-8)="",0,INDEX(Transactions!$O:$O,ROW()-8))</f>
      </c>
    </row>
    <row r="1759" spans="1:7">
      <c r="B1759">
        <f>IF(INDEX(Transactions!$J:$J,ROW()-8)="",TODAY(),INDEX(Transactions!$G:$G,ROW()-8))</f>
      </c>
      <c r="F1759">
        <f>IF(INDEX(Transactions!$J:$J,ROW()-8)="",0,INDEX(Transactions!$O:$O,ROW()-8))</f>
      </c>
    </row>
    <row r="1760" spans="1:7">
      <c r="B1760">
        <f>IF(INDEX(Transactions!$J:$J,ROW()-8)="",TODAY(),INDEX(Transactions!$G:$G,ROW()-8))</f>
      </c>
      <c r="F1760">
        <f>IF(INDEX(Transactions!$J:$J,ROW()-8)="",0,INDEX(Transactions!$O:$O,ROW()-8))</f>
      </c>
    </row>
    <row r="1761" spans="1:7">
      <c r="B1761">
        <f>IF(INDEX(Transactions!$J:$J,ROW()-8)="",TODAY(),INDEX(Transactions!$G:$G,ROW()-8))</f>
      </c>
      <c r="F1761">
        <f>IF(INDEX(Transactions!$J:$J,ROW()-8)="",0,INDEX(Transactions!$O:$O,ROW()-8))</f>
      </c>
    </row>
    <row r="1762" spans="1:7">
      <c r="B1762">
        <f>IF(INDEX(Transactions!$J:$J,ROW()-8)="",TODAY(),INDEX(Transactions!$G:$G,ROW()-8))</f>
      </c>
      <c r="F1762">
        <f>IF(INDEX(Transactions!$J:$J,ROW()-8)="",0,INDEX(Transactions!$O:$O,ROW()-8))</f>
      </c>
    </row>
    <row r="1763" spans="1:7">
      <c r="B1763">
        <f>IF(INDEX(Transactions!$J:$J,ROW()-8)="",TODAY(),INDEX(Transactions!$G:$G,ROW()-8))</f>
      </c>
      <c r="F1763">
        <f>IF(INDEX(Transactions!$J:$J,ROW()-8)="",0,INDEX(Transactions!$O:$O,ROW()-8))</f>
      </c>
    </row>
    <row r="1764" spans="1:7">
      <c r="B1764">
        <f>IF(INDEX(Transactions!$J:$J,ROW()-8)="",TODAY(),INDEX(Transactions!$G:$G,ROW()-8))</f>
      </c>
      <c r="F1764">
        <f>IF(INDEX(Transactions!$J:$J,ROW()-8)="",0,INDEX(Transactions!$O:$O,ROW()-8))</f>
      </c>
    </row>
    <row r="1765" spans="1:7">
      <c r="B1765">
        <f>IF(INDEX(Transactions!$J:$J,ROW()-8)="",TODAY(),INDEX(Transactions!$G:$G,ROW()-8))</f>
      </c>
      <c r="F1765">
        <f>IF(INDEX(Transactions!$J:$J,ROW()-8)="",0,INDEX(Transactions!$O:$O,ROW()-8))</f>
      </c>
    </row>
    <row r="1766" spans="1:7">
      <c r="B1766">
        <f>IF(INDEX(Transactions!$J:$J,ROW()-8)="",TODAY(),INDEX(Transactions!$G:$G,ROW()-8))</f>
      </c>
      <c r="F1766">
        <f>IF(INDEX(Transactions!$J:$J,ROW()-8)="",0,INDEX(Transactions!$O:$O,ROW()-8))</f>
      </c>
    </row>
    <row r="1767" spans="1:7">
      <c r="B1767">
        <f>IF(INDEX(Transactions!$J:$J,ROW()-8)="",TODAY(),INDEX(Transactions!$G:$G,ROW()-8))</f>
      </c>
      <c r="F1767">
        <f>IF(INDEX(Transactions!$J:$J,ROW()-8)="",0,INDEX(Transactions!$O:$O,ROW()-8))</f>
      </c>
    </row>
    <row r="1768" spans="1:7">
      <c r="B1768">
        <f>IF(INDEX(Transactions!$J:$J,ROW()-8)="",TODAY(),INDEX(Transactions!$G:$G,ROW()-8))</f>
      </c>
      <c r="F1768">
        <f>IF(INDEX(Transactions!$J:$J,ROW()-8)="",0,INDEX(Transactions!$O:$O,ROW()-8))</f>
      </c>
    </row>
    <row r="1769" spans="1:7">
      <c r="B1769">
        <f>IF(INDEX(Transactions!$J:$J,ROW()-8)="",TODAY(),INDEX(Transactions!$G:$G,ROW()-8))</f>
      </c>
      <c r="F1769">
        <f>IF(INDEX(Transactions!$J:$J,ROW()-8)="",0,INDEX(Transactions!$O:$O,ROW()-8))</f>
      </c>
    </row>
    <row r="1770" spans="1:7">
      <c r="B1770">
        <f>IF(INDEX(Transactions!$J:$J,ROW()-8)="",TODAY(),INDEX(Transactions!$G:$G,ROW()-8))</f>
      </c>
      <c r="F1770">
        <f>IF(INDEX(Transactions!$J:$J,ROW()-8)="",0,INDEX(Transactions!$O:$O,ROW()-8))</f>
      </c>
    </row>
    <row r="1771" spans="1:7">
      <c r="B1771">
        <f>IF(INDEX(Transactions!$J:$J,ROW()-8)="",TODAY(),INDEX(Transactions!$G:$G,ROW()-8))</f>
      </c>
      <c r="F1771">
        <f>IF(INDEX(Transactions!$J:$J,ROW()-8)="",0,INDEX(Transactions!$O:$O,ROW()-8))</f>
      </c>
    </row>
    <row r="1772" spans="1:7">
      <c r="B1772">
        <f>IF(INDEX(Transactions!$J:$J,ROW()-8)="",TODAY(),INDEX(Transactions!$G:$G,ROW()-8))</f>
      </c>
      <c r="F1772">
        <f>IF(INDEX(Transactions!$J:$J,ROW()-8)="",0,INDEX(Transactions!$O:$O,ROW()-8))</f>
      </c>
    </row>
    <row r="1773" spans="1:7">
      <c r="B1773">
        <f>IF(INDEX(Transactions!$J:$J,ROW()-8)="",TODAY(),INDEX(Transactions!$G:$G,ROW()-8))</f>
      </c>
      <c r="F1773">
        <f>IF(INDEX(Transactions!$J:$J,ROW()-8)="",0,INDEX(Transactions!$O:$O,ROW()-8))</f>
      </c>
    </row>
    <row r="1774" spans="1:7">
      <c r="B1774">
        <f>IF(INDEX(Transactions!$J:$J,ROW()-8)="",TODAY(),INDEX(Transactions!$G:$G,ROW()-8))</f>
      </c>
      <c r="F1774">
        <f>IF(INDEX(Transactions!$J:$J,ROW()-8)="",0,INDEX(Transactions!$O:$O,ROW()-8))</f>
      </c>
    </row>
    <row r="1775" spans="1:7">
      <c r="B1775">
        <f>IF(INDEX(Transactions!$J:$J,ROW()-8)="",TODAY(),INDEX(Transactions!$G:$G,ROW()-8))</f>
      </c>
      <c r="F1775">
        <f>IF(INDEX(Transactions!$J:$J,ROW()-8)="",0,INDEX(Transactions!$O:$O,ROW()-8))</f>
      </c>
    </row>
    <row r="1776" spans="1:7">
      <c r="B1776">
        <f>IF(INDEX(Transactions!$J:$J,ROW()-8)="",TODAY(),INDEX(Transactions!$G:$G,ROW()-8))</f>
      </c>
      <c r="F1776">
        <f>IF(INDEX(Transactions!$J:$J,ROW()-8)="",0,INDEX(Transactions!$O:$O,ROW()-8))</f>
      </c>
    </row>
    <row r="1777" spans="1:7">
      <c r="B1777">
        <f>IF(INDEX(Transactions!$J:$J,ROW()-8)="",TODAY(),INDEX(Transactions!$G:$G,ROW()-8))</f>
      </c>
      <c r="F1777">
        <f>IF(INDEX(Transactions!$J:$J,ROW()-8)="",0,INDEX(Transactions!$O:$O,ROW()-8))</f>
      </c>
    </row>
    <row r="1778" spans="1:7">
      <c r="B1778">
        <f>IF(INDEX(Transactions!$J:$J,ROW()-8)="",TODAY(),INDEX(Transactions!$G:$G,ROW()-8))</f>
      </c>
      <c r="F1778">
        <f>IF(INDEX(Transactions!$J:$J,ROW()-8)="",0,INDEX(Transactions!$O:$O,ROW()-8))</f>
      </c>
    </row>
    <row r="1779" spans="1:7">
      <c r="B1779">
        <f>IF(INDEX(Transactions!$J:$J,ROW()-8)="",TODAY(),INDEX(Transactions!$G:$G,ROW()-8))</f>
      </c>
      <c r="F1779">
        <f>IF(INDEX(Transactions!$J:$J,ROW()-8)="",0,INDEX(Transactions!$O:$O,ROW()-8))</f>
      </c>
    </row>
    <row r="1780" spans="1:7">
      <c r="B1780">
        <f>IF(INDEX(Transactions!$J:$J,ROW()-8)="",TODAY(),INDEX(Transactions!$G:$G,ROW()-8))</f>
      </c>
      <c r="F1780">
        <f>IF(INDEX(Transactions!$J:$J,ROW()-8)="",0,INDEX(Transactions!$O:$O,ROW()-8))</f>
      </c>
    </row>
    <row r="1781" spans="1:7">
      <c r="B1781">
        <f>IF(INDEX(Transactions!$J:$J,ROW()-8)="",TODAY(),INDEX(Transactions!$G:$G,ROW()-8))</f>
      </c>
      <c r="F1781">
        <f>IF(INDEX(Transactions!$J:$J,ROW()-8)="",0,INDEX(Transactions!$O:$O,ROW()-8))</f>
      </c>
    </row>
    <row r="1782" spans="1:7">
      <c r="B1782">
        <f>IF(INDEX(Transactions!$J:$J,ROW()-8)="",TODAY(),INDEX(Transactions!$G:$G,ROW()-8))</f>
      </c>
      <c r="F1782">
        <f>IF(INDEX(Transactions!$J:$J,ROW()-8)="",0,INDEX(Transactions!$O:$O,ROW()-8))</f>
      </c>
    </row>
    <row r="1783" spans="1:7">
      <c r="B1783">
        <f>IF(INDEX(Transactions!$J:$J,ROW()-8)="",TODAY(),INDEX(Transactions!$G:$G,ROW()-8))</f>
      </c>
      <c r="F1783">
        <f>IF(INDEX(Transactions!$J:$J,ROW()-8)="",0,INDEX(Transactions!$O:$O,ROW()-8))</f>
      </c>
    </row>
    <row r="1784" spans="1:7">
      <c r="B1784">
        <f>IF(INDEX(Transactions!$J:$J,ROW()-8)="",TODAY(),INDEX(Transactions!$G:$G,ROW()-8))</f>
      </c>
      <c r="F1784">
        <f>IF(INDEX(Transactions!$J:$J,ROW()-8)="",0,INDEX(Transactions!$O:$O,ROW()-8))</f>
      </c>
    </row>
    <row r="1785" spans="1:7">
      <c r="B1785">
        <f>IF(INDEX(Transactions!$J:$J,ROW()-8)="",TODAY(),INDEX(Transactions!$G:$G,ROW()-8))</f>
      </c>
      <c r="F1785">
        <f>IF(INDEX(Transactions!$J:$J,ROW()-8)="",0,INDEX(Transactions!$O:$O,ROW()-8))</f>
      </c>
    </row>
    <row r="1786" spans="1:7">
      <c r="B1786">
        <f>IF(INDEX(Transactions!$J:$J,ROW()-8)="",TODAY(),INDEX(Transactions!$G:$G,ROW()-8))</f>
      </c>
      <c r="F1786">
        <f>IF(INDEX(Transactions!$J:$J,ROW()-8)="",0,INDEX(Transactions!$O:$O,ROW()-8))</f>
      </c>
    </row>
    <row r="1787" spans="1:7">
      <c r="B1787">
        <f>IF(INDEX(Transactions!$J:$J,ROW()-8)="",TODAY(),INDEX(Transactions!$G:$G,ROW()-8))</f>
      </c>
      <c r="F1787">
        <f>IF(INDEX(Transactions!$J:$J,ROW()-8)="",0,INDEX(Transactions!$O:$O,ROW()-8))</f>
      </c>
    </row>
    <row r="1788" spans="1:7">
      <c r="B1788">
        <f>IF(INDEX(Transactions!$J:$J,ROW()-8)="",TODAY(),INDEX(Transactions!$G:$G,ROW()-8))</f>
      </c>
      <c r="F1788">
        <f>IF(INDEX(Transactions!$J:$J,ROW()-8)="",0,INDEX(Transactions!$O:$O,ROW()-8))</f>
      </c>
    </row>
    <row r="1789" spans="1:7">
      <c r="B1789">
        <f>IF(INDEX(Transactions!$J:$J,ROW()-8)="",TODAY(),INDEX(Transactions!$G:$G,ROW()-8))</f>
      </c>
      <c r="F1789">
        <f>IF(INDEX(Transactions!$J:$J,ROW()-8)="",0,INDEX(Transactions!$O:$O,ROW()-8))</f>
      </c>
    </row>
    <row r="1790" spans="1:7">
      <c r="B1790">
        <f>IF(INDEX(Transactions!$J:$J,ROW()-8)="",TODAY(),INDEX(Transactions!$G:$G,ROW()-8))</f>
      </c>
      <c r="F1790">
        <f>IF(INDEX(Transactions!$J:$J,ROW()-8)="",0,INDEX(Transactions!$O:$O,ROW()-8))</f>
      </c>
    </row>
    <row r="1791" spans="1:7">
      <c r="B1791">
        <f>IF(INDEX(Transactions!$J:$J,ROW()-8)="",TODAY(),INDEX(Transactions!$G:$G,ROW()-8))</f>
      </c>
      <c r="F1791">
        <f>IF(INDEX(Transactions!$J:$J,ROW()-8)="",0,INDEX(Transactions!$O:$O,ROW()-8))</f>
      </c>
    </row>
    <row r="1792" spans="1:7">
      <c r="B1792">
        <f>IF(INDEX(Transactions!$J:$J,ROW()-8)="",TODAY(),INDEX(Transactions!$G:$G,ROW()-8))</f>
      </c>
      <c r="F1792">
        <f>IF(INDEX(Transactions!$J:$J,ROW()-8)="",0,INDEX(Transactions!$O:$O,ROW()-8))</f>
      </c>
    </row>
    <row r="1793" spans="1:7">
      <c r="B1793">
        <f>IF(INDEX(Transactions!$J:$J,ROW()-8)="",TODAY(),INDEX(Transactions!$G:$G,ROW()-8))</f>
      </c>
      <c r="F1793">
        <f>IF(INDEX(Transactions!$J:$J,ROW()-8)="",0,INDEX(Transactions!$O:$O,ROW()-8))</f>
      </c>
    </row>
    <row r="1794" spans="1:7">
      <c r="B1794">
        <f>IF(INDEX(Transactions!$J:$J,ROW()-8)="",TODAY(),INDEX(Transactions!$G:$G,ROW()-8))</f>
      </c>
      <c r="F1794">
        <f>IF(INDEX(Transactions!$J:$J,ROW()-8)="",0,INDEX(Transactions!$O:$O,ROW()-8))</f>
      </c>
    </row>
    <row r="1795" spans="1:7">
      <c r="B1795">
        <f>IF(INDEX(Transactions!$J:$J,ROW()-8)="",TODAY(),INDEX(Transactions!$G:$G,ROW()-8))</f>
      </c>
      <c r="F1795">
        <f>IF(INDEX(Transactions!$J:$J,ROW()-8)="",0,INDEX(Transactions!$O:$O,ROW()-8))</f>
      </c>
    </row>
    <row r="1796" spans="1:7">
      <c r="B1796">
        <f>IF(INDEX(Transactions!$J:$J,ROW()-8)="",TODAY(),INDEX(Transactions!$G:$G,ROW()-8))</f>
      </c>
      <c r="F1796">
        <f>IF(INDEX(Transactions!$J:$J,ROW()-8)="",0,INDEX(Transactions!$O:$O,ROW()-8))</f>
      </c>
    </row>
    <row r="1797" spans="1:7">
      <c r="B1797">
        <f>IF(INDEX(Transactions!$J:$J,ROW()-8)="",TODAY(),INDEX(Transactions!$G:$G,ROW()-8))</f>
      </c>
      <c r="F1797">
        <f>IF(INDEX(Transactions!$J:$J,ROW()-8)="",0,INDEX(Transactions!$O:$O,ROW()-8))</f>
      </c>
    </row>
    <row r="1798" spans="1:7">
      <c r="B1798">
        <f>IF(INDEX(Transactions!$J:$J,ROW()-8)="",TODAY(),INDEX(Transactions!$G:$G,ROW()-8))</f>
      </c>
      <c r="F1798">
        <f>IF(INDEX(Transactions!$J:$J,ROW()-8)="",0,INDEX(Transactions!$O:$O,ROW()-8))</f>
      </c>
    </row>
    <row r="1799" spans="1:7">
      <c r="B1799">
        <f>IF(INDEX(Transactions!$J:$J,ROW()-8)="",TODAY(),INDEX(Transactions!$G:$G,ROW()-8))</f>
      </c>
      <c r="F1799">
        <f>IF(INDEX(Transactions!$J:$J,ROW()-8)="",0,INDEX(Transactions!$O:$O,ROW()-8))</f>
      </c>
    </row>
    <row r="1800" spans="1:7">
      <c r="B1800">
        <f>IF(INDEX(Transactions!$J:$J,ROW()-8)="",TODAY(),INDEX(Transactions!$G:$G,ROW()-8))</f>
      </c>
      <c r="F1800">
        <f>IF(INDEX(Transactions!$J:$J,ROW()-8)="",0,INDEX(Transactions!$O:$O,ROW()-8))</f>
      </c>
    </row>
    <row r="1801" spans="1:7">
      <c r="B1801">
        <f>IF(INDEX(Transactions!$J:$J,ROW()-8)="",TODAY(),INDEX(Transactions!$G:$G,ROW()-8))</f>
      </c>
      <c r="F1801">
        <f>IF(INDEX(Transactions!$J:$J,ROW()-8)="",0,INDEX(Transactions!$O:$O,ROW()-8))</f>
      </c>
    </row>
    <row r="1802" spans="1:7">
      <c r="B1802">
        <f>IF(INDEX(Transactions!$J:$J,ROW()-8)="",TODAY(),INDEX(Transactions!$G:$G,ROW()-8))</f>
      </c>
      <c r="F1802">
        <f>IF(INDEX(Transactions!$J:$J,ROW()-8)="",0,INDEX(Transactions!$O:$O,ROW()-8))</f>
      </c>
    </row>
    <row r="1803" spans="1:7">
      <c r="B1803">
        <f>IF(INDEX(Transactions!$J:$J,ROW()-8)="",TODAY(),INDEX(Transactions!$G:$G,ROW()-8))</f>
      </c>
      <c r="F1803">
        <f>IF(INDEX(Transactions!$J:$J,ROW()-8)="",0,INDEX(Transactions!$O:$O,ROW()-8))</f>
      </c>
    </row>
    <row r="1804" spans="1:7">
      <c r="B1804">
        <f>IF(INDEX(Transactions!$J:$J,ROW()-8)="",TODAY(),INDEX(Transactions!$G:$G,ROW()-8))</f>
      </c>
      <c r="F1804">
        <f>IF(INDEX(Transactions!$J:$J,ROW()-8)="",0,INDEX(Transactions!$O:$O,ROW()-8))</f>
      </c>
    </row>
    <row r="1805" spans="1:7">
      <c r="B1805">
        <f>IF(INDEX(Transactions!$J:$J,ROW()-8)="",TODAY(),INDEX(Transactions!$G:$G,ROW()-8))</f>
      </c>
      <c r="F1805">
        <f>IF(INDEX(Transactions!$J:$J,ROW()-8)="",0,INDEX(Transactions!$O:$O,ROW()-8))</f>
      </c>
    </row>
    <row r="1806" spans="1:7">
      <c r="B1806">
        <f>IF(INDEX(Transactions!$J:$J,ROW()-8)="",TODAY(),INDEX(Transactions!$G:$G,ROW()-8))</f>
      </c>
      <c r="F1806">
        <f>IF(INDEX(Transactions!$J:$J,ROW()-8)="",0,INDEX(Transactions!$O:$O,ROW()-8))</f>
      </c>
    </row>
    <row r="1807" spans="1:7">
      <c r="B1807">
        <f>IF(INDEX(Transactions!$J:$J,ROW()-8)="",TODAY(),INDEX(Transactions!$G:$G,ROW()-8))</f>
      </c>
      <c r="F1807">
        <f>IF(INDEX(Transactions!$J:$J,ROW()-8)="",0,INDEX(Transactions!$O:$O,ROW()-8))</f>
      </c>
    </row>
    <row r="1808" spans="1:7">
      <c r="B1808">
        <f>IF(INDEX(Transactions!$J:$J,ROW()-8)="",TODAY(),INDEX(Transactions!$G:$G,ROW()-8))</f>
      </c>
      <c r="F1808">
        <f>IF(INDEX(Transactions!$J:$J,ROW()-8)="",0,INDEX(Transactions!$O:$O,ROW()-8))</f>
      </c>
    </row>
    <row r="1809" spans="1:7">
      <c r="B1809">
        <f>IF(INDEX(Transactions!$J:$J,ROW()-8)="",TODAY(),INDEX(Transactions!$G:$G,ROW()-8))</f>
      </c>
      <c r="F1809">
        <f>IF(INDEX(Transactions!$J:$J,ROW()-8)="",0,INDEX(Transactions!$O:$O,ROW()-8))</f>
      </c>
    </row>
    <row r="1810" spans="1:7">
      <c r="B1810">
        <f>IF(INDEX(Transactions!$J:$J,ROW()-8)="",TODAY(),INDEX(Transactions!$G:$G,ROW()-8))</f>
      </c>
      <c r="F1810">
        <f>IF(INDEX(Transactions!$J:$J,ROW()-8)="",0,INDEX(Transactions!$O:$O,ROW()-8))</f>
      </c>
    </row>
    <row r="1811" spans="1:7">
      <c r="B1811">
        <f>IF(INDEX(Transactions!$J:$J,ROW()-8)="",TODAY(),INDEX(Transactions!$G:$G,ROW()-8))</f>
      </c>
      <c r="F1811">
        <f>IF(INDEX(Transactions!$J:$J,ROW()-8)="",0,INDEX(Transactions!$O:$O,ROW()-8))</f>
      </c>
    </row>
    <row r="1812" spans="1:7">
      <c r="B1812">
        <f>IF(INDEX(Transactions!$J:$J,ROW()-8)="",TODAY(),INDEX(Transactions!$G:$G,ROW()-8))</f>
      </c>
      <c r="F1812">
        <f>IF(INDEX(Transactions!$J:$J,ROW()-8)="",0,INDEX(Transactions!$O:$O,ROW()-8))</f>
      </c>
    </row>
    <row r="1813" spans="1:7">
      <c r="B1813">
        <f>IF(INDEX(Transactions!$J:$J,ROW()-8)="",TODAY(),INDEX(Transactions!$G:$G,ROW()-8))</f>
      </c>
      <c r="F1813">
        <f>IF(INDEX(Transactions!$J:$J,ROW()-8)="",0,INDEX(Transactions!$O:$O,ROW()-8))</f>
      </c>
    </row>
    <row r="1814" spans="1:7">
      <c r="B1814">
        <f>IF(INDEX(Transactions!$J:$J,ROW()-8)="",TODAY(),INDEX(Transactions!$G:$G,ROW()-8))</f>
      </c>
      <c r="F1814">
        <f>IF(INDEX(Transactions!$J:$J,ROW()-8)="",0,INDEX(Transactions!$O:$O,ROW()-8))</f>
      </c>
    </row>
    <row r="1815" spans="1:7">
      <c r="B1815">
        <f>IF(INDEX(Transactions!$J:$J,ROW()-8)="",TODAY(),INDEX(Transactions!$G:$G,ROW()-8))</f>
      </c>
      <c r="F1815">
        <f>IF(INDEX(Transactions!$J:$J,ROW()-8)="",0,INDEX(Transactions!$O:$O,ROW()-8))</f>
      </c>
    </row>
    <row r="1816" spans="1:7">
      <c r="B1816">
        <f>IF(INDEX(Transactions!$J:$J,ROW()-8)="",TODAY(),INDEX(Transactions!$G:$G,ROW()-8))</f>
      </c>
      <c r="F1816">
        <f>IF(INDEX(Transactions!$J:$J,ROW()-8)="",0,INDEX(Transactions!$O:$O,ROW()-8))</f>
      </c>
    </row>
    <row r="1817" spans="1:7">
      <c r="B1817">
        <f>IF(INDEX(Transactions!$J:$J,ROW()-8)="",TODAY(),INDEX(Transactions!$G:$G,ROW()-8))</f>
      </c>
      <c r="F1817">
        <f>IF(INDEX(Transactions!$J:$J,ROW()-8)="",0,INDEX(Transactions!$O:$O,ROW()-8))</f>
      </c>
    </row>
    <row r="1818" spans="1:7">
      <c r="B1818">
        <f>IF(INDEX(Transactions!$J:$J,ROW()-8)="",TODAY(),INDEX(Transactions!$G:$G,ROW()-8))</f>
      </c>
      <c r="F1818">
        <f>IF(INDEX(Transactions!$J:$J,ROW()-8)="",0,INDEX(Transactions!$O:$O,ROW()-8))</f>
      </c>
    </row>
    <row r="1819" spans="1:7">
      <c r="B1819">
        <f>IF(INDEX(Transactions!$J:$J,ROW()-8)="",TODAY(),INDEX(Transactions!$G:$G,ROW()-8))</f>
      </c>
      <c r="F1819">
        <f>IF(INDEX(Transactions!$J:$J,ROW()-8)="",0,INDEX(Transactions!$O:$O,ROW()-8))</f>
      </c>
    </row>
    <row r="1820" spans="1:7">
      <c r="B1820">
        <f>IF(INDEX(Transactions!$J:$J,ROW()-8)="",TODAY(),INDEX(Transactions!$G:$G,ROW()-8))</f>
      </c>
      <c r="F1820">
        <f>IF(INDEX(Transactions!$J:$J,ROW()-8)="",0,INDEX(Transactions!$O:$O,ROW()-8))</f>
      </c>
    </row>
    <row r="1821" spans="1:7">
      <c r="B1821">
        <f>IF(INDEX(Transactions!$J:$J,ROW()-8)="",TODAY(),INDEX(Transactions!$G:$G,ROW()-8))</f>
      </c>
      <c r="F1821">
        <f>IF(INDEX(Transactions!$J:$J,ROW()-8)="",0,INDEX(Transactions!$O:$O,ROW()-8))</f>
      </c>
    </row>
    <row r="1822" spans="1:7">
      <c r="B1822">
        <f>IF(INDEX(Transactions!$J:$J,ROW()-8)="",TODAY(),INDEX(Transactions!$G:$G,ROW()-8))</f>
      </c>
      <c r="F1822">
        <f>IF(INDEX(Transactions!$J:$J,ROW()-8)="",0,INDEX(Transactions!$O:$O,ROW()-8))</f>
      </c>
    </row>
    <row r="1823" spans="1:7">
      <c r="B1823">
        <f>IF(INDEX(Transactions!$J:$J,ROW()-8)="",TODAY(),INDEX(Transactions!$G:$G,ROW()-8))</f>
      </c>
      <c r="F1823">
        <f>IF(INDEX(Transactions!$J:$J,ROW()-8)="",0,INDEX(Transactions!$O:$O,ROW()-8))</f>
      </c>
    </row>
    <row r="1824" spans="1:7">
      <c r="B1824">
        <f>IF(INDEX(Transactions!$J:$J,ROW()-8)="",TODAY(),INDEX(Transactions!$G:$G,ROW()-8))</f>
      </c>
      <c r="F1824">
        <f>IF(INDEX(Transactions!$J:$J,ROW()-8)="",0,INDEX(Transactions!$O:$O,ROW()-8))</f>
      </c>
    </row>
    <row r="1825" spans="1:7">
      <c r="B1825">
        <f>IF(INDEX(Transactions!$J:$J,ROW()-8)="",TODAY(),INDEX(Transactions!$G:$G,ROW()-8))</f>
      </c>
      <c r="F1825">
        <f>IF(INDEX(Transactions!$J:$J,ROW()-8)="",0,INDEX(Transactions!$O:$O,ROW()-8))</f>
      </c>
    </row>
    <row r="1826" spans="1:7">
      <c r="B1826">
        <f>IF(INDEX(Transactions!$J:$J,ROW()-8)="",TODAY(),INDEX(Transactions!$G:$G,ROW()-8))</f>
      </c>
      <c r="F1826">
        <f>IF(INDEX(Transactions!$J:$J,ROW()-8)="",0,INDEX(Transactions!$O:$O,ROW()-8))</f>
      </c>
    </row>
    <row r="1827" spans="1:7">
      <c r="B1827">
        <f>IF(INDEX(Transactions!$J:$J,ROW()-8)="",TODAY(),INDEX(Transactions!$G:$G,ROW()-8))</f>
      </c>
      <c r="F1827">
        <f>IF(INDEX(Transactions!$J:$J,ROW()-8)="",0,INDEX(Transactions!$O:$O,ROW()-8))</f>
      </c>
    </row>
    <row r="1828" spans="1:7">
      <c r="B1828">
        <f>IF(INDEX(Transactions!$J:$J,ROW()-8)="",TODAY(),INDEX(Transactions!$G:$G,ROW()-8))</f>
      </c>
      <c r="F1828">
        <f>IF(INDEX(Transactions!$J:$J,ROW()-8)="",0,INDEX(Transactions!$O:$O,ROW()-8))</f>
      </c>
    </row>
    <row r="1829" spans="1:7">
      <c r="B1829">
        <f>IF(INDEX(Transactions!$J:$J,ROW()-8)="",TODAY(),INDEX(Transactions!$G:$G,ROW()-8))</f>
      </c>
      <c r="F1829">
        <f>IF(INDEX(Transactions!$J:$J,ROW()-8)="",0,INDEX(Transactions!$O:$O,ROW()-8))</f>
      </c>
    </row>
    <row r="1830" spans="1:7">
      <c r="B1830">
        <f>IF(INDEX(Transactions!$J:$J,ROW()-8)="",TODAY(),INDEX(Transactions!$G:$G,ROW()-8))</f>
      </c>
      <c r="F1830">
        <f>IF(INDEX(Transactions!$J:$J,ROW()-8)="",0,INDEX(Transactions!$O:$O,ROW()-8))</f>
      </c>
    </row>
    <row r="1831" spans="1:7">
      <c r="B1831">
        <f>IF(INDEX(Transactions!$J:$J,ROW()-8)="",TODAY(),INDEX(Transactions!$G:$G,ROW()-8))</f>
      </c>
      <c r="F1831">
        <f>IF(INDEX(Transactions!$J:$J,ROW()-8)="",0,INDEX(Transactions!$O:$O,ROW()-8))</f>
      </c>
    </row>
    <row r="1832" spans="1:7">
      <c r="B1832">
        <f>IF(INDEX(Transactions!$J:$J,ROW()-8)="",TODAY(),INDEX(Transactions!$G:$G,ROW()-8))</f>
      </c>
      <c r="F1832">
        <f>IF(INDEX(Transactions!$J:$J,ROW()-8)="",0,INDEX(Transactions!$O:$O,ROW()-8))</f>
      </c>
    </row>
    <row r="1833" spans="1:7">
      <c r="B1833">
        <f>IF(INDEX(Transactions!$J:$J,ROW()-8)="",TODAY(),INDEX(Transactions!$G:$G,ROW()-8))</f>
      </c>
      <c r="F1833">
        <f>IF(INDEX(Transactions!$J:$J,ROW()-8)="",0,INDEX(Transactions!$O:$O,ROW()-8))</f>
      </c>
    </row>
    <row r="1834" spans="1:7">
      <c r="B1834">
        <f>IF(INDEX(Transactions!$J:$J,ROW()-8)="",TODAY(),INDEX(Transactions!$G:$G,ROW()-8))</f>
      </c>
      <c r="F1834">
        <f>IF(INDEX(Transactions!$J:$J,ROW()-8)="",0,INDEX(Transactions!$O:$O,ROW()-8))</f>
      </c>
    </row>
    <row r="1835" spans="1:7">
      <c r="B1835">
        <f>IF(INDEX(Transactions!$J:$J,ROW()-8)="",TODAY(),INDEX(Transactions!$G:$G,ROW()-8))</f>
      </c>
      <c r="F1835">
        <f>IF(INDEX(Transactions!$J:$J,ROW()-8)="",0,INDEX(Transactions!$O:$O,ROW()-8))</f>
      </c>
    </row>
    <row r="1836" spans="1:7">
      <c r="B1836">
        <f>IF(INDEX(Transactions!$J:$J,ROW()-8)="",TODAY(),INDEX(Transactions!$G:$G,ROW()-8))</f>
      </c>
      <c r="F1836">
        <f>IF(INDEX(Transactions!$J:$J,ROW()-8)="",0,INDEX(Transactions!$O:$O,ROW()-8))</f>
      </c>
    </row>
    <row r="1837" spans="1:7">
      <c r="B1837">
        <f>IF(INDEX(Transactions!$J:$J,ROW()-8)="",TODAY(),INDEX(Transactions!$G:$G,ROW()-8))</f>
      </c>
      <c r="F1837">
        <f>IF(INDEX(Transactions!$J:$J,ROW()-8)="",0,INDEX(Transactions!$O:$O,ROW()-8))</f>
      </c>
    </row>
    <row r="1838" spans="1:7">
      <c r="B1838">
        <f>IF(INDEX(Transactions!$J:$J,ROW()-8)="",TODAY(),INDEX(Transactions!$G:$G,ROW()-8))</f>
      </c>
      <c r="F1838">
        <f>IF(INDEX(Transactions!$J:$J,ROW()-8)="",0,INDEX(Transactions!$O:$O,ROW()-8))</f>
      </c>
    </row>
    <row r="1839" spans="1:7">
      <c r="B1839">
        <f>IF(INDEX(Transactions!$J:$J,ROW()-8)="",TODAY(),INDEX(Transactions!$G:$G,ROW()-8))</f>
      </c>
      <c r="F1839">
        <f>IF(INDEX(Transactions!$J:$J,ROW()-8)="",0,INDEX(Transactions!$O:$O,ROW()-8))</f>
      </c>
    </row>
    <row r="1840" spans="1:7">
      <c r="B1840">
        <f>IF(INDEX(Transactions!$J:$J,ROW()-8)="",TODAY(),INDEX(Transactions!$G:$G,ROW()-8))</f>
      </c>
      <c r="F1840">
        <f>IF(INDEX(Transactions!$J:$J,ROW()-8)="",0,INDEX(Transactions!$O:$O,ROW()-8))</f>
      </c>
    </row>
    <row r="1841" spans="1:7">
      <c r="B1841">
        <f>IF(INDEX(Transactions!$J:$J,ROW()-8)="",TODAY(),INDEX(Transactions!$G:$G,ROW()-8))</f>
      </c>
      <c r="F1841">
        <f>IF(INDEX(Transactions!$J:$J,ROW()-8)="",0,INDEX(Transactions!$O:$O,ROW()-8))</f>
      </c>
    </row>
    <row r="1842" spans="1:7">
      <c r="B1842">
        <f>IF(INDEX(Transactions!$J:$J,ROW()-8)="",TODAY(),INDEX(Transactions!$G:$G,ROW()-8))</f>
      </c>
      <c r="F1842">
        <f>IF(INDEX(Transactions!$J:$J,ROW()-8)="",0,INDEX(Transactions!$O:$O,ROW()-8))</f>
      </c>
    </row>
    <row r="1843" spans="1:7">
      <c r="B1843">
        <f>IF(INDEX(Transactions!$J:$J,ROW()-8)="",TODAY(),INDEX(Transactions!$G:$G,ROW()-8))</f>
      </c>
      <c r="F1843">
        <f>IF(INDEX(Transactions!$J:$J,ROW()-8)="",0,INDEX(Transactions!$O:$O,ROW()-8))</f>
      </c>
    </row>
    <row r="1844" spans="1:7">
      <c r="B1844">
        <f>IF(INDEX(Transactions!$J:$J,ROW()-8)="",TODAY(),INDEX(Transactions!$G:$G,ROW()-8))</f>
      </c>
      <c r="F1844">
        <f>IF(INDEX(Transactions!$J:$J,ROW()-8)="",0,INDEX(Transactions!$O:$O,ROW()-8))</f>
      </c>
    </row>
    <row r="1845" spans="1:7">
      <c r="B1845">
        <f>IF(INDEX(Transactions!$J:$J,ROW()-8)="",TODAY(),INDEX(Transactions!$G:$G,ROW()-8))</f>
      </c>
      <c r="F1845">
        <f>IF(INDEX(Transactions!$J:$J,ROW()-8)="",0,INDEX(Transactions!$O:$O,ROW()-8))</f>
      </c>
    </row>
    <row r="1846" spans="1:7">
      <c r="B1846">
        <f>IF(INDEX(Transactions!$J:$J,ROW()-8)="",TODAY(),INDEX(Transactions!$G:$G,ROW()-8))</f>
      </c>
      <c r="F1846">
        <f>IF(INDEX(Transactions!$J:$J,ROW()-8)="",0,INDEX(Transactions!$O:$O,ROW()-8))</f>
      </c>
    </row>
    <row r="1847" spans="1:7">
      <c r="B1847">
        <f>IF(INDEX(Transactions!$J:$J,ROW()-8)="",TODAY(),INDEX(Transactions!$G:$G,ROW()-8))</f>
      </c>
      <c r="F1847">
        <f>IF(INDEX(Transactions!$J:$J,ROW()-8)="",0,INDEX(Transactions!$O:$O,ROW()-8))</f>
      </c>
    </row>
    <row r="1848" spans="1:7">
      <c r="B1848">
        <f>IF(INDEX(Transactions!$J:$J,ROW()-8)="",TODAY(),INDEX(Transactions!$G:$G,ROW()-8))</f>
      </c>
      <c r="F1848">
        <f>IF(INDEX(Transactions!$J:$J,ROW()-8)="",0,INDEX(Transactions!$O:$O,ROW()-8))</f>
      </c>
    </row>
    <row r="1849" spans="1:7">
      <c r="B1849">
        <f>IF(INDEX(Transactions!$J:$J,ROW()-8)="",TODAY(),INDEX(Transactions!$G:$G,ROW()-8))</f>
      </c>
      <c r="F1849">
        <f>IF(INDEX(Transactions!$J:$J,ROW()-8)="",0,INDEX(Transactions!$O:$O,ROW()-8))</f>
      </c>
    </row>
    <row r="1850" spans="1:7">
      <c r="B1850">
        <f>IF(INDEX(Transactions!$J:$J,ROW()-8)="",TODAY(),INDEX(Transactions!$G:$G,ROW()-8))</f>
      </c>
      <c r="F1850">
        <f>IF(INDEX(Transactions!$J:$J,ROW()-8)="",0,INDEX(Transactions!$O:$O,ROW()-8))</f>
      </c>
    </row>
    <row r="1851" spans="1:7">
      <c r="B1851">
        <f>IF(INDEX(Transactions!$J:$J,ROW()-8)="",TODAY(),INDEX(Transactions!$G:$G,ROW()-8))</f>
      </c>
      <c r="F1851">
        <f>IF(INDEX(Transactions!$J:$J,ROW()-8)="",0,INDEX(Transactions!$O:$O,ROW()-8))</f>
      </c>
    </row>
    <row r="1852" spans="1:7">
      <c r="B1852">
        <f>IF(INDEX(Transactions!$J:$J,ROW()-8)="",TODAY(),INDEX(Transactions!$G:$G,ROW()-8))</f>
      </c>
      <c r="F1852">
        <f>IF(INDEX(Transactions!$J:$J,ROW()-8)="",0,INDEX(Transactions!$O:$O,ROW()-8))</f>
      </c>
    </row>
    <row r="1853" spans="1:7">
      <c r="B1853">
        <f>IF(INDEX(Transactions!$J:$J,ROW()-8)="",TODAY(),INDEX(Transactions!$G:$G,ROW()-8))</f>
      </c>
      <c r="F1853">
        <f>IF(INDEX(Transactions!$J:$J,ROW()-8)="",0,INDEX(Transactions!$O:$O,ROW()-8))</f>
      </c>
    </row>
    <row r="1854" spans="1:7">
      <c r="B1854">
        <f>IF(INDEX(Transactions!$J:$J,ROW()-8)="",TODAY(),INDEX(Transactions!$G:$G,ROW()-8))</f>
      </c>
      <c r="F1854">
        <f>IF(INDEX(Transactions!$J:$J,ROW()-8)="",0,INDEX(Transactions!$O:$O,ROW()-8))</f>
      </c>
    </row>
    <row r="1855" spans="1:7">
      <c r="B1855">
        <f>IF(INDEX(Transactions!$J:$J,ROW()-8)="",TODAY(),INDEX(Transactions!$G:$G,ROW()-8))</f>
      </c>
      <c r="F1855">
        <f>IF(INDEX(Transactions!$J:$J,ROW()-8)="",0,INDEX(Transactions!$O:$O,ROW()-8))</f>
      </c>
    </row>
    <row r="1856" spans="1:7">
      <c r="B1856">
        <f>IF(INDEX(Transactions!$J:$J,ROW()-8)="",TODAY(),INDEX(Transactions!$G:$G,ROW()-8))</f>
      </c>
      <c r="F1856">
        <f>IF(INDEX(Transactions!$J:$J,ROW()-8)="",0,INDEX(Transactions!$O:$O,ROW()-8))</f>
      </c>
    </row>
    <row r="1857" spans="1:7">
      <c r="B1857">
        <f>IF(INDEX(Transactions!$J:$J,ROW()-8)="",TODAY(),INDEX(Transactions!$G:$G,ROW()-8))</f>
      </c>
      <c r="F1857">
        <f>IF(INDEX(Transactions!$J:$J,ROW()-8)="",0,INDEX(Transactions!$O:$O,ROW()-8))</f>
      </c>
    </row>
    <row r="1858" spans="1:7">
      <c r="B1858">
        <f>IF(INDEX(Transactions!$J:$J,ROW()-8)="",TODAY(),INDEX(Transactions!$G:$G,ROW()-8))</f>
      </c>
      <c r="F1858">
        <f>IF(INDEX(Transactions!$J:$J,ROW()-8)="",0,INDEX(Transactions!$O:$O,ROW()-8))</f>
      </c>
    </row>
    <row r="1859" spans="1:7">
      <c r="B1859">
        <f>IF(INDEX(Transactions!$J:$J,ROW()-8)="",TODAY(),INDEX(Transactions!$G:$G,ROW()-8))</f>
      </c>
      <c r="F1859">
        <f>IF(INDEX(Transactions!$J:$J,ROW()-8)="",0,INDEX(Transactions!$O:$O,ROW()-8))</f>
      </c>
    </row>
    <row r="1860" spans="1:7">
      <c r="B1860">
        <f>IF(INDEX(Transactions!$J:$J,ROW()-8)="",TODAY(),INDEX(Transactions!$G:$G,ROW()-8))</f>
      </c>
      <c r="F1860">
        <f>IF(INDEX(Transactions!$J:$J,ROW()-8)="",0,INDEX(Transactions!$O:$O,ROW()-8))</f>
      </c>
    </row>
    <row r="1861" spans="1:7">
      <c r="B1861">
        <f>IF(INDEX(Transactions!$J:$J,ROW()-8)="",TODAY(),INDEX(Transactions!$G:$G,ROW()-8))</f>
      </c>
      <c r="F1861">
        <f>IF(INDEX(Transactions!$J:$J,ROW()-8)="",0,INDEX(Transactions!$O:$O,ROW()-8))</f>
      </c>
    </row>
    <row r="1862" spans="1:7">
      <c r="B1862">
        <f>IF(INDEX(Transactions!$J:$J,ROW()-8)="",TODAY(),INDEX(Transactions!$G:$G,ROW()-8))</f>
      </c>
      <c r="F1862">
        <f>IF(INDEX(Transactions!$J:$J,ROW()-8)="",0,INDEX(Transactions!$O:$O,ROW()-8))</f>
      </c>
    </row>
    <row r="1863" spans="1:7">
      <c r="B1863">
        <f>IF(INDEX(Transactions!$J:$J,ROW()-8)="",TODAY(),INDEX(Transactions!$G:$G,ROW()-8))</f>
      </c>
      <c r="F1863">
        <f>IF(INDEX(Transactions!$J:$J,ROW()-8)="",0,INDEX(Transactions!$O:$O,ROW()-8))</f>
      </c>
    </row>
    <row r="1864" spans="1:7">
      <c r="B1864">
        <f>IF(INDEX(Transactions!$J:$J,ROW()-8)="",TODAY(),INDEX(Transactions!$G:$G,ROW()-8))</f>
      </c>
      <c r="F1864">
        <f>IF(INDEX(Transactions!$J:$J,ROW()-8)="",0,INDEX(Transactions!$O:$O,ROW()-8))</f>
      </c>
    </row>
    <row r="1865" spans="1:7">
      <c r="B1865">
        <f>IF(INDEX(Transactions!$J:$J,ROW()-8)="",TODAY(),INDEX(Transactions!$G:$G,ROW()-8))</f>
      </c>
      <c r="F1865">
        <f>IF(INDEX(Transactions!$J:$J,ROW()-8)="",0,INDEX(Transactions!$O:$O,ROW()-8))</f>
      </c>
    </row>
    <row r="1866" spans="1:7">
      <c r="B1866">
        <f>IF(INDEX(Transactions!$J:$J,ROW()-8)="",TODAY(),INDEX(Transactions!$G:$G,ROW()-8))</f>
      </c>
      <c r="F1866">
        <f>IF(INDEX(Transactions!$J:$J,ROW()-8)="",0,INDEX(Transactions!$O:$O,ROW()-8))</f>
      </c>
    </row>
    <row r="1867" spans="1:7">
      <c r="B1867">
        <f>IF(INDEX(Transactions!$J:$J,ROW()-8)="",TODAY(),INDEX(Transactions!$G:$G,ROW()-8))</f>
      </c>
      <c r="F1867">
        <f>IF(INDEX(Transactions!$J:$J,ROW()-8)="",0,INDEX(Transactions!$O:$O,ROW()-8))</f>
      </c>
    </row>
    <row r="1868" spans="1:7">
      <c r="B1868">
        <f>IF(INDEX(Transactions!$J:$J,ROW()-8)="",TODAY(),INDEX(Transactions!$G:$G,ROW()-8))</f>
      </c>
      <c r="F1868">
        <f>IF(INDEX(Transactions!$J:$J,ROW()-8)="",0,INDEX(Transactions!$O:$O,ROW()-8))</f>
      </c>
    </row>
    <row r="1869" spans="1:7">
      <c r="B1869">
        <f>IF(INDEX(Transactions!$J:$J,ROW()-8)="",TODAY(),INDEX(Transactions!$G:$G,ROW()-8))</f>
      </c>
      <c r="F1869">
        <f>IF(INDEX(Transactions!$J:$J,ROW()-8)="",0,INDEX(Transactions!$O:$O,ROW()-8))</f>
      </c>
    </row>
    <row r="1870" spans="1:7">
      <c r="B1870">
        <f>IF(INDEX(Transactions!$J:$J,ROW()-8)="",TODAY(),INDEX(Transactions!$G:$G,ROW()-8))</f>
      </c>
      <c r="F1870">
        <f>IF(INDEX(Transactions!$J:$J,ROW()-8)="",0,INDEX(Transactions!$O:$O,ROW()-8))</f>
      </c>
    </row>
    <row r="1871" spans="1:7">
      <c r="B1871">
        <f>IF(INDEX(Transactions!$J:$J,ROW()-8)="",TODAY(),INDEX(Transactions!$G:$G,ROW()-8))</f>
      </c>
      <c r="F1871">
        <f>IF(INDEX(Transactions!$J:$J,ROW()-8)="",0,INDEX(Transactions!$O:$O,ROW()-8))</f>
      </c>
    </row>
    <row r="1872" spans="1:7">
      <c r="B1872">
        <f>IF(INDEX(Transactions!$J:$J,ROW()-8)="",TODAY(),INDEX(Transactions!$G:$G,ROW()-8))</f>
      </c>
      <c r="F1872">
        <f>IF(INDEX(Transactions!$J:$J,ROW()-8)="",0,INDEX(Transactions!$O:$O,ROW()-8))</f>
      </c>
    </row>
    <row r="1873" spans="1:7">
      <c r="B1873">
        <f>IF(INDEX(Transactions!$J:$J,ROW()-8)="",TODAY(),INDEX(Transactions!$G:$G,ROW()-8))</f>
      </c>
      <c r="F1873">
        <f>IF(INDEX(Transactions!$J:$J,ROW()-8)="",0,INDEX(Transactions!$O:$O,ROW()-8))</f>
      </c>
    </row>
    <row r="1874" spans="1:7">
      <c r="B1874">
        <f>IF(INDEX(Transactions!$J:$J,ROW()-8)="",TODAY(),INDEX(Transactions!$G:$G,ROW()-8))</f>
      </c>
      <c r="F1874">
        <f>IF(INDEX(Transactions!$J:$J,ROW()-8)="",0,INDEX(Transactions!$O:$O,ROW()-8))</f>
      </c>
    </row>
    <row r="1875" spans="1:7">
      <c r="B1875">
        <f>IF(INDEX(Transactions!$J:$J,ROW()-8)="",TODAY(),INDEX(Transactions!$G:$G,ROW()-8))</f>
      </c>
      <c r="F1875">
        <f>IF(INDEX(Transactions!$J:$J,ROW()-8)="",0,INDEX(Transactions!$O:$O,ROW()-8))</f>
      </c>
    </row>
    <row r="1876" spans="1:7">
      <c r="B1876">
        <f>IF(INDEX(Transactions!$J:$J,ROW()-8)="",TODAY(),INDEX(Transactions!$G:$G,ROW()-8))</f>
      </c>
      <c r="F1876">
        <f>IF(INDEX(Transactions!$J:$J,ROW()-8)="",0,INDEX(Transactions!$O:$O,ROW()-8))</f>
      </c>
    </row>
    <row r="1877" spans="1:7">
      <c r="B1877">
        <f>IF(INDEX(Transactions!$J:$J,ROW()-8)="",TODAY(),INDEX(Transactions!$G:$G,ROW()-8))</f>
      </c>
      <c r="F1877">
        <f>IF(INDEX(Transactions!$J:$J,ROW()-8)="",0,INDEX(Transactions!$O:$O,ROW()-8))</f>
      </c>
    </row>
    <row r="1878" spans="1:7">
      <c r="B1878">
        <f>IF(INDEX(Transactions!$J:$J,ROW()-8)="",TODAY(),INDEX(Transactions!$G:$G,ROW()-8))</f>
      </c>
      <c r="F1878">
        <f>IF(INDEX(Transactions!$J:$J,ROW()-8)="",0,INDEX(Transactions!$O:$O,ROW()-8))</f>
      </c>
    </row>
    <row r="1879" spans="1:7">
      <c r="B1879">
        <f>IF(INDEX(Transactions!$J:$J,ROW()-8)="",TODAY(),INDEX(Transactions!$G:$G,ROW()-8))</f>
      </c>
      <c r="F1879">
        <f>IF(INDEX(Transactions!$J:$J,ROW()-8)="",0,INDEX(Transactions!$O:$O,ROW()-8))</f>
      </c>
    </row>
    <row r="1880" spans="1:7">
      <c r="B1880">
        <f>IF(INDEX(Transactions!$J:$J,ROW()-8)="",TODAY(),INDEX(Transactions!$G:$G,ROW()-8))</f>
      </c>
      <c r="F1880">
        <f>IF(INDEX(Transactions!$J:$J,ROW()-8)="",0,INDEX(Transactions!$O:$O,ROW()-8))</f>
      </c>
    </row>
    <row r="1881" spans="1:7">
      <c r="B1881">
        <f>IF(INDEX(Transactions!$J:$J,ROW()-8)="",TODAY(),INDEX(Transactions!$G:$G,ROW()-8))</f>
      </c>
      <c r="F1881">
        <f>IF(INDEX(Transactions!$J:$J,ROW()-8)="",0,INDEX(Transactions!$O:$O,ROW()-8))</f>
      </c>
    </row>
    <row r="1882" spans="1:7">
      <c r="B1882">
        <f>IF(INDEX(Transactions!$J:$J,ROW()-8)="",TODAY(),INDEX(Transactions!$G:$G,ROW()-8))</f>
      </c>
      <c r="F1882">
        <f>IF(INDEX(Transactions!$J:$J,ROW()-8)="",0,INDEX(Transactions!$O:$O,ROW()-8))</f>
      </c>
    </row>
    <row r="1883" spans="1:7">
      <c r="B1883">
        <f>IF(INDEX(Transactions!$J:$J,ROW()-8)="",TODAY(),INDEX(Transactions!$G:$G,ROW()-8))</f>
      </c>
      <c r="F1883">
        <f>IF(INDEX(Transactions!$J:$J,ROW()-8)="",0,INDEX(Transactions!$O:$O,ROW()-8))</f>
      </c>
    </row>
    <row r="1884" spans="1:7">
      <c r="B1884">
        <f>IF(INDEX(Transactions!$J:$J,ROW()-8)="",TODAY(),INDEX(Transactions!$G:$G,ROW()-8))</f>
      </c>
      <c r="F1884">
        <f>IF(INDEX(Transactions!$J:$J,ROW()-8)="",0,INDEX(Transactions!$O:$O,ROW()-8))</f>
      </c>
    </row>
    <row r="1885" spans="1:7">
      <c r="B1885">
        <f>IF(INDEX(Transactions!$J:$J,ROW()-8)="",TODAY(),INDEX(Transactions!$G:$G,ROW()-8))</f>
      </c>
      <c r="F1885">
        <f>IF(INDEX(Transactions!$J:$J,ROW()-8)="",0,INDEX(Transactions!$O:$O,ROW()-8))</f>
      </c>
    </row>
    <row r="1886" spans="1:7">
      <c r="B1886">
        <f>IF(INDEX(Transactions!$J:$J,ROW()-8)="",TODAY(),INDEX(Transactions!$G:$G,ROW()-8))</f>
      </c>
      <c r="F1886">
        <f>IF(INDEX(Transactions!$J:$J,ROW()-8)="",0,INDEX(Transactions!$O:$O,ROW()-8))</f>
      </c>
    </row>
    <row r="1887" spans="1:7">
      <c r="B1887">
        <f>IF(INDEX(Transactions!$J:$J,ROW()-8)="",TODAY(),INDEX(Transactions!$G:$G,ROW()-8))</f>
      </c>
      <c r="F1887">
        <f>IF(INDEX(Transactions!$J:$J,ROW()-8)="",0,INDEX(Transactions!$O:$O,ROW()-8))</f>
      </c>
    </row>
    <row r="1888" spans="1:7">
      <c r="B1888">
        <f>IF(INDEX(Transactions!$J:$J,ROW()-8)="",TODAY(),INDEX(Transactions!$G:$G,ROW()-8))</f>
      </c>
      <c r="F1888">
        <f>IF(INDEX(Transactions!$J:$J,ROW()-8)="",0,INDEX(Transactions!$O:$O,ROW()-8))</f>
      </c>
    </row>
    <row r="1889" spans="1:7">
      <c r="B1889">
        <f>IF(INDEX(Transactions!$J:$J,ROW()-8)="",TODAY(),INDEX(Transactions!$G:$G,ROW()-8))</f>
      </c>
      <c r="F1889">
        <f>IF(INDEX(Transactions!$J:$J,ROW()-8)="",0,INDEX(Transactions!$O:$O,ROW()-8))</f>
      </c>
    </row>
    <row r="1890" spans="1:7">
      <c r="B1890">
        <f>IF(INDEX(Transactions!$J:$J,ROW()-8)="",TODAY(),INDEX(Transactions!$G:$G,ROW()-8))</f>
      </c>
      <c r="F1890">
        <f>IF(INDEX(Transactions!$J:$J,ROW()-8)="",0,INDEX(Transactions!$O:$O,ROW()-8))</f>
      </c>
    </row>
    <row r="1891" spans="1:7">
      <c r="B1891">
        <f>IF(INDEX(Transactions!$J:$J,ROW()-8)="",TODAY(),INDEX(Transactions!$G:$G,ROW()-8))</f>
      </c>
      <c r="F1891">
        <f>IF(INDEX(Transactions!$J:$J,ROW()-8)="",0,INDEX(Transactions!$O:$O,ROW()-8))</f>
      </c>
    </row>
    <row r="1892" spans="1:7">
      <c r="B1892">
        <f>IF(INDEX(Transactions!$J:$J,ROW()-8)="",TODAY(),INDEX(Transactions!$G:$G,ROW()-8))</f>
      </c>
      <c r="F1892">
        <f>IF(INDEX(Transactions!$J:$J,ROW()-8)="",0,INDEX(Transactions!$O:$O,ROW()-8))</f>
      </c>
    </row>
    <row r="1893" spans="1:7">
      <c r="B1893">
        <f>IF(INDEX(Transactions!$J:$J,ROW()-8)="",TODAY(),INDEX(Transactions!$G:$G,ROW()-8))</f>
      </c>
      <c r="F1893">
        <f>IF(INDEX(Transactions!$J:$J,ROW()-8)="",0,INDEX(Transactions!$O:$O,ROW()-8))</f>
      </c>
    </row>
    <row r="1894" spans="1:7">
      <c r="B1894">
        <f>IF(INDEX(Transactions!$J:$J,ROW()-8)="",TODAY(),INDEX(Transactions!$G:$G,ROW()-8))</f>
      </c>
      <c r="F1894">
        <f>IF(INDEX(Transactions!$J:$J,ROW()-8)="",0,INDEX(Transactions!$O:$O,ROW()-8))</f>
      </c>
    </row>
    <row r="1895" spans="1:7">
      <c r="B1895">
        <f>IF(INDEX(Transactions!$J:$J,ROW()-8)="",TODAY(),INDEX(Transactions!$G:$G,ROW()-8))</f>
      </c>
      <c r="F1895">
        <f>IF(INDEX(Transactions!$J:$J,ROW()-8)="",0,INDEX(Transactions!$O:$O,ROW()-8))</f>
      </c>
    </row>
    <row r="1896" spans="1:7">
      <c r="B1896">
        <f>IF(INDEX(Transactions!$J:$J,ROW()-8)="",TODAY(),INDEX(Transactions!$G:$G,ROW()-8))</f>
      </c>
      <c r="F1896">
        <f>IF(INDEX(Transactions!$J:$J,ROW()-8)="",0,INDEX(Transactions!$O:$O,ROW()-8))</f>
      </c>
    </row>
    <row r="1897" spans="1:7">
      <c r="B1897">
        <f>IF(INDEX(Transactions!$J:$J,ROW()-8)="",TODAY(),INDEX(Transactions!$G:$G,ROW()-8))</f>
      </c>
      <c r="F1897">
        <f>IF(INDEX(Transactions!$J:$J,ROW()-8)="",0,INDEX(Transactions!$O:$O,ROW()-8))</f>
      </c>
    </row>
    <row r="1898" spans="1:7">
      <c r="B1898">
        <f>IF(INDEX(Transactions!$J:$J,ROW()-8)="",TODAY(),INDEX(Transactions!$G:$G,ROW()-8))</f>
      </c>
      <c r="F1898">
        <f>IF(INDEX(Transactions!$J:$J,ROW()-8)="",0,INDEX(Transactions!$O:$O,ROW()-8))</f>
      </c>
    </row>
    <row r="1899" spans="1:7">
      <c r="B1899">
        <f>IF(INDEX(Transactions!$J:$J,ROW()-8)="",TODAY(),INDEX(Transactions!$G:$G,ROW()-8))</f>
      </c>
      <c r="F1899">
        <f>IF(INDEX(Transactions!$J:$J,ROW()-8)="",0,INDEX(Transactions!$O:$O,ROW()-8))</f>
      </c>
    </row>
    <row r="1900" spans="1:7">
      <c r="B1900">
        <f>IF(INDEX(Transactions!$J:$J,ROW()-8)="",TODAY(),INDEX(Transactions!$G:$G,ROW()-8))</f>
      </c>
      <c r="F1900">
        <f>IF(INDEX(Transactions!$J:$J,ROW()-8)="",0,INDEX(Transactions!$O:$O,ROW()-8))</f>
      </c>
    </row>
    <row r="1901" spans="1:7">
      <c r="B1901">
        <f>IF(INDEX(Transactions!$J:$J,ROW()-8)="",TODAY(),INDEX(Transactions!$G:$G,ROW()-8))</f>
      </c>
      <c r="F1901">
        <f>IF(INDEX(Transactions!$J:$J,ROW()-8)="",0,INDEX(Transactions!$O:$O,ROW()-8))</f>
      </c>
    </row>
    <row r="1902" spans="1:7">
      <c r="B1902">
        <f>IF(INDEX(Transactions!$J:$J,ROW()-8)="",TODAY(),INDEX(Transactions!$G:$G,ROW()-8))</f>
      </c>
      <c r="F1902">
        <f>IF(INDEX(Transactions!$J:$J,ROW()-8)="",0,INDEX(Transactions!$O:$O,ROW()-8))</f>
      </c>
    </row>
    <row r="1903" spans="1:7">
      <c r="B1903">
        <f>IF(INDEX(Transactions!$J:$J,ROW()-8)="",TODAY(),INDEX(Transactions!$G:$G,ROW()-8))</f>
      </c>
      <c r="F1903">
        <f>IF(INDEX(Transactions!$J:$J,ROW()-8)="",0,INDEX(Transactions!$O:$O,ROW()-8))</f>
      </c>
    </row>
    <row r="1904" spans="1:7">
      <c r="B1904">
        <f>IF(INDEX(Transactions!$J:$J,ROW()-8)="",TODAY(),INDEX(Transactions!$G:$G,ROW()-8))</f>
      </c>
      <c r="F1904">
        <f>IF(INDEX(Transactions!$J:$J,ROW()-8)="",0,INDEX(Transactions!$O:$O,ROW()-8))</f>
      </c>
    </row>
    <row r="1905" spans="1:7">
      <c r="B1905">
        <f>IF(INDEX(Transactions!$J:$J,ROW()-8)="",TODAY(),INDEX(Transactions!$G:$G,ROW()-8))</f>
      </c>
      <c r="F1905">
        <f>IF(INDEX(Transactions!$J:$J,ROW()-8)="",0,INDEX(Transactions!$O:$O,ROW()-8))</f>
      </c>
    </row>
    <row r="1906" spans="1:7">
      <c r="B1906">
        <f>IF(INDEX(Transactions!$J:$J,ROW()-8)="",TODAY(),INDEX(Transactions!$G:$G,ROW()-8))</f>
      </c>
      <c r="F1906">
        <f>IF(INDEX(Transactions!$J:$J,ROW()-8)="",0,INDEX(Transactions!$O:$O,ROW()-8))</f>
      </c>
    </row>
    <row r="1907" spans="1:7">
      <c r="B1907">
        <f>IF(INDEX(Transactions!$J:$J,ROW()-8)="",TODAY(),INDEX(Transactions!$G:$G,ROW()-8))</f>
      </c>
      <c r="F1907">
        <f>IF(INDEX(Transactions!$J:$J,ROW()-8)="",0,INDEX(Transactions!$O:$O,ROW()-8))</f>
      </c>
    </row>
    <row r="1908" spans="1:7">
      <c r="B1908">
        <f>IF(INDEX(Transactions!$J:$J,ROW()-8)="",TODAY(),INDEX(Transactions!$G:$G,ROW()-8))</f>
      </c>
      <c r="F1908">
        <f>IF(INDEX(Transactions!$J:$J,ROW()-8)="",0,INDEX(Transactions!$O:$O,ROW()-8))</f>
      </c>
    </row>
    <row r="1909" spans="1:7">
      <c r="B1909">
        <f>IF(INDEX(Transactions!$J:$J,ROW()-8)="",TODAY(),INDEX(Transactions!$G:$G,ROW()-8))</f>
      </c>
      <c r="F1909">
        <f>IF(INDEX(Transactions!$J:$J,ROW()-8)="",0,INDEX(Transactions!$O:$O,ROW()-8))</f>
      </c>
    </row>
    <row r="1910" spans="1:7">
      <c r="B1910">
        <f>IF(INDEX(Transactions!$J:$J,ROW()-8)="",TODAY(),INDEX(Transactions!$G:$G,ROW()-8))</f>
      </c>
      <c r="F1910">
        <f>IF(INDEX(Transactions!$J:$J,ROW()-8)="",0,INDEX(Transactions!$O:$O,ROW()-8))</f>
      </c>
    </row>
    <row r="1911" spans="1:7">
      <c r="B1911">
        <f>IF(INDEX(Transactions!$J:$J,ROW()-8)="",TODAY(),INDEX(Transactions!$G:$G,ROW()-8))</f>
      </c>
      <c r="F1911">
        <f>IF(INDEX(Transactions!$J:$J,ROW()-8)="",0,INDEX(Transactions!$O:$O,ROW()-8))</f>
      </c>
    </row>
    <row r="1912" spans="1:7">
      <c r="B1912">
        <f>IF(INDEX(Transactions!$J:$J,ROW()-8)="",TODAY(),INDEX(Transactions!$G:$G,ROW()-8))</f>
      </c>
      <c r="F1912">
        <f>IF(INDEX(Transactions!$J:$J,ROW()-8)="",0,INDEX(Transactions!$O:$O,ROW()-8))</f>
      </c>
    </row>
    <row r="1913" spans="1:7">
      <c r="B1913">
        <f>IF(INDEX(Transactions!$J:$J,ROW()-8)="",TODAY(),INDEX(Transactions!$G:$G,ROW()-8))</f>
      </c>
      <c r="F1913">
        <f>IF(INDEX(Transactions!$J:$J,ROW()-8)="",0,INDEX(Transactions!$O:$O,ROW()-8))</f>
      </c>
    </row>
    <row r="1914" spans="1:7">
      <c r="B1914">
        <f>IF(INDEX(Transactions!$J:$J,ROW()-8)="",TODAY(),INDEX(Transactions!$G:$G,ROW()-8))</f>
      </c>
      <c r="F1914">
        <f>IF(INDEX(Transactions!$J:$J,ROW()-8)="",0,INDEX(Transactions!$O:$O,ROW()-8))</f>
      </c>
    </row>
    <row r="1915" spans="1:7">
      <c r="B1915">
        <f>IF(INDEX(Transactions!$J:$J,ROW()-8)="",TODAY(),INDEX(Transactions!$G:$G,ROW()-8))</f>
      </c>
      <c r="F1915">
        <f>IF(INDEX(Transactions!$J:$J,ROW()-8)="",0,INDEX(Transactions!$O:$O,ROW()-8))</f>
      </c>
    </row>
    <row r="1916" spans="1:7">
      <c r="B1916">
        <f>IF(INDEX(Transactions!$J:$J,ROW()-8)="",TODAY(),INDEX(Transactions!$G:$G,ROW()-8))</f>
      </c>
      <c r="F1916">
        <f>IF(INDEX(Transactions!$J:$J,ROW()-8)="",0,INDEX(Transactions!$O:$O,ROW()-8))</f>
      </c>
    </row>
    <row r="1917" spans="1:7">
      <c r="B1917">
        <f>IF(INDEX(Transactions!$J:$J,ROW()-8)="",TODAY(),INDEX(Transactions!$G:$G,ROW()-8))</f>
      </c>
      <c r="F1917">
        <f>IF(INDEX(Transactions!$J:$J,ROW()-8)="",0,INDEX(Transactions!$O:$O,ROW()-8))</f>
      </c>
    </row>
    <row r="1918" spans="1:7">
      <c r="B1918">
        <f>IF(INDEX(Transactions!$J:$J,ROW()-8)="",TODAY(),INDEX(Transactions!$G:$G,ROW()-8))</f>
      </c>
      <c r="F1918">
        <f>IF(INDEX(Transactions!$J:$J,ROW()-8)="",0,INDEX(Transactions!$O:$O,ROW()-8))</f>
      </c>
    </row>
    <row r="1919" spans="1:7">
      <c r="B1919">
        <f>IF(INDEX(Transactions!$J:$J,ROW()-8)="",TODAY(),INDEX(Transactions!$G:$G,ROW()-8))</f>
      </c>
      <c r="F1919">
        <f>IF(INDEX(Transactions!$J:$J,ROW()-8)="",0,INDEX(Transactions!$O:$O,ROW()-8))</f>
      </c>
    </row>
    <row r="1920" spans="1:7">
      <c r="B1920">
        <f>IF(INDEX(Transactions!$J:$J,ROW()-8)="",TODAY(),INDEX(Transactions!$G:$G,ROW()-8))</f>
      </c>
      <c r="F1920">
        <f>IF(INDEX(Transactions!$J:$J,ROW()-8)="",0,INDEX(Transactions!$O:$O,ROW()-8))</f>
      </c>
    </row>
    <row r="1921" spans="1:7">
      <c r="B1921">
        <f>IF(INDEX(Transactions!$J:$J,ROW()-8)="",TODAY(),INDEX(Transactions!$G:$G,ROW()-8))</f>
      </c>
      <c r="F1921">
        <f>IF(INDEX(Transactions!$J:$J,ROW()-8)="",0,INDEX(Transactions!$O:$O,ROW()-8))</f>
      </c>
    </row>
    <row r="1922" spans="1:7">
      <c r="B1922">
        <f>IF(INDEX(Transactions!$J:$J,ROW()-8)="",TODAY(),INDEX(Transactions!$G:$G,ROW()-8))</f>
      </c>
      <c r="F1922">
        <f>IF(INDEX(Transactions!$J:$J,ROW()-8)="",0,INDEX(Transactions!$O:$O,ROW()-8))</f>
      </c>
    </row>
    <row r="1923" spans="1:7">
      <c r="B1923">
        <f>IF(INDEX(Transactions!$J:$J,ROW()-8)="",TODAY(),INDEX(Transactions!$G:$G,ROW()-8))</f>
      </c>
      <c r="F1923">
        <f>IF(INDEX(Transactions!$J:$J,ROW()-8)="",0,INDEX(Transactions!$O:$O,ROW()-8))</f>
      </c>
    </row>
    <row r="1924" spans="1:7">
      <c r="B1924">
        <f>IF(INDEX(Transactions!$J:$J,ROW()-8)="",TODAY(),INDEX(Transactions!$G:$G,ROW()-8))</f>
      </c>
      <c r="F1924">
        <f>IF(INDEX(Transactions!$J:$J,ROW()-8)="",0,INDEX(Transactions!$O:$O,ROW()-8))</f>
      </c>
    </row>
    <row r="1925" spans="1:7">
      <c r="B1925">
        <f>IF(INDEX(Transactions!$J:$J,ROW()-8)="",TODAY(),INDEX(Transactions!$G:$G,ROW()-8))</f>
      </c>
      <c r="F1925">
        <f>IF(INDEX(Transactions!$J:$J,ROW()-8)="",0,INDEX(Transactions!$O:$O,ROW()-8))</f>
      </c>
    </row>
    <row r="1926" spans="1:7">
      <c r="B1926">
        <f>IF(INDEX(Transactions!$J:$J,ROW()-8)="",TODAY(),INDEX(Transactions!$G:$G,ROW()-8))</f>
      </c>
      <c r="F1926">
        <f>IF(INDEX(Transactions!$J:$J,ROW()-8)="",0,INDEX(Transactions!$O:$O,ROW()-8))</f>
      </c>
    </row>
    <row r="1927" spans="1:7">
      <c r="B1927">
        <f>IF(INDEX(Transactions!$J:$J,ROW()-8)="",TODAY(),INDEX(Transactions!$G:$G,ROW()-8))</f>
      </c>
      <c r="F1927">
        <f>IF(INDEX(Transactions!$J:$J,ROW()-8)="",0,INDEX(Transactions!$O:$O,ROW()-8))</f>
      </c>
    </row>
    <row r="1928" spans="1:7">
      <c r="B1928">
        <f>IF(INDEX(Transactions!$J:$J,ROW()-8)="",TODAY(),INDEX(Transactions!$G:$G,ROW()-8))</f>
      </c>
      <c r="F1928">
        <f>IF(INDEX(Transactions!$J:$J,ROW()-8)="",0,INDEX(Transactions!$O:$O,ROW()-8))</f>
      </c>
    </row>
    <row r="1929" spans="1:7">
      <c r="B1929">
        <f>IF(INDEX(Transactions!$J:$J,ROW()-8)="",TODAY(),INDEX(Transactions!$G:$G,ROW()-8))</f>
      </c>
      <c r="F1929">
        <f>IF(INDEX(Transactions!$J:$J,ROW()-8)="",0,INDEX(Transactions!$O:$O,ROW()-8))</f>
      </c>
    </row>
    <row r="1930" spans="1:7">
      <c r="B1930">
        <f>IF(INDEX(Transactions!$J:$J,ROW()-8)="",TODAY(),INDEX(Transactions!$G:$G,ROW()-8))</f>
      </c>
      <c r="F1930">
        <f>IF(INDEX(Transactions!$J:$J,ROW()-8)="",0,INDEX(Transactions!$O:$O,ROW()-8))</f>
      </c>
    </row>
    <row r="1931" spans="1:7">
      <c r="B1931">
        <f>IF(INDEX(Transactions!$J:$J,ROW()-8)="",TODAY(),INDEX(Transactions!$G:$G,ROW()-8))</f>
      </c>
      <c r="F1931">
        <f>IF(INDEX(Transactions!$J:$J,ROW()-8)="",0,INDEX(Transactions!$O:$O,ROW()-8))</f>
      </c>
    </row>
    <row r="1932" spans="1:7">
      <c r="B1932">
        <f>IF(INDEX(Transactions!$J:$J,ROW()-8)="",TODAY(),INDEX(Transactions!$G:$G,ROW()-8))</f>
      </c>
      <c r="F1932">
        <f>IF(INDEX(Transactions!$J:$J,ROW()-8)="",0,INDEX(Transactions!$O:$O,ROW()-8))</f>
      </c>
    </row>
    <row r="1933" spans="1:7">
      <c r="B1933">
        <f>IF(INDEX(Transactions!$J:$J,ROW()-8)="",TODAY(),INDEX(Transactions!$G:$G,ROW()-8))</f>
      </c>
      <c r="F1933">
        <f>IF(INDEX(Transactions!$J:$J,ROW()-8)="",0,INDEX(Transactions!$O:$O,ROW()-8))</f>
      </c>
    </row>
    <row r="1934" spans="1:7">
      <c r="B1934">
        <f>IF(INDEX(Transactions!$J:$J,ROW()-8)="",TODAY(),INDEX(Transactions!$G:$G,ROW()-8))</f>
      </c>
      <c r="F1934">
        <f>IF(INDEX(Transactions!$J:$J,ROW()-8)="",0,INDEX(Transactions!$O:$O,ROW()-8))</f>
      </c>
    </row>
    <row r="1935" spans="1:7">
      <c r="B1935">
        <f>IF(INDEX(Transactions!$J:$J,ROW()-8)="",TODAY(),INDEX(Transactions!$G:$G,ROW()-8))</f>
      </c>
      <c r="F1935">
        <f>IF(INDEX(Transactions!$J:$J,ROW()-8)="",0,INDEX(Transactions!$O:$O,ROW()-8))</f>
      </c>
    </row>
    <row r="1936" spans="1:7">
      <c r="B1936">
        <f>IF(INDEX(Transactions!$J:$J,ROW()-8)="",TODAY(),INDEX(Transactions!$G:$G,ROW()-8))</f>
      </c>
      <c r="F1936">
        <f>IF(INDEX(Transactions!$J:$J,ROW()-8)="",0,INDEX(Transactions!$O:$O,ROW()-8))</f>
      </c>
    </row>
    <row r="1937" spans="1:7">
      <c r="B1937">
        <f>IF(INDEX(Transactions!$J:$J,ROW()-8)="",TODAY(),INDEX(Transactions!$G:$G,ROW()-8))</f>
      </c>
      <c r="F1937">
        <f>IF(INDEX(Transactions!$J:$J,ROW()-8)="",0,INDEX(Transactions!$O:$O,ROW()-8))</f>
      </c>
    </row>
    <row r="1938" spans="1:7">
      <c r="B1938">
        <f>IF(INDEX(Transactions!$J:$J,ROW()-8)="",TODAY(),INDEX(Transactions!$G:$G,ROW()-8))</f>
      </c>
      <c r="F1938">
        <f>IF(INDEX(Transactions!$J:$J,ROW()-8)="",0,INDEX(Transactions!$O:$O,ROW()-8))</f>
      </c>
    </row>
    <row r="1939" spans="1:7">
      <c r="B1939">
        <f>IF(INDEX(Transactions!$J:$J,ROW()-8)="",TODAY(),INDEX(Transactions!$G:$G,ROW()-8))</f>
      </c>
      <c r="F1939">
        <f>IF(INDEX(Transactions!$J:$J,ROW()-8)="",0,INDEX(Transactions!$O:$O,ROW()-8))</f>
      </c>
    </row>
    <row r="1940" spans="1:7">
      <c r="B1940">
        <f>IF(INDEX(Transactions!$J:$J,ROW()-8)="",TODAY(),INDEX(Transactions!$G:$G,ROW()-8))</f>
      </c>
      <c r="F1940">
        <f>IF(INDEX(Transactions!$J:$J,ROW()-8)="",0,INDEX(Transactions!$O:$O,ROW()-8))</f>
      </c>
    </row>
    <row r="1941" spans="1:7">
      <c r="B1941">
        <f>IF(INDEX(Transactions!$J:$J,ROW()-8)="",TODAY(),INDEX(Transactions!$G:$G,ROW()-8))</f>
      </c>
      <c r="F1941">
        <f>IF(INDEX(Transactions!$J:$J,ROW()-8)="",0,INDEX(Transactions!$O:$O,ROW()-8))</f>
      </c>
    </row>
    <row r="1942" spans="1:7">
      <c r="B1942">
        <f>IF(INDEX(Transactions!$J:$J,ROW()-8)="",TODAY(),INDEX(Transactions!$G:$G,ROW()-8))</f>
      </c>
      <c r="F1942">
        <f>IF(INDEX(Transactions!$J:$J,ROW()-8)="",0,INDEX(Transactions!$O:$O,ROW()-8))</f>
      </c>
    </row>
    <row r="1943" spans="1:7">
      <c r="B1943">
        <f>IF(INDEX(Transactions!$J:$J,ROW()-8)="",TODAY(),INDEX(Transactions!$G:$G,ROW()-8))</f>
      </c>
      <c r="F1943">
        <f>IF(INDEX(Transactions!$J:$J,ROW()-8)="",0,INDEX(Transactions!$O:$O,ROW()-8))</f>
      </c>
    </row>
    <row r="1944" spans="1:7">
      <c r="B1944">
        <f>IF(INDEX(Transactions!$J:$J,ROW()-8)="",TODAY(),INDEX(Transactions!$G:$G,ROW()-8))</f>
      </c>
      <c r="F1944">
        <f>IF(INDEX(Transactions!$J:$J,ROW()-8)="",0,INDEX(Transactions!$O:$O,ROW()-8))</f>
      </c>
    </row>
    <row r="1945" spans="1:7">
      <c r="B1945">
        <f>IF(INDEX(Transactions!$J:$J,ROW()-8)="",TODAY(),INDEX(Transactions!$G:$G,ROW()-8))</f>
      </c>
      <c r="F1945">
        <f>IF(INDEX(Transactions!$J:$J,ROW()-8)="",0,INDEX(Transactions!$O:$O,ROW()-8))</f>
      </c>
    </row>
    <row r="1946" spans="1:7">
      <c r="B1946">
        <f>IF(INDEX(Transactions!$J:$J,ROW()-8)="",TODAY(),INDEX(Transactions!$G:$G,ROW()-8))</f>
      </c>
      <c r="F1946">
        <f>IF(INDEX(Transactions!$J:$J,ROW()-8)="",0,INDEX(Transactions!$O:$O,ROW()-8))</f>
      </c>
    </row>
    <row r="1947" spans="1:7">
      <c r="B1947">
        <f>IF(INDEX(Transactions!$J:$J,ROW()-8)="",TODAY(),INDEX(Transactions!$G:$G,ROW()-8))</f>
      </c>
      <c r="F1947">
        <f>IF(INDEX(Transactions!$J:$J,ROW()-8)="",0,INDEX(Transactions!$O:$O,ROW()-8))</f>
      </c>
    </row>
    <row r="1948" spans="1:7">
      <c r="B1948">
        <f>IF(INDEX(Transactions!$J:$J,ROW()-8)="",TODAY(),INDEX(Transactions!$G:$G,ROW()-8))</f>
      </c>
      <c r="F1948">
        <f>IF(INDEX(Transactions!$J:$J,ROW()-8)="",0,INDEX(Transactions!$O:$O,ROW()-8))</f>
      </c>
    </row>
    <row r="1949" spans="1:7">
      <c r="B1949">
        <f>IF(INDEX(Transactions!$J:$J,ROW()-8)="",TODAY(),INDEX(Transactions!$G:$G,ROW()-8))</f>
      </c>
      <c r="F1949">
        <f>IF(INDEX(Transactions!$J:$J,ROW()-8)="",0,INDEX(Transactions!$O:$O,ROW()-8))</f>
      </c>
    </row>
    <row r="1950" spans="1:7">
      <c r="B1950">
        <f>IF(INDEX(Transactions!$J:$J,ROW()-8)="",TODAY(),INDEX(Transactions!$G:$G,ROW()-8))</f>
      </c>
      <c r="F1950">
        <f>IF(INDEX(Transactions!$J:$J,ROW()-8)="",0,INDEX(Transactions!$O:$O,ROW()-8))</f>
      </c>
    </row>
    <row r="1951" spans="1:7">
      <c r="B1951">
        <f>IF(INDEX(Transactions!$J:$J,ROW()-8)="",TODAY(),INDEX(Transactions!$G:$G,ROW()-8))</f>
      </c>
      <c r="F1951">
        <f>IF(INDEX(Transactions!$J:$J,ROW()-8)="",0,INDEX(Transactions!$O:$O,ROW()-8))</f>
      </c>
    </row>
    <row r="1952" spans="1:7">
      <c r="B1952">
        <f>IF(INDEX(Transactions!$J:$J,ROW()-8)="",TODAY(),INDEX(Transactions!$G:$G,ROW()-8))</f>
      </c>
      <c r="F1952">
        <f>IF(INDEX(Transactions!$J:$J,ROW()-8)="",0,INDEX(Transactions!$O:$O,ROW()-8))</f>
      </c>
    </row>
    <row r="1953" spans="1:7">
      <c r="B1953">
        <f>IF(INDEX(Transactions!$J:$J,ROW()-8)="",TODAY(),INDEX(Transactions!$G:$G,ROW()-8))</f>
      </c>
      <c r="F1953">
        <f>IF(INDEX(Transactions!$J:$J,ROW()-8)="",0,INDEX(Transactions!$O:$O,ROW()-8))</f>
      </c>
    </row>
    <row r="1954" spans="1:7">
      <c r="B1954">
        <f>IF(INDEX(Transactions!$J:$J,ROW()-8)="",TODAY(),INDEX(Transactions!$G:$G,ROW()-8))</f>
      </c>
      <c r="F1954">
        <f>IF(INDEX(Transactions!$J:$J,ROW()-8)="",0,INDEX(Transactions!$O:$O,ROW()-8))</f>
      </c>
    </row>
    <row r="1955" spans="1:7">
      <c r="B1955">
        <f>IF(INDEX(Transactions!$J:$J,ROW()-8)="",TODAY(),INDEX(Transactions!$G:$G,ROW()-8))</f>
      </c>
      <c r="F1955">
        <f>IF(INDEX(Transactions!$J:$J,ROW()-8)="",0,INDEX(Transactions!$O:$O,ROW()-8))</f>
      </c>
    </row>
    <row r="1956" spans="1:7">
      <c r="B1956">
        <f>IF(INDEX(Transactions!$J:$J,ROW()-8)="",TODAY(),INDEX(Transactions!$G:$G,ROW()-8))</f>
      </c>
      <c r="F1956">
        <f>IF(INDEX(Transactions!$J:$J,ROW()-8)="",0,INDEX(Transactions!$O:$O,ROW()-8))</f>
      </c>
    </row>
    <row r="1957" spans="1:7">
      <c r="B1957">
        <f>IF(INDEX(Transactions!$J:$J,ROW()-8)="",TODAY(),INDEX(Transactions!$G:$G,ROW()-8))</f>
      </c>
      <c r="F1957">
        <f>IF(INDEX(Transactions!$J:$J,ROW()-8)="",0,INDEX(Transactions!$O:$O,ROW()-8))</f>
      </c>
    </row>
    <row r="1958" spans="1:7">
      <c r="B1958">
        <f>IF(INDEX(Transactions!$J:$J,ROW()-8)="",TODAY(),INDEX(Transactions!$G:$G,ROW()-8))</f>
      </c>
      <c r="F1958">
        <f>IF(INDEX(Transactions!$J:$J,ROW()-8)="",0,INDEX(Transactions!$O:$O,ROW()-8))</f>
      </c>
    </row>
    <row r="1959" spans="1:7">
      <c r="B1959">
        <f>IF(INDEX(Transactions!$J:$J,ROW()-8)="",TODAY(),INDEX(Transactions!$G:$G,ROW()-8))</f>
      </c>
      <c r="F1959">
        <f>IF(INDEX(Transactions!$J:$J,ROW()-8)="",0,INDEX(Transactions!$O:$O,ROW()-8))</f>
      </c>
    </row>
    <row r="1960" spans="1:7">
      <c r="B1960">
        <f>IF(INDEX(Transactions!$J:$J,ROW()-8)="",TODAY(),INDEX(Transactions!$G:$G,ROW()-8))</f>
      </c>
      <c r="F1960">
        <f>IF(INDEX(Transactions!$J:$J,ROW()-8)="",0,INDEX(Transactions!$O:$O,ROW()-8))</f>
      </c>
    </row>
    <row r="1961" spans="1:7">
      <c r="B1961">
        <f>IF(INDEX(Transactions!$J:$J,ROW()-8)="",TODAY(),INDEX(Transactions!$G:$G,ROW()-8))</f>
      </c>
      <c r="F1961">
        <f>IF(INDEX(Transactions!$J:$J,ROW()-8)="",0,INDEX(Transactions!$O:$O,ROW()-8))</f>
      </c>
    </row>
    <row r="1962" spans="1:7">
      <c r="B1962">
        <f>IF(INDEX(Transactions!$J:$J,ROW()-8)="",TODAY(),INDEX(Transactions!$G:$G,ROW()-8))</f>
      </c>
      <c r="F1962">
        <f>IF(INDEX(Transactions!$J:$J,ROW()-8)="",0,INDEX(Transactions!$O:$O,ROW()-8))</f>
      </c>
    </row>
    <row r="1963" spans="1:7">
      <c r="B1963">
        <f>IF(INDEX(Transactions!$J:$J,ROW()-8)="",TODAY(),INDEX(Transactions!$G:$G,ROW()-8))</f>
      </c>
      <c r="F1963">
        <f>IF(INDEX(Transactions!$J:$J,ROW()-8)="",0,INDEX(Transactions!$O:$O,ROW()-8))</f>
      </c>
    </row>
    <row r="1964" spans="1:7">
      <c r="B1964">
        <f>IF(INDEX(Transactions!$J:$J,ROW()-8)="",TODAY(),INDEX(Transactions!$G:$G,ROW()-8))</f>
      </c>
      <c r="F1964">
        <f>IF(INDEX(Transactions!$J:$J,ROW()-8)="",0,INDEX(Transactions!$O:$O,ROW()-8))</f>
      </c>
    </row>
    <row r="1965" spans="1:7">
      <c r="B1965">
        <f>IF(INDEX(Transactions!$J:$J,ROW()-8)="",TODAY(),INDEX(Transactions!$G:$G,ROW()-8))</f>
      </c>
      <c r="F1965">
        <f>IF(INDEX(Transactions!$J:$J,ROW()-8)="",0,INDEX(Transactions!$O:$O,ROW()-8))</f>
      </c>
    </row>
    <row r="1966" spans="1:7">
      <c r="B1966">
        <f>IF(INDEX(Transactions!$J:$J,ROW()-8)="",TODAY(),INDEX(Transactions!$G:$G,ROW()-8))</f>
      </c>
      <c r="F1966">
        <f>IF(INDEX(Transactions!$J:$J,ROW()-8)="",0,INDEX(Transactions!$O:$O,ROW()-8))</f>
      </c>
    </row>
    <row r="1967" spans="1:7">
      <c r="B1967">
        <f>IF(INDEX(Transactions!$J:$J,ROW()-8)="",TODAY(),INDEX(Transactions!$G:$G,ROW()-8))</f>
      </c>
      <c r="F1967">
        <f>IF(INDEX(Transactions!$J:$J,ROW()-8)="",0,INDEX(Transactions!$O:$O,ROW()-8))</f>
      </c>
    </row>
    <row r="1968" spans="1:7">
      <c r="B1968">
        <f>IF(INDEX(Transactions!$J:$J,ROW()-8)="",TODAY(),INDEX(Transactions!$G:$G,ROW()-8))</f>
      </c>
      <c r="F1968">
        <f>IF(INDEX(Transactions!$J:$J,ROW()-8)="",0,INDEX(Transactions!$O:$O,ROW()-8))</f>
      </c>
    </row>
    <row r="1969" spans="1:7">
      <c r="B1969">
        <f>IF(INDEX(Transactions!$J:$J,ROW()-8)="",TODAY(),INDEX(Transactions!$G:$G,ROW()-8))</f>
      </c>
      <c r="F1969">
        <f>IF(INDEX(Transactions!$J:$J,ROW()-8)="",0,INDEX(Transactions!$O:$O,ROW()-8))</f>
      </c>
    </row>
    <row r="1970" spans="1:7">
      <c r="B1970">
        <f>IF(INDEX(Transactions!$J:$J,ROW()-8)="",TODAY(),INDEX(Transactions!$G:$G,ROW()-8))</f>
      </c>
      <c r="F1970">
        <f>IF(INDEX(Transactions!$J:$J,ROW()-8)="",0,INDEX(Transactions!$O:$O,ROW()-8))</f>
      </c>
    </row>
    <row r="1971" spans="1:7">
      <c r="B1971">
        <f>IF(INDEX(Transactions!$J:$J,ROW()-8)="",TODAY(),INDEX(Transactions!$G:$G,ROW()-8))</f>
      </c>
      <c r="F1971">
        <f>IF(INDEX(Transactions!$J:$J,ROW()-8)="",0,INDEX(Transactions!$O:$O,ROW()-8))</f>
      </c>
    </row>
    <row r="1972" spans="1:7">
      <c r="B1972">
        <f>IF(INDEX(Transactions!$J:$J,ROW()-8)="",TODAY(),INDEX(Transactions!$G:$G,ROW()-8))</f>
      </c>
      <c r="F1972">
        <f>IF(INDEX(Transactions!$J:$J,ROW()-8)="",0,INDEX(Transactions!$O:$O,ROW()-8))</f>
      </c>
    </row>
    <row r="1973" spans="1:7">
      <c r="B1973">
        <f>IF(INDEX(Transactions!$J:$J,ROW()-8)="",TODAY(),INDEX(Transactions!$G:$G,ROW()-8))</f>
      </c>
      <c r="F1973">
        <f>IF(INDEX(Transactions!$J:$J,ROW()-8)="",0,INDEX(Transactions!$O:$O,ROW()-8))</f>
      </c>
    </row>
    <row r="1974" spans="1:7">
      <c r="B1974">
        <f>IF(INDEX(Transactions!$J:$J,ROW()-8)="",TODAY(),INDEX(Transactions!$G:$G,ROW()-8))</f>
      </c>
      <c r="F1974">
        <f>IF(INDEX(Transactions!$J:$J,ROW()-8)="",0,INDEX(Transactions!$O:$O,ROW()-8))</f>
      </c>
    </row>
    <row r="1975" spans="1:7">
      <c r="B1975">
        <f>IF(INDEX(Transactions!$J:$J,ROW()-8)="",TODAY(),INDEX(Transactions!$G:$G,ROW()-8))</f>
      </c>
      <c r="F1975">
        <f>IF(INDEX(Transactions!$J:$J,ROW()-8)="",0,INDEX(Transactions!$O:$O,ROW()-8))</f>
      </c>
    </row>
    <row r="1976" spans="1:7">
      <c r="B1976">
        <f>IF(INDEX(Transactions!$J:$J,ROW()-8)="",TODAY(),INDEX(Transactions!$G:$G,ROW()-8))</f>
      </c>
      <c r="F1976">
        <f>IF(INDEX(Transactions!$J:$J,ROW()-8)="",0,INDEX(Transactions!$O:$O,ROW()-8))</f>
      </c>
    </row>
    <row r="1977" spans="1:7">
      <c r="B1977">
        <f>IF(INDEX(Transactions!$J:$J,ROW()-8)="",TODAY(),INDEX(Transactions!$G:$G,ROW()-8))</f>
      </c>
      <c r="F1977">
        <f>IF(INDEX(Transactions!$J:$J,ROW()-8)="",0,INDEX(Transactions!$O:$O,ROW()-8))</f>
      </c>
    </row>
    <row r="1978" spans="1:7">
      <c r="B1978">
        <f>IF(INDEX(Transactions!$J:$J,ROW()-8)="",TODAY(),INDEX(Transactions!$G:$G,ROW()-8))</f>
      </c>
      <c r="F1978">
        <f>IF(INDEX(Transactions!$J:$J,ROW()-8)="",0,INDEX(Transactions!$O:$O,ROW()-8))</f>
      </c>
    </row>
    <row r="1979" spans="1:7">
      <c r="B1979">
        <f>IF(INDEX(Transactions!$J:$J,ROW()-8)="",TODAY(),INDEX(Transactions!$G:$G,ROW()-8))</f>
      </c>
      <c r="F1979">
        <f>IF(INDEX(Transactions!$J:$J,ROW()-8)="",0,INDEX(Transactions!$O:$O,ROW()-8))</f>
      </c>
    </row>
    <row r="1980" spans="1:7">
      <c r="B1980">
        <f>IF(INDEX(Transactions!$J:$J,ROW()-8)="",TODAY(),INDEX(Transactions!$G:$G,ROW()-8))</f>
      </c>
      <c r="F1980">
        <f>IF(INDEX(Transactions!$J:$J,ROW()-8)="",0,INDEX(Transactions!$O:$O,ROW()-8))</f>
      </c>
    </row>
    <row r="1981" spans="1:7">
      <c r="B1981">
        <f>IF(INDEX(Transactions!$J:$J,ROW()-8)="",TODAY(),INDEX(Transactions!$G:$G,ROW()-8))</f>
      </c>
      <c r="F1981">
        <f>IF(INDEX(Transactions!$J:$J,ROW()-8)="",0,INDEX(Transactions!$O:$O,ROW()-8))</f>
      </c>
    </row>
    <row r="1982" spans="1:7">
      <c r="B1982">
        <f>IF(INDEX(Transactions!$J:$J,ROW()-8)="",TODAY(),INDEX(Transactions!$G:$G,ROW()-8))</f>
      </c>
      <c r="F1982">
        <f>IF(INDEX(Transactions!$J:$J,ROW()-8)="",0,INDEX(Transactions!$O:$O,ROW()-8))</f>
      </c>
    </row>
    <row r="1983" spans="1:7">
      <c r="B1983">
        <f>IF(INDEX(Transactions!$J:$J,ROW()-8)="",TODAY(),INDEX(Transactions!$G:$G,ROW()-8))</f>
      </c>
      <c r="F1983">
        <f>IF(INDEX(Transactions!$J:$J,ROW()-8)="",0,INDEX(Transactions!$O:$O,ROW()-8))</f>
      </c>
    </row>
    <row r="1984" spans="1:7">
      <c r="B1984">
        <f>IF(INDEX(Transactions!$J:$J,ROW()-8)="",TODAY(),INDEX(Transactions!$G:$G,ROW()-8))</f>
      </c>
      <c r="F1984">
        <f>IF(INDEX(Transactions!$J:$J,ROW()-8)="",0,INDEX(Transactions!$O:$O,ROW()-8))</f>
      </c>
    </row>
    <row r="1985" spans="1:7">
      <c r="B1985">
        <f>IF(INDEX(Transactions!$J:$J,ROW()-8)="",TODAY(),INDEX(Transactions!$G:$G,ROW()-8))</f>
      </c>
      <c r="F1985">
        <f>IF(INDEX(Transactions!$J:$J,ROW()-8)="",0,INDEX(Transactions!$O:$O,ROW()-8))</f>
      </c>
    </row>
    <row r="1986" spans="1:7">
      <c r="B1986">
        <f>IF(INDEX(Transactions!$J:$J,ROW()-8)="",TODAY(),INDEX(Transactions!$G:$G,ROW()-8))</f>
      </c>
      <c r="F1986">
        <f>IF(INDEX(Transactions!$J:$J,ROW()-8)="",0,INDEX(Transactions!$O:$O,ROW()-8))</f>
      </c>
    </row>
    <row r="1987" spans="1:7">
      <c r="B1987">
        <f>IF(INDEX(Transactions!$J:$J,ROW()-8)="",TODAY(),INDEX(Transactions!$G:$G,ROW()-8))</f>
      </c>
      <c r="F1987">
        <f>IF(INDEX(Transactions!$J:$J,ROW()-8)="",0,INDEX(Transactions!$O:$O,ROW()-8))</f>
      </c>
    </row>
    <row r="1988" spans="1:7">
      <c r="B1988">
        <f>IF(INDEX(Transactions!$J:$J,ROW()-8)="",TODAY(),INDEX(Transactions!$G:$G,ROW()-8))</f>
      </c>
      <c r="F1988">
        <f>IF(INDEX(Transactions!$J:$J,ROW()-8)="",0,INDEX(Transactions!$O:$O,ROW()-8))</f>
      </c>
    </row>
    <row r="1989" spans="1:7">
      <c r="B1989">
        <f>IF(INDEX(Transactions!$J:$J,ROW()-8)="",TODAY(),INDEX(Transactions!$G:$G,ROW()-8))</f>
      </c>
      <c r="F1989">
        <f>IF(INDEX(Transactions!$J:$J,ROW()-8)="",0,INDEX(Transactions!$O:$O,ROW()-8))</f>
      </c>
    </row>
    <row r="1990" spans="1:7">
      <c r="B1990">
        <f>IF(INDEX(Transactions!$J:$J,ROW()-8)="",TODAY(),INDEX(Transactions!$G:$G,ROW()-8))</f>
      </c>
      <c r="F1990">
        <f>IF(INDEX(Transactions!$J:$J,ROW()-8)="",0,INDEX(Transactions!$O:$O,ROW()-8))</f>
      </c>
    </row>
    <row r="1991" spans="1:7">
      <c r="B1991">
        <f>IF(INDEX(Transactions!$J:$J,ROW()-8)="",TODAY(),INDEX(Transactions!$G:$G,ROW()-8))</f>
      </c>
      <c r="F1991">
        <f>IF(INDEX(Transactions!$J:$J,ROW()-8)="",0,INDEX(Transactions!$O:$O,ROW()-8))</f>
      </c>
    </row>
    <row r="1992" spans="1:7">
      <c r="B1992">
        <f>IF(INDEX(Transactions!$J:$J,ROW()-8)="",TODAY(),INDEX(Transactions!$G:$G,ROW()-8))</f>
      </c>
      <c r="F1992">
        <f>IF(INDEX(Transactions!$J:$J,ROW()-8)="",0,INDEX(Transactions!$O:$O,ROW()-8))</f>
      </c>
    </row>
    <row r="1993" spans="1:7">
      <c r="B1993">
        <f>IF(INDEX(Transactions!$J:$J,ROW()-8)="",TODAY(),INDEX(Transactions!$G:$G,ROW()-8))</f>
      </c>
      <c r="F1993">
        <f>IF(INDEX(Transactions!$J:$J,ROW()-8)="",0,INDEX(Transactions!$O:$O,ROW()-8))</f>
      </c>
    </row>
    <row r="1994" spans="1:7">
      <c r="B1994">
        <f>IF(INDEX(Transactions!$J:$J,ROW()-8)="",TODAY(),INDEX(Transactions!$G:$G,ROW()-8))</f>
      </c>
      <c r="F1994">
        <f>IF(INDEX(Transactions!$J:$J,ROW()-8)="",0,INDEX(Transactions!$O:$O,ROW()-8))</f>
      </c>
    </row>
    <row r="1995" spans="1:7">
      <c r="B1995">
        <f>IF(INDEX(Transactions!$J:$J,ROW()-8)="",TODAY(),INDEX(Transactions!$G:$G,ROW()-8))</f>
      </c>
      <c r="F1995">
        <f>IF(INDEX(Transactions!$J:$J,ROW()-8)="",0,INDEX(Transactions!$O:$O,ROW()-8))</f>
      </c>
    </row>
    <row r="1996" spans="1:7">
      <c r="B1996">
        <f>IF(INDEX(Transactions!$J:$J,ROW()-8)="",TODAY(),INDEX(Transactions!$G:$G,ROW()-8))</f>
      </c>
      <c r="F1996">
        <f>IF(INDEX(Transactions!$J:$J,ROW()-8)="",0,INDEX(Transactions!$O:$O,ROW()-8))</f>
      </c>
    </row>
    <row r="1997" spans="1:7">
      <c r="B1997">
        <f>IF(INDEX(Transactions!$J:$J,ROW()-8)="",TODAY(),INDEX(Transactions!$G:$G,ROW()-8))</f>
      </c>
      <c r="F1997">
        <f>IF(INDEX(Transactions!$J:$J,ROW()-8)="",0,INDEX(Transactions!$O:$O,ROW()-8))</f>
      </c>
    </row>
    <row r="1998" spans="1:7">
      <c r="B1998">
        <f>IF(INDEX(Transactions!$J:$J,ROW()-8)="",TODAY(),INDEX(Transactions!$G:$G,ROW()-8))</f>
      </c>
      <c r="F1998">
        <f>IF(INDEX(Transactions!$J:$J,ROW()-8)="",0,INDEX(Transactions!$O:$O,ROW()-8))</f>
      </c>
    </row>
    <row r="1999" spans="1:7">
      <c r="B1999">
        <f>IF(INDEX(Transactions!$J:$J,ROW()-8)="",TODAY(),INDEX(Transactions!$G:$G,ROW()-8))</f>
      </c>
      <c r="F1999">
        <f>IF(INDEX(Transactions!$J:$J,ROW()-8)="",0,INDEX(Transactions!$O:$O,ROW()-8))</f>
      </c>
    </row>
    <row r="2000" spans="1:7">
      <c r="B2000">
        <f>IF(INDEX(Transactions!$J:$J,ROW()-8)="",TODAY(),INDEX(Transactions!$G:$G,ROW()-8))</f>
      </c>
      <c r="F2000">
        <f>IF(INDEX(Transactions!$J:$J,ROW()-8)="",0,INDEX(Transactions!$O:$O,ROW()-8))</f>
      </c>
    </row>
    <row r="2001" spans="1:7">
      <c r="B2001">
        <f>IF(INDEX(Transactions!$J:$J,ROW()-8)="",TODAY(),INDEX(Transactions!$G:$G,ROW()-8))</f>
      </c>
      <c r="F2001">
        <f>IF(INDEX(Transactions!$J:$J,ROW()-8)="",0,INDEX(Transactions!$O:$O,ROW()-8))</f>
      </c>
    </row>
    <row r="2002" spans="1:7">
      <c r="B2002">
        <f>IF(INDEX(Transactions!$J:$J,ROW()-8)="",TODAY(),INDEX(Transactions!$G:$G,ROW()-8))</f>
      </c>
      <c r="F2002">
        <f>IF(INDEX(Transactions!$J:$J,ROW()-8)="",0,INDEX(Transactions!$O:$O,ROW()-8))</f>
      </c>
    </row>
    <row r="2003" spans="1:7">
      <c r="B2003">
        <f>IF(INDEX(Transactions!$J:$J,ROW()-8)="",TODAY(),INDEX(Transactions!$G:$G,ROW()-8))</f>
      </c>
      <c r="F2003">
        <f>IF(INDEX(Transactions!$J:$J,ROW()-8)="",0,INDEX(Transactions!$O:$O,ROW()-8))</f>
      </c>
    </row>
    <row r="2004" spans="1:7">
      <c r="B2004">
        <f>IF(INDEX(Transactions!$J:$J,ROW()-8)="",TODAY(),INDEX(Transactions!$G:$G,ROW()-8))</f>
      </c>
      <c r="F2004">
        <f>IF(INDEX(Transactions!$J:$J,ROW()-8)="",0,INDEX(Transactions!$O:$O,ROW()-8))</f>
      </c>
    </row>
    <row r="2005" spans="1:7">
      <c r="B2005">
        <f>IF(INDEX(Transactions!$J:$J,ROW()-8)="",TODAY(),INDEX(Transactions!$G:$G,ROW()-8))</f>
      </c>
      <c r="F2005">
        <f>IF(INDEX(Transactions!$J:$J,ROW()-8)="",0,INDEX(Transactions!$O:$O,ROW()-8))</f>
      </c>
    </row>
    <row r="2006" spans="1:7">
      <c r="B2006">
        <f>IF(INDEX(Transactions!$J:$J,ROW()-8)="",TODAY(),INDEX(Transactions!$G:$G,ROW()-8))</f>
      </c>
      <c r="F2006">
        <f>IF(INDEX(Transactions!$J:$J,ROW()-8)="",0,INDEX(Transactions!$O:$O,ROW()-8))</f>
      </c>
    </row>
    <row r="2007" spans="1:7">
      <c r="B2007">
        <f>IF(INDEX(Transactions!$J:$J,ROW()-8)="",TODAY(),INDEX(Transactions!$G:$G,ROW()-8))</f>
      </c>
      <c r="F2007">
        <f>IF(INDEX(Transactions!$J:$J,ROW()-8)="",0,INDEX(Transactions!$O:$O,ROW()-8))</f>
      </c>
    </row>
    <row r="2008" spans="1:7">
      <c r="B2008">
        <f>IF(INDEX(Transactions!$J:$J,ROW()-8)="",TODAY(),INDEX(Transactions!$G:$G,ROW()-8))</f>
      </c>
      <c r="F2008">
        <f>IF(INDEX(Transactions!$J:$J,ROW()-8)="",0,INDEX(Transactions!$O:$O,ROW()-8))</f>
      </c>
    </row>
    <row r="2009" spans="1:7">
      <c r="B2009">
        <f>IF(INDEX(Transactions!$J:$J,ROW()-8)="",TODAY(),INDEX(Transactions!$G:$G,ROW()-8))</f>
      </c>
      <c r="F2009">
        <f>IF(INDEX(Transactions!$J:$J,ROW()-8)="",0,INDEX(Transactions!$O:$O,ROW()-8))</f>
      </c>
    </row>
    <row r="2010" spans="1:7">
      <c r="B2010">
        <f>IF(INDEX(Transactions!$J:$J,ROW()-8)="",TODAY(),INDEX(Transactions!$G:$G,ROW()-8))</f>
      </c>
      <c r="F2010">
        <f>IF(INDEX(Transactions!$J:$J,ROW()-8)="",0,INDEX(Transactions!$O:$O,ROW()-8))</f>
      </c>
    </row>
    <row r="2011" spans="1:7">
      <c r="B2011">
        <f>IF(INDEX(Transactions!$J:$J,ROW()-8)="",TODAY(),INDEX(Transactions!$G:$G,ROW()-8))</f>
      </c>
      <c r="F2011">
        <f>IF(INDEX(Transactions!$J:$J,ROW()-8)="",0,INDEX(Transactions!$O:$O,ROW()-8))</f>
      </c>
    </row>
    <row r="2012" spans="1:7">
      <c r="B2012">
        <f>IF(INDEX(Transactions!$J:$J,ROW()-8)="",TODAY(),INDEX(Transactions!$G:$G,ROW()-8))</f>
      </c>
      <c r="F2012">
        <f>IF(INDEX(Transactions!$J:$J,ROW()-8)="",0,INDEX(Transactions!$O:$O,ROW()-8))</f>
      </c>
    </row>
    <row r="2013" spans="1:7">
      <c r="B2013">
        <f>IF(INDEX(Transactions!$J:$J,ROW()-8)="",TODAY(),INDEX(Transactions!$G:$G,ROW()-8))</f>
      </c>
      <c r="F2013">
        <f>IF(INDEX(Transactions!$J:$J,ROW()-8)="",0,INDEX(Transactions!$O:$O,ROW()-8))</f>
      </c>
    </row>
    <row r="2014" spans="1:7">
      <c r="B2014">
        <f>IF(INDEX(Transactions!$J:$J,ROW()-8)="",TODAY(),INDEX(Transactions!$G:$G,ROW()-8))</f>
      </c>
      <c r="F2014">
        <f>IF(INDEX(Transactions!$J:$J,ROW()-8)="",0,INDEX(Transactions!$O:$O,ROW()-8))</f>
      </c>
    </row>
    <row r="2015" spans="1:7">
      <c r="B2015">
        <f>IF(INDEX(Transactions!$J:$J,ROW()-8)="",TODAY(),INDEX(Transactions!$G:$G,ROW()-8))</f>
      </c>
      <c r="F2015">
        <f>IF(INDEX(Transactions!$J:$J,ROW()-8)="",0,INDEX(Transactions!$O:$O,ROW()-8))</f>
      </c>
    </row>
    <row r="2016" spans="1:7">
      <c r="B2016">
        <f>IF(INDEX(Transactions!$J:$J,ROW()-8)="",TODAY(),INDEX(Transactions!$G:$G,ROW()-8))</f>
      </c>
      <c r="F2016">
        <f>IF(INDEX(Transactions!$J:$J,ROW()-8)="",0,INDEX(Transactions!$O:$O,ROW()-8))</f>
      </c>
    </row>
    <row r="2017" spans="1:7">
      <c r="B2017">
        <f>IF(INDEX(Transactions!$J:$J,ROW()-8)="",TODAY(),INDEX(Transactions!$G:$G,ROW()-8))</f>
      </c>
      <c r="F2017">
        <f>IF(INDEX(Transactions!$J:$J,ROW()-8)="",0,INDEX(Transactions!$O:$O,ROW()-8))</f>
      </c>
    </row>
    <row r="2018" spans="1:7">
      <c r="B2018">
        <f>IF(INDEX(Transactions!$J:$J,ROW()-8)="",TODAY(),INDEX(Transactions!$G:$G,ROW()-8))</f>
      </c>
      <c r="F2018">
        <f>IF(INDEX(Transactions!$J:$J,ROW()-8)="",0,INDEX(Transactions!$O:$O,ROW()-8))</f>
      </c>
    </row>
    <row r="2019" spans="1:7">
      <c r="B2019">
        <f>IF(INDEX(Transactions!$J:$J,ROW()-8)="",TODAY(),INDEX(Transactions!$G:$G,ROW()-8))</f>
      </c>
      <c r="F2019">
        <f>IF(INDEX(Transactions!$J:$J,ROW()-8)="",0,INDEX(Transactions!$O:$O,ROW()-8))</f>
      </c>
    </row>
    <row r="2020" spans="1:7">
      <c r="B2020">
        <f>IF(INDEX(Transactions!$J:$J,ROW()-8)="",TODAY(),INDEX(Transactions!$G:$G,ROW()-8))</f>
      </c>
      <c r="F2020">
        <f>IF(INDEX(Transactions!$J:$J,ROW()-8)="",0,INDEX(Transactions!$O:$O,ROW()-8))</f>
      </c>
    </row>
    <row r="2021" spans="1:7">
      <c r="B2021">
        <f>IF(INDEX(Transactions!$J:$J,ROW()-8)="",TODAY(),INDEX(Transactions!$G:$G,ROW()-8))</f>
      </c>
      <c r="F2021">
        <f>IF(INDEX(Transactions!$J:$J,ROW()-8)="",0,INDEX(Transactions!$O:$O,ROW()-8))</f>
      </c>
    </row>
    <row r="2022" spans="1:7">
      <c r="B2022">
        <f>IF(INDEX(Transactions!$J:$J,ROW()-8)="",TODAY(),INDEX(Transactions!$G:$G,ROW()-8))</f>
      </c>
      <c r="F2022">
        <f>IF(INDEX(Transactions!$J:$J,ROW()-8)="",0,INDEX(Transactions!$O:$O,ROW()-8))</f>
      </c>
    </row>
    <row r="2023" spans="1:7">
      <c r="B2023">
        <f>IF(INDEX(Transactions!$J:$J,ROW()-8)="",TODAY(),INDEX(Transactions!$G:$G,ROW()-8))</f>
      </c>
      <c r="F2023">
        <f>IF(INDEX(Transactions!$J:$J,ROW()-8)="",0,INDEX(Transactions!$O:$O,ROW()-8))</f>
      </c>
    </row>
    <row r="2024" spans="1:7">
      <c r="B2024">
        <f>IF(INDEX(Transactions!$J:$J,ROW()-8)="",TODAY(),INDEX(Transactions!$G:$G,ROW()-8))</f>
      </c>
      <c r="F2024">
        <f>IF(INDEX(Transactions!$J:$J,ROW()-8)="",0,INDEX(Transactions!$O:$O,ROW()-8))</f>
      </c>
    </row>
    <row r="2025" spans="1:7">
      <c r="B2025">
        <f>IF(INDEX(Transactions!$J:$J,ROW()-8)="",TODAY(),INDEX(Transactions!$G:$G,ROW()-8))</f>
      </c>
      <c r="F2025">
        <f>IF(INDEX(Transactions!$J:$J,ROW()-8)="",0,INDEX(Transactions!$O:$O,ROW()-8))</f>
      </c>
    </row>
    <row r="2026" spans="1:7">
      <c r="B2026">
        <f>IF(INDEX(Transactions!$J:$J,ROW()-8)="",TODAY(),INDEX(Transactions!$G:$G,ROW()-8))</f>
      </c>
      <c r="F2026">
        <f>IF(INDEX(Transactions!$J:$J,ROW()-8)="",0,INDEX(Transactions!$O:$O,ROW()-8))</f>
      </c>
    </row>
    <row r="2027" spans="1:7">
      <c r="B2027">
        <f>IF(INDEX(Transactions!$J:$J,ROW()-8)="",TODAY(),INDEX(Transactions!$G:$G,ROW()-8))</f>
      </c>
      <c r="F2027">
        <f>IF(INDEX(Transactions!$J:$J,ROW()-8)="",0,INDEX(Transactions!$O:$O,ROW()-8))</f>
      </c>
    </row>
    <row r="2028" spans="1:7">
      <c r="B2028">
        <f>IF(INDEX(Transactions!$J:$J,ROW()-8)="",TODAY(),INDEX(Transactions!$G:$G,ROW()-8))</f>
      </c>
      <c r="F2028">
        <f>IF(INDEX(Transactions!$J:$J,ROW()-8)="",0,INDEX(Transactions!$O:$O,ROW()-8))</f>
      </c>
    </row>
    <row r="2029" spans="1:7">
      <c r="B2029">
        <f>IF(INDEX(Transactions!$J:$J,ROW()-8)="",TODAY(),INDEX(Transactions!$G:$G,ROW()-8))</f>
      </c>
      <c r="F2029">
        <f>IF(INDEX(Transactions!$J:$J,ROW()-8)="",0,INDEX(Transactions!$O:$O,ROW()-8))</f>
      </c>
    </row>
    <row r="2030" spans="1:7">
      <c r="B2030">
        <f>IF(INDEX(Transactions!$J:$J,ROW()-8)="",TODAY(),INDEX(Transactions!$G:$G,ROW()-8))</f>
      </c>
      <c r="F2030">
        <f>IF(INDEX(Transactions!$J:$J,ROW()-8)="",0,INDEX(Transactions!$O:$O,ROW()-8))</f>
      </c>
    </row>
    <row r="2031" spans="1:7">
      <c r="B2031">
        <f>IF(INDEX(Transactions!$J:$J,ROW()-8)="",TODAY(),INDEX(Transactions!$G:$G,ROW()-8))</f>
      </c>
      <c r="F2031">
        <f>IF(INDEX(Transactions!$J:$J,ROW()-8)="",0,INDEX(Transactions!$O:$O,ROW()-8))</f>
      </c>
    </row>
    <row r="2032" spans="1:7">
      <c r="B2032">
        <f>IF(INDEX(Transactions!$J:$J,ROW()-8)="",TODAY(),INDEX(Transactions!$G:$G,ROW()-8))</f>
      </c>
      <c r="F2032">
        <f>IF(INDEX(Transactions!$J:$J,ROW()-8)="",0,INDEX(Transactions!$O:$O,ROW()-8))</f>
      </c>
    </row>
    <row r="2033" spans="1:7">
      <c r="B2033">
        <f>IF(INDEX(Transactions!$J:$J,ROW()-8)="",TODAY(),INDEX(Transactions!$G:$G,ROW()-8))</f>
      </c>
      <c r="F2033">
        <f>IF(INDEX(Transactions!$J:$J,ROW()-8)="",0,INDEX(Transactions!$O:$O,ROW()-8))</f>
      </c>
    </row>
    <row r="2034" spans="1:7">
      <c r="B2034">
        <f>IF(INDEX(Transactions!$J:$J,ROW()-8)="",TODAY(),INDEX(Transactions!$G:$G,ROW()-8))</f>
      </c>
      <c r="F2034">
        <f>IF(INDEX(Transactions!$J:$J,ROW()-8)="",0,INDEX(Transactions!$O:$O,ROW()-8))</f>
      </c>
    </row>
    <row r="2035" spans="1:7">
      <c r="B2035">
        <f>IF(INDEX(Transactions!$J:$J,ROW()-8)="",TODAY(),INDEX(Transactions!$G:$G,ROW()-8))</f>
      </c>
      <c r="F2035">
        <f>IF(INDEX(Transactions!$J:$J,ROW()-8)="",0,INDEX(Transactions!$O:$O,ROW()-8))</f>
      </c>
    </row>
    <row r="2036" spans="1:7">
      <c r="B2036">
        <f>IF(INDEX(Transactions!$J:$J,ROW()-8)="",TODAY(),INDEX(Transactions!$G:$G,ROW()-8))</f>
      </c>
      <c r="F2036">
        <f>IF(INDEX(Transactions!$J:$J,ROW()-8)="",0,INDEX(Transactions!$O:$O,ROW()-8))</f>
      </c>
    </row>
    <row r="2037" spans="1:7">
      <c r="B2037">
        <f>IF(INDEX(Transactions!$J:$J,ROW()-8)="",TODAY(),INDEX(Transactions!$G:$G,ROW()-8))</f>
      </c>
      <c r="F2037">
        <f>IF(INDEX(Transactions!$J:$J,ROW()-8)="",0,INDEX(Transactions!$O:$O,ROW()-8))</f>
      </c>
    </row>
    <row r="2038" spans="1:7">
      <c r="B2038">
        <f>IF(INDEX(Transactions!$J:$J,ROW()-8)="",TODAY(),INDEX(Transactions!$G:$G,ROW()-8))</f>
      </c>
      <c r="F2038">
        <f>IF(INDEX(Transactions!$J:$J,ROW()-8)="",0,INDEX(Transactions!$O:$O,ROW()-8))</f>
      </c>
    </row>
    <row r="2039" spans="1:7">
      <c r="B2039">
        <f>IF(INDEX(Transactions!$J:$J,ROW()-8)="",TODAY(),INDEX(Transactions!$G:$G,ROW()-8))</f>
      </c>
      <c r="F2039">
        <f>IF(INDEX(Transactions!$J:$J,ROW()-8)="",0,INDEX(Transactions!$O:$O,ROW()-8))</f>
      </c>
    </row>
    <row r="2040" spans="1:7">
      <c r="B2040">
        <f>IF(INDEX(Transactions!$J:$J,ROW()-8)="",TODAY(),INDEX(Transactions!$G:$G,ROW()-8))</f>
      </c>
      <c r="F2040">
        <f>IF(INDEX(Transactions!$J:$J,ROW()-8)="",0,INDEX(Transactions!$O:$O,ROW()-8))</f>
      </c>
    </row>
    <row r="2041" spans="1:7">
      <c r="B2041">
        <f>IF(INDEX(Transactions!$J:$J,ROW()-8)="",TODAY(),INDEX(Transactions!$G:$G,ROW()-8))</f>
      </c>
      <c r="F2041">
        <f>IF(INDEX(Transactions!$J:$J,ROW()-8)="",0,INDEX(Transactions!$O:$O,ROW()-8))</f>
      </c>
    </row>
    <row r="2042" spans="1:7">
      <c r="B2042">
        <f>IF(INDEX(Transactions!$J:$J,ROW()-8)="",TODAY(),INDEX(Transactions!$G:$G,ROW()-8))</f>
      </c>
      <c r="F2042">
        <f>IF(INDEX(Transactions!$J:$J,ROW()-8)="",0,INDEX(Transactions!$O:$O,ROW()-8))</f>
      </c>
    </row>
    <row r="2043" spans="1:7">
      <c r="B2043">
        <f>IF(INDEX(Transactions!$J:$J,ROW()-8)="",TODAY(),INDEX(Transactions!$G:$G,ROW()-8))</f>
      </c>
      <c r="F2043">
        <f>IF(INDEX(Transactions!$J:$J,ROW()-8)="",0,INDEX(Transactions!$O:$O,ROW()-8))</f>
      </c>
    </row>
    <row r="2044" spans="1:7">
      <c r="B2044">
        <f>IF(INDEX(Transactions!$J:$J,ROW()-8)="",TODAY(),INDEX(Transactions!$G:$G,ROW()-8))</f>
      </c>
      <c r="F2044">
        <f>IF(INDEX(Transactions!$J:$J,ROW()-8)="",0,INDEX(Transactions!$O:$O,ROW()-8))</f>
      </c>
    </row>
    <row r="2045" spans="1:7">
      <c r="B2045">
        <f>IF(INDEX(Transactions!$J:$J,ROW()-8)="",TODAY(),INDEX(Transactions!$G:$G,ROW()-8))</f>
      </c>
      <c r="F2045">
        <f>IF(INDEX(Transactions!$J:$J,ROW()-8)="",0,INDEX(Transactions!$O:$O,ROW()-8))</f>
      </c>
    </row>
    <row r="2046" spans="1:7">
      <c r="B2046">
        <f>IF(INDEX(Transactions!$J:$J,ROW()-8)="",TODAY(),INDEX(Transactions!$G:$G,ROW()-8))</f>
      </c>
      <c r="F2046">
        <f>IF(INDEX(Transactions!$J:$J,ROW()-8)="",0,INDEX(Transactions!$O:$O,ROW()-8))</f>
      </c>
    </row>
    <row r="2047" spans="1:7">
      <c r="B2047">
        <f>IF(INDEX(Transactions!$J:$J,ROW()-8)="",TODAY(),INDEX(Transactions!$G:$G,ROW()-8))</f>
      </c>
      <c r="F2047">
        <f>IF(INDEX(Transactions!$J:$J,ROW()-8)="",0,INDEX(Transactions!$O:$O,ROW()-8))</f>
      </c>
    </row>
    <row r="2048" spans="1:7">
      <c r="B2048">
        <f>IF(INDEX(Transactions!$J:$J,ROW()-8)="",TODAY(),INDEX(Transactions!$G:$G,ROW()-8))</f>
      </c>
      <c r="F2048">
        <f>IF(INDEX(Transactions!$J:$J,ROW()-8)="",0,INDEX(Transactions!$O:$O,ROW()-8))</f>
      </c>
    </row>
    <row r="2049" spans="1:7">
      <c r="B2049">
        <f>IF(INDEX(Transactions!$J:$J,ROW()-8)="",TODAY(),INDEX(Transactions!$G:$G,ROW()-8))</f>
      </c>
      <c r="F2049">
        <f>IF(INDEX(Transactions!$J:$J,ROW()-8)="",0,INDEX(Transactions!$O:$O,ROW()-8))</f>
      </c>
    </row>
    <row r="2050" spans="1:7">
      <c r="B2050">
        <f>IF(INDEX(Transactions!$J:$J,ROW()-8)="",TODAY(),INDEX(Transactions!$G:$G,ROW()-8))</f>
      </c>
      <c r="F2050">
        <f>IF(INDEX(Transactions!$J:$J,ROW()-8)="",0,INDEX(Transactions!$O:$O,ROW()-8))</f>
      </c>
    </row>
    <row r="2051" spans="1:7">
      <c r="B2051">
        <f>IF(INDEX(Transactions!$J:$J,ROW()-8)="",TODAY(),INDEX(Transactions!$G:$G,ROW()-8))</f>
      </c>
      <c r="F2051">
        <f>IF(INDEX(Transactions!$J:$J,ROW()-8)="",0,INDEX(Transactions!$O:$O,ROW()-8))</f>
      </c>
    </row>
    <row r="2052" spans="1:7">
      <c r="B2052">
        <f>IF(INDEX(Transactions!$J:$J,ROW()-8)="",TODAY(),INDEX(Transactions!$G:$G,ROW()-8))</f>
      </c>
      <c r="F2052">
        <f>IF(INDEX(Transactions!$J:$J,ROW()-8)="",0,INDEX(Transactions!$O:$O,ROW()-8))</f>
      </c>
    </row>
    <row r="2053" spans="1:7">
      <c r="B2053">
        <f>IF(INDEX(Transactions!$J:$J,ROW()-8)="",TODAY(),INDEX(Transactions!$G:$G,ROW()-8))</f>
      </c>
      <c r="F2053">
        <f>IF(INDEX(Transactions!$J:$J,ROW()-8)="",0,INDEX(Transactions!$O:$O,ROW()-8))</f>
      </c>
    </row>
    <row r="2054" spans="1:7">
      <c r="B2054">
        <f>IF(INDEX(Transactions!$J:$J,ROW()-8)="",TODAY(),INDEX(Transactions!$G:$G,ROW()-8))</f>
      </c>
      <c r="F2054">
        <f>IF(INDEX(Transactions!$J:$J,ROW()-8)="",0,INDEX(Transactions!$O:$O,ROW()-8))</f>
      </c>
    </row>
    <row r="2055" spans="1:7">
      <c r="B2055">
        <f>IF(INDEX(Transactions!$J:$J,ROW()-8)="",TODAY(),INDEX(Transactions!$G:$G,ROW()-8))</f>
      </c>
      <c r="F2055">
        <f>IF(INDEX(Transactions!$J:$J,ROW()-8)="",0,INDEX(Transactions!$O:$O,ROW()-8))</f>
      </c>
    </row>
    <row r="2056" spans="1:7">
      <c r="B2056">
        <f>IF(INDEX(Transactions!$J:$J,ROW()-8)="",TODAY(),INDEX(Transactions!$G:$G,ROW()-8))</f>
      </c>
      <c r="F2056">
        <f>IF(INDEX(Transactions!$J:$J,ROW()-8)="",0,INDEX(Transactions!$O:$O,ROW()-8))</f>
      </c>
    </row>
    <row r="2057" spans="1:7">
      <c r="B2057">
        <f>IF(INDEX(Transactions!$J:$J,ROW()-8)="",TODAY(),INDEX(Transactions!$G:$G,ROW()-8))</f>
      </c>
      <c r="F2057">
        <f>IF(INDEX(Transactions!$J:$J,ROW()-8)="",0,INDEX(Transactions!$O:$O,ROW()-8))</f>
      </c>
    </row>
    <row r="2058" spans="1:7">
      <c r="B2058">
        <f>IF(INDEX(Transactions!$J:$J,ROW()-8)="",TODAY(),INDEX(Transactions!$G:$G,ROW()-8))</f>
      </c>
      <c r="F2058">
        <f>IF(INDEX(Transactions!$J:$J,ROW()-8)="",0,INDEX(Transactions!$O:$O,ROW()-8))</f>
      </c>
    </row>
    <row r="2059" spans="1:7">
      <c r="B2059">
        <f>IF(INDEX(Transactions!$J:$J,ROW()-8)="",TODAY(),INDEX(Transactions!$G:$G,ROW()-8))</f>
      </c>
      <c r="F2059">
        <f>IF(INDEX(Transactions!$J:$J,ROW()-8)="",0,INDEX(Transactions!$O:$O,ROW()-8))</f>
      </c>
    </row>
    <row r="2060" spans="1:7">
      <c r="B2060">
        <f>IF(INDEX(Transactions!$J:$J,ROW()-8)="",TODAY(),INDEX(Transactions!$G:$G,ROW()-8))</f>
      </c>
      <c r="F2060">
        <f>IF(INDEX(Transactions!$J:$J,ROW()-8)="",0,INDEX(Transactions!$O:$O,ROW()-8))</f>
      </c>
    </row>
    <row r="2061" spans="1:7">
      <c r="B2061">
        <f>IF(INDEX(Transactions!$J:$J,ROW()-8)="",TODAY(),INDEX(Transactions!$G:$G,ROW()-8))</f>
      </c>
      <c r="F2061">
        <f>IF(INDEX(Transactions!$J:$J,ROW()-8)="",0,INDEX(Transactions!$O:$O,ROW()-8))</f>
      </c>
    </row>
    <row r="2062" spans="1:7">
      <c r="B2062">
        <f>IF(INDEX(Transactions!$J:$J,ROW()-8)="",TODAY(),INDEX(Transactions!$G:$G,ROW()-8))</f>
      </c>
      <c r="F2062">
        <f>IF(INDEX(Transactions!$J:$J,ROW()-8)="",0,INDEX(Transactions!$O:$O,ROW()-8))</f>
      </c>
    </row>
    <row r="2063" spans="1:7">
      <c r="B2063">
        <f>IF(INDEX(Transactions!$J:$J,ROW()-8)="",TODAY(),INDEX(Transactions!$G:$G,ROW()-8))</f>
      </c>
      <c r="F2063">
        <f>IF(INDEX(Transactions!$J:$J,ROW()-8)="",0,INDEX(Transactions!$O:$O,ROW()-8))</f>
      </c>
    </row>
    <row r="2064" spans="1:7">
      <c r="B2064">
        <f>IF(INDEX(Transactions!$J:$J,ROW()-8)="",TODAY(),INDEX(Transactions!$G:$G,ROW()-8))</f>
      </c>
      <c r="F2064">
        <f>IF(INDEX(Transactions!$J:$J,ROW()-8)="",0,INDEX(Transactions!$O:$O,ROW()-8))</f>
      </c>
    </row>
    <row r="2065" spans="1:7">
      <c r="B2065">
        <f>IF(INDEX(Transactions!$J:$J,ROW()-8)="",TODAY(),INDEX(Transactions!$G:$G,ROW()-8))</f>
      </c>
      <c r="F2065">
        <f>IF(INDEX(Transactions!$J:$J,ROW()-8)="",0,INDEX(Transactions!$O:$O,ROW()-8))</f>
      </c>
    </row>
    <row r="2066" spans="1:7">
      <c r="B2066">
        <f>IF(INDEX(Transactions!$J:$J,ROW()-8)="",TODAY(),INDEX(Transactions!$G:$G,ROW()-8))</f>
      </c>
      <c r="F2066">
        <f>IF(INDEX(Transactions!$J:$J,ROW()-8)="",0,INDEX(Transactions!$O:$O,ROW()-8))</f>
      </c>
    </row>
    <row r="2067" spans="1:7">
      <c r="B2067">
        <f>IF(INDEX(Transactions!$J:$J,ROW()-8)="",TODAY(),INDEX(Transactions!$G:$G,ROW()-8))</f>
      </c>
      <c r="F2067">
        <f>IF(INDEX(Transactions!$J:$J,ROW()-8)="",0,INDEX(Transactions!$O:$O,ROW()-8))</f>
      </c>
    </row>
    <row r="2068" spans="1:7">
      <c r="B2068">
        <f>IF(INDEX(Transactions!$J:$J,ROW()-8)="",TODAY(),INDEX(Transactions!$G:$G,ROW()-8))</f>
      </c>
      <c r="F2068">
        <f>IF(INDEX(Transactions!$J:$J,ROW()-8)="",0,INDEX(Transactions!$O:$O,ROW()-8))</f>
      </c>
    </row>
    <row r="2069" spans="1:7">
      <c r="B2069">
        <f>IF(INDEX(Transactions!$J:$J,ROW()-8)="",TODAY(),INDEX(Transactions!$G:$G,ROW()-8))</f>
      </c>
      <c r="F2069">
        <f>IF(INDEX(Transactions!$J:$J,ROW()-8)="",0,INDEX(Transactions!$O:$O,ROW()-8))</f>
      </c>
    </row>
    <row r="2070" spans="1:7">
      <c r="B2070">
        <f>IF(INDEX(Transactions!$J:$J,ROW()-8)="",TODAY(),INDEX(Transactions!$G:$G,ROW()-8))</f>
      </c>
      <c r="F2070">
        <f>IF(INDEX(Transactions!$J:$J,ROW()-8)="",0,INDEX(Transactions!$O:$O,ROW()-8))</f>
      </c>
    </row>
    <row r="2071" spans="1:7">
      <c r="B2071">
        <f>IF(INDEX(Transactions!$J:$J,ROW()-8)="",TODAY(),INDEX(Transactions!$G:$G,ROW()-8))</f>
      </c>
      <c r="F2071">
        <f>IF(INDEX(Transactions!$J:$J,ROW()-8)="",0,INDEX(Transactions!$O:$O,ROW()-8))</f>
      </c>
    </row>
    <row r="2072" spans="1:7">
      <c r="B2072">
        <f>IF(INDEX(Transactions!$J:$J,ROW()-8)="",TODAY(),INDEX(Transactions!$G:$G,ROW()-8))</f>
      </c>
      <c r="F2072">
        <f>IF(INDEX(Transactions!$J:$J,ROW()-8)="",0,INDEX(Transactions!$O:$O,ROW()-8))</f>
      </c>
    </row>
    <row r="2073" spans="1:7">
      <c r="B2073">
        <f>IF(INDEX(Transactions!$J:$J,ROW()-8)="",TODAY(),INDEX(Transactions!$G:$G,ROW()-8))</f>
      </c>
      <c r="F2073">
        <f>IF(INDEX(Transactions!$J:$J,ROW()-8)="",0,INDEX(Transactions!$O:$O,ROW()-8))</f>
      </c>
    </row>
    <row r="2074" spans="1:7">
      <c r="B2074">
        <f>IF(INDEX(Transactions!$J:$J,ROW()-8)="",TODAY(),INDEX(Transactions!$G:$G,ROW()-8))</f>
      </c>
      <c r="F2074">
        <f>IF(INDEX(Transactions!$J:$J,ROW()-8)="",0,INDEX(Transactions!$O:$O,ROW()-8))</f>
      </c>
    </row>
    <row r="2075" spans="1:7">
      <c r="B2075">
        <f>IF(INDEX(Transactions!$J:$J,ROW()-8)="",TODAY(),INDEX(Transactions!$G:$G,ROW()-8))</f>
      </c>
      <c r="F2075">
        <f>IF(INDEX(Transactions!$J:$J,ROW()-8)="",0,INDEX(Transactions!$O:$O,ROW()-8))</f>
      </c>
    </row>
    <row r="2076" spans="1:7">
      <c r="B2076">
        <f>IF(INDEX(Transactions!$J:$J,ROW()-8)="",TODAY(),INDEX(Transactions!$G:$G,ROW()-8))</f>
      </c>
      <c r="F2076">
        <f>IF(INDEX(Transactions!$J:$J,ROW()-8)="",0,INDEX(Transactions!$O:$O,ROW()-8))</f>
      </c>
    </row>
    <row r="2077" spans="1:7">
      <c r="B2077">
        <f>IF(INDEX(Transactions!$J:$J,ROW()-8)="",TODAY(),INDEX(Transactions!$G:$G,ROW()-8))</f>
      </c>
      <c r="F2077">
        <f>IF(INDEX(Transactions!$J:$J,ROW()-8)="",0,INDEX(Transactions!$O:$O,ROW()-8))</f>
      </c>
    </row>
    <row r="2078" spans="1:7">
      <c r="B2078">
        <f>IF(INDEX(Transactions!$J:$J,ROW()-8)="",TODAY(),INDEX(Transactions!$G:$G,ROW()-8))</f>
      </c>
      <c r="F2078">
        <f>IF(INDEX(Transactions!$J:$J,ROW()-8)="",0,INDEX(Transactions!$O:$O,ROW()-8))</f>
      </c>
    </row>
    <row r="2079" spans="1:7">
      <c r="B2079">
        <f>IF(INDEX(Transactions!$J:$J,ROW()-8)="",TODAY(),INDEX(Transactions!$G:$G,ROW()-8))</f>
      </c>
      <c r="F2079">
        <f>IF(INDEX(Transactions!$J:$J,ROW()-8)="",0,INDEX(Transactions!$O:$O,ROW()-8))</f>
      </c>
    </row>
    <row r="2080" spans="1:7">
      <c r="B2080">
        <f>IF(INDEX(Transactions!$J:$J,ROW()-8)="",TODAY(),INDEX(Transactions!$G:$G,ROW()-8))</f>
      </c>
      <c r="F2080">
        <f>IF(INDEX(Transactions!$J:$J,ROW()-8)="",0,INDEX(Transactions!$O:$O,ROW()-8))</f>
      </c>
    </row>
    <row r="2081" spans="1:7">
      <c r="B2081">
        <f>IF(INDEX(Transactions!$J:$J,ROW()-8)="",TODAY(),INDEX(Transactions!$G:$G,ROW()-8))</f>
      </c>
      <c r="F2081">
        <f>IF(INDEX(Transactions!$J:$J,ROW()-8)="",0,INDEX(Transactions!$O:$O,ROW()-8))</f>
      </c>
    </row>
    <row r="2082" spans="1:7">
      <c r="B2082">
        <f>IF(INDEX(Transactions!$J:$J,ROW()-8)="",TODAY(),INDEX(Transactions!$G:$G,ROW()-8))</f>
      </c>
      <c r="F2082">
        <f>IF(INDEX(Transactions!$J:$J,ROW()-8)="",0,INDEX(Transactions!$O:$O,ROW()-8))</f>
      </c>
    </row>
    <row r="2083" spans="1:7">
      <c r="B2083">
        <f>IF(INDEX(Transactions!$J:$J,ROW()-8)="",TODAY(),INDEX(Transactions!$G:$G,ROW()-8))</f>
      </c>
      <c r="F2083">
        <f>IF(INDEX(Transactions!$J:$J,ROW()-8)="",0,INDEX(Transactions!$O:$O,ROW()-8))</f>
      </c>
    </row>
    <row r="2084" spans="1:7">
      <c r="B2084">
        <f>IF(INDEX(Transactions!$J:$J,ROW()-8)="",TODAY(),INDEX(Transactions!$G:$G,ROW()-8))</f>
      </c>
      <c r="F2084">
        <f>IF(INDEX(Transactions!$J:$J,ROW()-8)="",0,INDEX(Transactions!$O:$O,ROW()-8))</f>
      </c>
    </row>
    <row r="2085" spans="1:7">
      <c r="B2085">
        <f>IF(INDEX(Transactions!$J:$J,ROW()-8)="",TODAY(),INDEX(Transactions!$G:$G,ROW()-8))</f>
      </c>
      <c r="F2085">
        <f>IF(INDEX(Transactions!$J:$J,ROW()-8)="",0,INDEX(Transactions!$O:$O,ROW()-8))</f>
      </c>
    </row>
    <row r="2086" spans="1:7">
      <c r="B2086">
        <f>IF(INDEX(Transactions!$J:$J,ROW()-8)="",TODAY(),INDEX(Transactions!$G:$G,ROW()-8))</f>
      </c>
      <c r="F2086">
        <f>IF(INDEX(Transactions!$J:$J,ROW()-8)="",0,INDEX(Transactions!$O:$O,ROW()-8))</f>
      </c>
    </row>
    <row r="2087" spans="1:7">
      <c r="B2087">
        <f>IF(INDEX(Transactions!$J:$J,ROW()-8)="",TODAY(),INDEX(Transactions!$G:$G,ROW()-8))</f>
      </c>
      <c r="F2087">
        <f>IF(INDEX(Transactions!$J:$J,ROW()-8)="",0,INDEX(Transactions!$O:$O,ROW()-8))</f>
      </c>
    </row>
    <row r="2088" spans="1:7">
      <c r="B2088">
        <f>IF(INDEX(Transactions!$J:$J,ROW()-8)="",TODAY(),INDEX(Transactions!$G:$G,ROW()-8))</f>
      </c>
      <c r="F2088">
        <f>IF(INDEX(Transactions!$J:$J,ROW()-8)="",0,INDEX(Transactions!$O:$O,ROW()-8))</f>
      </c>
    </row>
    <row r="2089" spans="1:7">
      <c r="B2089">
        <f>IF(INDEX(Transactions!$J:$J,ROW()-8)="",TODAY(),INDEX(Transactions!$G:$G,ROW()-8))</f>
      </c>
      <c r="F2089">
        <f>IF(INDEX(Transactions!$J:$J,ROW()-8)="",0,INDEX(Transactions!$O:$O,ROW()-8))</f>
      </c>
    </row>
    <row r="2090" spans="1:7">
      <c r="B2090">
        <f>IF(INDEX(Transactions!$J:$J,ROW()-8)="",TODAY(),INDEX(Transactions!$G:$G,ROW()-8))</f>
      </c>
      <c r="F2090">
        <f>IF(INDEX(Transactions!$J:$J,ROW()-8)="",0,INDEX(Transactions!$O:$O,ROW()-8))</f>
      </c>
    </row>
    <row r="2091" spans="1:7">
      <c r="B2091">
        <f>IF(INDEX(Transactions!$J:$J,ROW()-8)="",TODAY(),INDEX(Transactions!$G:$G,ROW()-8))</f>
      </c>
      <c r="F2091">
        <f>IF(INDEX(Transactions!$J:$J,ROW()-8)="",0,INDEX(Transactions!$O:$O,ROW()-8))</f>
      </c>
    </row>
    <row r="2092" spans="1:7">
      <c r="B2092">
        <f>IF(INDEX(Transactions!$J:$J,ROW()-8)="",TODAY(),INDEX(Transactions!$G:$G,ROW()-8))</f>
      </c>
      <c r="F2092">
        <f>IF(INDEX(Transactions!$J:$J,ROW()-8)="",0,INDEX(Transactions!$O:$O,ROW()-8))</f>
      </c>
    </row>
    <row r="2093" spans="1:7">
      <c r="B2093">
        <f>IF(INDEX(Transactions!$J:$J,ROW()-8)="",TODAY(),INDEX(Transactions!$G:$G,ROW()-8))</f>
      </c>
      <c r="F2093">
        <f>IF(INDEX(Transactions!$J:$J,ROW()-8)="",0,INDEX(Transactions!$O:$O,ROW()-8))</f>
      </c>
    </row>
    <row r="2094" spans="1:7">
      <c r="B2094">
        <f>IF(INDEX(Transactions!$J:$J,ROW()-8)="",TODAY(),INDEX(Transactions!$G:$G,ROW()-8))</f>
      </c>
      <c r="F2094">
        <f>IF(INDEX(Transactions!$J:$J,ROW()-8)="",0,INDEX(Transactions!$O:$O,ROW()-8))</f>
      </c>
    </row>
    <row r="2095" spans="1:7">
      <c r="B2095">
        <f>IF(INDEX(Transactions!$J:$J,ROW()-8)="",TODAY(),INDEX(Transactions!$G:$G,ROW()-8))</f>
      </c>
      <c r="F2095">
        <f>IF(INDEX(Transactions!$J:$J,ROW()-8)="",0,INDEX(Transactions!$O:$O,ROW()-8))</f>
      </c>
    </row>
    <row r="2096" spans="1:7">
      <c r="B2096">
        <f>IF(INDEX(Transactions!$J:$J,ROW()-8)="",TODAY(),INDEX(Transactions!$G:$G,ROW()-8))</f>
      </c>
      <c r="F2096">
        <f>IF(INDEX(Transactions!$J:$J,ROW()-8)="",0,INDEX(Transactions!$O:$O,ROW()-8))</f>
      </c>
    </row>
    <row r="2097" spans="1:7">
      <c r="B2097">
        <f>IF(INDEX(Transactions!$J:$J,ROW()-8)="",TODAY(),INDEX(Transactions!$G:$G,ROW()-8))</f>
      </c>
      <c r="F2097">
        <f>IF(INDEX(Transactions!$J:$J,ROW()-8)="",0,INDEX(Transactions!$O:$O,ROW()-8))</f>
      </c>
    </row>
    <row r="2098" spans="1:7">
      <c r="B2098">
        <f>IF(INDEX(Transactions!$J:$J,ROW()-8)="",TODAY(),INDEX(Transactions!$G:$G,ROW()-8))</f>
      </c>
      <c r="F2098">
        <f>IF(INDEX(Transactions!$J:$J,ROW()-8)="",0,INDEX(Transactions!$O:$O,ROW()-8))</f>
      </c>
    </row>
    <row r="2099" spans="1:7">
      <c r="B2099">
        <f>IF(INDEX(Transactions!$J:$J,ROW()-8)="",TODAY(),INDEX(Transactions!$G:$G,ROW()-8))</f>
      </c>
      <c r="F2099">
        <f>IF(INDEX(Transactions!$J:$J,ROW()-8)="",0,INDEX(Transactions!$O:$O,ROW()-8))</f>
      </c>
    </row>
    <row r="2100" spans="1:7">
      <c r="B2100">
        <f>IF(INDEX(Transactions!$J:$J,ROW()-8)="",TODAY(),INDEX(Transactions!$G:$G,ROW()-8))</f>
      </c>
      <c r="F2100">
        <f>IF(INDEX(Transactions!$J:$J,ROW()-8)="",0,INDEX(Transactions!$O:$O,ROW()-8))</f>
      </c>
    </row>
    <row r="2101" spans="1:7">
      <c r="B2101">
        <f>IF(INDEX(Transactions!$J:$J,ROW()-8)="",TODAY(),INDEX(Transactions!$G:$G,ROW()-8))</f>
      </c>
      <c r="F2101">
        <f>IF(INDEX(Transactions!$J:$J,ROW()-8)="",0,INDEX(Transactions!$O:$O,ROW()-8))</f>
      </c>
    </row>
    <row r="2102" spans="1:7">
      <c r="B2102">
        <f>IF(INDEX(Transactions!$J:$J,ROW()-8)="",TODAY(),INDEX(Transactions!$G:$G,ROW()-8))</f>
      </c>
      <c r="F2102">
        <f>IF(INDEX(Transactions!$J:$J,ROW()-8)="",0,INDEX(Transactions!$O:$O,ROW()-8))</f>
      </c>
    </row>
    <row r="2103" spans="1:7">
      <c r="B2103">
        <f>IF(INDEX(Transactions!$J:$J,ROW()-8)="",TODAY(),INDEX(Transactions!$G:$G,ROW()-8))</f>
      </c>
      <c r="F2103">
        <f>IF(INDEX(Transactions!$J:$J,ROW()-8)="",0,INDEX(Transactions!$O:$O,ROW()-8))</f>
      </c>
    </row>
    <row r="2104" spans="1:7">
      <c r="B2104">
        <f>IF(INDEX(Transactions!$J:$J,ROW()-8)="",TODAY(),INDEX(Transactions!$G:$G,ROW()-8))</f>
      </c>
      <c r="F2104">
        <f>IF(INDEX(Transactions!$J:$J,ROW()-8)="",0,INDEX(Transactions!$O:$O,ROW()-8))</f>
      </c>
    </row>
    <row r="2105" spans="1:7">
      <c r="B2105">
        <f>IF(INDEX(Transactions!$J:$J,ROW()-8)="",TODAY(),INDEX(Transactions!$G:$G,ROW()-8))</f>
      </c>
      <c r="F2105">
        <f>IF(INDEX(Transactions!$J:$J,ROW()-8)="",0,INDEX(Transactions!$O:$O,ROW()-8))</f>
      </c>
    </row>
    <row r="2106" spans="1:7">
      <c r="B2106">
        <f>IF(INDEX(Transactions!$J:$J,ROW()-8)="",TODAY(),INDEX(Transactions!$G:$G,ROW()-8))</f>
      </c>
      <c r="F2106">
        <f>IF(INDEX(Transactions!$J:$J,ROW()-8)="",0,INDEX(Transactions!$O:$O,ROW()-8))</f>
      </c>
    </row>
    <row r="2107" spans="1:7">
      <c r="B2107">
        <f>IF(INDEX(Transactions!$J:$J,ROW()-8)="",TODAY(),INDEX(Transactions!$G:$G,ROW()-8))</f>
      </c>
      <c r="F2107">
        <f>IF(INDEX(Transactions!$J:$J,ROW()-8)="",0,INDEX(Transactions!$O:$O,ROW()-8))</f>
      </c>
    </row>
    <row r="2108" spans="1:7">
      <c r="B2108">
        <f>IF(INDEX(Transactions!$J:$J,ROW()-8)="",TODAY(),INDEX(Transactions!$G:$G,ROW()-8))</f>
      </c>
      <c r="F2108">
        <f>IF(INDEX(Transactions!$J:$J,ROW()-8)="",0,INDEX(Transactions!$O:$O,ROW()-8))</f>
      </c>
    </row>
    <row r="2109" spans="1:7">
      <c r="B2109">
        <f>IF(INDEX(Transactions!$J:$J,ROW()-8)="",TODAY(),INDEX(Transactions!$G:$G,ROW()-8))</f>
      </c>
      <c r="F2109">
        <f>IF(INDEX(Transactions!$J:$J,ROW()-8)="",0,INDEX(Transactions!$O:$O,ROW()-8))</f>
      </c>
    </row>
    <row r="2110" spans="1:7">
      <c r="B2110">
        <f>IF(INDEX(Transactions!$J:$J,ROW()-8)="",TODAY(),INDEX(Transactions!$G:$G,ROW()-8))</f>
      </c>
      <c r="F2110">
        <f>IF(INDEX(Transactions!$J:$J,ROW()-8)="",0,INDEX(Transactions!$O:$O,ROW()-8))</f>
      </c>
    </row>
    <row r="2111" spans="1:7">
      <c r="B2111">
        <f>IF(INDEX(Transactions!$J:$J,ROW()-8)="",TODAY(),INDEX(Transactions!$G:$G,ROW()-8))</f>
      </c>
      <c r="F2111">
        <f>IF(INDEX(Transactions!$J:$J,ROW()-8)="",0,INDEX(Transactions!$O:$O,ROW()-8))</f>
      </c>
    </row>
    <row r="2112" spans="1:7">
      <c r="B2112">
        <f>IF(INDEX(Transactions!$J:$J,ROW()-8)="",TODAY(),INDEX(Transactions!$G:$G,ROW()-8))</f>
      </c>
      <c r="F2112">
        <f>IF(INDEX(Transactions!$J:$J,ROW()-8)="",0,INDEX(Transactions!$O:$O,ROW()-8))</f>
      </c>
    </row>
    <row r="2113" spans="1:7">
      <c r="B2113">
        <f>IF(INDEX(Transactions!$J:$J,ROW()-8)="",TODAY(),INDEX(Transactions!$G:$G,ROW()-8))</f>
      </c>
      <c r="F2113">
        <f>IF(INDEX(Transactions!$J:$J,ROW()-8)="",0,INDEX(Transactions!$O:$O,ROW()-8))</f>
      </c>
    </row>
    <row r="2114" spans="1:7">
      <c r="B2114">
        <f>IF(INDEX(Transactions!$J:$J,ROW()-8)="",TODAY(),INDEX(Transactions!$G:$G,ROW()-8))</f>
      </c>
      <c r="F2114">
        <f>IF(INDEX(Transactions!$J:$J,ROW()-8)="",0,INDEX(Transactions!$O:$O,ROW()-8))</f>
      </c>
    </row>
    <row r="2115" spans="1:7">
      <c r="B2115">
        <f>IF(INDEX(Transactions!$J:$J,ROW()-8)="",TODAY(),INDEX(Transactions!$G:$G,ROW()-8))</f>
      </c>
      <c r="F2115">
        <f>IF(INDEX(Transactions!$J:$J,ROW()-8)="",0,INDEX(Transactions!$O:$O,ROW()-8))</f>
      </c>
    </row>
    <row r="2116" spans="1:7">
      <c r="B2116">
        <f>IF(INDEX(Transactions!$J:$J,ROW()-8)="",TODAY(),INDEX(Transactions!$G:$G,ROW()-8))</f>
      </c>
      <c r="F2116">
        <f>IF(INDEX(Transactions!$J:$J,ROW()-8)="",0,INDEX(Transactions!$O:$O,ROW()-8))</f>
      </c>
    </row>
    <row r="2117" spans="1:7">
      <c r="B2117">
        <f>IF(INDEX(Transactions!$J:$J,ROW()-8)="",TODAY(),INDEX(Transactions!$G:$G,ROW()-8))</f>
      </c>
      <c r="F2117">
        <f>IF(INDEX(Transactions!$J:$J,ROW()-8)="",0,INDEX(Transactions!$O:$O,ROW()-8))</f>
      </c>
    </row>
    <row r="2118" spans="1:7">
      <c r="B2118">
        <f>IF(INDEX(Transactions!$J:$J,ROW()-8)="",TODAY(),INDEX(Transactions!$G:$G,ROW()-8))</f>
      </c>
      <c r="F2118">
        <f>IF(INDEX(Transactions!$J:$J,ROW()-8)="",0,INDEX(Transactions!$O:$O,ROW()-8))</f>
      </c>
    </row>
    <row r="2119" spans="1:7">
      <c r="B2119">
        <f>IF(INDEX(Transactions!$J:$J,ROW()-8)="",TODAY(),INDEX(Transactions!$G:$G,ROW()-8))</f>
      </c>
      <c r="F2119">
        <f>IF(INDEX(Transactions!$J:$J,ROW()-8)="",0,INDEX(Transactions!$O:$O,ROW()-8))</f>
      </c>
    </row>
    <row r="2120" spans="1:7">
      <c r="B2120">
        <f>IF(INDEX(Transactions!$J:$J,ROW()-8)="",TODAY(),INDEX(Transactions!$G:$G,ROW()-8))</f>
      </c>
      <c r="F2120">
        <f>IF(INDEX(Transactions!$J:$J,ROW()-8)="",0,INDEX(Transactions!$O:$O,ROW()-8))</f>
      </c>
    </row>
    <row r="2121" spans="1:7">
      <c r="B2121">
        <f>IF(INDEX(Transactions!$J:$J,ROW()-8)="",TODAY(),INDEX(Transactions!$G:$G,ROW()-8))</f>
      </c>
      <c r="F2121">
        <f>IF(INDEX(Transactions!$J:$J,ROW()-8)="",0,INDEX(Transactions!$O:$O,ROW()-8))</f>
      </c>
    </row>
    <row r="2122" spans="1:7">
      <c r="B2122">
        <f>IF(INDEX(Transactions!$J:$J,ROW()-8)="",TODAY(),INDEX(Transactions!$G:$G,ROW()-8))</f>
      </c>
      <c r="F2122">
        <f>IF(INDEX(Transactions!$J:$J,ROW()-8)="",0,INDEX(Transactions!$O:$O,ROW()-8))</f>
      </c>
    </row>
    <row r="2123" spans="1:7">
      <c r="B2123">
        <f>IF(INDEX(Transactions!$J:$J,ROW()-8)="",TODAY(),INDEX(Transactions!$G:$G,ROW()-8))</f>
      </c>
      <c r="F2123">
        <f>IF(INDEX(Transactions!$J:$J,ROW()-8)="",0,INDEX(Transactions!$O:$O,ROW()-8))</f>
      </c>
    </row>
    <row r="2124" spans="1:7">
      <c r="B2124">
        <f>IF(INDEX(Transactions!$J:$J,ROW()-8)="",TODAY(),INDEX(Transactions!$G:$G,ROW()-8))</f>
      </c>
      <c r="F2124">
        <f>IF(INDEX(Transactions!$J:$J,ROW()-8)="",0,INDEX(Transactions!$O:$O,ROW()-8))</f>
      </c>
    </row>
    <row r="2125" spans="1:7">
      <c r="B2125">
        <f>IF(INDEX(Transactions!$J:$J,ROW()-8)="",TODAY(),INDEX(Transactions!$G:$G,ROW()-8))</f>
      </c>
      <c r="F2125">
        <f>IF(INDEX(Transactions!$J:$J,ROW()-8)="",0,INDEX(Transactions!$O:$O,ROW()-8))</f>
      </c>
    </row>
    <row r="2126" spans="1:7">
      <c r="B2126">
        <f>IF(INDEX(Transactions!$J:$J,ROW()-8)="",TODAY(),INDEX(Transactions!$G:$G,ROW()-8))</f>
      </c>
      <c r="F2126">
        <f>IF(INDEX(Transactions!$J:$J,ROW()-8)="",0,INDEX(Transactions!$O:$O,ROW()-8))</f>
      </c>
    </row>
    <row r="2127" spans="1:7">
      <c r="B2127">
        <f>IF(INDEX(Transactions!$J:$J,ROW()-8)="",TODAY(),INDEX(Transactions!$G:$G,ROW()-8))</f>
      </c>
      <c r="F2127">
        <f>IF(INDEX(Transactions!$J:$J,ROW()-8)="",0,INDEX(Transactions!$O:$O,ROW()-8))</f>
      </c>
    </row>
    <row r="2128" spans="1:7">
      <c r="B2128">
        <f>IF(INDEX(Transactions!$J:$J,ROW()-8)="",TODAY(),INDEX(Transactions!$G:$G,ROW()-8))</f>
      </c>
      <c r="F2128">
        <f>IF(INDEX(Transactions!$J:$J,ROW()-8)="",0,INDEX(Transactions!$O:$O,ROW()-8))</f>
      </c>
    </row>
    <row r="2129" spans="1:7">
      <c r="B2129">
        <f>IF(INDEX(Transactions!$J:$J,ROW()-8)="",TODAY(),INDEX(Transactions!$G:$G,ROW()-8))</f>
      </c>
      <c r="F2129">
        <f>IF(INDEX(Transactions!$J:$J,ROW()-8)="",0,INDEX(Transactions!$O:$O,ROW()-8))</f>
      </c>
    </row>
    <row r="2130" spans="1:7">
      <c r="B2130">
        <f>IF(INDEX(Transactions!$J:$J,ROW()-8)="",TODAY(),INDEX(Transactions!$G:$G,ROW()-8))</f>
      </c>
      <c r="F2130">
        <f>IF(INDEX(Transactions!$J:$J,ROW()-8)="",0,INDEX(Transactions!$O:$O,ROW()-8))</f>
      </c>
    </row>
    <row r="2131" spans="1:7">
      <c r="B2131">
        <f>IF(INDEX(Transactions!$J:$J,ROW()-8)="",TODAY(),INDEX(Transactions!$G:$G,ROW()-8))</f>
      </c>
      <c r="F2131">
        <f>IF(INDEX(Transactions!$J:$J,ROW()-8)="",0,INDEX(Transactions!$O:$O,ROW()-8))</f>
      </c>
    </row>
    <row r="2132" spans="1:7">
      <c r="B2132">
        <f>IF(INDEX(Transactions!$J:$J,ROW()-8)="",TODAY(),INDEX(Transactions!$G:$G,ROW()-8))</f>
      </c>
      <c r="F2132">
        <f>IF(INDEX(Transactions!$J:$J,ROW()-8)="",0,INDEX(Transactions!$O:$O,ROW()-8))</f>
      </c>
    </row>
    <row r="2133" spans="1:7">
      <c r="B2133">
        <f>IF(INDEX(Transactions!$J:$J,ROW()-8)="",TODAY(),INDEX(Transactions!$G:$G,ROW()-8))</f>
      </c>
      <c r="F2133">
        <f>IF(INDEX(Transactions!$J:$J,ROW()-8)="",0,INDEX(Transactions!$O:$O,ROW()-8))</f>
      </c>
    </row>
    <row r="2134" spans="1:7">
      <c r="B2134">
        <f>IF(INDEX(Transactions!$J:$J,ROW()-8)="",TODAY(),INDEX(Transactions!$G:$G,ROW()-8))</f>
      </c>
      <c r="F2134">
        <f>IF(INDEX(Transactions!$J:$J,ROW()-8)="",0,INDEX(Transactions!$O:$O,ROW()-8))</f>
      </c>
    </row>
    <row r="2135" spans="1:7">
      <c r="B2135">
        <f>IF(INDEX(Transactions!$J:$J,ROW()-8)="",TODAY(),INDEX(Transactions!$G:$G,ROW()-8))</f>
      </c>
      <c r="F2135">
        <f>IF(INDEX(Transactions!$J:$J,ROW()-8)="",0,INDEX(Transactions!$O:$O,ROW()-8))</f>
      </c>
    </row>
    <row r="2136" spans="1:7">
      <c r="B2136">
        <f>IF(INDEX(Transactions!$J:$J,ROW()-8)="",TODAY(),INDEX(Transactions!$G:$G,ROW()-8))</f>
      </c>
      <c r="F2136">
        <f>IF(INDEX(Transactions!$J:$J,ROW()-8)="",0,INDEX(Transactions!$O:$O,ROW()-8))</f>
      </c>
    </row>
    <row r="2137" spans="1:7">
      <c r="B2137">
        <f>IF(INDEX(Transactions!$J:$J,ROW()-8)="",TODAY(),INDEX(Transactions!$G:$G,ROW()-8))</f>
      </c>
      <c r="F2137">
        <f>IF(INDEX(Transactions!$J:$J,ROW()-8)="",0,INDEX(Transactions!$O:$O,ROW()-8))</f>
      </c>
    </row>
    <row r="2138" spans="1:7">
      <c r="B2138">
        <f>IF(INDEX(Transactions!$J:$J,ROW()-8)="",TODAY(),INDEX(Transactions!$G:$G,ROW()-8))</f>
      </c>
      <c r="F2138">
        <f>IF(INDEX(Transactions!$J:$J,ROW()-8)="",0,INDEX(Transactions!$O:$O,ROW()-8))</f>
      </c>
    </row>
    <row r="2139" spans="1:7">
      <c r="B2139">
        <f>IF(INDEX(Transactions!$J:$J,ROW()-8)="",TODAY(),INDEX(Transactions!$G:$G,ROW()-8))</f>
      </c>
      <c r="F2139">
        <f>IF(INDEX(Transactions!$J:$J,ROW()-8)="",0,INDEX(Transactions!$O:$O,ROW()-8))</f>
      </c>
    </row>
    <row r="2140" spans="1:7">
      <c r="B2140">
        <f>IF(INDEX(Transactions!$J:$J,ROW()-8)="",TODAY(),INDEX(Transactions!$G:$G,ROW()-8))</f>
      </c>
      <c r="F2140">
        <f>IF(INDEX(Transactions!$J:$J,ROW()-8)="",0,INDEX(Transactions!$O:$O,ROW()-8))</f>
      </c>
    </row>
    <row r="2141" spans="1:7">
      <c r="B2141">
        <f>IF(INDEX(Transactions!$J:$J,ROW()-8)="",TODAY(),INDEX(Transactions!$G:$G,ROW()-8))</f>
      </c>
      <c r="F2141">
        <f>IF(INDEX(Transactions!$J:$J,ROW()-8)="",0,INDEX(Transactions!$O:$O,ROW()-8))</f>
      </c>
    </row>
    <row r="2142" spans="1:7">
      <c r="B2142">
        <f>IF(INDEX(Transactions!$J:$J,ROW()-8)="",TODAY(),INDEX(Transactions!$G:$G,ROW()-8))</f>
      </c>
      <c r="F2142">
        <f>IF(INDEX(Transactions!$J:$J,ROW()-8)="",0,INDEX(Transactions!$O:$O,ROW()-8))</f>
      </c>
    </row>
    <row r="2143" spans="1:7">
      <c r="B2143">
        <f>IF(INDEX(Transactions!$J:$J,ROW()-8)="",TODAY(),INDEX(Transactions!$G:$G,ROW()-8))</f>
      </c>
      <c r="F2143">
        <f>IF(INDEX(Transactions!$J:$J,ROW()-8)="",0,INDEX(Transactions!$O:$O,ROW()-8))</f>
      </c>
    </row>
    <row r="2144" spans="1:7">
      <c r="B2144">
        <f>IF(INDEX(Transactions!$J:$J,ROW()-8)="",TODAY(),INDEX(Transactions!$G:$G,ROW()-8))</f>
      </c>
      <c r="F2144">
        <f>IF(INDEX(Transactions!$J:$J,ROW()-8)="",0,INDEX(Transactions!$O:$O,ROW()-8))</f>
      </c>
    </row>
    <row r="2145" spans="1:7">
      <c r="B2145">
        <f>IF(INDEX(Transactions!$J:$J,ROW()-8)="",TODAY(),INDEX(Transactions!$G:$G,ROW()-8))</f>
      </c>
      <c r="F2145">
        <f>IF(INDEX(Transactions!$J:$J,ROW()-8)="",0,INDEX(Transactions!$O:$O,ROW()-8))</f>
      </c>
    </row>
    <row r="2146" spans="1:7">
      <c r="B2146">
        <f>IF(INDEX(Transactions!$J:$J,ROW()-8)="",TODAY(),INDEX(Transactions!$G:$G,ROW()-8))</f>
      </c>
      <c r="F2146">
        <f>IF(INDEX(Transactions!$J:$J,ROW()-8)="",0,INDEX(Transactions!$O:$O,ROW()-8))</f>
      </c>
    </row>
    <row r="2147" spans="1:7">
      <c r="B2147">
        <f>IF(INDEX(Transactions!$J:$J,ROW()-8)="",TODAY(),INDEX(Transactions!$G:$G,ROW()-8))</f>
      </c>
      <c r="F2147">
        <f>IF(INDEX(Transactions!$J:$J,ROW()-8)="",0,INDEX(Transactions!$O:$O,ROW()-8))</f>
      </c>
    </row>
    <row r="2148" spans="1:7">
      <c r="B2148">
        <f>IF(INDEX(Transactions!$J:$J,ROW()-8)="",TODAY(),INDEX(Transactions!$G:$G,ROW()-8))</f>
      </c>
      <c r="F2148">
        <f>IF(INDEX(Transactions!$J:$J,ROW()-8)="",0,INDEX(Transactions!$O:$O,ROW()-8))</f>
      </c>
    </row>
    <row r="2149" spans="1:7">
      <c r="B2149">
        <f>IF(INDEX(Transactions!$J:$J,ROW()-8)="",TODAY(),INDEX(Transactions!$G:$G,ROW()-8))</f>
      </c>
      <c r="F2149">
        <f>IF(INDEX(Transactions!$J:$J,ROW()-8)="",0,INDEX(Transactions!$O:$O,ROW()-8))</f>
      </c>
    </row>
    <row r="2150" spans="1:7">
      <c r="B2150">
        <f>IF(INDEX(Transactions!$J:$J,ROW()-8)="",TODAY(),INDEX(Transactions!$G:$G,ROW()-8))</f>
      </c>
      <c r="F2150">
        <f>IF(INDEX(Transactions!$J:$J,ROW()-8)="",0,INDEX(Transactions!$O:$O,ROW()-8))</f>
      </c>
    </row>
    <row r="2151" spans="1:7">
      <c r="B2151">
        <f>IF(INDEX(Transactions!$J:$J,ROW()-8)="",TODAY(),INDEX(Transactions!$G:$G,ROW()-8))</f>
      </c>
      <c r="F2151">
        <f>IF(INDEX(Transactions!$J:$J,ROW()-8)="",0,INDEX(Transactions!$O:$O,ROW()-8))</f>
      </c>
    </row>
    <row r="2152" spans="1:7">
      <c r="B2152">
        <f>IF(INDEX(Transactions!$J:$J,ROW()-8)="",TODAY(),INDEX(Transactions!$G:$G,ROW()-8))</f>
      </c>
      <c r="F2152">
        <f>IF(INDEX(Transactions!$J:$J,ROW()-8)="",0,INDEX(Transactions!$O:$O,ROW()-8))</f>
      </c>
    </row>
    <row r="2153" spans="1:7">
      <c r="B2153">
        <f>IF(INDEX(Transactions!$J:$J,ROW()-8)="",TODAY(),INDEX(Transactions!$G:$G,ROW()-8))</f>
      </c>
      <c r="F2153">
        <f>IF(INDEX(Transactions!$J:$J,ROW()-8)="",0,INDEX(Transactions!$O:$O,ROW()-8))</f>
      </c>
    </row>
    <row r="2154" spans="1:7">
      <c r="B2154">
        <f>IF(INDEX(Transactions!$J:$J,ROW()-8)="",TODAY(),INDEX(Transactions!$G:$G,ROW()-8))</f>
      </c>
      <c r="F2154">
        <f>IF(INDEX(Transactions!$J:$J,ROW()-8)="",0,INDEX(Transactions!$O:$O,ROW()-8))</f>
      </c>
    </row>
    <row r="2155" spans="1:7">
      <c r="B2155">
        <f>IF(INDEX(Transactions!$J:$J,ROW()-8)="",TODAY(),INDEX(Transactions!$G:$G,ROW()-8))</f>
      </c>
      <c r="F2155">
        <f>IF(INDEX(Transactions!$J:$J,ROW()-8)="",0,INDEX(Transactions!$O:$O,ROW()-8))</f>
      </c>
    </row>
    <row r="2156" spans="1:7">
      <c r="B2156">
        <f>IF(INDEX(Transactions!$J:$J,ROW()-8)="",TODAY(),INDEX(Transactions!$G:$G,ROW()-8))</f>
      </c>
      <c r="F2156">
        <f>IF(INDEX(Transactions!$J:$J,ROW()-8)="",0,INDEX(Transactions!$O:$O,ROW()-8))</f>
      </c>
    </row>
    <row r="2157" spans="1:7">
      <c r="B2157">
        <f>IF(INDEX(Transactions!$J:$J,ROW()-8)="",TODAY(),INDEX(Transactions!$G:$G,ROW()-8))</f>
      </c>
      <c r="F2157">
        <f>IF(INDEX(Transactions!$J:$J,ROW()-8)="",0,INDEX(Transactions!$O:$O,ROW()-8))</f>
      </c>
    </row>
    <row r="2158" spans="1:7">
      <c r="B2158">
        <f>IF(INDEX(Transactions!$J:$J,ROW()-8)="",TODAY(),INDEX(Transactions!$G:$G,ROW()-8))</f>
      </c>
      <c r="F2158">
        <f>IF(INDEX(Transactions!$J:$J,ROW()-8)="",0,INDEX(Transactions!$O:$O,ROW()-8))</f>
      </c>
    </row>
    <row r="2159" spans="1:7">
      <c r="B2159">
        <f>IF(INDEX(Transactions!$J:$J,ROW()-8)="",TODAY(),INDEX(Transactions!$G:$G,ROW()-8))</f>
      </c>
      <c r="F2159">
        <f>IF(INDEX(Transactions!$J:$J,ROW()-8)="",0,INDEX(Transactions!$O:$O,ROW()-8))</f>
      </c>
    </row>
    <row r="2160" spans="1:7">
      <c r="B2160">
        <f>IF(INDEX(Transactions!$J:$J,ROW()-8)="",TODAY(),INDEX(Transactions!$G:$G,ROW()-8))</f>
      </c>
      <c r="F2160">
        <f>IF(INDEX(Transactions!$J:$J,ROW()-8)="",0,INDEX(Transactions!$O:$O,ROW()-8))</f>
      </c>
    </row>
    <row r="2161" spans="1:7">
      <c r="B2161">
        <f>IF(INDEX(Transactions!$J:$J,ROW()-8)="",TODAY(),INDEX(Transactions!$G:$G,ROW()-8))</f>
      </c>
      <c r="F2161">
        <f>IF(INDEX(Transactions!$J:$J,ROW()-8)="",0,INDEX(Transactions!$O:$O,ROW()-8))</f>
      </c>
    </row>
    <row r="2162" spans="1:7">
      <c r="B2162">
        <f>IF(INDEX(Transactions!$J:$J,ROW()-8)="",TODAY(),INDEX(Transactions!$G:$G,ROW()-8))</f>
      </c>
      <c r="F2162">
        <f>IF(INDEX(Transactions!$J:$J,ROW()-8)="",0,INDEX(Transactions!$O:$O,ROW()-8))</f>
      </c>
    </row>
    <row r="2163" spans="1:7">
      <c r="B2163">
        <f>IF(INDEX(Transactions!$J:$J,ROW()-8)="",TODAY(),INDEX(Transactions!$G:$G,ROW()-8))</f>
      </c>
      <c r="F2163">
        <f>IF(INDEX(Transactions!$J:$J,ROW()-8)="",0,INDEX(Transactions!$O:$O,ROW()-8))</f>
      </c>
    </row>
    <row r="2164" spans="1:7">
      <c r="B2164">
        <f>IF(INDEX(Transactions!$J:$J,ROW()-8)="",TODAY(),INDEX(Transactions!$G:$G,ROW()-8))</f>
      </c>
      <c r="F2164">
        <f>IF(INDEX(Transactions!$J:$J,ROW()-8)="",0,INDEX(Transactions!$O:$O,ROW()-8))</f>
      </c>
    </row>
    <row r="2165" spans="1:7">
      <c r="B2165">
        <f>IF(INDEX(Transactions!$J:$J,ROW()-8)="",TODAY(),INDEX(Transactions!$G:$G,ROW()-8))</f>
      </c>
      <c r="F2165">
        <f>IF(INDEX(Transactions!$J:$J,ROW()-8)="",0,INDEX(Transactions!$O:$O,ROW()-8))</f>
      </c>
    </row>
    <row r="2166" spans="1:7">
      <c r="B2166">
        <f>IF(INDEX(Transactions!$J:$J,ROW()-8)="",TODAY(),INDEX(Transactions!$G:$G,ROW()-8))</f>
      </c>
      <c r="F2166">
        <f>IF(INDEX(Transactions!$J:$J,ROW()-8)="",0,INDEX(Transactions!$O:$O,ROW()-8))</f>
      </c>
    </row>
    <row r="2167" spans="1:7">
      <c r="B2167">
        <f>IF(INDEX(Transactions!$J:$J,ROW()-8)="",TODAY(),INDEX(Transactions!$G:$G,ROW()-8))</f>
      </c>
      <c r="F2167">
        <f>IF(INDEX(Transactions!$J:$J,ROW()-8)="",0,INDEX(Transactions!$O:$O,ROW()-8))</f>
      </c>
    </row>
    <row r="2168" spans="1:7">
      <c r="B2168">
        <f>IF(INDEX(Transactions!$J:$J,ROW()-8)="",TODAY(),INDEX(Transactions!$G:$G,ROW()-8))</f>
      </c>
      <c r="F2168">
        <f>IF(INDEX(Transactions!$J:$J,ROW()-8)="",0,INDEX(Transactions!$O:$O,ROW()-8))</f>
      </c>
    </row>
    <row r="2169" spans="1:7">
      <c r="B2169">
        <f>IF(INDEX(Transactions!$J:$J,ROW()-8)="",TODAY(),INDEX(Transactions!$G:$G,ROW()-8))</f>
      </c>
      <c r="F2169">
        <f>IF(INDEX(Transactions!$J:$J,ROW()-8)="",0,INDEX(Transactions!$O:$O,ROW()-8))</f>
      </c>
    </row>
    <row r="2170" spans="1:7">
      <c r="B2170">
        <f>IF(INDEX(Transactions!$J:$J,ROW()-8)="",TODAY(),INDEX(Transactions!$G:$G,ROW()-8))</f>
      </c>
      <c r="F2170">
        <f>IF(INDEX(Transactions!$J:$J,ROW()-8)="",0,INDEX(Transactions!$O:$O,ROW()-8))</f>
      </c>
    </row>
    <row r="2171" spans="1:7">
      <c r="B2171">
        <f>IF(INDEX(Transactions!$J:$J,ROW()-8)="",TODAY(),INDEX(Transactions!$G:$G,ROW()-8))</f>
      </c>
      <c r="F2171">
        <f>IF(INDEX(Transactions!$J:$J,ROW()-8)="",0,INDEX(Transactions!$O:$O,ROW()-8))</f>
      </c>
    </row>
    <row r="2172" spans="1:7">
      <c r="B2172">
        <f>IF(INDEX(Transactions!$J:$J,ROW()-8)="",TODAY(),INDEX(Transactions!$G:$G,ROW()-8))</f>
      </c>
      <c r="F2172">
        <f>IF(INDEX(Transactions!$J:$J,ROW()-8)="",0,INDEX(Transactions!$O:$O,ROW()-8))</f>
      </c>
    </row>
    <row r="2173" spans="1:7">
      <c r="B2173">
        <f>IF(INDEX(Transactions!$J:$J,ROW()-8)="",TODAY(),INDEX(Transactions!$G:$G,ROW()-8))</f>
      </c>
      <c r="F2173">
        <f>IF(INDEX(Transactions!$J:$J,ROW()-8)="",0,INDEX(Transactions!$O:$O,ROW()-8))</f>
      </c>
    </row>
    <row r="2174" spans="1:7">
      <c r="B2174">
        <f>IF(INDEX(Transactions!$J:$J,ROW()-8)="",TODAY(),INDEX(Transactions!$G:$G,ROW()-8))</f>
      </c>
      <c r="F2174">
        <f>IF(INDEX(Transactions!$J:$J,ROW()-8)="",0,INDEX(Transactions!$O:$O,ROW()-8))</f>
      </c>
    </row>
    <row r="2175" spans="1:7">
      <c r="B2175">
        <f>IF(INDEX(Transactions!$J:$J,ROW()-8)="",TODAY(),INDEX(Transactions!$G:$G,ROW()-8))</f>
      </c>
      <c r="F2175">
        <f>IF(INDEX(Transactions!$J:$J,ROW()-8)="",0,INDEX(Transactions!$O:$O,ROW()-8))</f>
      </c>
    </row>
    <row r="2176" spans="1:7">
      <c r="B2176">
        <f>IF(INDEX(Transactions!$J:$J,ROW()-8)="",TODAY(),INDEX(Transactions!$G:$G,ROW()-8))</f>
      </c>
      <c r="F2176">
        <f>IF(INDEX(Transactions!$J:$J,ROW()-8)="",0,INDEX(Transactions!$O:$O,ROW()-8))</f>
      </c>
    </row>
    <row r="2177" spans="1:7">
      <c r="B2177">
        <f>IF(INDEX(Transactions!$J:$J,ROW()-8)="",TODAY(),INDEX(Transactions!$G:$G,ROW()-8))</f>
      </c>
      <c r="F2177">
        <f>IF(INDEX(Transactions!$J:$J,ROW()-8)="",0,INDEX(Transactions!$O:$O,ROW()-8))</f>
      </c>
    </row>
    <row r="2178" spans="1:7">
      <c r="B2178">
        <f>IF(INDEX(Transactions!$J:$J,ROW()-8)="",TODAY(),INDEX(Transactions!$G:$G,ROW()-8))</f>
      </c>
      <c r="F2178">
        <f>IF(INDEX(Transactions!$J:$J,ROW()-8)="",0,INDEX(Transactions!$O:$O,ROW()-8))</f>
      </c>
    </row>
    <row r="2179" spans="1:7">
      <c r="B2179">
        <f>IF(INDEX(Transactions!$J:$J,ROW()-8)="",TODAY(),INDEX(Transactions!$G:$G,ROW()-8))</f>
      </c>
      <c r="F2179">
        <f>IF(INDEX(Transactions!$J:$J,ROW()-8)="",0,INDEX(Transactions!$O:$O,ROW()-8))</f>
      </c>
    </row>
    <row r="2180" spans="1:7">
      <c r="B2180">
        <f>IF(INDEX(Transactions!$J:$J,ROW()-8)="",TODAY(),INDEX(Transactions!$G:$G,ROW()-8))</f>
      </c>
      <c r="F2180">
        <f>IF(INDEX(Transactions!$J:$J,ROW()-8)="",0,INDEX(Transactions!$O:$O,ROW()-8))</f>
      </c>
    </row>
    <row r="2181" spans="1:7">
      <c r="B2181">
        <f>IF(INDEX(Transactions!$J:$J,ROW()-8)="",TODAY(),INDEX(Transactions!$G:$G,ROW()-8))</f>
      </c>
      <c r="F2181">
        <f>IF(INDEX(Transactions!$J:$J,ROW()-8)="",0,INDEX(Transactions!$O:$O,ROW()-8))</f>
      </c>
    </row>
    <row r="2182" spans="1:7">
      <c r="B2182">
        <f>IF(INDEX(Transactions!$J:$J,ROW()-8)="",TODAY(),INDEX(Transactions!$G:$G,ROW()-8))</f>
      </c>
      <c r="F2182">
        <f>IF(INDEX(Transactions!$J:$J,ROW()-8)="",0,INDEX(Transactions!$O:$O,ROW()-8))</f>
      </c>
    </row>
    <row r="2183" spans="1:7">
      <c r="B2183">
        <f>IF(INDEX(Transactions!$J:$J,ROW()-8)="",TODAY(),INDEX(Transactions!$G:$G,ROW()-8))</f>
      </c>
      <c r="F2183">
        <f>IF(INDEX(Transactions!$J:$J,ROW()-8)="",0,INDEX(Transactions!$O:$O,ROW()-8))</f>
      </c>
    </row>
    <row r="2184" spans="1:7">
      <c r="B2184">
        <f>IF(INDEX(Transactions!$J:$J,ROW()-8)="",TODAY(),INDEX(Transactions!$G:$G,ROW()-8))</f>
      </c>
      <c r="F2184">
        <f>IF(INDEX(Transactions!$J:$J,ROW()-8)="",0,INDEX(Transactions!$O:$O,ROW()-8))</f>
      </c>
    </row>
    <row r="2185" spans="1:7">
      <c r="B2185">
        <f>IF(INDEX(Transactions!$J:$J,ROW()-8)="",TODAY(),INDEX(Transactions!$G:$G,ROW()-8))</f>
      </c>
      <c r="F2185">
        <f>IF(INDEX(Transactions!$J:$J,ROW()-8)="",0,INDEX(Transactions!$O:$O,ROW()-8))</f>
      </c>
    </row>
    <row r="2186" spans="1:7">
      <c r="B2186">
        <f>IF(INDEX(Transactions!$J:$J,ROW()-8)="",TODAY(),INDEX(Transactions!$G:$G,ROW()-8))</f>
      </c>
      <c r="F2186">
        <f>IF(INDEX(Transactions!$J:$J,ROW()-8)="",0,INDEX(Transactions!$O:$O,ROW()-8))</f>
      </c>
    </row>
    <row r="2187" spans="1:7">
      <c r="B2187">
        <f>IF(INDEX(Transactions!$J:$J,ROW()-8)="",TODAY(),INDEX(Transactions!$G:$G,ROW()-8))</f>
      </c>
      <c r="F2187">
        <f>IF(INDEX(Transactions!$J:$J,ROW()-8)="",0,INDEX(Transactions!$O:$O,ROW()-8))</f>
      </c>
    </row>
    <row r="2188" spans="1:7">
      <c r="B2188">
        <f>IF(INDEX(Transactions!$J:$J,ROW()-8)="",TODAY(),INDEX(Transactions!$G:$G,ROW()-8))</f>
      </c>
      <c r="F2188">
        <f>IF(INDEX(Transactions!$J:$J,ROW()-8)="",0,INDEX(Transactions!$O:$O,ROW()-8))</f>
      </c>
    </row>
    <row r="2189" spans="1:7">
      <c r="B2189">
        <f>IF(INDEX(Transactions!$J:$J,ROW()-8)="",TODAY(),INDEX(Transactions!$G:$G,ROW()-8))</f>
      </c>
      <c r="F2189">
        <f>IF(INDEX(Transactions!$J:$J,ROW()-8)="",0,INDEX(Transactions!$O:$O,ROW()-8))</f>
      </c>
    </row>
    <row r="2190" spans="1:7">
      <c r="B2190">
        <f>IF(INDEX(Transactions!$J:$J,ROW()-8)="",TODAY(),INDEX(Transactions!$G:$G,ROW()-8))</f>
      </c>
      <c r="F2190">
        <f>IF(INDEX(Transactions!$J:$J,ROW()-8)="",0,INDEX(Transactions!$O:$O,ROW()-8))</f>
      </c>
    </row>
    <row r="2191" spans="1:7">
      <c r="B2191">
        <f>IF(INDEX(Transactions!$J:$J,ROW()-8)="",TODAY(),INDEX(Transactions!$G:$G,ROW()-8))</f>
      </c>
      <c r="F2191">
        <f>IF(INDEX(Transactions!$J:$J,ROW()-8)="",0,INDEX(Transactions!$O:$O,ROW()-8))</f>
      </c>
    </row>
    <row r="2192" spans="1:7">
      <c r="B2192">
        <f>IF(INDEX(Transactions!$J:$J,ROW()-8)="",TODAY(),INDEX(Transactions!$G:$G,ROW()-8))</f>
      </c>
      <c r="F2192">
        <f>IF(INDEX(Transactions!$J:$J,ROW()-8)="",0,INDEX(Transactions!$O:$O,ROW()-8))</f>
      </c>
    </row>
    <row r="2193" spans="1:7">
      <c r="B2193">
        <f>IF(INDEX(Transactions!$J:$J,ROW()-8)="",TODAY(),INDEX(Transactions!$G:$G,ROW()-8))</f>
      </c>
      <c r="F2193">
        <f>IF(INDEX(Transactions!$J:$J,ROW()-8)="",0,INDEX(Transactions!$O:$O,ROW()-8))</f>
      </c>
    </row>
    <row r="2194" spans="1:7">
      <c r="B2194">
        <f>IF(INDEX(Transactions!$J:$J,ROW()-8)="",TODAY(),INDEX(Transactions!$G:$G,ROW()-8))</f>
      </c>
      <c r="F2194">
        <f>IF(INDEX(Transactions!$J:$J,ROW()-8)="",0,INDEX(Transactions!$O:$O,ROW()-8))</f>
      </c>
    </row>
    <row r="2195" spans="1:7">
      <c r="B2195">
        <f>IF(INDEX(Transactions!$J:$J,ROW()-8)="",TODAY(),INDEX(Transactions!$G:$G,ROW()-8))</f>
      </c>
      <c r="F2195">
        <f>IF(INDEX(Transactions!$J:$J,ROW()-8)="",0,INDEX(Transactions!$O:$O,ROW()-8))</f>
      </c>
    </row>
    <row r="2196" spans="1:7">
      <c r="B2196">
        <f>IF(INDEX(Transactions!$J:$J,ROW()-8)="",TODAY(),INDEX(Transactions!$G:$G,ROW()-8))</f>
      </c>
      <c r="F2196">
        <f>IF(INDEX(Transactions!$J:$J,ROW()-8)="",0,INDEX(Transactions!$O:$O,ROW()-8))</f>
      </c>
    </row>
    <row r="2197" spans="1:7">
      <c r="B2197">
        <f>IF(INDEX(Transactions!$J:$J,ROW()-8)="",TODAY(),INDEX(Transactions!$G:$G,ROW()-8))</f>
      </c>
      <c r="F2197">
        <f>IF(INDEX(Transactions!$J:$J,ROW()-8)="",0,INDEX(Transactions!$O:$O,ROW()-8))</f>
      </c>
    </row>
    <row r="2198" spans="1:7">
      <c r="B2198">
        <f>IF(INDEX(Transactions!$J:$J,ROW()-8)="",TODAY(),INDEX(Transactions!$G:$G,ROW()-8))</f>
      </c>
      <c r="F2198">
        <f>IF(INDEX(Transactions!$J:$J,ROW()-8)="",0,INDEX(Transactions!$O:$O,ROW()-8))</f>
      </c>
    </row>
    <row r="2199" spans="1:7">
      <c r="B2199">
        <f>IF(INDEX(Transactions!$J:$J,ROW()-8)="",TODAY(),INDEX(Transactions!$G:$G,ROW()-8))</f>
      </c>
      <c r="F2199">
        <f>IF(INDEX(Transactions!$J:$J,ROW()-8)="",0,INDEX(Transactions!$O:$O,ROW()-8))</f>
      </c>
    </row>
    <row r="2200" spans="1:7">
      <c r="B2200">
        <f>IF(INDEX(Transactions!$J:$J,ROW()-8)="",TODAY(),INDEX(Transactions!$G:$G,ROW()-8))</f>
      </c>
      <c r="F2200">
        <f>IF(INDEX(Transactions!$J:$J,ROW()-8)="",0,INDEX(Transactions!$O:$O,ROW()-8))</f>
      </c>
    </row>
    <row r="2201" spans="1:7">
      <c r="B2201">
        <f>IF(INDEX(Transactions!$J:$J,ROW()-8)="",TODAY(),INDEX(Transactions!$G:$G,ROW()-8))</f>
      </c>
      <c r="F2201">
        <f>IF(INDEX(Transactions!$J:$J,ROW()-8)="",0,INDEX(Transactions!$O:$O,ROW()-8))</f>
      </c>
    </row>
    <row r="2202" spans="1:7">
      <c r="B2202">
        <f>IF(INDEX(Transactions!$J:$J,ROW()-8)="",TODAY(),INDEX(Transactions!$G:$G,ROW()-8))</f>
      </c>
      <c r="F2202">
        <f>IF(INDEX(Transactions!$J:$J,ROW()-8)="",0,INDEX(Transactions!$O:$O,ROW()-8))</f>
      </c>
    </row>
    <row r="2203" spans="1:7">
      <c r="B2203">
        <f>IF(INDEX(Transactions!$J:$J,ROW()-8)="",TODAY(),INDEX(Transactions!$G:$G,ROW()-8))</f>
      </c>
      <c r="F2203">
        <f>IF(INDEX(Transactions!$J:$J,ROW()-8)="",0,INDEX(Transactions!$O:$O,ROW()-8))</f>
      </c>
    </row>
    <row r="2204" spans="1:7">
      <c r="B2204">
        <f>IF(INDEX(Transactions!$J:$J,ROW()-8)="",TODAY(),INDEX(Transactions!$G:$G,ROW()-8))</f>
      </c>
      <c r="F2204">
        <f>IF(INDEX(Transactions!$J:$J,ROW()-8)="",0,INDEX(Transactions!$O:$O,ROW()-8))</f>
      </c>
    </row>
    <row r="2205" spans="1:7">
      <c r="B2205">
        <f>IF(INDEX(Transactions!$J:$J,ROW()-8)="",TODAY(),INDEX(Transactions!$G:$G,ROW()-8))</f>
      </c>
      <c r="F2205">
        <f>IF(INDEX(Transactions!$J:$J,ROW()-8)="",0,INDEX(Transactions!$O:$O,ROW()-8))</f>
      </c>
    </row>
    <row r="2206" spans="1:7">
      <c r="B2206">
        <f>IF(INDEX(Transactions!$J:$J,ROW()-8)="",TODAY(),INDEX(Transactions!$G:$G,ROW()-8))</f>
      </c>
      <c r="F2206">
        <f>IF(INDEX(Transactions!$J:$J,ROW()-8)="",0,INDEX(Transactions!$O:$O,ROW()-8))</f>
      </c>
    </row>
    <row r="2207" spans="1:7">
      <c r="B2207">
        <f>IF(INDEX(Transactions!$J:$J,ROW()-8)="",TODAY(),INDEX(Transactions!$G:$G,ROW()-8))</f>
      </c>
      <c r="F2207">
        <f>IF(INDEX(Transactions!$J:$J,ROW()-8)="",0,INDEX(Transactions!$O:$O,ROW()-8))</f>
      </c>
    </row>
    <row r="2208" spans="1:7">
      <c r="B2208">
        <f>IF(INDEX(Transactions!$J:$J,ROW()-8)="",TODAY(),INDEX(Transactions!$G:$G,ROW()-8))</f>
      </c>
      <c r="F2208">
        <f>IF(INDEX(Transactions!$J:$J,ROW()-8)="",0,INDEX(Transactions!$O:$O,ROW()-8))</f>
      </c>
    </row>
    <row r="2209" spans="1:7">
      <c r="B2209">
        <f>IF(INDEX(Transactions!$J:$J,ROW()-8)="",TODAY(),INDEX(Transactions!$G:$G,ROW()-8))</f>
      </c>
      <c r="F2209">
        <f>IF(INDEX(Transactions!$J:$J,ROW()-8)="",0,INDEX(Transactions!$O:$O,ROW()-8))</f>
      </c>
    </row>
    <row r="2210" spans="1:7">
      <c r="B2210">
        <f>IF(INDEX(Transactions!$J:$J,ROW()-8)="",TODAY(),INDEX(Transactions!$G:$G,ROW()-8))</f>
      </c>
      <c r="F2210">
        <f>IF(INDEX(Transactions!$J:$J,ROW()-8)="",0,INDEX(Transactions!$O:$O,ROW()-8))</f>
      </c>
    </row>
    <row r="2211" spans="1:7">
      <c r="B2211">
        <f>IF(INDEX(Transactions!$J:$J,ROW()-8)="",TODAY(),INDEX(Transactions!$G:$G,ROW()-8))</f>
      </c>
      <c r="F2211">
        <f>IF(INDEX(Transactions!$J:$J,ROW()-8)="",0,INDEX(Transactions!$O:$O,ROW()-8))</f>
      </c>
    </row>
    <row r="2212" spans="1:7">
      <c r="B2212">
        <f>IF(INDEX(Transactions!$J:$J,ROW()-8)="",TODAY(),INDEX(Transactions!$G:$G,ROW()-8))</f>
      </c>
      <c r="F2212">
        <f>IF(INDEX(Transactions!$J:$J,ROW()-8)="",0,INDEX(Transactions!$O:$O,ROW()-8))</f>
      </c>
    </row>
    <row r="2213" spans="1:7">
      <c r="B2213">
        <f>IF(INDEX(Transactions!$J:$J,ROW()-8)="",TODAY(),INDEX(Transactions!$G:$G,ROW()-8))</f>
      </c>
      <c r="F2213">
        <f>IF(INDEX(Transactions!$J:$J,ROW()-8)="",0,INDEX(Transactions!$O:$O,ROW()-8))</f>
      </c>
    </row>
    <row r="2214" spans="1:7">
      <c r="B2214">
        <f>IF(INDEX(Transactions!$J:$J,ROW()-8)="",TODAY(),INDEX(Transactions!$G:$G,ROW()-8))</f>
      </c>
      <c r="F2214">
        <f>IF(INDEX(Transactions!$J:$J,ROW()-8)="",0,INDEX(Transactions!$O:$O,ROW()-8))</f>
      </c>
    </row>
    <row r="2215" spans="1:7">
      <c r="B2215">
        <f>IF(INDEX(Transactions!$J:$J,ROW()-8)="",TODAY(),INDEX(Transactions!$G:$G,ROW()-8))</f>
      </c>
      <c r="F2215">
        <f>IF(INDEX(Transactions!$J:$J,ROW()-8)="",0,INDEX(Transactions!$O:$O,ROW()-8))</f>
      </c>
    </row>
    <row r="2216" spans="1:7">
      <c r="B2216">
        <f>IF(INDEX(Transactions!$J:$J,ROW()-8)="",TODAY(),INDEX(Transactions!$G:$G,ROW()-8))</f>
      </c>
      <c r="F2216">
        <f>IF(INDEX(Transactions!$J:$J,ROW()-8)="",0,INDEX(Transactions!$O:$O,ROW()-8))</f>
      </c>
    </row>
    <row r="2217" spans="1:7">
      <c r="B2217">
        <f>IF(INDEX(Transactions!$J:$J,ROW()-8)="",TODAY(),INDEX(Transactions!$G:$G,ROW()-8))</f>
      </c>
      <c r="F2217">
        <f>IF(INDEX(Transactions!$J:$J,ROW()-8)="",0,INDEX(Transactions!$O:$O,ROW()-8))</f>
      </c>
    </row>
    <row r="2218" spans="1:7">
      <c r="B2218">
        <f>IF(INDEX(Transactions!$J:$J,ROW()-8)="",TODAY(),INDEX(Transactions!$G:$G,ROW()-8))</f>
      </c>
      <c r="F2218">
        <f>IF(INDEX(Transactions!$J:$J,ROW()-8)="",0,INDEX(Transactions!$O:$O,ROW()-8))</f>
      </c>
    </row>
    <row r="2219" spans="1:7">
      <c r="B2219">
        <f>IF(INDEX(Transactions!$J:$J,ROW()-8)="",TODAY(),INDEX(Transactions!$G:$G,ROW()-8))</f>
      </c>
      <c r="F2219">
        <f>IF(INDEX(Transactions!$J:$J,ROW()-8)="",0,INDEX(Transactions!$O:$O,ROW()-8))</f>
      </c>
    </row>
    <row r="2220" spans="1:7">
      <c r="B2220">
        <f>IF(INDEX(Transactions!$J:$J,ROW()-8)="",TODAY(),INDEX(Transactions!$G:$G,ROW()-8))</f>
      </c>
      <c r="F2220">
        <f>IF(INDEX(Transactions!$J:$J,ROW()-8)="",0,INDEX(Transactions!$O:$O,ROW()-8))</f>
      </c>
    </row>
    <row r="2221" spans="1:7">
      <c r="B2221">
        <f>IF(INDEX(Transactions!$J:$J,ROW()-8)="",TODAY(),INDEX(Transactions!$G:$G,ROW()-8))</f>
      </c>
      <c r="F2221">
        <f>IF(INDEX(Transactions!$J:$J,ROW()-8)="",0,INDEX(Transactions!$O:$O,ROW()-8))</f>
      </c>
    </row>
    <row r="2222" spans="1:7">
      <c r="B2222">
        <f>IF(INDEX(Transactions!$J:$J,ROW()-8)="",TODAY(),INDEX(Transactions!$G:$G,ROW()-8))</f>
      </c>
      <c r="F2222">
        <f>IF(INDEX(Transactions!$J:$J,ROW()-8)="",0,INDEX(Transactions!$O:$O,ROW()-8))</f>
      </c>
    </row>
    <row r="2223" spans="1:7">
      <c r="B2223">
        <f>IF(INDEX(Transactions!$J:$J,ROW()-8)="",TODAY(),INDEX(Transactions!$G:$G,ROW()-8))</f>
      </c>
      <c r="F2223">
        <f>IF(INDEX(Transactions!$J:$J,ROW()-8)="",0,INDEX(Transactions!$O:$O,ROW()-8))</f>
      </c>
    </row>
    <row r="2224" spans="1:7">
      <c r="B2224">
        <f>IF(INDEX(Transactions!$J:$J,ROW()-8)="",TODAY(),INDEX(Transactions!$G:$G,ROW()-8))</f>
      </c>
      <c r="F2224">
        <f>IF(INDEX(Transactions!$J:$J,ROW()-8)="",0,INDEX(Transactions!$O:$O,ROW()-8))</f>
      </c>
    </row>
    <row r="2225" spans="1:7">
      <c r="B2225">
        <f>IF(INDEX(Transactions!$J:$J,ROW()-8)="",TODAY(),INDEX(Transactions!$G:$G,ROW()-8))</f>
      </c>
      <c r="F2225">
        <f>IF(INDEX(Transactions!$J:$J,ROW()-8)="",0,INDEX(Transactions!$O:$O,ROW()-8))</f>
      </c>
    </row>
    <row r="2226" spans="1:7">
      <c r="B2226">
        <f>IF(INDEX(Transactions!$J:$J,ROW()-8)="",TODAY(),INDEX(Transactions!$G:$G,ROW()-8))</f>
      </c>
      <c r="F2226">
        <f>IF(INDEX(Transactions!$J:$J,ROW()-8)="",0,INDEX(Transactions!$O:$O,ROW()-8))</f>
      </c>
    </row>
    <row r="2227" spans="1:7">
      <c r="B2227">
        <f>IF(INDEX(Transactions!$J:$J,ROW()-8)="",TODAY(),INDEX(Transactions!$G:$G,ROW()-8))</f>
      </c>
      <c r="F2227">
        <f>IF(INDEX(Transactions!$J:$J,ROW()-8)="",0,INDEX(Transactions!$O:$O,ROW()-8))</f>
      </c>
    </row>
    <row r="2228" spans="1:7">
      <c r="B2228">
        <f>IF(INDEX(Transactions!$J:$J,ROW()-8)="",TODAY(),INDEX(Transactions!$G:$G,ROW()-8))</f>
      </c>
      <c r="F2228">
        <f>IF(INDEX(Transactions!$J:$J,ROW()-8)="",0,INDEX(Transactions!$O:$O,ROW()-8))</f>
      </c>
    </row>
    <row r="2229" spans="1:7">
      <c r="B2229">
        <f>IF(INDEX(Transactions!$J:$J,ROW()-8)="",TODAY(),INDEX(Transactions!$G:$G,ROW()-8))</f>
      </c>
      <c r="F2229">
        <f>IF(INDEX(Transactions!$J:$J,ROW()-8)="",0,INDEX(Transactions!$O:$O,ROW()-8))</f>
      </c>
    </row>
    <row r="2230" spans="1:7">
      <c r="B2230">
        <f>IF(INDEX(Transactions!$J:$J,ROW()-8)="",TODAY(),INDEX(Transactions!$G:$G,ROW()-8))</f>
      </c>
      <c r="F2230">
        <f>IF(INDEX(Transactions!$J:$J,ROW()-8)="",0,INDEX(Transactions!$O:$O,ROW()-8))</f>
      </c>
    </row>
    <row r="2231" spans="1:7">
      <c r="B2231">
        <f>IF(INDEX(Transactions!$J:$J,ROW()-8)="",TODAY(),INDEX(Transactions!$G:$G,ROW()-8))</f>
      </c>
      <c r="F2231">
        <f>IF(INDEX(Transactions!$J:$J,ROW()-8)="",0,INDEX(Transactions!$O:$O,ROW()-8))</f>
      </c>
    </row>
    <row r="2232" spans="1:7">
      <c r="B2232">
        <f>IF(INDEX(Transactions!$J:$J,ROW()-8)="",TODAY(),INDEX(Transactions!$G:$G,ROW()-8))</f>
      </c>
      <c r="F2232">
        <f>IF(INDEX(Transactions!$J:$J,ROW()-8)="",0,INDEX(Transactions!$O:$O,ROW()-8))</f>
      </c>
    </row>
    <row r="2233" spans="1:7">
      <c r="B2233">
        <f>IF(INDEX(Transactions!$J:$J,ROW()-8)="",TODAY(),INDEX(Transactions!$G:$G,ROW()-8))</f>
      </c>
      <c r="F2233">
        <f>IF(INDEX(Transactions!$J:$J,ROW()-8)="",0,INDEX(Transactions!$O:$O,ROW()-8))</f>
      </c>
    </row>
    <row r="2234" spans="1:7">
      <c r="B2234">
        <f>IF(INDEX(Transactions!$J:$J,ROW()-8)="",TODAY(),INDEX(Transactions!$G:$G,ROW()-8))</f>
      </c>
      <c r="F2234">
        <f>IF(INDEX(Transactions!$J:$J,ROW()-8)="",0,INDEX(Transactions!$O:$O,ROW()-8))</f>
      </c>
    </row>
    <row r="2235" spans="1:7">
      <c r="B2235">
        <f>IF(INDEX(Transactions!$J:$J,ROW()-8)="",TODAY(),INDEX(Transactions!$G:$G,ROW()-8))</f>
      </c>
      <c r="F2235">
        <f>IF(INDEX(Transactions!$J:$J,ROW()-8)="",0,INDEX(Transactions!$O:$O,ROW()-8))</f>
      </c>
    </row>
    <row r="2236" spans="1:7">
      <c r="B2236">
        <f>IF(INDEX(Transactions!$J:$J,ROW()-8)="",TODAY(),INDEX(Transactions!$G:$G,ROW()-8))</f>
      </c>
      <c r="F2236">
        <f>IF(INDEX(Transactions!$J:$J,ROW()-8)="",0,INDEX(Transactions!$O:$O,ROW()-8))</f>
      </c>
    </row>
    <row r="2237" spans="1:7">
      <c r="B2237">
        <f>IF(INDEX(Transactions!$J:$J,ROW()-8)="",TODAY(),INDEX(Transactions!$G:$G,ROW()-8))</f>
      </c>
      <c r="F2237">
        <f>IF(INDEX(Transactions!$J:$J,ROW()-8)="",0,INDEX(Transactions!$O:$O,ROW()-8))</f>
      </c>
    </row>
    <row r="2238" spans="1:7">
      <c r="B2238">
        <f>IF(INDEX(Transactions!$J:$J,ROW()-8)="",TODAY(),INDEX(Transactions!$G:$G,ROW()-8))</f>
      </c>
      <c r="F2238">
        <f>IF(INDEX(Transactions!$J:$J,ROW()-8)="",0,INDEX(Transactions!$O:$O,ROW()-8))</f>
      </c>
    </row>
    <row r="2239" spans="1:7">
      <c r="B2239">
        <f>IF(INDEX(Transactions!$J:$J,ROW()-8)="",TODAY(),INDEX(Transactions!$G:$G,ROW()-8))</f>
      </c>
      <c r="F2239">
        <f>IF(INDEX(Transactions!$J:$J,ROW()-8)="",0,INDEX(Transactions!$O:$O,ROW()-8))</f>
      </c>
    </row>
    <row r="2240" spans="1:7">
      <c r="B2240">
        <f>IF(INDEX(Transactions!$J:$J,ROW()-8)="",TODAY(),INDEX(Transactions!$G:$G,ROW()-8))</f>
      </c>
      <c r="F2240">
        <f>IF(INDEX(Transactions!$J:$J,ROW()-8)="",0,INDEX(Transactions!$O:$O,ROW()-8))</f>
      </c>
    </row>
    <row r="2241" spans="1:7">
      <c r="B2241">
        <f>IF(INDEX(Transactions!$J:$J,ROW()-8)="",TODAY(),INDEX(Transactions!$G:$G,ROW()-8))</f>
      </c>
      <c r="F2241">
        <f>IF(INDEX(Transactions!$J:$J,ROW()-8)="",0,INDEX(Transactions!$O:$O,ROW()-8))</f>
      </c>
    </row>
    <row r="2242" spans="1:7">
      <c r="B2242">
        <f>IF(INDEX(Transactions!$J:$J,ROW()-8)="",TODAY(),INDEX(Transactions!$G:$G,ROW()-8))</f>
      </c>
      <c r="F2242">
        <f>IF(INDEX(Transactions!$J:$J,ROW()-8)="",0,INDEX(Transactions!$O:$O,ROW()-8))</f>
      </c>
    </row>
    <row r="2243" spans="1:7">
      <c r="B2243">
        <f>IF(INDEX(Transactions!$J:$J,ROW()-8)="",TODAY(),INDEX(Transactions!$G:$G,ROW()-8))</f>
      </c>
      <c r="F2243">
        <f>IF(INDEX(Transactions!$J:$J,ROW()-8)="",0,INDEX(Transactions!$O:$O,ROW()-8))</f>
      </c>
    </row>
    <row r="2244" spans="1:7">
      <c r="B2244">
        <f>IF(INDEX(Transactions!$J:$J,ROW()-8)="",TODAY(),INDEX(Transactions!$G:$G,ROW()-8))</f>
      </c>
      <c r="F2244">
        <f>IF(INDEX(Transactions!$J:$J,ROW()-8)="",0,INDEX(Transactions!$O:$O,ROW()-8))</f>
      </c>
    </row>
    <row r="2245" spans="1:7">
      <c r="B2245">
        <f>IF(INDEX(Transactions!$J:$J,ROW()-8)="",TODAY(),INDEX(Transactions!$G:$G,ROW()-8))</f>
      </c>
      <c r="F2245">
        <f>IF(INDEX(Transactions!$J:$J,ROW()-8)="",0,INDEX(Transactions!$O:$O,ROW()-8))</f>
      </c>
    </row>
    <row r="2246" spans="1:7">
      <c r="B2246">
        <f>IF(INDEX(Transactions!$J:$J,ROW()-8)="",TODAY(),INDEX(Transactions!$G:$G,ROW()-8))</f>
      </c>
      <c r="F2246">
        <f>IF(INDEX(Transactions!$J:$J,ROW()-8)="",0,INDEX(Transactions!$O:$O,ROW()-8))</f>
      </c>
    </row>
    <row r="2247" spans="1:7">
      <c r="B2247">
        <f>IF(INDEX(Transactions!$J:$J,ROW()-8)="",TODAY(),INDEX(Transactions!$G:$G,ROW()-8))</f>
      </c>
      <c r="F2247">
        <f>IF(INDEX(Transactions!$J:$J,ROW()-8)="",0,INDEX(Transactions!$O:$O,ROW()-8))</f>
      </c>
    </row>
    <row r="2248" spans="1:7">
      <c r="B2248">
        <f>IF(INDEX(Transactions!$J:$J,ROW()-8)="",TODAY(),INDEX(Transactions!$G:$G,ROW()-8))</f>
      </c>
      <c r="F2248">
        <f>IF(INDEX(Transactions!$J:$J,ROW()-8)="",0,INDEX(Transactions!$O:$O,ROW()-8))</f>
      </c>
    </row>
    <row r="2249" spans="1:7">
      <c r="B2249">
        <f>IF(INDEX(Transactions!$J:$J,ROW()-8)="",TODAY(),INDEX(Transactions!$G:$G,ROW()-8))</f>
      </c>
      <c r="F2249">
        <f>IF(INDEX(Transactions!$J:$J,ROW()-8)="",0,INDEX(Transactions!$O:$O,ROW()-8))</f>
      </c>
    </row>
    <row r="2250" spans="1:7">
      <c r="B2250">
        <f>IF(INDEX(Transactions!$J:$J,ROW()-8)="",TODAY(),INDEX(Transactions!$G:$G,ROW()-8))</f>
      </c>
      <c r="F2250">
        <f>IF(INDEX(Transactions!$J:$J,ROW()-8)="",0,INDEX(Transactions!$O:$O,ROW()-8))</f>
      </c>
    </row>
    <row r="2251" spans="1:7">
      <c r="B2251">
        <f>IF(INDEX(Transactions!$J:$J,ROW()-8)="",TODAY(),INDEX(Transactions!$G:$G,ROW()-8))</f>
      </c>
      <c r="F2251">
        <f>IF(INDEX(Transactions!$J:$J,ROW()-8)="",0,INDEX(Transactions!$O:$O,ROW()-8))</f>
      </c>
    </row>
    <row r="2252" spans="1:7">
      <c r="B2252">
        <f>IF(INDEX(Transactions!$J:$J,ROW()-8)="",TODAY(),INDEX(Transactions!$G:$G,ROW()-8))</f>
      </c>
      <c r="F2252">
        <f>IF(INDEX(Transactions!$J:$J,ROW()-8)="",0,INDEX(Transactions!$O:$O,ROW()-8))</f>
      </c>
    </row>
    <row r="2253" spans="1:7">
      <c r="B2253">
        <f>IF(INDEX(Transactions!$J:$J,ROW()-8)="",TODAY(),INDEX(Transactions!$G:$G,ROW()-8))</f>
      </c>
      <c r="F2253">
        <f>IF(INDEX(Transactions!$J:$J,ROW()-8)="",0,INDEX(Transactions!$O:$O,ROW()-8))</f>
      </c>
    </row>
    <row r="2254" spans="1:7">
      <c r="B2254">
        <f>IF(INDEX(Transactions!$J:$J,ROW()-8)="",TODAY(),INDEX(Transactions!$G:$G,ROW()-8))</f>
      </c>
      <c r="F2254">
        <f>IF(INDEX(Transactions!$J:$J,ROW()-8)="",0,INDEX(Transactions!$O:$O,ROW()-8))</f>
      </c>
    </row>
    <row r="2255" spans="1:7">
      <c r="B2255">
        <f>IF(INDEX(Transactions!$J:$J,ROW()-8)="",TODAY(),INDEX(Transactions!$G:$G,ROW()-8))</f>
      </c>
      <c r="F2255">
        <f>IF(INDEX(Transactions!$J:$J,ROW()-8)="",0,INDEX(Transactions!$O:$O,ROW()-8))</f>
      </c>
    </row>
    <row r="2256" spans="1:7">
      <c r="B2256">
        <f>IF(INDEX(Transactions!$J:$J,ROW()-8)="",TODAY(),INDEX(Transactions!$G:$G,ROW()-8))</f>
      </c>
      <c r="F2256">
        <f>IF(INDEX(Transactions!$J:$J,ROW()-8)="",0,INDEX(Transactions!$O:$O,ROW()-8))</f>
      </c>
    </row>
    <row r="2257" spans="1:7">
      <c r="B2257">
        <f>IF(INDEX(Transactions!$J:$J,ROW()-8)="",TODAY(),INDEX(Transactions!$G:$G,ROW()-8))</f>
      </c>
      <c r="F2257">
        <f>IF(INDEX(Transactions!$J:$J,ROW()-8)="",0,INDEX(Transactions!$O:$O,ROW()-8))</f>
      </c>
    </row>
    <row r="2258" spans="1:7">
      <c r="B2258">
        <f>IF(INDEX(Transactions!$J:$J,ROW()-8)="",TODAY(),INDEX(Transactions!$G:$G,ROW()-8))</f>
      </c>
      <c r="F2258">
        <f>IF(INDEX(Transactions!$J:$J,ROW()-8)="",0,INDEX(Transactions!$O:$O,ROW()-8))</f>
      </c>
    </row>
    <row r="2259" spans="1:7">
      <c r="B2259">
        <f>IF(INDEX(Transactions!$J:$J,ROW()-8)="",TODAY(),INDEX(Transactions!$G:$G,ROW()-8))</f>
      </c>
      <c r="F2259">
        <f>IF(INDEX(Transactions!$J:$J,ROW()-8)="",0,INDEX(Transactions!$O:$O,ROW()-8))</f>
      </c>
    </row>
    <row r="2260" spans="1:7">
      <c r="B2260">
        <f>IF(INDEX(Transactions!$J:$J,ROW()-8)="",TODAY(),INDEX(Transactions!$G:$G,ROW()-8))</f>
      </c>
      <c r="F2260">
        <f>IF(INDEX(Transactions!$J:$J,ROW()-8)="",0,INDEX(Transactions!$O:$O,ROW()-8))</f>
      </c>
    </row>
    <row r="2261" spans="1:7">
      <c r="B2261">
        <f>IF(INDEX(Transactions!$J:$J,ROW()-8)="",TODAY(),INDEX(Transactions!$G:$G,ROW()-8))</f>
      </c>
      <c r="F2261">
        <f>IF(INDEX(Transactions!$J:$J,ROW()-8)="",0,INDEX(Transactions!$O:$O,ROW()-8))</f>
      </c>
    </row>
    <row r="2262" spans="1:7">
      <c r="B2262">
        <f>IF(INDEX(Transactions!$J:$J,ROW()-8)="",TODAY(),INDEX(Transactions!$G:$G,ROW()-8))</f>
      </c>
      <c r="F2262">
        <f>IF(INDEX(Transactions!$J:$J,ROW()-8)="",0,INDEX(Transactions!$O:$O,ROW()-8))</f>
      </c>
    </row>
    <row r="2263" spans="1:7">
      <c r="B2263">
        <f>IF(INDEX(Transactions!$J:$J,ROW()-8)="",TODAY(),INDEX(Transactions!$G:$G,ROW()-8))</f>
      </c>
      <c r="F2263">
        <f>IF(INDEX(Transactions!$J:$J,ROW()-8)="",0,INDEX(Transactions!$O:$O,ROW()-8))</f>
      </c>
    </row>
    <row r="2264" spans="1:7">
      <c r="B2264">
        <f>IF(INDEX(Transactions!$J:$J,ROW()-8)="",TODAY(),INDEX(Transactions!$G:$G,ROW()-8))</f>
      </c>
      <c r="F2264">
        <f>IF(INDEX(Transactions!$J:$J,ROW()-8)="",0,INDEX(Transactions!$O:$O,ROW()-8))</f>
      </c>
    </row>
    <row r="2265" spans="1:7">
      <c r="B2265">
        <f>IF(INDEX(Transactions!$J:$J,ROW()-8)="",TODAY(),INDEX(Transactions!$G:$G,ROW()-8))</f>
      </c>
      <c r="F2265">
        <f>IF(INDEX(Transactions!$J:$J,ROW()-8)="",0,INDEX(Transactions!$O:$O,ROW()-8))</f>
      </c>
    </row>
    <row r="2266" spans="1:7">
      <c r="B2266">
        <f>IF(INDEX(Transactions!$J:$J,ROW()-8)="",TODAY(),INDEX(Transactions!$G:$G,ROW()-8))</f>
      </c>
      <c r="F2266">
        <f>IF(INDEX(Transactions!$J:$J,ROW()-8)="",0,INDEX(Transactions!$O:$O,ROW()-8))</f>
      </c>
    </row>
    <row r="2267" spans="1:7">
      <c r="B2267">
        <f>IF(INDEX(Transactions!$J:$J,ROW()-8)="",TODAY(),INDEX(Transactions!$G:$G,ROW()-8))</f>
      </c>
      <c r="F2267">
        <f>IF(INDEX(Transactions!$J:$J,ROW()-8)="",0,INDEX(Transactions!$O:$O,ROW()-8))</f>
      </c>
    </row>
    <row r="2268" spans="1:7">
      <c r="B2268">
        <f>IF(INDEX(Transactions!$J:$J,ROW()-8)="",TODAY(),INDEX(Transactions!$G:$G,ROW()-8))</f>
      </c>
      <c r="F2268">
        <f>IF(INDEX(Transactions!$J:$J,ROW()-8)="",0,INDEX(Transactions!$O:$O,ROW()-8))</f>
      </c>
    </row>
    <row r="2269" spans="1:7">
      <c r="B2269">
        <f>IF(INDEX(Transactions!$J:$J,ROW()-8)="",TODAY(),INDEX(Transactions!$G:$G,ROW()-8))</f>
      </c>
      <c r="F2269">
        <f>IF(INDEX(Transactions!$J:$J,ROW()-8)="",0,INDEX(Transactions!$O:$O,ROW()-8))</f>
      </c>
    </row>
    <row r="2270" spans="1:7">
      <c r="B2270">
        <f>IF(INDEX(Transactions!$J:$J,ROW()-8)="",TODAY(),INDEX(Transactions!$G:$G,ROW()-8))</f>
      </c>
      <c r="F2270">
        <f>IF(INDEX(Transactions!$J:$J,ROW()-8)="",0,INDEX(Transactions!$O:$O,ROW()-8))</f>
      </c>
    </row>
    <row r="2271" spans="1:7">
      <c r="B2271">
        <f>IF(INDEX(Transactions!$J:$J,ROW()-8)="",TODAY(),INDEX(Transactions!$G:$G,ROW()-8))</f>
      </c>
      <c r="F2271">
        <f>IF(INDEX(Transactions!$J:$J,ROW()-8)="",0,INDEX(Transactions!$O:$O,ROW()-8))</f>
      </c>
    </row>
    <row r="2272" spans="1:7">
      <c r="B2272">
        <f>IF(INDEX(Transactions!$J:$J,ROW()-8)="",TODAY(),INDEX(Transactions!$G:$G,ROW()-8))</f>
      </c>
      <c r="F2272">
        <f>IF(INDEX(Transactions!$J:$J,ROW()-8)="",0,INDEX(Transactions!$O:$O,ROW()-8))</f>
      </c>
    </row>
    <row r="2273" spans="1:7">
      <c r="B2273">
        <f>IF(INDEX(Transactions!$J:$J,ROW()-8)="",TODAY(),INDEX(Transactions!$G:$G,ROW()-8))</f>
      </c>
      <c r="F2273">
        <f>IF(INDEX(Transactions!$J:$J,ROW()-8)="",0,INDEX(Transactions!$O:$O,ROW()-8))</f>
      </c>
    </row>
    <row r="2274" spans="1:7">
      <c r="B2274">
        <f>IF(INDEX(Transactions!$J:$J,ROW()-8)="",TODAY(),INDEX(Transactions!$G:$G,ROW()-8))</f>
      </c>
      <c r="F2274">
        <f>IF(INDEX(Transactions!$J:$J,ROW()-8)="",0,INDEX(Transactions!$O:$O,ROW()-8))</f>
      </c>
    </row>
    <row r="2275" spans="1:7">
      <c r="B2275">
        <f>IF(INDEX(Transactions!$J:$J,ROW()-8)="",TODAY(),INDEX(Transactions!$G:$G,ROW()-8))</f>
      </c>
      <c r="F2275">
        <f>IF(INDEX(Transactions!$J:$J,ROW()-8)="",0,INDEX(Transactions!$O:$O,ROW()-8))</f>
      </c>
    </row>
    <row r="2276" spans="1:7">
      <c r="B2276">
        <f>IF(INDEX(Transactions!$J:$J,ROW()-8)="",TODAY(),INDEX(Transactions!$G:$G,ROW()-8))</f>
      </c>
      <c r="F2276">
        <f>IF(INDEX(Transactions!$J:$J,ROW()-8)="",0,INDEX(Transactions!$O:$O,ROW()-8))</f>
      </c>
    </row>
    <row r="2277" spans="1:7">
      <c r="B2277">
        <f>IF(INDEX(Transactions!$J:$J,ROW()-8)="",TODAY(),INDEX(Transactions!$G:$G,ROW()-8))</f>
      </c>
      <c r="F2277">
        <f>IF(INDEX(Transactions!$J:$J,ROW()-8)="",0,INDEX(Transactions!$O:$O,ROW()-8))</f>
      </c>
    </row>
    <row r="2278" spans="1:7">
      <c r="B2278">
        <f>IF(INDEX(Transactions!$J:$J,ROW()-8)="",TODAY(),INDEX(Transactions!$G:$G,ROW()-8))</f>
      </c>
      <c r="F2278">
        <f>IF(INDEX(Transactions!$J:$J,ROW()-8)="",0,INDEX(Transactions!$O:$O,ROW()-8))</f>
      </c>
    </row>
    <row r="2279" spans="1:7">
      <c r="B2279">
        <f>IF(INDEX(Transactions!$J:$J,ROW()-8)="",TODAY(),INDEX(Transactions!$G:$G,ROW()-8))</f>
      </c>
      <c r="F2279">
        <f>IF(INDEX(Transactions!$J:$J,ROW()-8)="",0,INDEX(Transactions!$O:$O,ROW()-8))</f>
      </c>
    </row>
    <row r="2280" spans="1:7">
      <c r="B2280">
        <f>IF(INDEX(Transactions!$J:$J,ROW()-8)="",TODAY(),INDEX(Transactions!$G:$G,ROW()-8))</f>
      </c>
      <c r="F2280">
        <f>IF(INDEX(Transactions!$J:$J,ROW()-8)="",0,INDEX(Transactions!$O:$O,ROW()-8))</f>
      </c>
    </row>
    <row r="2281" spans="1:7">
      <c r="B2281">
        <f>IF(INDEX(Transactions!$J:$J,ROW()-8)="",TODAY(),INDEX(Transactions!$G:$G,ROW()-8))</f>
      </c>
      <c r="F2281">
        <f>IF(INDEX(Transactions!$J:$J,ROW()-8)="",0,INDEX(Transactions!$O:$O,ROW()-8))</f>
      </c>
    </row>
    <row r="2282" spans="1:7">
      <c r="B2282">
        <f>IF(INDEX(Transactions!$J:$J,ROW()-8)="",TODAY(),INDEX(Transactions!$G:$G,ROW()-8))</f>
      </c>
      <c r="F2282">
        <f>IF(INDEX(Transactions!$J:$J,ROW()-8)="",0,INDEX(Transactions!$O:$O,ROW()-8))</f>
      </c>
    </row>
    <row r="2283" spans="1:7">
      <c r="B2283">
        <f>IF(INDEX(Transactions!$J:$J,ROW()-8)="",TODAY(),INDEX(Transactions!$G:$G,ROW()-8))</f>
      </c>
      <c r="F2283">
        <f>IF(INDEX(Transactions!$J:$J,ROW()-8)="",0,INDEX(Transactions!$O:$O,ROW()-8))</f>
      </c>
    </row>
    <row r="2284" spans="1:7">
      <c r="B2284">
        <f>IF(INDEX(Transactions!$J:$J,ROW()-8)="",TODAY(),INDEX(Transactions!$G:$G,ROW()-8))</f>
      </c>
      <c r="F2284">
        <f>IF(INDEX(Transactions!$J:$J,ROW()-8)="",0,INDEX(Transactions!$O:$O,ROW()-8))</f>
      </c>
    </row>
    <row r="2285" spans="1:7">
      <c r="B2285">
        <f>IF(INDEX(Transactions!$J:$J,ROW()-8)="",TODAY(),INDEX(Transactions!$G:$G,ROW()-8))</f>
      </c>
      <c r="F2285">
        <f>IF(INDEX(Transactions!$J:$J,ROW()-8)="",0,INDEX(Transactions!$O:$O,ROW()-8))</f>
      </c>
    </row>
    <row r="2286" spans="1:7">
      <c r="B2286">
        <f>IF(INDEX(Transactions!$J:$J,ROW()-8)="",TODAY(),INDEX(Transactions!$G:$G,ROW()-8))</f>
      </c>
      <c r="F2286">
        <f>IF(INDEX(Transactions!$J:$J,ROW()-8)="",0,INDEX(Transactions!$O:$O,ROW()-8))</f>
      </c>
    </row>
    <row r="2287" spans="1:7">
      <c r="B2287">
        <f>IF(INDEX(Transactions!$J:$J,ROW()-8)="",TODAY(),INDEX(Transactions!$G:$G,ROW()-8))</f>
      </c>
      <c r="F2287">
        <f>IF(INDEX(Transactions!$J:$J,ROW()-8)="",0,INDEX(Transactions!$O:$O,ROW()-8))</f>
      </c>
    </row>
    <row r="2288" spans="1:7">
      <c r="B2288">
        <f>IF(INDEX(Transactions!$J:$J,ROW()-8)="",TODAY(),INDEX(Transactions!$G:$G,ROW()-8))</f>
      </c>
      <c r="F2288">
        <f>IF(INDEX(Transactions!$J:$J,ROW()-8)="",0,INDEX(Transactions!$O:$O,ROW()-8))</f>
      </c>
    </row>
    <row r="2289" spans="1:7">
      <c r="B2289">
        <f>IF(INDEX(Transactions!$J:$J,ROW()-8)="",TODAY(),INDEX(Transactions!$G:$G,ROW()-8))</f>
      </c>
      <c r="F2289">
        <f>IF(INDEX(Transactions!$J:$J,ROW()-8)="",0,INDEX(Transactions!$O:$O,ROW()-8))</f>
      </c>
    </row>
    <row r="2290" spans="1:7">
      <c r="B2290">
        <f>IF(INDEX(Transactions!$J:$J,ROW()-8)="",TODAY(),INDEX(Transactions!$G:$G,ROW()-8))</f>
      </c>
      <c r="F2290">
        <f>IF(INDEX(Transactions!$J:$J,ROW()-8)="",0,INDEX(Transactions!$O:$O,ROW()-8))</f>
      </c>
    </row>
    <row r="2291" spans="1:7">
      <c r="B2291">
        <f>IF(INDEX(Transactions!$J:$J,ROW()-8)="",TODAY(),INDEX(Transactions!$G:$G,ROW()-8))</f>
      </c>
      <c r="F2291">
        <f>IF(INDEX(Transactions!$J:$J,ROW()-8)="",0,INDEX(Transactions!$O:$O,ROW()-8))</f>
      </c>
    </row>
    <row r="2292" spans="1:7">
      <c r="B2292">
        <f>IF(INDEX(Transactions!$J:$J,ROW()-8)="",TODAY(),INDEX(Transactions!$G:$G,ROW()-8))</f>
      </c>
      <c r="F2292">
        <f>IF(INDEX(Transactions!$J:$J,ROW()-8)="",0,INDEX(Transactions!$O:$O,ROW()-8))</f>
      </c>
    </row>
    <row r="2293" spans="1:7">
      <c r="B2293">
        <f>IF(INDEX(Transactions!$J:$J,ROW()-8)="",TODAY(),INDEX(Transactions!$G:$G,ROW()-8))</f>
      </c>
      <c r="F2293">
        <f>IF(INDEX(Transactions!$J:$J,ROW()-8)="",0,INDEX(Transactions!$O:$O,ROW()-8))</f>
      </c>
    </row>
    <row r="2294" spans="1:7">
      <c r="B2294">
        <f>IF(INDEX(Transactions!$J:$J,ROW()-8)="",TODAY(),INDEX(Transactions!$G:$G,ROW()-8))</f>
      </c>
      <c r="F2294">
        <f>IF(INDEX(Transactions!$J:$J,ROW()-8)="",0,INDEX(Transactions!$O:$O,ROW()-8))</f>
      </c>
    </row>
    <row r="2295" spans="1:7">
      <c r="B2295">
        <f>IF(INDEX(Transactions!$J:$J,ROW()-8)="",TODAY(),INDEX(Transactions!$G:$G,ROW()-8))</f>
      </c>
      <c r="F2295">
        <f>IF(INDEX(Transactions!$J:$J,ROW()-8)="",0,INDEX(Transactions!$O:$O,ROW()-8))</f>
      </c>
    </row>
    <row r="2296" spans="1:7">
      <c r="B2296">
        <f>IF(INDEX(Transactions!$J:$J,ROW()-8)="",TODAY(),INDEX(Transactions!$G:$G,ROW()-8))</f>
      </c>
      <c r="F2296">
        <f>IF(INDEX(Transactions!$J:$J,ROW()-8)="",0,INDEX(Transactions!$O:$O,ROW()-8))</f>
      </c>
    </row>
    <row r="2297" spans="1:7">
      <c r="B2297">
        <f>IF(INDEX(Transactions!$J:$J,ROW()-8)="",TODAY(),INDEX(Transactions!$G:$G,ROW()-8))</f>
      </c>
      <c r="F2297">
        <f>IF(INDEX(Transactions!$J:$J,ROW()-8)="",0,INDEX(Transactions!$O:$O,ROW()-8))</f>
      </c>
    </row>
    <row r="2298" spans="1:7">
      <c r="B2298">
        <f>IF(INDEX(Transactions!$J:$J,ROW()-8)="",TODAY(),INDEX(Transactions!$G:$G,ROW()-8))</f>
      </c>
      <c r="F2298">
        <f>IF(INDEX(Transactions!$J:$J,ROW()-8)="",0,INDEX(Transactions!$O:$O,ROW()-8))</f>
      </c>
    </row>
    <row r="2299" spans="1:7">
      <c r="B2299">
        <f>IF(INDEX(Transactions!$J:$J,ROW()-8)="",TODAY(),INDEX(Transactions!$G:$G,ROW()-8))</f>
      </c>
      <c r="F2299">
        <f>IF(INDEX(Transactions!$J:$J,ROW()-8)="",0,INDEX(Transactions!$O:$O,ROW()-8))</f>
      </c>
    </row>
    <row r="2300" spans="1:7">
      <c r="B2300">
        <f>IF(INDEX(Transactions!$J:$J,ROW()-8)="",TODAY(),INDEX(Transactions!$G:$G,ROW()-8))</f>
      </c>
      <c r="F2300">
        <f>IF(INDEX(Transactions!$J:$J,ROW()-8)="",0,INDEX(Transactions!$O:$O,ROW()-8))</f>
      </c>
    </row>
    <row r="2301" spans="1:7">
      <c r="B2301">
        <f>IF(INDEX(Transactions!$J:$J,ROW()-8)="",TODAY(),INDEX(Transactions!$G:$G,ROW()-8))</f>
      </c>
      <c r="F2301">
        <f>IF(INDEX(Transactions!$J:$J,ROW()-8)="",0,INDEX(Transactions!$O:$O,ROW()-8))</f>
      </c>
    </row>
    <row r="2302" spans="1:7">
      <c r="B2302">
        <f>IF(INDEX(Transactions!$J:$J,ROW()-8)="",TODAY(),INDEX(Transactions!$G:$G,ROW()-8))</f>
      </c>
      <c r="F2302">
        <f>IF(INDEX(Transactions!$J:$J,ROW()-8)="",0,INDEX(Transactions!$O:$O,ROW()-8))</f>
      </c>
    </row>
    <row r="2303" spans="1:7">
      <c r="B2303">
        <f>IF(INDEX(Transactions!$J:$J,ROW()-8)="",TODAY(),INDEX(Transactions!$G:$G,ROW()-8))</f>
      </c>
      <c r="F2303">
        <f>IF(INDEX(Transactions!$J:$J,ROW()-8)="",0,INDEX(Transactions!$O:$O,ROW()-8))</f>
      </c>
    </row>
    <row r="2304" spans="1:7">
      <c r="B2304">
        <f>IF(INDEX(Transactions!$J:$J,ROW()-8)="",TODAY(),INDEX(Transactions!$G:$G,ROW()-8))</f>
      </c>
      <c r="F2304">
        <f>IF(INDEX(Transactions!$J:$J,ROW()-8)="",0,INDEX(Transactions!$O:$O,ROW()-8))</f>
      </c>
    </row>
    <row r="2305" spans="1:7">
      <c r="B2305">
        <f>IF(INDEX(Transactions!$J:$J,ROW()-8)="",TODAY(),INDEX(Transactions!$G:$G,ROW()-8))</f>
      </c>
      <c r="F2305">
        <f>IF(INDEX(Transactions!$J:$J,ROW()-8)="",0,INDEX(Transactions!$O:$O,ROW()-8))</f>
      </c>
    </row>
    <row r="2306" spans="1:7">
      <c r="B2306">
        <f>IF(INDEX(Transactions!$J:$J,ROW()-8)="",TODAY(),INDEX(Transactions!$G:$G,ROW()-8))</f>
      </c>
      <c r="F2306">
        <f>IF(INDEX(Transactions!$J:$J,ROW()-8)="",0,INDEX(Transactions!$O:$O,ROW()-8))</f>
      </c>
    </row>
    <row r="2307" spans="1:7">
      <c r="B2307">
        <f>IF(INDEX(Transactions!$J:$J,ROW()-8)="",TODAY(),INDEX(Transactions!$G:$G,ROW()-8))</f>
      </c>
      <c r="F2307">
        <f>IF(INDEX(Transactions!$J:$J,ROW()-8)="",0,INDEX(Transactions!$O:$O,ROW()-8))</f>
      </c>
    </row>
    <row r="2308" spans="1:7">
      <c r="B2308">
        <f>IF(INDEX(Transactions!$J:$J,ROW()-8)="",TODAY(),INDEX(Transactions!$G:$G,ROW()-8))</f>
      </c>
      <c r="F2308">
        <f>IF(INDEX(Transactions!$J:$J,ROW()-8)="",0,INDEX(Transactions!$O:$O,ROW()-8))</f>
      </c>
    </row>
    <row r="2309" spans="1:7">
      <c r="B2309">
        <f>IF(INDEX(Transactions!$J:$J,ROW()-8)="",TODAY(),INDEX(Transactions!$G:$G,ROW()-8))</f>
      </c>
      <c r="F2309">
        <f>IF(INDEX(Transactions!$J:$J,ROW()-8)="",0,INDEX(Transactions!$O:$O,ROW()-8))</f>
      </c>
    </row>
    <row r="2310" spans="1:7">
      <c r="B2310">
        <f>IF(INDEX(Transactions!$J:$J,ROW()-8)="",TODAY(),INDEX(Transactions!$G:$G,ROW()-8))</f>
      </c>
      <c r="F2310">
        <f>IF(INDEX(Transactions!$J:$J,ROW()-8)="",0,INDEX(Transactions!$O:$O,ROW()-8))</f>
      </c>
    </row>
    <row r="2311" spans="1:7">
      <c r="B2311">
        <f>IF(INDEX(Transactions!$J:$J,ROW()-8)="",TODAY(),INDEX(Transactions!$G:$G,ROW()-8))</f>
      </c>
      <c r="F2311">
        <f>IF(INDEX(Transactions!$J:$J,ROW()-8)="",0,INDEX(Transactions!$O:$O,ROW()-8))</f>
      </c>
    </row>
    <row r="2312" spans="1:7">
      <c r="B2312">
        <f>IF(INDEX(Transactions!$J:$J,ROW()-8)="",TODAY(),INDEX(Transactions!$G:$G,ROW()-8))</f>
      </c>
      <c r="F2312">
        <f>IF(INDEX(Transactions!$J:$J,ROW()-8)="",0,INDEX(Transactions!$O:$O,ROW()-8))</f>
      </c>
    </row>
    <row r="2313" spans="1:7">
      <c r="B2313">
        <f>IF(INDEX(Transactions!$J:$J,ROW()-8)="",TODAY(),INDEX(Transactions!$G:$G,ROW()-8))</f>
      </c>
      <c r="F2313">
        <f>IF(INDEX(Transactions!$J:$J,ROW()-8)="",0,INDEX(Transactions!$O:$O,ROW()-8))</f>
      </c>
    </row>
    <row r="2314" spans="1:7">
      <c r="B2314">
        <f>IF(INDEX(Transactions!$J:$J,ROW()-8)="",TODAY(),INDEX(Transactions!$G:$G,ROW()-8))</f>
      </c>
      <c r="F2314">
        <f>IF(INDEX(Transactions!$J:$J,ROW()-8)="",0,INDEX(Transactions!$O:$O,ROW()-8))</f>
      </c>
    </row>
    <row r="2315" spans="1:7">
      <c r="B2315">
        <f>IF(INDEX(Transactions!$J:$J,ROW()-8)="",TODAY(),INDEX(Transactions!$G:$G,ROW()-8))</f>
      </c>
      <c r="F2315">
        <f>IF(INDEX(Transactions!$J:$J,ROW()-8)="",0,INDEX(Transactions!$O:$O,ROW()-8))</f>
      </c>
    </row>
    <row r="2316" spans="1:7">
      <c r="B2316">
        <f>IF(INDEX(Transactions!$J:$J,ROW()-8)="",TODAY(),INDEX(Transactions!$G:$G,ROW()-8))</f>
      </c>
      <c r="F2316">
        <f>IF(INDEX(Transactions!$J:$J,ROW()-8)="",0,INDEX(Transactions!$O:$O,ROW()-8))</f>
      </c>
    </row>
    <row r="2317" spans="1:7">
      <c r="B2317">
        <f>IF(INDEX(Transactions!$J:$J,ROW()-8)="",TODAY(),INDEX(Transactions!$G:$G,ROW()-8))</f>
      </c>
      <c r="F2317">
        <f>IF(INDEX(Transactions!$J:$J,ROW()-8)="",0,INDEX(Transactions!$O:$O,ROW()-8))</f>
      </c>
    </row>
    <row r="2318" spans="1:7">
      <c r="B2318">
        <f>IF(INDEX(Transactions!$J:$J,ROW()-8)="",TODAY(),INDEX(Transactions!$G:$G,ROW()-8))</f>
      </c>
      <c r="F2318">
        <f>IF(INDEX(Transactions!$J:$J,ROW()-8)="",0,INDEX(Transactions!$O:$O,ROW()-8))</f>
      </c>
    </row>
    <row r="2319" spans="1:7">
      <c r="B2319">
        <f>IF(INDEX(Transactions!$J:$J,ROW()-8)="",TODAY(),INDEX(Transactions!$G:$G,ROW()-8))</f>
      </c>
      <c r="F2319">
        <f>IF(INDEX(Transactions!$J:$J,ROW()-8)="",0,INDEX(Transactions!$O:$O,ROW()-8))</f>
      </c>
    </row>
    <row r="2320" spans="1:7">
      <c r="B2320">
        <f>IF(INDEX(Transactions!$J:$J,ROW()-8)="",TODAY(),INDEX(Transactions!$G:$G,ROW()-8))</f>
      </c>
      <c r="F2320">
        <f>IF(INDEX(Transactions!$J:$J,ROW()-8)="",0,INDEX(Transactions!$O:$O,ROW()-8))</f>
      </c>
    </row>
    <row r="2321" spans="1:7">
      <c r="B2321">
        <f>IF(INDEX(Transactions!$J:$J,ROW()-8)="",TODAY(),INDEX(Transactions!$G:$G,ROW()-8))</f>
      </c>
      <c r="F2321">
        <f>IF(INDEX(Transactions!$J:$J,ROW()-8)="",0,INDEX(Transactions!$O:$O,ROW()-8))</f>
      </c>
    </row>
    <row r="2322" spans="1:7">
      <c r="B2322">
        <f>IF(INDEX(Transactions!$J:$J,ROW()-8)="",TODAY(),INDEX(Transactions!$G:$G,ROW()-8))</f>
      </c>
      <c r="F2322">
        <f>IF(INDEX(Transactions!$J:$J,ROW()-8)="",0,INDEX(Transactions!$O:$O,ROW()-8))</f>
      </c>
    </row>
    <row r="2323" spans="1:7">
      <c r="B2323">
        <f>IF(INDEX(Transactions!$J:$J,ROW()-8)="",TODAY(),INDEX(Transactions!$G:$G,ROW()-8))</f>
      </c>
      <c r="F2323">
        <f>IF(INDEX(Transactions!$J:$J,ROW()-8)="",0,INDEX(Transactions!$O:$O,ROW()-8))</f>
      </c>
    </row>
    <row r="2324" spans="1:7">
      <c r="B2324">
        <f>IF(INDEX(Transactions!$J:$J,ROW()-8)="",TODAY(),INDEX(Transactions!$G:$G,ROW()-8))</f>
      </c>
      <c r="F2324">
        <f>IF(INDEX(Transactions!$J:$J,ROW()-8)="",0,INDEX(Transactions!$O:$O,ROW()-8))</f>
      </c>
    </row>
    <row r="2325" spans="1:7">
      <c r="B2325">
        <f>IF(INDEX(Transactions!$J:$J,ROW()-8)="",TODAY(),INDEX(Transactions!$G:$G,ROW()-8))</f>
      </c>
      <c r="F2325">
        <f>IF(INDEX(Transactions!$J:$J,ROW()-8)="",0,INDEX(Transactions!$O:$O,ROW()-8))</f>
      </c>
    </row>
    <row r="2326" spans="1:7">
      <c r="B2326">
        <f>IF(INDEX(Transactions!$J:$J,ROW()-8)="",TODAY(),INDEX(Transactions!$G:$G,ROW()-8))</f>
      </c>
      <c r="F2326">
        <f>IF(INDEX(Transactions!$J:$J,ROW()-8)="",0,INDEX(Transactions!$O:$O,ROW()-8))</f>
      </c>
    </row>
    <row r="2327" spans="1:7">
      <c r="B2327">
        <f>IF(INDEX(Transactions!$J:$J,ROW()-8)="",TODAY(),INDEX(Transactions!$G:$G,ROW()-8))</f>
      </c>
      <c r="F2327">
        <f>IF(INDEX(Transactions!$J:$J,ROW()-8)="",0,INDEX(Transactions!$O:$O,ROW()-8))</f>
      </c>
    </row>
    <row r="2328" spans="1:7">
      <c r="B2328">
        <f>IF(INDEX(Transactions!$J:$J,ROW()-8)="",TODAY(),INDEX(Transactions!$G:$G,ROW()-8))</f>
      </c>
      <c r="F2328">
        <f>IF(INDEX(Transactions!$J:$J,ROW()-8)="",0,INDEX(Transactions!$O:$O,ROW()-8))</f>
      </c>
    </row>
    <row r="2329" spans="1:7">
      <c r="B2329">
        <f>IF(INDEX(Transactions!$J:$J,ROW()-8)="",TODAY(),INDEX(Transactions!$G:$G,ROW()-8))</f>
      </c>
      <c r="F2329">
        <f>IF(INDEX(Transactions!$J:$J,ROW()-8)="",0,INDEX(Transactions!$O:$O,ROW()-8))</f>
      </c>
    </row>
    <row r="2330" spans="1:7">
      <c r="B2330">
        <f>IF(INDEX(Transactions!$J:$J,ROW()-8)="",TODAY(),INDEX(Transactions!$G:$G,ROW()-8))</f>
      </c>
      <c r="F2330">
        <f>IF(INDEX(Transactions!$J:$J,ROW()-8)="",0,INDEX(Transactions!$O:$O,ROW()-8))</f>
      </c>
    </row>
    <row r="2331" spans="1:7">
      <c r="B2331">
        <f>IF(INDEX(Transactions!$J:$J,ROW()-8)="",TODAY(),INDEX(Transactions!$G:$G,ROW()-8))</f>
      </c>
      <c r="F2331">
        <f>IF(INDEX(Transactions!$J:$J,ROW()-8)="",0,INDEX(Transactions!$O:$O,ROW()-8))</f>
      </c>
    </row>
    <row r="2332" spans="1:7">
      <c r="B2332">
        <f>IF(INDEX(Transactions!$J:$J,ROW()-8)="",TODAY(),INDEX(Transactions!$G:$G,ROW()-8))</f>
      </c>
      <c r="F2332">
        <f>IF(INDEX(Transactions!$J:$J,ROW()-8)="",0,INDEX(Transactions!$O:$O,ROW()-8))</f>
      </c>
    </row>
    <row r="2333" spans="1:7">
      <c r="B2333">
        <f>IF(INDEX(Transactions!$J:$J,ROW()-8)="",TODAY(),INDEX(Transactions!$G:$G,ROW()-8))</f>
      </c>
      <c r="F2333">
        <f>IF(INDEX(Transactions!$J:$J,ROW()-8)="",0,INDEX(Transactions!$O:$O,ROW()-8))</f>
      </c>
    </row>
    <row r="2334" spans="1:7">
      <c r="B2334">
        <f>IF(INDEX(Transactions!$J:$J,ROW()-8)="",TODAY(),INDEX(Transactions!$G:$G,ROW()-8))</f>
      </c>
      <c r="F2334">
        <f>IF(INDEX(Transactions!$J:$J,ROW()-8)="",0,INDEX(Transactions!$O:$O,ROW()-8))</f>
      </c>
    </row>
    <row r="2335" spans="1:7">
      <c r="B2335">
        <f>IF(INDEX(Transactions!$J:$J,ROW()-8)="",TODAY(),INDEX(Transactions!$G:$G,ROW()-8))</f>
      </c>
      <c r="F2335">
        <f>IF(INDEX(Transactions!$J:$J,ROW()-8)="",0,INDEX(Transactions!$O:$O,ROW()-8))</f>
      </c>
    </row>
    <row r="2336" spans="1:7">
      <c r="B2336">
        <f>IF(INDEX(Transactions!$J:$J,ROW()-8)="",TODAY(),INDEX(Transactions!$G:$G,ROW()-8))</f>
      </c>
      <c r="F2336">
        <f>IF(INDEX(Transactions!$J:$J,ROW()-8)="",0,INDEX(Transactions!$O:$O,ROW()-8))</f>
      </c>
    </row>
    <row r="2337" spans="1:7">
      <c r="B2337">
        <f>IF(INDEX(Transactions!$J:$J,ROW()-8)="",TODAY(),INDEX(Transactions!$G:$G,ROW()-8))</f>
      </c>
      <c r="F2337">
        <f>IF(INDEX(Transactions!$J:$J,ROW()-8)="",0,INDEX(Transactions!$O:$O,ROW()-8))</f>
      </c>
    </row>
    <row r="2338" spans="1:7">
      <c r="B2338">
        <f>IF(INDEX(Transactions!$J:$J,ROW()-8)="",TODAY(),INDEX(Transactions!$G:$G,ROW()-8))</f>
      </c>
      <c r="F2338">
        <f>IF(INDEX(Transactions!$J:$J,ROW()-8)="",0,INDEX(Transactions!$O:$O,ROW()-8))</f>
      </c>
    </row>
    <row r="2339" spans="1:7">
      <c r="B2339">
        <f>IF(INDEX(Transactions!$J:$J,ROW()-8)="",TODAY(),INDEX(Transactions!$G:$G,ROW()-8))</f>
      </c>
      <c r="F2339">
        <f>IF(INDEX(Transactions!$J:$J,ROW()-8)="",0,INDEX(Transactions!$O:$O,ROW()-8))</f>
      </c>
    </row>
    <row r="2340" spans="1:7">
      <c r="B2340">
        <f>IF(INDEX(Transactions!$J:$J,ROW()-8)="",TODAY(),INDEX(Transactions!$G:$G,ROW()-8))</f>
      </c>
      <c r="F2340">
        <f>IF(INDEX(Transactions!$J:$J,ROW()-8)="",0,INDEX(Transactions!$O:$O,ROW()-8))</f>
      </c>
    </row>
    <row r="2341" spans="1:7">
      <c r="B2341">
        <f>IF(INDEX(Transactions!$J:$J,ROW()-8)="",TODAY(),INDEX(Transactions!$G:$G,ROW()-8))</f>
      </c>
      <c r="F2341">
        <f>IF(INDEX(Transactions!$J:$J,ROW()-8)="",0,INDEX(Transactions!$O:$O,ROW()-8))</f>
      </c>
    </row>
    <row r="2342" spans="1:7">
      <c r="B2342">
        <f>IF(INDEX(Transactions!$J:$J,ROW()-8)="",TODAY(),INDEX(Transactions!$G:$G,ROW()-8))</f>
      </c>
      <c r="F2342">
        <f>IF(INDEX(Transactions!$J:$J,ROW()-8)="",0,INDEX(Transactions!$O:$O,ROW()-8))</f>
      </c>
    </row>
    <row r="2343" spans="1:7">
      <c r="B2343">
        <f>IF(INDEX(Transactions!$J:$J,ROW()-8)="",TODAY(),INDEX(Transactions!$G:$G,ROW()-8))</f>
      </c>
      <c r="F2343">
        <f>IF(INDEX(Transactions!$J:$J,ROW()-8)="",0,INDEX(Transactions!$O:$O,ROW()-8))</f>
      </c>
    </row>
    <row r="2344" spans="1:7">
      <c r="B2344">
        <f>IF(INDEX(Transactions!$J:$J,ROW()-8)="",TODAY(),INDEX(Transactions!$G:$G,ROW()-8))</f>
      </c>
      <c r="F2344">
        <f>IF(INDEX(Transactions!$J:$J,ROW()-8)="",0,INDEX(Transactions!$O:$O,ROW()-8))</f>
      </c>
    </row>
    <row r="2345" spans="1:7">
      <c r="B2345">
        <f>IF(INDEX(Transactions!$J:$J,ROW()-8)="",TODAY(),INDEX(Transactions!$G:$G,ROW()-8))</f>
      </c>
      <c r="F2345">
        <f>IF(INDEX(Transactions!$J:$J,ROW()-8)="",0,INDEX(Transactions!$O:$O,ROW()-8))</f>
      </c>
    </row>
    <row r="2346" spans="1:7">
      <c r="B2346">
        <f>IF(INDEX(Transactions!$J:$J,ROW()-8)="",TODAY(),INDEX(Transactions!$G:$G,ROW()-8))</f>
      </c>
      <c r="F2346">
        <f>IF(INDEX(Transactions!$J:$J,ROW()-8)="",0,INDEX(Transactions!$O:$O,ROW()-8))</f>
      </c>
    </row>
    <row r="2347" spans="1:7">
      <c r="B2347">
        <f>IF(INDEX(Transactions!$J:$J,ROW()-8)="",TODAY(),INDEX(Transactions!$G:$G,ROW()-8))</f>
      </c>
      <c r="F2347">
        <f>IF(INDEX(Transactions!$J:$J,ROW()-8)="",0,INDEX(Transactions!$O:$O,ROW()-8))</f>
      </c>
    </row>
    <row r="2348" spans="1:7">
      <c r="B2348">
        <f>IF(INDEX(Transactions!$J:$J,ROW()-8)="",TODAY(),INDEX(Transactions!$G:$G,ROW()-8))</f>
      </c>
      <c r="F2348">
        <f>IF(INDEX(Transactions!$J:$J,ROW()-8)="",0,INDEX(Transactions!$O:$O,ROW()-8))</f>
      </c>
    </row>
    <row r="2349" spans="1:7">
      <c r="B2349">
        <f>IF(INDEX(Transactions!$J:$J,ROW()-8)="",TODAY(),INDEX(Transactions!$G:$G,ROW()-8))</f>
      </c>
      <c r="F2349">
        <f>IF(INDEX(Transactions!$J:$J,ROW()-8)="",0,INDEX(Transactions!$O:$O,ROW()-8))</f>
      </c>
    </row>
    <row r="2350" spans="1:7">
      <c r="B2350">
        <f>IF(INDEX(Transactions!$J:$J,ROW()-8)="",TODAY(),INDEX(Transactions!$G:$G,ROW()-8))</f>
      </c>
      <c r="F2350">
        <f>IF(INDEX(Transactions!$J:$J,ROW()-8)="",0,INDEX(Transactions!$O:$O,ROW()-8))</f>
      </c>
    </row>
    <row r="2351" spans="1:7">
      <c r="B2351">
        <f>IF(INDEX(Transactions!$J:$J,ROW()-8)="",TODAY(),INDEX(Transactions!$G:$G,ROW()-8))</f>
      </c>
      <c r="F2351">
        <f>IF(INDEX(Transactions!$J:$J,ROW()-8)="",0,INDEX(Transactions!$O:$O,ROW()-8))</f>
      </c>
    </row>
    <row r="2352" spans="1:7">
      <c r="B2352">
        <f>IF(INDEX(Transactions!$J:$J,ROW()-8)="",TODAY(),INDEX(Transactions!$G:$G,ROW()-8))</f>
      </c>
      <c r="F2352">
        <f>IF(INDEX(Transactions!$J:$J,ROW()-8)="",0,INDEX(Transactions!$O:$O,ROW()-8))</f>
      </c>
    </row>
    <row r="2353" spans="1:7">
      <c r="B2353">
        <f>IF(INDEX(Transactions!$J:$J,ROW()-8)="",TODAY(),INDEX(Transactions!$G:$G,ROW()-8))</f>
      </c>
      <c r="F2353">
        <f>IF(INDEX(Transactions!$J:$J,ROW()-8)="",0,INDEX(Transactions!$O:$O,ROW()-8))</f>
      </c>
    </row>
    <row r="2354" spans="1:7">
      <c r="B2354">
        <f>IF(INDEX(Transactions!$J:$J,ROW()-8)="",TODAY(),INDEX(Transactions!$G:$G,ROW()-8))</f>
      </c>
      <c r="F2354">
        <f>IF(INDEX(Transactions!$J:$J,ROW()-8)="",0,INDEX(Transactions!$O:$O,ROW()-8))</f>
      </c>
    </row>
    <row r="2355" spans="1:7">
      <c r="B2355">
        <f>IF(INDEX(Transactions!$J:$J,ROW()-8)="",TODAY(),INDEX(Transactions!$G:$G,ROW()-8))</f>
      </c>
      <c r="F2355">
        <f>IF(INDEX(Transactions!$J:$J,ROW()-8)="",0,INDEX(Transactions!$O:$O,ROW()-8))</f>
      </c>
    </row>
    <row r="2356" spans="1:7">
      <c r="B2356">
        <f>IF(INDEX(Transactions!$J:$J,ROW()-8)="",TODAY(),INDEX(Transactions!$G:$G,ROW()-8))</f>
      </c>
      <c r="F2356">
        <f>IF(INDEX(Transactions!$J:$J,ROW()-8)="",0,INDEX(Transactions!$O:$O,ROW()-8))</f>
      </c>
    </row>
    <row r="2357" spans="1:7">
      <c r="B2357">
        <f>IF(INDEX(Transactions!$J:$J,ROW()-8)="",TODAY(),INDEX(Transactions!$G:$G,ROW()-8))</f>
      </c>
      <c r="F2357">
        <f>IF(INDEX(Transactions!$J:$J,ROW()-8)="",0,INDEX(Transactions!$O:$O,ROW()-8))</f>
      </c>
    </row>
    <row r="2358" spans="1:7">
      <c r="B2358">
        <f>IF(INDEX(Transactions!$J:$J,ROW()-8)="",TODAY(),INDEX(Transactions!$G:$G,ROW()-8))</f>
      </c>
      <c r="F2358">
        <f>IF(INDEX(Transactions!$J:$J,ROW()-8)="",0,INDEX(Transactions!$O:$O,ROW()-8))</f>
      </c>
    </row>
    <row r="2359" spans="1:7">
      <c r="B2359">
        <f>IF(INDEX(Transactions!$J:$J,ROW()-8)="",TODAY(),INDEX(Transactions!$G:$G,ROW()-8))</f>
      </c>
      <c r="F2359">
        <f>IF(INDEX(Transactions!$J:$J,ROW()-8)="",0,INDEX(Transactions!$O:$O,ROW()-8))</f>
      </c>
    </row>
    <row r="2360" spans="1:7">
      <c r="B2360">
        <f>IF(INDEX(Transactions!$J:$J,ROW()-8)="",TODAY(),INDEX(Transactions!$G:$G,ROW()-8))</f>
      </c>
      <c r="F2360">
        <f>IF(INDEX(Transactions!$J:$J,ROW()-8)="",0,INDEX(Transactions!$O:$O,ROW()-8))</f>
      </c>
    </row>
    <row r="2361" spans="1:7">
      <c r="B2361">
        <f>IF(INDEX(Transactions!$J:$J,ROW()-8)="",TODAY(),INDEX(Transactions!$G:$G,ROW()-8))</f>
      </c>
      <c r="F2361">
        <f>IF(INDEX(Transactions!$J:$J,ROW()-8)="",0,INDEX(Transactions!$O:$O,ROW()-8))</f>
      </c>
    </row>
    <row r="2362" spans="1:7">
      <c r="B2362">
        <f>IF(INDEX(Transactions!$J:$J,ROW()-8)="",TODAY(),INDEX(Transactions!$G:$G,ROW()-8))</f>
      </c>
      <c r="F2362">
        <f>IF(INDEX(Transactions!$J:$J,ROW()-8)="",0,INDEX(Transactions!$O:$O,ROW()-8))</f>
      </c>
    </row>
    <row r="2363" spans="1:7">
      <c r="B2363">
        <f>IF(INDEX(Transactions!$J:$J,ROW()-8)="",TODAY(),INDEX(Transactions!$G:$G,ROW()-8))</f>
      </c>
      <c r="F2363">
        <f>IF(INDEX(Transactions!$J:$J,ROW()-8)="",0,INDEX(Transactions!$O:$O,ROW()-8))</f>
      </c>
    </row>
    <row r="2364" spans="1:7">
      <c r="B2364">
        <f>IF(INDEX(Transactions!$J:$J,ROW()-8)="",TODAY(),INDEX(Transactions!$G:$G,ROW()-8))</f>
      </c>
      <c r="F2364">
        <f>IF(INDEX(Transactions!$J:$J,ROW()-8)="",0,INDEX(Transactions!$O:$O,ROW()-8))</f>
      </c>
    </row>
    <row r="2365" spans="1:7">
      <c r="B2365">
        <f>IF(INDEX(Transactions!$J:$J,ROW()-8)="",TODAY(),INDEX(Transactions!$G:$G,ROW()-8))</f>
      </c>
      <c r="F2365">
        <f>IF(INDEX(Transactions!$J:$J,ROW()-8)="",0,INDEX(Transactions!$O:$O,ROW()-8))</f>
      </c>
    </row>
    <row r="2366" spans="1:7">
      <c r="B2366">
        <f>IF(INDEX(Transactions!$J:$J,ROW()-8)="",TODAY(),INDEX(Transactions!$G:$G,ROW()-8))</f>
      </c>
      <c r="F2366">
        <f>IF(INDEX(Transactions!$J:$J,ROW()-8)="",0,INDEX(Transactions!$O:$O,ROW()-8))</f>
      </c>
    </row>
    <row r="2367" spans="1:7">
      <c r="B2367">
        <f>IF(INDEX(Transactions!$J:$J,ROW()-8)="",TODAY(),INDEX(Transactions!$G:$G,ROW()-8))</f>
      </c>
      <c r="F2367">
        <f>IF(INDEX(Transactions!$J:$J,ROW()-8)="",0,INDEX(Transactions!$O:$O,ROW()-8))</f>
      </c>
    </row>
    <row r="2368" spans="1:7">
      <c r="B2368">
        <f>IF(INDEX(Transactions!$J:$J,ROW()-8)="",TODAY(),INDEX(Transactions!$G:$G,ROW()-8))</f>
      </c>
      <c r="F2368">
        <f>IF(INDEX(Transactions!$J:$J,ROW()-8)="",0,INDEX(Transactions!$O:$O,ROW()-8))</f>
      </c>
    </row>
    <row r="2369" spans="1:7">
      <c r="B2369">
        <f>IF(INDEX(Transactions!$J:$J,ROW()-8)="",TODAY(),INDEX(Transactions!$G:$G,ROW()-8))</f>
      </c>
      <c r="F2369">
        <f>IF(INDEX(Transactions!$J:$J,ROW()-8)="",0,INDEX(Transactions!$O:$O,ROW()-8))</f>
      </c>
    </row>
    <row r="2370" spans="1:7">
      <c r="B2370">
        <f>IF(INDEX(Transactions!$J:$J,ROW()-8)="",TODAY(),INDEX(Transactions!$G:$G,ROW()-8))</f>
      </c>
      <c r="F2370">
        <f>IF(INDEX(Transactions!$J:$J,ROW()-8)="",0,INDEX(Transactions!$O:$O,ROW()-8))</f>
      </c>
    </row>
    <row r="2371" spans="1:7">
      <c r="B2371">
        <f>IF(INDEX(Transactions!$J:$J,ROW()-8)="",TODAY(),INDEX(Transactions!$G:$G,ROW()-8))</f>
      </c>
      <c r="F2371">
        <f>IF(INDEX(Transactions!$J:$J,ROW()-8)="",0,INDEX(Transactions!$O:$O,ROW()-8))</f>
      </c>
    </row>
    <row r="2372" spans="1:7">
      <c r="B2372">
        <f>IF(INDEX(Transactions!$J:$J,ROW()-8)="",TODAY(),INDEX(Transactions!$G:$G,ROW()-8))</f>
      </c>
      <c r="F2372">
        <f>IF(INDEX(Transactions!$J:$J,ROW()-8)="",0,INDEX(Transactions!$O:$O,ROW()-8))</f>
      </c>
    </row>
    <row r="2373" spans="1:7">
      <c r="B2373">
        <f>IF(INDEX(Transactions!$J:$J,ROW()-8)="",TODAY(),INDEX(Transactions!$G:$G,ROW()-8))</f>
      </c>
      <c r="F2373">
        <f>IF(INDEX(Transactions!$J:$J,ROW()-8)="",0,INDEX(Transactions!$O:$O,ROW()-8))</f>
      </c>
    </row>
    <row r="2374" spans="1:7">
      <c r="B2374">
        <f>IF(INDEX(Transactions!$J:$J,ROW()-8)="",TODAY(),INDEX(Transactions!$G:$G,ROW()-8))</f>
      </c>
      <c r="F2374">
        <f>IF(INDEX(Transactions!$J:$J,ROW()-8)="",0,INDEX(Transactions!$O:$O,ROW()-8))</f>
      </c>
    </row>
    <row r="2375" spans="1:7">
      <c r="B2375">
        <f>IF(INDEX(Transactions!$J:$J,ROW()-8)="",TODAY(),INDEX(Transactions!$G:$G,ROW()-8))</f>
      </c>
      <c r="F2375">
        <f>IF(INDEX(Transactions!$J:$J,ROW()-8)="",0,INDEX(Transactions!$O:$O,ROW()-8))</f>
      </c>
    </row>
    <row r="2376" spans="1:7">
      <c r="B2376">
        <f>IF(INDEX(Transactions!$J:$J,ROW()-8)="",TODAY(),INDEX(Transactions!$G:$G,ROW()-8))</f>
      </c>
      <c r="F2376">
        <f>IF(INDEX(Transactions!$J:$J,ROW()-8)="",0,INDEX(Transactions!$O:$O,ROW()-8))</f>
      </c>
    </row>
    <row r="2377" spans="1:7">
      <c r="B2377">
        <f>IF(INDEX(Transactions!$J:$J,ROW()-8)="",TODAY(),INDEX(Transactions!$G:$G,ROW()-8))</f>
      </c>
      <c r="F2377">
        <f>IF(INDEX(Transactions!$J:$J,ROW()-8)="",0,INDEX(Transactions!$O:$O,ROW()-8))</f>
      </c>
    </row>
    <row r="2378" spans="1:7">
      <c r="B2378">
        <f>IF(INDEX(Transactions!$J:$J,ROW()-8)="",TODAY(),INDEX(Transactions!$G:$G,ROW()-8))</f>
      </c>
      <c r="F2378">
        <f>IF(INDEX(Transactions!$J:$J,ROW()-8)="",0,INDEX(Transactions!$O:$O,ROW()-8))</f>
      </c>
    </row>
    <row r="2379" spans="1:7">
      <c r="B2379">
        <f>IF(INDEX(Transactions!$J:$J,ROW()-8)="",TODAY(),INDEX(Transactions!$G:$G,ROW()-8))</f>
      </c>
      <c r="F2379">
        <f>IF(INDEX(Transactions!$J:$J,ROW()-8)="",0,INDEX(Transactions!$O:$O,ROW()-8))</f>
      </c>
    </row>
    <row r="2380" spans="1:7">
      <c r="B2380">
        <f>IF(INDEX(Transactions!$J:$J,ROW()-8)="",TODAY(),INDEX(Transactions!$G:$G,ROW()-8))</f>
      </c>
      <c r="F2380">
        <f>IF(INDEX(Transactions!$J:$J,ROW()-8)="",0,INDEX(Transactions!$O:$O,ROW()-8))</f>
      </c>
    </row>
    <row r="2381" spans="1:7">
      <c r="B2381">
        <f>IF(INDEX(Transactions!$J:$J,ROW()-8)="",TODAY(),INDEX(Transactions!$G:$G,ROW()-8))</f>
      </c>
      <c r="F2381">
        <f>IF(INDEX(Transactions!$J:$J,ROW()-8)="",0,INDEX(Transactions!$O:$O,ROW()-8))</f>
      </c>
    </row>
    <row r="2382" spans="1:7">
      <c r="B2382">
        <f>IF(INDEX(Transactions!$J:$J,ROW()-8)="",TODAY(),INDEX(Transactions!$G:$G,ROW()-8))</f>
      </c>
      <c r="F2382">
        <f>IF(INDEX(Transactions!$J:$J,ROW()-8)="",0,INDEX(Transactions!$O:$O,ROW()-8))</f>
      </c>
    </row>
    <row r="2383" spans="1:7">
      <c r="B2383">
        <f>IF(INDEX(Transactions!$J:$J,ROW()-8)="",TODAY(),INDEX(Transactions!$G:$G,ROW()-8))</f>
      </c>
      <c r="F2383">
        <f>IF(INDEX(Transactions!$J:$J,ROW()-8)="",0,INDEX(Transactions!$O:$O,ROW()-8))</f>
      </c>
    </row>
    <row r="2384" spans="1:7">
      <c r="B2384">
        <f>IF(INDEX(Transactions!$J:$J,ROW()-8)="",TODAY(),INDEX(Transactions!$G:$G,ROW()-8))</f>
      </c>
      <c r="F2384">
        <f>IF(INDEX(Transactions!$J:$J,ROW()-8)="",0,INDEX(Transactions!$O:$O,ROW()-8))</f>
      </c>
    </row>
    <row r="2385" spans="1:7">
      <c r="B2385">
        <f>IF(INDEX(Transactions!$J:$J,ROW()-8)="",TODAY(),INDEX(Transactions!$G:$G,ROW()-8))</f>
      </c>
      <c r="F2385">
        <f>IF(INDEX(Transactions!$J:$J,ROW()-8)="",0,INDEX(Transactions!$O:$O,ROW()-8))</f>
      </c>
    </row>
    <row r="2386" spans="1:7">
      <c r="B2386">
        <f>IF(INDEX(Transactions!$J:$J,ROW()-8)="",TODAY(),INDEX(Transactions!$G:$G,ROW()-8))</f>
      </c>
      <c r="F2386">
        <f>IF(INDEX(Transactions!$J:$J,ROW()-8)="",0,INDEX(Transactions!$O:$O,ROW()-8))</f>
      </c>
    </row>
    <row r="2387" spans="1:7">
      <c r="B2387">
        <f>IF(INDEX(Transactions!$J:$J,ROW()-8)="",TODAY(),INDEX(Transactions!$G:$G,ROW()-8))</f>
      </c>
      <c r="F2387">
        <f>IF(INDEX(Transactions!$J:$J,ROW()-8)="",0,INDEX(Transactions!$O:$O,ROW()-8))</f>
      </c>
    </row>
    <row r="2388" spans="1:7">
      <c r="B2388">
        <f>IF(INDEX(Transactions!$J:$J,ROW()-8)="",TODAY(),INDEX(Transactions!$G:$G,ROW()-8))</f>
      </c>
      <c r="F2388">
        <f>IF(INDEX(Transactions!$J:$J,ROW()-8)="",0,INDEX(Transactions!$O:$O,ROW()-8))</f>
      </c>
    </row>
    <row r="2389" spans="1:7">
      <c r="B2389">
        <f>IF(INDEX(Transactions!$J:$J,ROW()-8)="",TODAY(),INDEX(Transactions!$G:$G,ROW()-8))</f>
      </c>
      <c r="F2389">
        <f>IF(INDEX(Transactions!$J:$J,ROW()-8)="",0,INDEX(Transactions!$O:$O,ROW()-8))</f>
      </c>
    </row>
    <row r="2390" spans="1:7">
      <c r="B2390">
        <f>IF(INDEX(Transactions!$J:$J,ROW()-8)="",TODAY(),INDEX(Transactions!$G:$G,ROW()-8))</f>
      </c>
      <c r="F2390">
        <f>IF(INDEX(Transactions!$J:$J,ROW()-8)="",0,INDEX(Transactions!$O:$O,ROW()-8))</f>
      </c>
    </row>
    <row r="2391" spans="1:7">
      <c r="B2391">
        <f>IF(INDEX(Transactions!$J:$J,ROW()-8)="",TODAY(),INDEX(Transactions!$G:$G,ROW()-8))</f>
      </c>
      <c r="F2391">
        <f>IF(INDEX(Transactions!$J:$J,ROW()-8)="",0,INDEX(Transactions!$O:$O,ROW()-8))</f>
      </c>
    </row>
    <row r="2392" spans="1:7">
      <c r="B2392">
        <f>IF(INDEX(Transactions!$J:$J,ROW()-8)="",TODAY(),INDEX(Transactions!$G:$G,ROW()-8))</f>
      </c>
      <c r="F2392">
        <f>IF(INDEX(Transactions!$J:$J,ROW()-8)="",0,INDEX(Transactions!$O:$O,ROW()-8))</f>
      </c>
    </row>
    <row r="2393" spans="1:7">
      <c r="B2393">
        <f>IF(INDEX(Transactions!$J:$J,ROW()-8)="",TODAY(),INDEX(Transactions!$G:$G,ROW()-8))</f>
      </c>
      <c r="F2393">
        <f>IF(INDEX(Transactions!$J:$J,ROW()-8)="",0,INDEX(Transactions!$O:$O,ROW()-8))</f>
      </c>
    </row>
    <row r="2394" spans="1:7">
      <c r="B2394">
        <f>IF(INDEX(Transactions!$J:$J,ROW()-8)="",TODAY(),INDEX(Transactions!$G:$G,ROW()-8))</f>
      </c>
      <c r="F2394">
        <f>IF(INDEX(Transactions!$J:$J,ROW()-8)="",0,INDEX(Transactions!$O:$O,ROW()-8))</f>
      </c>
    </row>
    <row r="2395" spans="1:7">
      <c r="B2395">
        <f>IF(INDEX(Transactions!$J:$J,ROW()-8)="",TODAY(),INDEX(Transactions!$G:$G,ROW()-8))</f>
      </c>
      <c r="F2395">
        <f>IF(INDEX(Transactions!$J:$J,ROW()-8)="",0,INDEX(Transactions!$O:$O,ROW()-8))</f>
      </c>
    </row>
    <row r="2396" spans="1:7">
      <c r="B2396">
        <f>IF(INDEX(Transactions!$J:$J,ROW()-8)="",TODAY(),INDEX(Transactions!$G:$G,ROW()-8))</f>
      </c>
      <c r="F2396">
        <f>IF(INDEX(Transactions!$J:$J,ROW()-8)="",0,INDEX(Transactions!$O:$O,ROW()-8))</f>
      </c>
    </row>
    <row r="2397" spans="1:7">
      <c r="B2397">
        <f>IF(INDEX(Transactions!$J:$J,ROW()-8)="",TODAY(),INDEX(Transactions!$G:$G,ROW()-8))</f>
      </c>
      <c r="F2397">
        <f>IF(INDEX(Transactions!$J:$J,ROW()-8)="",0,INDEX(Transactions!$O:$O,ROW()-8))</f>
      </c>
    </row>
    <row r="2398" spans="1:7">
      <c r="B2398">
        <f>IF(INDEX(Transactions!$J:$J,ROW()-8)="",TODAY(),INDEX(Transactions!$G:$G,ROW()-8))</f>
      </c>
      <c r="F2398">
        <f>IF(INDEX(Transactions!$J:$J,ROW()-8)="",0,INDEX(Transactions!$O:$O,ROW()-8))</f>
      </c>
    </row>
    <row r="2399" spans="1:7">
      <c r="B2399">
        <f>IF(INDEX(Transactions!$J:$J,ROW()-8)="",TODAY(),INDEX(Transactions!$G:$G,ROW()-8))</f>
      </c>
      <c r="F2399">
        <f>IF(INDEX(Transactions!$J:$J,ROW()-8)="",0,INDEX(Transactions!$O:$O,ROW()-8))</f>
      </c>
    </row>
    <row r="2400" spans="1:7">
      <c r="B2400">
        <f>IF(INDEX(Transactions!$J:$J,ROW()-8)="",TODAY(),INDEX(Transactions!$G:$G,ROW()-8))</f>
      </c>
      <c r="F2400">
        <f>IF(INDEX(Transactions!$J:$J,ROW()-8)="",0,INDEX(Transactions!$O:$O,ROW()-8))</f>
      </c>
    </row>
    <row r="2401" spans="1:7">
      <c r="B2401">
        <f>IF(INDEX(Transactions!$J:$J,ROW()-8)="",TODAY(),INDEX(Transactions!$G:$G,ROW()-8))</f>
      </c>
      <c r="F2401">
        <f>IF(INDEX(Transactions!$J:$J,ROW()-8)="",0,INDEX(Transactions!$O:$O,ROW()-8))</f>
      </c>
    </row>
    <row r="2402" spans="1:7">
      <c r="B2402">
        <f>IF(INDEX(Transactions!$J:$J,ROW()-8)="",TODAY(),INDEX(Transactions!$G:$G,ROW()-8))</f>
      </c>
      <c r="F2402">
        <f>IF(INDEX(Transactions!$J:$J,ROW()-8)="",0,INDEX(Transactions!$O:$O,ROW()-8))</f>
      </c>
    </row>
    <row r="2403" spans="1:7">
      <c r="B2403">
        <f>IF(INDEX(Transactions!$J:$J,ROW()-8)="",TODAY(),INDEX(Transactions!$G:$G,ROW()-8))</f>
      </c>
      <c r="F2403">
        <f>IF(INDEX(Transactions!$J:$J,ROW()-8)="",0,INDEX(Transactions!$O:$O,ROW()-8))</f>
      </c>
    </row>
    <row r="2404" spans="1:7">
      <c r="B2404">
        <f>IF(INDEX(Transactions!$J:$J,ROW()-8)="",TODAY(),INDEX(Transactions!$G:$G,ROW()-8))</f>
      </c>
      <c r="F2404">
        <f>IF(INDEX(Transactions!$J:$J,ROW()-8)="",0,INDEX(Transactions!$O:$O,ROW()-8))</f>
      </c>
    </row>
    <row r="2405" spans="1:7">
      <c r="B2405">
        <f>IF(INDEX(Transactions!$J:$J,ROW()-8)="",TODAY(),INDEX(Transactions!$G:$G,ROW()-8))</f>
      </c>
      <c r="F2405">
        <f>IF(INDEX(Transactions!$J:$J,ROW()-8)="",0,INDEX(Transactions!$O:$O,ROW()-8))</f>
      </c>
    </row>
    <row r="2406" spans="1:7">
      <c r="B2406">
        <f>IF(INDEX(Transactions!$J:$J,ROW()-8)="",TODAY(),INDEX(Transactions!$G:$G,ROW()-8))</f>
      </c>
      <c r="F2406">
        <f>IF(INDEX(Transactions!$J:$J,ROW()-8)="",0,INDEX(Transactions!$O:$O,ROW()-8))</f>
      </c>
    </row>
    <row r="2407" spans="1:7">
      <c r="B2407">
        <f>IF(INDEX(Transactions!$J:$J,ROW()-8)="",TODAY(),INDEX(Transactions!$G:$G,ROW()-8))</f>
      </c>
      <c r="F2407">
        <f>IF(INDEX(Transactions!$J:$J,ROW()-8)="",0,INDEX(Transactions!$O:$O,ROW()-8))</f>
      </c>
    </row>
    <row r="2408" spans="1:7">
      <c r="B2408">
        <f>IF(INDEX(Transactions!$J:$J,ROW()-8)="",TODAY(),INDEX(Transactions!$G:$G,ROW()-8))</f>
      </c>
      <c r="F2408">
        <f>IF(INDEX(Transactions!$J:$J,ROW()-8)="",0,INDEX(Transactions!$O:$O,ROW()-8))</f>
      </c>
    </row>
    <row r="2409" spans="1:7">
      <c r="B2409">
        <f>IF(INDEX(Transactions!$J:$J,ROW()-8)="",TODAY(),INDEX(Transactions!$G:$G,ROW()-8))</f>
      </c>
      <c r="F2409">
        <f>IF(INDEX(Transactions!$J:$J,ROW()-8)="",0,INDEX(Transactions!$O:$O,ROW()-8))</f>
      </c>
    </row>
    <row r="2410" spans="1:7">
      <c r="B2410">
        <f>IF(INDEX(Transactions!$J:$J,ROW()-8)="",TODAY(),INDEX(Transactions!$G:$G,ROW()-8))</f>
      </c>
      <c r="F2410">
        <f>IF(INDEX(Transactions!$J:$J,ROW()-8)="",0,INDEX(Transactions!$O:$O,ROW()-8))</f>
      </c>
    </row>
    <row r="2411" spans="1:7">
      <c r="B2411">
        <f>IF(INDEX(Transactions!$J:$J,ROW()-8)="",TODAY(),INDEX(Transactions!$G:$G,ROW()-8))</f>
      </c>
      <c r="F2411">
        <f>IF(INDEX(Transactions!$J:$J,ROW()-8)="",0,INDEX(Transactions!$O:$O,ROW()-8))</f>
      </c>
    </row>
    <row r="2412" spans="1:7">
      <c r="B2412">
        <f>IF(INDEX(Transactions!$J:$J,ROW()-8)="",TODAY(),INDEX(Transactions!$G:$G,ROW()-8))</f>
      </c>
      <c r="F2412">
        <f>IF(INDEX(Transactions!$J:$J,ROW()-8)="",0,INDEX(Transactions!$O:$O,ROW()-8))</f>
      </c>
    </row>
    <row r="2413" spans="1:7">
      <c r="B2413">
        <f>IF(INDEX(Transactions!$J:$J,ROW()-8)="",TODAY(),INDEX(Transactions!$G:$G,ROW()-8))</f>
      </c>
      <c r="F2413">
        <f>IF(INDEX(Transactions!$J:$J,ROW()-8)="",0,INDEX(Transactions!$O:$O,ROW()-8))</f>
      </c>
    </row>
    <row r="2414" spans="1:7">
      <c r="B2414">
        <f>IF(INDEX(Transactions!$J:$J,ROW()-8)="",TODAY(),INDEX(Transactions!$G:$G,ROW()-8))</f>
      </c>
      <c r="F2414">
        <f>IF(INDEX(Transactions!$J:$J,ROW()-8)="",0,INDEX(Transactions!$O:$O,ROW()-8))</f>
      </c>
    </row>
    <row r="2415" spans="1:7">
      <c r="B2415">
        <f>IF(INDEX(Transactions!$J:$J,ROW()-8)="",TODAY(),INDEX(Transactions!$G:$G,ROW()-8))</f>
      </c>
      <c r="F2415">
        <f>IF(INDEX(Transactions!$J:$J,ROW()-8)="",0,INDEX(Transactions!$O:$O,ROW()-8))</f>
      </c>
    </row>
    <row r="2416" spans="1:7">
      <c r="B2416">
        <f>IF(INDEX(Transactions!$J:$J,ROW()-8)="",TODAY(),INDEX(Transactions!$G:$G,ROW()-8))</f>
      </c>
      <c r="F2416">
        <f>IF(INDEX(Transactions!$J:$J,ROW()-8)="",0,INDEX(Transactions!$O:$O,ROW()-8))</f>
      </c>
    </row>
    <row r="2417" spans="1:7">
      <c r="B2417">
        <f>IF(INDEX(Transactions!$J:$J,ROW()-8)="",TODAY(),INDEX(Transactions!$G:$G,ROW()-8))</f>
      </c>
      <c r="F2417">
        <f>IF(INDEX(Transactions!$J:$J,ROW()-8)="",0,INDEX(Transactions!$O:$O,ROW()-8))</f>
      </c>
    </row>
    <row r="2418" spans="1:7">
      <c r="B2418">
        <f>IF(INDEX(Transactions!$J:$J,ROW()-8)="",TODAY(),INDEX(Transactions!$G:$G,ROW()-8))</f>
      </c>
      <c r="F2418">
        <f>IF(INDEX(Transactions!$J:$J,ROW()-8)="",0,INDEX(Transactions!$O:$O,ROW()-8))</f>
      </c>
    </row>
    <row r="2419" spans="1:7">
      <c r="B2419">
        <f>IF(INDEX(Transactions!$J:$J,ROW()-8)="",TODAY(),INDEX(Transactions!$G:$G,ROW()-8))</f>
      </c>
      <c r="F2419">
        <f>IF(INDEX(Transactions!$J:$J,ROW()-8)="",0,INDEX(Transactions!$O:$O,ROW()-8))</f>
      </c>
    </row>
    <row r="2420" spans="1:7">
      <c r="B2420">
        <f>IF(INDEX(Transactions!$J:$J,ROW()-8)="",TODAY(),INDEX(Transactions!$G:$G,ROW()-8))</f>
      </c>
      <c r="F2420">
        <f>IF(INDEX(Transactions!$J:$J,ROW()-8)="",0,INDEX(Transactions!$O:$O,ROW()-8))</f>
      </c>
    </row>
    <row r="2421" spans="1:7">
      <c r="B2421">
        <f>IF(INDEX(Transactions!$J:$J,ROW()-8)="",TODAY(),INDEX(Transactions!$G:$G,ROW()-8))</f>
      </c>
      <c r="F2421">
        <f>IF(INDEX(Transactions!$J:$J,ROW()-8)="",0,INDEX(Transactions!$O:$O,ROW()-8))</f>
      </c>
    </row>
    <row r="2422" spans="1:7">
      <c r="B2422">
        <f>IF(INDEX(Transactions!$J:$J,ROW()-8)="",TODAY(),INDEX(Transactions!$G:$G,ROW()-8))</f>
      </c>
      <c r="F2422">
        <f>IF(INDEX(Transactions!$J:$J,ROW()-8)="",0,INDEX(Transactions!$O:$O,ROW()-8))</f>
      </c>
    </row>
    <row r="2423" spans="1:7">
      <c r="B2423">
        <f>IF(INDEX(Transactions!$J:$J,ROW()-8)="",TODAY(),INDEX(Transactions!$G:$G,ROW()-8))</f>
      </c>
      <c r="F2423">
        <f>IF(INDEX(Transactions!$J:$J,ROW()-8)="",0,INDEX(Transactions!$O:$O,ROW()-8))</f>
      </c>
    </row>
    <row r="2424" spans="1:7">
      <c r="B2424">
        <f>IF(INDEX(Transactions!$J:$J,ROW()-8)="",TODAY(),INDEX(Transactions!$G:$G,ROW()-8))</f>
      </c>
      <c r="F2424">
        <f>IF(INDEX(Transactions!$J:$J,ROW()-8)="",0,INDEX(Transactions!$O:$O,ROW()-8))</f>
      </c>
    </row>
    <row r="2425" spans="1:7">
      <c r="B2425">
        <f>IF(INDEX(Transactions!$J:$J,ROW()-8)="",TODAY(),INDEX(Transactions!$G:$G,ROW()-8))</f>
      </c>
      <c r="F2425">
        <f>IF(INDEX(Transactions!$J:$J,ROW()-8)="",0,INDEX(Transactions!$O:$O,ROW()-8))</f>
      </c>
    </row>
    <row r="2426" spans="1:7">
      <c r="B2426">
        <f>IF(INDEX(Transactions!$J:$J,ROW()-8)="",TODAY(),INDEX(Transactions!$G:$G,ROW()-8))</f>
      </c>
      <c r="F2426">
        <f>IF(INDEX(Transactions!$J:$J,ROW()-8)="",0,INDEX(Transactions!$O:$O,ROW()-8))</f>
      </c>
    </row>
    <row r="2427" spans="1:7">
      <c r="B2427">
        <f>IF(INDEX(Transactions!$J:$J,ROW()-8)="",TODAY(),INDEX(Transactions!$G:$G,ROW()-8))</f>
      </c>
      <c r="F2427">
        <f>IF(INDEX(Transactions!$J:$J,ROW()-8)="",0,INDEX(Transactions!$O:$O,ROW()-8))</f>
      </c>
    </row>
    <row r="2428" spans="1:7">
      <c r="B2428">
        <f>IF(INDEX(Transactions!$J:$J,ROW()-8)="",TODAY(),INDEX(Transactions!$G:$G,ROW()-8))</f>
      </c>
      <c r="F2428">
        <f>IF(INDEX(Transactions!$J:$J,ROW()-8)="",0,INDEX(Transactions!$O:$O,ROW()-8))</f>
      </c>
    </row>
    <row r="2429" spans="1:7">
      <c r="B2429">
        <f>IF(INDEX(Transactions!$J:$J,ROW()-8)="",TODAY(),INDEX(Transactions!$G:$G,ROW()-8))</f>
      </c>
      <c r="F2429">
        <f>IF(INDEX(Transactions!$J:$J,ROW()-8)="",0,INDEX(Transactions!$O:$O,ROW()-8))</f>
      </c>
    </row>
    <row r="2430" spans="1:7">
      <c r="B2430">
        <f>IF(INDEX(Transactions!$J:$J,ROW()-8)="",TODAY(),INDEX(Transactions!$G:$G,ROW()-8))</f>
      </c>
      <c r="F2430">
        <f>IF(INDEX(Transactions!$J:$J,ROW()-8)="",0,INDEX(Transactions!$O:$O,ROW()-8))</f>
      </c>
    </row>
    <row r="2431" spans="1:7">
      <c r="B2431">
        <f>IF(INDEX(Transactions!$J:$J,ROW()-8)="",TODAY(),INDEX(Transactions!$G:$G,ROW()-8))</f>
      </c>
      <c r="F2431">
        <f>IF(INDEX(Transactions!$J:$J,ROW()-8)="",0,INDEX(Transactions!$O:$O,ROW()-8))</f>
      </c>
    </row>
    <row r="2432" spans="1:7">
      <c r="B2432">
        <f>IF(INDEX(Transactions!$J:$J,ROW()-8)="",TODAY(),INDEX(Transactions!$G:$G,ROW()-8))</f>
      </c>
      <c r="F2432">
        <f>IF(INDEX(Transactions!$J:$J,ROW()-8)="",0,INDEX(Transactions!$O:$O,ROW()-8))</f>
      </c>
    </row>
    <row r="2433" spans="1:7">
      <c r="B2433">
        <f>IF(INDEX(Transactions!$J:$J,ROW()-8)="",TODAY(),INDEX(Transactions!$G:$G,ROW()-8))</f>
      </c>
      <c r="F2433">
        <f>IF(INDEX(Transactions!$J:$J,ROW()-8)="",0,INDEX(Transactions!$O:$O,ROW()-8))</f>
      </c>
    </row>
    <row r="2434" spans="1:7">
      <c r="B2434">
        <f>IF(INDEX(Transactions!$J:$J,ROW()-8)="",TODAY(),INDEX(Transactions!$G:$G,ROW()-8))</f>
      </c>
      <c r="F2434">
        <f>IF(INDEX(Transactions!$J:$J,ROW()-8)="",0,INDEX(Transactions!$O:$O,ROW()-8))</f>
      </c>
    </row>
    <row r="2435" spans="1:7">
      <c r="B2435">
        <f>IF(INDEX(Transactions!$J:$J,ROW()-8)="",TODAY(),INDEX(Transactions!$G:$G,ROW()-8))</f>
      </c>
      <c r="F2435">
        <f>IF(INDEX(Transactions!$J:$J,ROW()-8)="",0,INDEX(Transactions!$O:$O,ROW()-8))</f>
      </c>
    </row>
    <row r="2436" spans="1:7">
      <c r="B2436">
        <f>IF(INDEX(Transactions!$J:$J,ROW()-8)="",TODAY(),INDEX(Transactions!$G:$G,ROW()-8))</f>
      </c>
      <c r="F2436">
        <f>IF(INDEX(Transactions!$J:$J,ROW()-8)="",0,INDEX(Transactions!$O:$O,ROW()-8))</f>
      </c>
    </row>
    <row r="2437" spans="1:7">
      <c r="B2437">
        <f>IF(INDEX(Transactions!$J:$J,ROW()-8)="",TODAY(),INDEX(Transactions!$G:$G,ROW()-8))</f>
      </c>
      <c r="F2437">
        <f>IF(INDEX(Transactions!$J:$J,ROW()-8)="",0,INDEX(Transactions!$O:$O,ROW()-8))</f>
      </c>
    </row>
    <row r="2438" spans="1:7">
      <c r="B2438">
        <f>IF(INDEX(Transactions!$J:$J,ROW()-8)="",TODAY(),INDEX(Transactions!$G:$G,ROW()-8))</f>
      </c>
      <c r="F2438">
        <f>IF(INDEX(Transactions!$J:$J,ROW()-8)="",0,INDEX(Transactions!$O:$O,ROW()-8))</f>
      </c>
    </row>
    <row r="2439" spans="1:7">
      <c r="B2439">
        <f>IF(INDEX(Transactions!$J:$J,ROW()-8)="",TODAY(),INDEX(Transactions!$G:$G,ROW()-8))</f>
      </c>
      <c r="F2439">
        <f>IF(INDEX(Transactions!$J:$J,ROW()-8)="",0,INDEX(Transactions!$O:$O,ROW()-8))</f>
      </c>
    </row>
    <row r="2440" spans="1:7">
      <c r="B2440">
        <f>IF(INDEX(Transactions!$J:$J,ROW()-8)="",TODAY(),INDEX(Transactions!$G:$G,ROW()-8))</f>
      </c>
      <c r="F2440">
        <f>IF(INDEX(Transactions!$J:$J,ROW()-8)="",0,INDEX(Transactions!$O:$O,ROW()-8))</f>
      </c>
    </row>
    <row r="2441" spans="1:7">
      <c r="B2441">
        <f>IF(INDEX(Transactions!$J:$J,ROW()-8)="",TODAY(),INDEX(Transactions!$G:$G,ROW()-8))</f>
      </c>
      <c r="F2441">
        <f>IF(INDEX(Transactions!$J:$J,ROW()-8)="",0,INDEX(Transactions!$O:$O,ROW()-8))</f>
      </c>
    </row>
    <row r="2442" spans="1:7">
      <c r="B2442">
        <f>IF(INDEX(Transactions!$J:$J,ROW()-8)="",TODAY(),INDEX(Transactions!$G:$G,ROW()-8))</f>
      </c>
      <c r="F2442">
        <f>IF(INDEX(Transactions!$J:$J,ROW()-8)="",0,INDEX(Transactions!$O:$O,ROW()-8))</f>
      </c>
    </row>
    <row r="2443" spans="1:7">
      <c r="B2443">
        <f>IF(INDEX(Transactions!$J:$J,ROW()-8)="",TODAY(),INDEX(Transactions!$G:$G,ROW()-8))</f>
      </c>
      <c r="F2443">
        <f>IF(INDEX(Transactions!$J:$J,ROW()-8)="",0,INDEX(Transactions!$O:$O,ROW()-8))</f>
      </c>
    </row>
    <row r="2444" spans="1:7">
      <c r="B2444">
        <f>IF(INDEX(Transactions!$J:$J,ROW()-8)="",TODAY(),INDEX(Transactions!$G:$G,ROW()-8))</f>
      </c>
      <c r="F2444">
        <f>IF(INDEX(Transactions!$J:$J,ROW()-8)="",0,INDEX(Transactions!$O:$O,ROW()-8))</f>
      </c>
    </row>
    <row r="2445" spans="1:7">
      <c r="B2445">
        <f>IF(INDEX(Transactions!$J:$J,ROW()-8)="",TODAY(),INDEX(Transactions!$G:$G,ROW()-8))</f>
      </c>
      <c r="F2445">
        <f>IF(INDEX(Transactions!$J:$J,ROW()-8)="",0,INDEX(Transactions!$O:$O,ROW()-8))</f>
      </c>
    </row>
    <row r="2446" spans="1:7">
      <c r="B2446">
        <f>IF(INDEX(Transactions!$J:$J,ROW()-8)="",TODAY(),INDEX(Transactions!$G:$G,ROW()-8))</f>
      </c>
      <c r="F2446">
        <f>IF(INDEX(Transactions!$J:$J,ROW()-8)="",0,INDEX(Transactions!$O:$O,ROW()-8))</f>
      </c>
    </row>
    <row r="2447" spans="1:7">
      <c r="B2447">
        <f>IF(INDEX(Transactions!$J:$J,ROW()-8)="",TODAY(),INDEX(Transactions!$G:$G,ROW()-8))</f>
      </c>
      <c r="F2447">
        <f>IF(INDEX(Transactions!$J:$J,ROW()-8)="",0,INDEX(Transactions!$O:$O,ROW()-8))</f>
      </c>
    </row>
    <row r="2448" spans="1:7">
      <c r="B2448">
        <f>IF(INDEX(Transactions!$J:$J,ROW()-8)="",TODAY(),INDEX(Transactions!$G:$G,ROW()-8))</f>
      </c>
      <c r="F2448">
        <f>IF(INDEX(Transactions!$J:$J,ROW()-8)="",0,INDEX(Transactions!$O:$O,ROW()-8))</f>
      </c>
    </row>
    <row r="2449" spans="1:7">
      <c r="B2449">
        <f>IF(INDEX(Transactions!$J:$J,ROW()-8)="",TODAY(),INDEX(Transactions!$G:$G,ROW()-8))</f>
      </c>
      <c r="F2449">
        <f>IF(INDEX(Transactions!$J:$J,ROW()-8)="",0,INDEX(Transactions!$O:$O,ROW()-8))</f>
      </c>
    </row>
    <row r="2450" spans="1:7">
      <c r="B2450">
        <f>IF(INDEX(Transactions!$J:$J,ROW()-8)="",TODAY(),INDEX(Transactions!$G:$G,ROW()-8))</f>
      </c>
      <c r="F2450">
        <f>IF(INDEX(Transactions!$J:$J,ROW()-8)="",0,INDEX(Transactions!$O:$O,ROW()-8))</f>
      </c>
    </row>
    <row r="2451" spans="1:7">
      <c r="B2451">
        <f>IF(INDEX(Transactions!$J:$J,ROW()-8)="",TODAY(),INDEX(Transactions!$G:$G,ROW()-8))</f>
      </c>
      <c r="F2451">
        <f>IF(INDEX(Transactions!$J:$J,ROW()-8)="",0,INDEX(Transactions!$O:$O,ROW()-8))</f>
      </c>
    </row>
    <row r="2452" spans="1:7">
      <c r="B2452">
        <f>IF(INDEX(Transactions!$J:$J,ROW()-8)="",TODAY(),INDEX(Transactions!$G:$G,ROW()-8))</f>
      </c>
      <c r="F2452">
        <f>IF(INDEX(Transactions!$J:$J,ROW()-8)="",0,INDEX(Transactions!$O:$O,ROW()-8))</f>
      </c>
    </row>
    <row r="2453" spans="1:7">
      <c r="B2453">
        <f>IF(INDEX(Transactions!$J:$J,ROW()-8)="",TODAY(),INDEX(Transactions!$G:$G,ROW()-8))</f>
      </c>
      <c r="F2453">
        <f>IF(INDEX(Transactions!$J:$J,ROW()-8)="",0,INDEX(Transactions!$O:$O,ROW()-8))</f>
      </c>
    </row>
    <row r="2454" spans="1:7">
      <c r="B2454">
        <f>IF(INDEX(Transactions!$J:$J,ROW()-8)="",TODAY(),INDEX(Transactions!$G:$G,ROW()-8))</f>
      </c>
      <c r="F2454">
        <f>IF(INDEX(Transactions!$J:$J,ROW()-8)="",0,INDEX(Transactions!$O:$O,ROW()-8))</f>
      </c>
    </row>
    <row r="2455" spans="1:7">
      <c r="B2455">
        <f>IF(INDEX(Transactions!$J:$J,ROW()-8)="",TODAY(),INDEX(Transactions!$G:$G,ROW()-8))</f>
      </c>
      <c r="F2455">
        <f>IF(INDEX(Transactions!$J:$J,ROW()-8)="",0,INDEX(Transactions!$O:$O,ROW()-8))</f>
      </c>
    </row>
    <row r="2456" spans="1:7">
      <c r="B2456">
        <f>IF(INDEX(Transactions!$J:$J,ROW()-8)="",TODAY(),INDEX(Transactions!$G:$G,ROW()-8))</f>
      </c>
      <c r="F2456">
        <f>IF(INDEX(Transactions!$J:$J,ROW()-8)="",0,INDEX(Transactions!$O:$O,ROW()-8))</f>
      </c>
    </row>
    <row r="2457" spans="1:7">
      <c r="B2457">
        <f>IF(INDEX(Transactions!$J:$J,ROW()-8)="",TODAY(),INDEX(Transactions!$G:$G,ROW()-8))</f>
      </c>
      <c r="F2457">
        <f>IF(INDEX(Transactions!$J:$J,ROW()-8)="",0,INDEX(Transactions!$O:$O,ROW()-8))</f>
      </c>
    </row>
    <row r="2458" spans="1:7">
      <c r="B2458">
        <f>IF(INDEX(Transactions!$J:$J,ROW()-8)="",TODAY(),INDEX(Transactions!$G:$G,ROW()-8))</f>
      </c>
      <c r="F2458">
        <f>IF(INDEX(Transactions!$J:$J,ROW()-8)="",0,INDEX(Transactions!$O:$O,ROW()-8))</f>
      </c>
    </row>
    <row r="2459" spans="1:7">
      <c r="B2459">
        <f>IF(INDEX(Transactions!$J:$J,ROW()-8)="",TODAY(),INDEX(Transactions!$G:$G,ROW()-8))</f>
      </c>
      <c r="F2459">
        <f>IF(INDEX(Transactions!$J:$J,ROW()-8)="",0,INDEX(Transactions!$O:$O,ROW()-8))</f>
      </c>
    </row>
    <row r="2460" spans="1:7">
      <c r="B2460">
        <f>IF(INDEX(Transactions!$J:$J,ROW()-8)="",TODAY(),INDEX(Transactions!$G:$G,ROW()-8))</f>
      </c>
      <c r="F2460">
        <f>IF(INDEX(Transactions!$J:$J,ROW()-8)="",0,INDEX(Transactions!$O:$O,ROW()-8))</f>
      </c>
    </row>
    <row r="2461" spans="1:7">
      <c r="B2461">
        <f>IF(INDEX(Transactions!$J:$J,ROW()-8)="",TODAY(),INDEX(Transactions!$G:$G,ROW()-8))</f>
      </c>
      <c r="F2461">
        <f>IF(INDEX(Transactions!$J:$J,ROW()-8)="",0,INDEX(Transactions!$O:$O,ROW()-8))</f>
      </c>
    </row>
    <row r="2462" spans="1:7">
      <c r="B2462">
        <f>IF(INDEX(Transactions!$J:$J,ROW()-8)="",TODAY(),INDEX(Transactions!$G:$G,ROW()-8))</f>
      </c>
      <c r="F2462">
        <f>IF(INDEX(Transactions!$J:$J,ROW()-8)="",0,INDEX(Transactions!$O:$O,ROW()-8))</f>
      </c>
    </row>
    <row r="2463" spans="1:7">
      <c r="B2463">
        <f>IF(INDEX(Transactions!$J:$J,ROW()-8)="",TODAY(),INDEX(Transactions!$G:$G,ROW()-8))</f>
      </c>
      <c r="F2463">
        <f>IF(INDEX(Transactions!$J:$J,ROW()-8)="",0,INDEX(Transactions!$O:$O,ROW()-8))</f>
      </c>
    </row>
    <row r="2464" spans="1:7">
      <c r="B2464">
        <f>IF(INDEX(Transactions!$J:$J,ROW()-8)="",TODAY(),INDEX(Transactions!$G:$G,ROW()-8))</f>
      </c>
      <c r="F2464">
        <f>IF(INDEX(Transactions!$J:$J,ROW()-8)="",0,INDEX(Transactions!$O:$O,ROW()-8))</f>
      </c>
    </row>
    <row r="2465" spans="1:7">
      <c r="B2465">
        <f>IF(INDEX(Transactions!$J:$J,ROW()-8)="",TODAY(),INDEX(Transactions!$G:$G,ROW()-8))</f>
      </c>
      <c r="F2465">
        <f>IF(INDEX(Transactions!$J:$J,ROW()-8)="",0,INDEX(Transactions!$O:$O,ROW()-8))</f>
      </c>
    </row>
    <row r="2466" spans="1:7">
      <c r="B2466">
        <f>IF(INDEX(Transactions!$J:$J,ROW()-8)="",TODAY(),INDEX(Transactions!$G:$G,ROW()-8))</f>
      </c>
      <c r="F2466">
        <f>IF(INDEX(Transactions!$J:$J,ROW()-8)="",0,INDEX(Transactions!$O:$O,ROW()-8))</f>
      </c>
    </row>
    <row r="2467" spans="1:7">
      <c r="B2467">
        <f>IF(INDEX(Transactions!$J:$J,ROW()-8)="",TODAY(),INDEX(Transactions!$G:$G,ROW()-8))</f>
      </c>
      <c r="F2467">
        <f>IF(INDEX(Transactions!$J:$J,ROW()-8)="",0,INDEX(Transactions!$O:$O,ROW()-8))</f>
      </c>
    </row>
    <row r="2468" spans="1:7">
      <c r="B2468">
        <f>IF(INDEX(Transactions!$J:$J,ROW()-8)="",TODAY(),INDEX(Transactions!$G:$G,ROW()-8))</f>
      </c>
      <c r="F2468">
        <f>IF(INDEX(Transactions!$J:$J,ROW()-8)="",0,INDEX(Transactions!$O:$O,ROW()-8))</f>
      </c>
    </row>
    <row r="2469" spans="1:7">
      <c r="B2469">
        <f>IF(INDEX(Transactions!$J:$J,ROW()-8)="",TODAY(),INDEX(Transactions!$G:$G,ROW()-8))</f>
      </c>
      <c r="F2469">
        <f>IF(INDEX(Transactions!$J:$J,ROW()-8)="",0,INDEX(Transactions!$O:$O,ROW()-8))</f>
      </c>
    </row>
    <row r="2470" spans="1:7">
      <c r="B2470">
        <f>IF(INDEX(Transactions!$J:$J,ROW()-8)="",TODAY(),INDEX(Transactions!$G:$G,ROW()-8))</f>
      </c>
      <c r="F2470">
        <f>IF(INDEX(Transactions!$J:$J,ROW()-8)="",0,INDEX(Transactions!$O:$O,ROW()-8))</f>
      </c>
    </row>
    <row r="2471" spans="1:7">
      <c r="B2471">
        <f>IF(INDEX(Transactions!$J:$J,ROW()-8)="",TODAY(),INDEX(Transactions!$G:$G,ROW()-8))</f>
      </c>
      <c r="F2471">
        <f>IF(INDEX(Transactions!$J:$J,ROW()-8)="",0,INDEX(Transactions!$O:$O,ROW()-8))</f>
      </c>
    </row>
    <row r="2472" spans="1:7">
      <c r="B2472">
        <f>IF(INDEX(Transactions!$J:$J,ROW()-8)="",TODAY(),INDEX(Transactions!$G:$G,ROW()-8))</f>
      </c>
      <c r="F2472">
        <f>IF(INDEX(Transactions!$J:$J,ROW()-8)="",0,INDEX(Transactions!$O:$O,ROW()-8))</f>
      </c>
    </row>
    <row r="2473" spans="1:7">
      <c r="B2473">
        <f>IF(INDEX(Transactions!$J:$J,ROW()-8)="",TODAY(),INDEX(Transactions!$G:$G,ROW()-8))</f>
      </c>
      <c r="F2473">
        <f>IF(INDEX(Transactions!$J:$J,ROW()-8)="",0,INDEX(Transactions!$O:$O,ROW()-8))</f>
      </c>
    </row>
    <row r="2474" spans="1:7">
      <c r="B2474">
        <f>IF(INDEX(Transactions!$J:$J,ROW()-8)="",TODAY(),INDEX(Transactions!$G:$G,ROW()-8))</f>
      </c>
      <c r="F2474">
        <f>IF(INDEX(Transactions!$J:$J,ROW()-8)="",0,INDEX(Transactions!$O:$O,ROW()-8))</f>
      </c>
    </row>
    <row r="2475" spans="1:7">
      <c r="B2475">
        <f>IF(INDEX(Transactions!$J:$J,ROW()-8)="",TODAY(),INDEX(Transactions!$G:$G,ROW()-8))</f>
      </c>
      <c r="F2475">
        <f>IF(INDEX(Transactions!$J:$J,ROW()-8)="",0,INDEX(Transactions!$O:$O,ROW()-8))</f>
      </c>
    </row>
    <row r="2476" spans="1:7">
      <c r="B2476">
        <f>IF(INDEX(Transactions!$J:$J,ROW()-8)="",TODAY(),INDEX(Transactions!$G:$G,ROW()-8))</f>
      </c>
      <c r="F2476">
        <f>IF(INDEX(Transactions!$J:$J,ROW()-8)="",0,INDEX(Transactions!$O:$O,ROW()-8))</f>
      </c>
    </row>
    <row r="2477" spans="1:7">
      <c r="B2477">
        <f>IF(INDEX(Transactions!$J:$J,ROW()-8)="",TODAY(),INDEX(Transactions!$G:$G,ROW()-8))</f>
      </c>
      <c r="F2477">
        <f>IF(INDEX(Transactions!$J:$J,ROW()-8)="",0,INDEX(Transactions!$O:$O,ROW()-8))</f>
      </c>
    </row>
    <row r="2478" spans="1:7">
      <c r="B2478">
        <f>IF(INDEX(Transactions!$J:$J,ROW()-8)="",TODAY(),INDEX(Transactions!$G:$G,ROW()-8))</f>
      </c>
      <c r="F2478">
        <f>IF(INDEX(Transactions!$J:$J,ROW()-8)="",0,INDEX(Transactions!$O:$O,ROW()-8))</f>
      </c>
    </row>
    <row r="2479" spans="1:7">
      <c r="B2479">
        <f>IF(INDEX(Transactions!$J:$J,ROW()-8)="",TODAY(),INDEX(Transactions!$G:$G,ROW()-8))</f>
      </c>
      <c r="F2479">
        <f>IF(INDEX(Transactions!$J:$J,ROW()-8)="",0,INDEX(Transactions!$O:$O,ROW()-8))</f>
      </c>
    </row>
    <row r="2480" spans="1:7">
      <c r="B2480">
        <f>IF(INDEX(Transactions!$J:$J,ROW()-8)="",TODAY(),INDEX(Transactions!$G:$G,ROW()-8))</f>
      </c>
      <c r="F2480">
        <f>IF(INDEX(Transactions!$J:$J,ROW()-8)="",0,INDEX(Transactions!$O:$O,ROW()-8))</f>
      </c>
    </row>
    <row r="2481" spans="1:7">
      <c r="B2481">
        <f>IF(INDEX(Transactions!$J:$J,ROW()-8)="",TODAY(),INDEX(Transactions!$G:$G,ROW()-8))</f>
      </c>
      <c r="F2481">
        <f>IF(INDEX(Transactions!$J:$J,ROW()-8)="",0,INDEX(Transactions!$O:$O,ROW()-8))</f>
      </c>
    </row>
    <row r="2482" spans="1:7">
      <c r="B2482">
        <f>IF(INDEX(Transactions!$J:$J,ROW()-8)="",TODAY(),INDEX(Transactions!$G:$G,ROW()-8))</f>
      </c>
      <c r="F2482">
        <f>IF(INDEX(Transactions!$J:$J,ROW()-8)="",0,INDEX(Transactions!$O:$O,ROW()-8))</f>
      </c>
    </row>
    <row r="2483" spans="1:7">
      <c r="B2483">
        <f>IF(INDEX(Transactions!$J:$J,ROW()-8)="",TODAY(),INDEX(Transactions!$G:$G,ROW()-8))</f>
      </c>
      <c r="F2483">
        <f>IF(INDEX(Transactions!$J:$J,ROW()-8)="",0,INDEX(Transactions!$O:$O,ROW()-8))</f>
      </c>
    </row>
    <row r="2484" spans="1:7">
      <c r="B2484">
        <f>IF(INDEX(Transactions!$J:$J,ROW()-8)="",TODAY(),INDEX(Transactions!$G:$G,ROW()-8))</f>
      </c>
      <c r="F2484">
        <f>IF(INDEX(Transactions!$J:$J,ROW()-8)="",0,INDEX(Transactions!$O:$O,ROW()-8))</f>
      </c>
    </row>
    <row r="2485" spans="1:7">
      <c r="B2485">
        <f>IF(INDEX(Transactions!$J:$J,ROW()-8)="",TODAY(),INDEX(Transactions!$G:$G,ROW()-8))</f>
      </c>
      <c r="F2485">
        <f>IF(INDEX(Transactions!$J:$J,ROW()-8)="",0,INDEX(Transactions!$O:$O,ROW()-8))</f>
      </c>
    </row>
    <row r="2486" spans="1:7">
      <c r="B2486">
        <f>IF(INDEX(Transactions!$J:$J,ROW()-8)="",TODAY(),INDEX(Transactions!$G:$G,ROW()-8))</f>
      </c>
      <c r="F2486">
        <f>IF(INDEX(Transactions!$J:$J,ROW()-8)="",0,INDEX(Transactions!$O:$O,ROW()-8))</f>
      </c>
    </row>
    <row r="2487" spans="1:7">
      <c r="B2487">
        <f>IF(INDEX(Transactions!$J:$J,ROW()-8)="",TODAY(),INDEX(Transactions!$G:$G,ROW()-8))</f>
      </c>
      <c r="F2487">
        <f>IF(INDEX(Transactions!$J:$J,ROW()-8)="",0,INDEX(Transactions!$O:$O,ROW()-8))</f>
      </c>
    </row>
    <row r="2488" spans="1:7">
      <c r="B2488">
        <f>IF(INDEX(Transactions!$J:$J,ROW()-8)="",TODAY(),INDEX(Transactions!$G:$G,ROW()-8))</f>
      </c>
      <c r="F2488">
        <f>IF(INDEX(Transactions!$J:$J,ROW()-8)="",0,INDEX(Transactions!$O:$O,ROW()-8))</f>
      </c>
    </row>
    <row r="2489" spans="1:7">
      <c r="B2489">
        <f>IF(INDEX(Transactions!$J:$J,ROW()-8)="",TODAY(),INDEX(Transactions!$G:$G,ROW()-8))</f>
      </c>
      <c r="F2489">
        <f>IF(INDEX(Transactions!$J:$J,ROW()-8)="",0,INDEX(Transactions!$O:$O,ROW()-8))</f>
      </c>
    </row>
    <row r="2490" spans="1:7">
      <c r="B2490">
        <f>IF(INDEX(Transactions!$J:$J,ROW()-8)="",TODAY(),INDEX(Transactions!$G:$G,ROW()-8))</f>
      </c>
      <c r="F2490">
        <f>IF(INDEX(Transactions!$J:$J,ROW()-8)="",0,INDEX(Transactions!$O:$O,ROW()-8))</f>
      </c>
    </row>
    <row r="2491" spans="1:7">
      <c r="B2491">
        <f>IF(INDEX(Transactions!$J:$J,ROW()-8)="",TODAY(),INDEX(Transactions!$G:$G,ROW()-8))</f>
      </c>
      <c r="F2491">
        <f>IF(INDEX(Transactions!$J:$J,ROW()-8)="",0,INDEX(Transactions!$O:$O,ROW()-8))</f>
      </c>
    </row>
    <row r="2492" spans="1:7">
      <c r="B2492">
        <f>IF(INDEX(Transactions!$J:$J,ROW()-8)="",TODAY(),INDEX(Transactions!$G:$G,ROW()-8))</f>
      </c>
      <c r="F2492">
        <f>IF(INDEX(Transactions!$J:$J,ROW()-8)="",0,INDEX(Transactions!$O:$O,ROW()-8))</f>
      </c>
    </row>
    <row r="2493" spans="1:7">
      <c r="B2493">
        <f>IF(INDEX(Transactions!$J:$J,ROW()-8)="",TODAY(),INDEX(Transactions!$G:$G,ROW()-8))</f>
      </c>
      <c r="F2493">
        <f>IF(INDEX(Transactions!$J:$J,ROW()-8)="",0,INDEX(Transactions!$O:$O,ROW()-8))</f>
      </c>
    </row>
    <row r="2494" spans="1:7">
      <c r="B2494">
        <f>IF(INDEX(Transactions!$J:$J,ROW()-8)="",TODAY(),INDEX(Transactions!$G:$G,ROW()-8))</f>
      </c>
      <c r="F2494">
        <f>IF(INDEX(Transactions!$J:$J,ROW()-8)="",0,INDEX(Transactions!$O:$O,ROW()-8))</f>
      </c>
    </row>
    <row r="2495" spans="1:7">
      <c r="B2495">
        <f>IF(INDEX(Transactions!$J:$J,ROW()-8)="",TODAY(),INDEX(Transactions!$G:$G,ROW()-8))</f>
      </c>
      <c r="F2495">
        <f>IF(INDEX(Transactions!$J:$J,ROW()-8)="",0,INDEX(Transactions!$O:$O,ROW()-8))</f>
      </c>
    </row>
    <row r="2496" spans="1:7">
      <c r="B2496">
        <f>IF(INDEX(Transactions!$J:$J,ROW()-8)="",TODAY(),INDEX(Transactions!$G:$G,ROW()-8))</f>
      </c>
      <c r="F2496">
        <f>IF(INDEX(Transactions!$J:$J,ROW()-8)="",0,INDEX(Transactions!$O:$O,ROW()-8))</f>
      </c>
    </row>
    <row r="2497" spans="1:7">
      <c r="B2497">
        <f>IF(INDEX(Transactions!$J:$J,ROW()-8)="",TODAY(),INDEX(Transactions!$G:$G,ROW()-8))</f>
      </c>
      <c r="F2497">
        <f>IF(INDEX(Transactions!$J:$J,ROW()-8)="",0,INDEX(Transactions!$O:$O,ROW()-8))</f>
      </c>
    </row>
    <row r="2498" spans="1:7">
      <c r="B2498">
        <f>IF(INDEX(Transactions!$J:$J,ROW()-8)="",TODAY(),INDEX(Transactions!$G:$G,ROW()-8))</f>
      </c>
      <c r="F2498">
        <f>IF(INDEX(Transactions!$J:$J,ROW()-8)="",0,INDEX(Transactions!$O:$O,ROW()-8))</f>
      </c>
    </row>
    <row r="2499" spans="1:7">
      <c r="B2499">
        <f>IF(INDEX(Transactions!$J:$J,ROW()-8)="",TODAY(),INDEX(Transactions!$G:$G,ROW()-8))</f>
      </c>
      <c r="F2499">
        <f>IF(INDEX(Transactions!$J:$J,ROW()-8)="",0,INDEX(Transactions!$O:$O,ROW()-8))</f>
      </c>
    </row>
    <row r="2500" spans="1:7">
      <c r="B2500">
        <f>IF(INDEX(Transactions!$J:$J,ROW()-8)="",TODAY(),INDEX(Transactions!$G:$G,ROW()-8))</f>
      </c>
      <c r="F2500">
        <f>IF(INDEX(Transactions!$J:$J,ROW()-8)="",0,INDEX(Transactions!$O:$O,ROW()-8))</f>
      </c>
    </row>
    <row r="2501" spans="1:7">
      <c r="B2501">
        <f>IF(INDEX(Transactions!$J:$J,ROW()-8)="",TODAY(),INDEX(Transactions!$G:$G,ROW()-8))</f>
      </c>
      <c r="F2501">
        <f>IF(INDEX(Transactions!$J:$J,ROW()-8)="",0,INDEX(Transactions!$O:$O,ROW()-8))</f>
      </c>
    </row>
    <row r="2502" spans="1:7">
      <c r="B2502">
        <f>IF(INDEX(Transactions!$J:$J,ROW()-8)="",TODAY(),INDEX(Transactions!$G:$G,ROW()-8))</f>
      </c>
      <c r="F2502">
        <f>IF(INDEX(Transactions!$J:$J,ROW()-8)="",0,INDEX(Transactions!$O:$O,ROW()-8))</f>
      </c>
    </row>
    <row r="2503" spans="1:7">
      <c r="B2503">
        <f>IF(INDEX(Transactions!$J:$J,ROW()-8)="",TODAY(),INDEX(Transactions!$G:$G,ROW()-8))</f>
      </c>
      <c r="F2503">
        <f>IF(INDEX(Transactions!$J:$J,ROW()-8)="",0,INDEX(Transactions!$O:$O,ROW()-8))</f>
      </c>
    </row>
    <row r="2504" spans="1:7">
      <c r="B2504">
        <f>IF(INDEX(Transactions!$J:$J,ROW()-8)="",TODAY(),INDEX(Transactions!$G:$G,ROW()-8))</f>
      </c>
      <c r="F2504">
        <f>IF(INDEX(Transactions!$J:$J,ROW()-8)="",0,INDEX(Transactions!$O:$O,ROW()-8))</f>
      </c>
    </row>
    <row r="2505" spans="1:7">
      <c r="B2505">
        <f>IF(INDEX(Transactions!$J:$J,ROW()-8)="",TODAY(),INDEX(Transactions!$G:$G,ROW()-8))</f>
      </c>
      <c r="F2505">
        <f>IF(INDEX(Transactions!$J:$J,ROW()-8)="",0,INDEX(Transactions!$O:$O,ROW()-8))</f>
      </c>
    </row>
    <row r="2506" spans="1:7">
      <c r="B2506">
        <f>IF(INDEX(Transactions!$J:$J,ROW()-8)="",TODAY(),INDEX(Transactions!$G:$G,ROW()-8))</f>
      </c>
      <c r="F2506">
        <f>IF(INDEX(Transactions!$J:$J,ROW()-8)="",0,INDEX(Transactions!$O:$O,ROW()-8))</f>
      </c>
    </row>
    <row r="2507" spans="1:7">
      <c r="B2507">
        <f>IF(INDEX(Transactions!$J:$J,ROW()-8)="",TODAY(),INDEX(Transactions!$G:$G,ROW()-8))</f>
      </c>
      <c r="F2507">
        <f>IF(INDEX(Transactions!$J:$J,ROW()-8)="",0,INDEX(Transactions!$O:$O,ROW()-8))</f>
      </c>
    </row>
    <row r="2508" spans="1:7">
      <c r="B2508">
        <f>IF(INDEX(Transactions!$J:$J,ROW()-8)="",TODAY(),INDEX(Transactions!$G:$G,ROW()-8))</f>
      </c>
      <c r="F2508">
        <f>IF(INDEX(Transactions!$J:$J,ROW()-8)="",0,INDEX(Transactions!$O:$O,ROW()-8))</f>
      </c>
    </row>
    <row r="2509" spans="1:7">
      <c r="B2509">
        <f>IF(INDEX(Transactions!$J:$J,ROW()-8)="",TODAY(),INDEX(Transactions!$G:$G,ROW()-8))</f>
      </c>
      <c r="F2509">
        <f>IF(INDEX(Transactions!$J:$J,ROW()-8)="",0,INDEX(Transactions!$O:$O,ROW()-8))</f>
      </c>
    </row>
    <row r="2510" spans="1:7">
      <c r="B2510">
        <f>IF(INDEX(Transactions!$J:$J,ROW()-8)="",TODAY(),INDEX(Transactions!$G:$G,ROW()-8))</f>
      </c>
      <c r="F2510">
        <f>IF(INDEX(Transactions!$J:$J,ROW()-8)="",0,INDEX(Transactions!$O:$O,ROW()-8))</f>
      </c>
    </row>
    <row r="2511" spans="1:7">
      <c r="B2511">
        <f>IF(INDEX(Transactions!$J:$J,ROW()-8)="",TODAY(),INDEX(Transactions!$G:$G,ROW()-8))</f>
      </c>
      <c r="F2511">
        <f>IF(INDEX(Transactions!$J:$J,ROW()-8)="",0,INDEX(Transactions!$O:$O,ROW()-8))</f>
      </c>
    </row>
    <row r="2512" spans="1:7">
      <c r="B2512">
        <f>IF(INDEX(Transactions!$J:$J,ROW()-8)="",TODAY(),INDEX(Transactions!$G:$G,ROW()-8))</f>
      </c>
      <c r="F2512">
        <f>IF(INDEX(Transactions!$J:$J,ROW()-8)="",0,INDEX(Transactions!$O:$O,ROW()-8))</f>
      </c>
    </row>
    <row r="2513" spans="1:7">
      <c r="B2513">
        <f>IF(INDEX(Transactions!$J:$J,ROW()-8)="",TODAY(),INDEX(Transactions!$G:$G,ROW()-8))</f>
      </c>
      <c r="F2513">
        <f>IF(INDEX(Transactions!$J:$J,ROW()-8)="",0,INDEX(Transactions!$O:$O,ROW()-8))</f>
      </c>
    </row>
    <row r="2514" spans="1:7">
      <c r="B2514">
        <f>IF(INDEX(Transactions!$J:$J,ROW()-8)="",TODAY(),INDEX(Transactions!$G:$G,ROW()-8))</f>
      </c>
      <c r="F2514">
        <f>IF(INDEX(Transactions!$J:$J,ROW()-8)="",0,INDEX(Transactions!$O:$O,ROW()-8))</f>
      </c>
    </row>
    <row r="2515" spans="1:7">
      <c r="B2515">
        <f>IF(INDEX(Transactions!$J:$J,ROW()-8)="",TODAY(),INDEX(Transactions!$G:$G,ROW()-8))</f>
      </c>
      <c r="F2515">
        <f>IF(INDEX(Transactions!$J:$J,ROW()-8)="",0,INDEX(Transactions!$O:$O,ROW()-8))</f>
      </c>
    </row>
    <row r="2516" spans="1:7">
      <c r="B2516">
        <f>IF(INDEX(Transactions!$J:$J,ROW()-8)="",TODAY(),INDEX(Transactions!$G:$G,ROW()-8))</f>
      </c>
      <c r="F2516">
        <f>IF(INDEX(Transactions!$J:$J,ROW()-8)="",0,INDEX(Transactions!$O:$O,ROW()-8))</f>
      </c>
    </row>
    <row r="2517" spans="1:7">
      <c r="B2517">
        <f>IF(INDEX(Transactions!$J:$J,ROW()-8)="",TODAY(),INDEX(Transactions!$G:$G,ROW()-8))</f>
      </c>
      <c r="F2517">
        <f>IF(INDEX(Transactions!$J:$J,ROW()-8)="",0,INDEX(Transactions!$O:$O,ROW()-8))</f>
      </c>
    </row>
    <row r="2518" spans="1:7">
      <c r="B2518">
        <f>IF(INDEX(Transactions!$J:$J,ROW()-8)="",TODAY(),INDEX(Transactions!$G:$G,ROW()-8))</f>
      </c>
      <c r="F2518">
        <f>IF(INDEX(Transactions!$J:$J,ROW()-8)="",0,INDEX(Transactions!$O:$O,ROW()-8))</f>
      </c>
    </row>
    <row r="2519" spans="1:7">
      <c r="B2519">
        <f>IF(INDEX(Transactions!$J:$J,ROW()-8)="",TODAY(),INDEX(Transactions!$G:$G,ROW()-8))</f>
      </c>
      <c r="F2519">
        <f>IF(INDEX(Transactions!$J:$J,ROW()-8)="",0,INDEX(Transactions!$O:$O,ROW()-8))</f>
      </c>
    </row>
    <row r="2520" spans="1:7">
      <c r="B2520">
        <f>IF(INDEX(Transactions!$J:$J,ROW()-8)="",TODAY(),INDEX(Transactions!$G:$G,ROW()-8))</f>
      </c>
      <c r="F2520">
        <f>IF(INDEX(Transactions!$J:$J,ROW()-8)="",0,INDEX(Transactions!$O:$O,ROW()-8))</f>
      </c>
    </row>
    <row r="2521" spans="1:7">
      <c r="B2521">
        <f>IF(INDEX(Transactions!$J:$J,ROW()-8)="",TODAY(),INDEX(Transactions!$G:$G,ROW()-8))</f>
      </c>
      <c r="F2521">
        <f>IF(INDEX(Transactions!$J:$J,ROW()-8)="",0,INDEX(Transactions!$O:$O,ROW()-8))</f>
      </c>
    </row>
    <row r="2522" spans="1:7">
      <c r="B2522">
        <f>IF(INDEX(Transactions!$J:$J,ROW()-8)="",TODAY(),INDEX(Transactions!$G:$G,ROW()-8))</f>
      </c>
      <c r="F2522">
        <f>IF(INDEX(Transactions!$J:$J,ROW()-8)="",0,INDEX(Transactions!$O:$O,ROW()-8))</f>
      </c>
    </row>
    <row r="2523" spans="1:7">
      <c r="B2523">
        <f>IF(INDEX(Transactions!$J:$J,ROW()-8)="",TODAY(),INDEX(Transactions!$G:$G,ROW()-8))</f>
      </c>
      <c r="F2523">
        <f>IF(INDEX(Transactions!$J:$J,ROW()-8)="",0,INDEX(Transactions!$O:$O,ROW()-8))</f>
      </c>
    </row>
    <row r="2524" spans="1:7">
      <c r="B2524">
        <f>IF(INDEX(Transactions!$J:$J,ROW()-8)="",TODAY(),INDEX(Transactions!$G:$G,ROW()-8))</f>
      </c>
      <c r="F2524">
        <f>IF(INDEX(Transactions!$J:$J,ROW()-8)="",0,INDEX(Transactions!$O:$O,ROW()-8))</f>
      </c>
    </row>
    <row r="2525" spans="1:7">
      <c r="B2525">
        <f>IF(INDEX(Transactions!$J:$J,ROW()-8)="",TODAY(),INDEX(Transactions!$G:$G,ROW()-8))</f>
      </c>
      <c r="F2525">
        <f>IF(INDEX(Transactions!$J:$J,ROW()-8)="",0,INDEX(Transactions!$O:$O,ROW()-8))</f>
      </c>
    </row>
    <row r="2526" spans="1:7">
      <c r="B2526">
        <f>IF(INDEX(Transactions!$J:$J,ROW()-8)="",TODAY(),INDEX(Transactions!$G:$G,ROW()-8))</f>
      </c>
      <c r="F2526">
        <f>IF(INDEX(Transactions!$J:$J,ROW()-8)="",0,INDEX(Transactions!$O:$O,ROW()-8))</f>
      </c>
    </row>
    <row r="2527" spans="1:7">
      <c r="B2527">
        <f>IF(INDEX(Transactions!$J:$J,ROW()-8)="",TODAY(),INDEX(Transactions!$G:$G,ROW()-8))</f>
      </c>
      <c r="F2527">
        <f>IF(INDEX(Transactions!$J:$J,ROW()-8)="",0,INDEX(Transactions!$O:$O,ROW()-8))</f>
      </c>
    </row>
    <row r="2528" spans="1:7">
      <c r="B2528">
        <f>IF(INDEX(Transactions!$J:$J,ROW()-8)="",TODAY(),INDEX(Transactions!$G:$G,ROW()-8))</f>
      </c>
      <c r="F2528">
        <f>IF(INDEX(Transactions!$J:$J,ROW()-8)="",0,INDEX(Transactions!$O:$O,ROW()-8))</f>
      </c>
    </row>
    <row r="2529" spans="1:7">
      <c r="B2529">
        <f>IF(INDEX(Transactions!$J:$J,ROW()-8)="",TODAY(),INDEX(Transactions!$G:$G,ROW()-8))</f>
      </c>
      <c r="F2529">
        <f>IF(INDEX(Transactions!$J:$J,ROW()-8)="",0,INDEX(Transactions!$O:$O,ROW()-8))</f>
      </c>
    </row>
    <row r="2530" spans="1:7">
      <c r="B2530">
        <f>IF(INDEX(Transactions!$J:$J,ROW()-8)="",TODAY(),INDEX(Transactions!$G:$G,ROW()-8))</f>
      </c>
      <c r="F2530">
        <f>IF(INDEX(Transactions!$J:$J,ROW()-8)="",0,INDEX(Transactions!$O:$O,ROW()-8))</f>
      </c>
    </row>
    <row r="2531" spans="1:7">
      <c r="B2531">
        <f>IF(INDEX(Transactions!$J:$J,ROW()-8)="",TODAY(),INDEX(Transactions!$G:$G,ROW()-8))</f>
      </c>
      <c r="F2531">
        <f>IF(INDEX(Transactions!$J:$J,ROW()-8)="",0,INDEX(Transactions!$O:$O,ROW()-8))</f>
      </c>
    </row>
    <row r="2532" spans="1:7">
      <c r="B2532">
        <f>IF(INDEX(Transactions!$J:$J,ROW()-8)="",TODAY(),INDEX(Transactions!$G:$G,ROW()-8))</f>
      </c>
      <c r="F2532">
        <f>IF(INDEX(Transactions!$J:$J,ROW()-8)="",0,INDEX(Transactions!$O:$O,ROW()-8))</f>
      </c>
    </row>
    <row r="2533" spans="1:7">
      <c r="B2533">
        <f>IF(INDEX(Transactions!$J:$J,ROW()-8)="",TODAY(),INDEX(Transactions!$G:$G,ROW()-8))</f>
      </c>
      <c r="F2533">
        <f>IF(INDEX(Transactions!$J:$J,ROW()-8)="",0,INDEX(Transactions!$O:$O,ROW()-8))</f>
      </c>
    </row>
    <row r="2534" spans="1:7">
      <c r="B2534">
        <f>IF(INDEX(Transactions!$J:$J,ROW()-8)="",TODAY(),INDEX(Transactions!$G:$G,ROW()-8))</f>
      </c>
      <c r="F2534">
        <f>IF(INDEX(Transactions!$J:$J,ROW()-8)="",0,INDEX(Transactions!$O:$O,ROW()-8))</f>
      </c>
    </row>
    <row r="2535" spans="1:7">
      <c r="B2535">
        <f>IF(INDEX(Transactions!$J:$J,ROW()-8)="",TODAY(),INDEX(Transactions!$G:$G,ROW()-8))</f>
      </c>
      <c r="F2535">
        <f>IF(INDEX(Transactions!$J:$J,ROW()-8)="",0,INDEX(Transactions!$O:$O,ROW()-8))</f>
      </c>
    </row>
    <row r="2536" spans="1:7">
      <c r="B2536">
        <f>IF(INDEX(Transactions!$J:$J,ROW()-8)="",TODAY(),INDEX(Transactions!$G:$G,ROW()-8))</f>
      </c>
      <c r="F2536">
        <f>IF(INDEX(Transactions!$J:$J,ROW()-8)="",0,INDEX(Transactions!$O:$O,ROW()-8))</f>
      </c>
    </row>
    <row r="2537" spans="1:7">
      <c r="B2537">
        <f>IF(INDEX(Transactions!$J:$J,ROW()-8)="",TODAY(),INDEX(Transactions!$G:$G,ROW()-8))</f>
      </c>
      <c r="F2537">
        <f>IF(INDEX(Transactions!$J:$J,ROW()-8)="",0,INDEX(Transactions!$O:$O,ROW()-8))</f>
      </c>
    </row>
    <row r="2538" spans="1:7">
      <c r="B2538">
        <f>IF(INDEX(Transactions!$J:$J,ROW()-8)="",TODAY(),INDEX(Transactions!$G:$G,ROW()-8))</f>
      </c>
      <c r="F2538">
        <f>IF(INDEX(Transactions!$J:$J,ROW()-8)="",0,INDEX(Transactions!$O:$O,ROW()-8))</f>
      </c>
    </row>
    <row r="2539" spans="1:7">
      <c r="B2539">
        <f>IF(INDEX(Transactions!$J:$J,ROW()-8)="",TODAY(),INDEX(Transactions!$G:$G,ROW()-8))</f>
      </c>
      <c r="F2539">
        <f>IF(INDEX(Transactions!$J:$J,ROW()-8)="",0,INDEX(Transactions!$O:$O,ROW()-8))</f>
      </c>
    </row>
    <row r="2540" spans="1:7">
      <c r="B2540">
        <f>IF(INDEX(Transactions!$J:$J,ROW()-8)="",TODAY(),INDEX(Transactions!$G:$G,ROW()-8))</f>
      </c>
      <c r="F2540">
        <f>IF(INDEX(Transactions!$J:$J,ROW()-8)="",0,INDEX(Transactions!$O:$O,ROW()-8))</f>
      </c>
    </row>
    <row r="2541" spans="1:7">
      <c r="B2541">
        <f>IF(INDEX(Transactions!$J:$J,ROW()-8)="",TODAY(),INDEX(Transactions!$G:$G,ROW()-8))</f>
      </c>
      <c r="F2541">
        <f>IF(INDEX(Transactions!$J:$J,ROW()-8)="",0,INDEX(Transactions!$O:$O,ROW()-8))</f>
      </c>
    </row>
    <row r="2542" spans="1:7">
      <c r="B2542">
        <f>IF(INDEX(Transactions!$J:$J,ROW()-8)="",TODAY(),INDEX(Transactions!$G:$G,ROW()-8))</f>
      </c>
      <c r="F2542">
        <f>IF(INDEX(Transactions!$J:$J,ROW()-8)="",0,INDEX(Transactions!$O:$O,ROW()-8))</f>
      </c>
    </row>
    <row r="2543" spans="1:7">
      <c r="B2543">
        <f>IF(INDEX(Transactions!$J:$J,ROW()-8)="",TODAY(),INDEX(Transactions!$G:$G,ROW()-8))</f>
      </c>
      <c r="F2543">
        <f>IF(INDEX(Transactions!$J:$J,ROW()-8)="",0,INDEX(Transactions!$O:$O,ROW()-8))</f>
      </c>
    </row>
    <row r="2544" spans="1:7">
      <c r="B2544">
        <f>IF(INDEX(Transactions!$J:$J,ROW()-8)="",TODAY(),INDEX(Transactions!$G:$G,ROW()-8))</f>
      </c>
      <c r="F2544">
        <f>IF(INDEX(Transactions!$J:$J,ROW()-8)="",0,INDEX(Transactions!$O:$O,ROW()-8))</f>
      </c>
    </row>
    <row r="2545" spans="1:7">
      <c r="B2545">
        <f>IF(INDEX(Transactions!$J:$J,ROW()-8)="",TODAY(),INDEX(Transactions!$G:$G,ROW()-8))</f>
      </c>
      <c r="F2545">
        <f>IF(INDEX(Transactions!$J:$J,ROW()-8)="",0,INDEX(Transactions!$O:$O,ROW()-8))</f>
      </c>
    </row>
    <row r="2546" spans="1:7">
      <c r="B2546">
        <f>IF(INDEX(Transactions!$J:$J,ROW()-8)="",TODAY(),INDEX(Transactions!$G:$G,ROW()-8))</f>
      </c>
      <c r="F2546">
        <f>IF(INDEX(Transactions!$J:$J,ROW()-8)="",0,INDEX(Transactions!$O:$O,ROW()-8))</f>
      </c>
    </row>
    <row r="2547" spans="1:7">
      <c r="B2547">
        <f>IF(INDEX(Transactions!$J:$J,ROW()-8)="",TODAY(),INDEX(Transactions!$G:$G,ROW()-8))</f>
      </c>
      <c r="F2547">
        <f>IF(INDEX(Transactions!$J:$J,ROW()-8)="",0,INDEX(Transactions!$O:$O,ROW()-8))</f>
      </c>
    </row>
    <row r="2548" spans="1:7">
      <c r="B2548">
        <f>IF(INDEX(Transactions!$J:$J,ROW()-8)="",TODAY(),INDEX(Transactions!$G:$G,ROW()-8))</f>
      </c>
      <c r="F2548">
        <f>IF(INDEX(Transactions!$J:$J,ROW()-8)="",0,INDEX(Transactions!$O:$O,ROW()-8))</f>
      </c>
    </row>
    <row r="2549" spans="1:7">
      <c r="B2549">
        <f>IF(INDEX(Transactions!$J:$J,ROW()-8)="",TODAY(),INDEX(Transactions!$G:$G,ROW()-8))</f>
      </c>
      <c r="F2549">
        <f>IF(INDEX(Transactions!$J:$J,ROW()-8)="",0,INDEX(Transactions!$O:$O,ROW()-8))</f>
      </c>
    </row>
    <row r="2550" spans="1:7">
      <c r="B2550">
        <f>IF(INDEX(Transactions!$J:$J,ROW()-8)="",TODAY(),INDEX(Transactions!$G:$G,ROW()-8))</f>
      </c>
      <c r="F2550">
        <f>IF(INDEX(Transactions!$J:$J,ROW()-8)="",0,INDEX(Transactions!$O:$O,ROW()-8))</f>
      </c>
    </row>
    <row r="2551" spans="1:7">
      <c r="B2551">
        <f>IF(INDEX(Transactions!$J:$J,ROW()-8)="",TODAY(),INDEX(Transactions!$G:$G,ROW()-8))</f>
      </c>
      <c r="F2551">
        <f>IF(INDEX(Transactions!$J:$J,ROW()-8)="",0,INDEX(Transactions!$O:$O,ROW()-8))</f>
      </c>
    </row>
    <row r="2552" spans="1:7">
      <c r="B2552">
        <f>IF(INDEX(Transactions!$J:$J,ROW()-8)="",TODAY(),INDEX(Transactions!$G:$G,ROW()-8))</f>
      </c>
      <c r="F2552">
        <f>IF(INDEX(Transactions!$J:$J,ROW()-8)="",0,INDEX(Transactions!$O:$O,ROW()-8))</f>
      </c>
    </row>
    <row r="2553" spans="1:7">
      <c r="B2553">
        <f>IF(INDEX(Transactions!$J:$J,ROW()-8)="",TODAY(),INDEX(Transactions!$G:$G,ROW()-8))</f>
      </c>
      <c r="F2553">
        <f>IF(INDEX(Transactions!$J:$J,ROW()-8)="",0,INDEX(Transactions!$O:$O,ROW()-8))</f>
      </c>
    </row>
    <row r="2554" spans="1:7">
      <c r="B2554">
        <f>IF(INDEX(Transactions!$J:$J,ROW()-8)="",TODAY(),INDEX(Transactions!$G:$G,ROW()-8))</f>
      </c>
      <c r="F2554">
        <f>IF(INDEX(Transactions!$J:$J,ROW()-8)="",0,INDEX(Transactions!$O:$O,ROW()-8))</f>
      </c>
    </row>
    <row r="2555" spans="1:7">
      <c r="B2555">
        <f>IF(INDEX(Transactions!$J:$J,ROW()-8)="",TODAY(),INDEX(Transactions!$G:$G,ROW()-8))</f>
      </c>
      <c r="F2555">
        <f>IF(INDEX(Transactions!$J:$J,ROW()-8)="",0,INDEX(Transactions!$O:$O,ROW()-8))</f>
      </c>
    </row>
    <row r="2556" spans="1:7">
      <c r="B2556">
        <f>IF(INDEX(Transactions!$J:$J,ROW()-8)="",TODAY(),INDEX(Transactions!$G:$G,ROW()-8))</f>
      </c>
      <c r="F2556">
        <f>IF(INDEX(Transactions!$J:$J,ROW()-8)="",0,INDEX(Transactions!$O:$O,ROW()-8))</f>
      </c>
    </row>
    <row r="2557" spans="1:7">
      <c r="B2557">
        <f>IF(INDEX(Transactions!$J:$J,ROW()-8)="",TODAY(),INDEX(Transactions!$G:$G,ROW()-8))</f>
      </c>
      <c r="F2557">
        <f>IF(INDEX(Transactions!$J:$J,ROW()-8)="",0,INDEX(Transactions!$O:$O,ROW()-8))</f>
      </c>
    </row>
    <row r="2558" spans="1:7">
      <c r="B2558">
        <f>IF(INDEX(Transactions!$J:$J,ROW()-8)="",TODAY(),INDEX(Transactions!$G:$G,ROW()-8))</f>
      </c>
      <c r="F2558">
        <f>IF(INDEX(Transactions!$J:$J,ROW()-8)="",0,INDEX(Transactions!$O:$O,ROW()-8))</f>
      </c>
    </row>
    <row r="2559" spans="1:7">
      <c r="B2559">
        <f>IF(INDEX(Transactions!$J:$J,ROW()-8)="",TODAY(),INDEX(Transactions!$G:$G,ROW()-8))</f>
      </c>
      <c r="F2559">
        <f>IF(INDEX(Transactions!$J:$J,ROW()-8)="",0,INDEX(Transactions!$O:$O,ROW()-8))</f>
      </c>
    </row>
    <row r="2560" spans="1:7">
      <c r="B2560">
        <f>IF(INDEX(Transactions!$J:$J,ROW()-8)="",TODAY(),INDEX(Transactions!$G:$G,ROW()-8))</f>
      </c>
      <c r="F2560">
        <f>IF(INDEX(Transactions!$J:$J,ROW()-8)="",0,INDEX(Transactions!$O:$O,ROW()-8))</f>
      </c>
    </row>
    <row r="2561" spans="1:7">
      <c r="B2561">
        <f>IF(INDEX(Transactions!$J:$J,ROW()-8)="",TODAY(),INDEX(Transactions!$G:$G,ROW()-8))</f>
      </c>
      <c r="F2561">
        <f>IF(INDEX(Transactions!$J:$J,ROW()-8)="",0,INDEX(Transactions!$O:$O,ROW()-8))</f>
      </c>
    </row>
    <row r="2562" spans="1:7">
      <c r="B2562">
        <f>IF(INDEX(Transactions!$J:$J,ROW()-8)="",TODAY(),INDEX(Transactions!$G:$G,ROW()-8))</f>
      </c>
      <c r="F2562">
        <f>IF(INDEX(Transactions!$J:$J,ROW()-8)="",0,INDEX(Transactions!$O:$O,ROW()-8))</f>
      </c>
    </row>
    <row r="2563" spans="1:7">
      <c r="B2563">
        <f>IF(INDEX(Transactions!$J:$J,ROW()-8)="",TODAY(),INDEX(Transactions!$G:$G,ROW()-8))</f>
      </c>
      <c r="F2563">
        <f>IF(INDEX(Transactions!$J:$J,ROW()-8)="",0,INDEX(Transactions!$O:$O,ROW()-8))</f>
      </c>
    </row>
    <row r="2564" spans="1:7">
      <c r="B2564">
        <f>IF(INDEX(Transactions!$J:$J,ROW()-8)="",TODAY(),INDEX(Transactions!$G:$G,ROW()-8))</f>
      </c>
      <c r="F2564">
        <f>IF(INDEX(Transactions!$J:$J,ROW()-8)="",0,INDEX(Transactions!$O:$O,ROW()-8))</f>
      </c>
    </row>
    <row r="2565" spans="1:7">
      <c r="B2565">
        <f>IF(INDEX(Transactions!$J:$J,ROW()-8)="",TODAY(),INDEX(Transactions!$G:$G,ROW()-8))</f>
      </c>
      <c r="F2565">
        <f>IF(INDEX(Transactions!$J:$J,ROW()-8)="",0,INDEX(Transactions!$O:$O,ROW()-8))</f>
      </c>
    </row>
    <row r="2566" spans="1:7">
      <c r="B2566">
        <f>IF(INDEX(Transactions!$J:$J,ROW()-8)="",TODAY(),INDEX(Transactions!$G:$G,ROW()-8))</f>
      </c>
      <c r="F2566">
        <f>IF(INDEX(Transactions!$J:$J,ROW()-8)="",0,INDEX(Transactions!$O:$O,ROW()-8))</f>
      </c>
    </row>
    <row r="2567" spans="1:7">
      <c r="B2567">
        <f>IF(INDEX(Transactions!$J:$J,ROW()-8)="",TODAY(),INDEX(Transactions!$G:$G,ROW()-8))</f>
      </c>
      <c r="F2567">
        <f>IF(INDEX(Transactions!$J:$J,ROW()-8)="",0,INDEX(Transactions!$O:$O,ROW()-8))</f>
      </c>
    </row>
    <row r="2568" spans="1:7">
      <c r="B2568">
        <f>IF(INDEX(Transactions!$J:$J,ROW()-8)="",TODAY(),INDEX(Transactions!$G:$G,ROW()-8))</f>
      </c>
      <c r="F2568">
        <f>IF(INDEX(Transactions!$J:$J,ROW()-8)="",0,INDEX(Transactions!$O:$O,ROW()-8))</f>
      </c>
    </row>
    <row r="2569" spans="1:7">
      <c r="B2569">
        <f>IF(INDEX(Transactions!$J:$J,ROW()-8)="",TODAY(),INDEX(Transactions!$G:$G,ROW()-8))</f>
      </c>
      <c r="F2569">
        <f>IF(INDEX(Transactions!$J:$J,ROW()-8)="",0,INDEX(Transactions!$O:$O,ROW()-8))</f>
      </c>
    </row>
    <row r="2570" spans="1:7">
      <c r="B2570">
        <f>IF(INDEX(Transactions!$J:$J,ROW()-8)="",TODAY(),INDEX(Transactions!$G:$G,ROW()-8))</f>
      </c>
      <c r="F2570">
        <f>IF(INDEX(Transactions!$J:$J,ROW()-8)="",0,INDEX(Transactions!$O:$O,ROW()-8))</f>
      </c>
    </row>
    <row r="2571" spans="1:7">
      <c r="B2571">
        <f>IF(INDEX(Transactions!$J:$J,ROW()-8)="",TODAY(),INDEX(Transactions!$G:$G,ROW()-8))</f>
      </c>
      <c r="F2571">
        <f>IF(INDEX(Transactions!$J:$J,ROW()-8)="",0,INDEX(Transactions!$O:$O,ROW()-8))</f>
      </c>
    </row>
    <row r="2572" spans="1:7">
      <c r="B2572">
        <f>IF(INDEX(Transactions!$J:$J,ROW()-8)="",TODAY(),INDEX(Transactions!$G:$G,ROW()-8))</f>
      </c>
      <c r="F2572">
        <f>IF(INDEX(Transactions!$J:$J,ROW()-8)="",0,INDEX(Transactions!$O:$O,ROW()-8))</f>
      </c>
    </row>
    <row r="2573" spans="1:7">
      <c r="B2573">
        <f>IF(INDEX(Transactions!$J:$J,ROW()-8)="",TODAY(),INDEX(Transactions!$G:$G,ROW()-8))</f>
      </c>
      <c r="F2573">
        <f>IF(INDEX(Transactions!$J:$J,ROW()-8)="",0,INDEX(Transactions!$O:$O,ROW()-8))</f>
      </c>
    </row>
    <row r="2574" spans="1:7">
      <c r="B2574">
        <f>IF(INDEX(Transactions!$J:$J,ROW()-8)="",TODAY(),INDEX(Transactions!$G:$G,ROW()-8))</f>
      </c>
      <c r="F2574">
        <f>IF(INDEX(Transactions!$J:$J,ROW()-8)="",0,INDEX(Transactions!$O:$O,ROW()-8))</f>
      </c>
    </row>
    <row r="2575" spans="1:7">
      <c r="B2575">
        <f>IF(INDEX(Transactions!$J:$J,ROW()-8)="",TODAY(),INDEX(Transactions!$G:$G,ROW()-8))</f>
      </c>
      <c r="F2575">
        <f>IF(INDEX(Transactions!$J:$J,ROW()-8)="",0,INDEX(Transactions!$O:$O,ROW()-8))</f>
      </c>
    </row>
    <row r="2576" spans="1:7">
      <c r="B2576">
        <f>IF(INDEX(Transactions!$J:$J,ROW()-8)="",TODAY(),INDEX(Transactions!$G:$G,ROW()-8))</f>
      </c>
      <c r="F2576">
        <f>IF(INDEX(Transactions!$J:$J,ROW()-8)="",0,INDEX(Transactions!$O:$O,ROW()-8))</f>
      </c>
    </row>
    <row r="2577" spans="1:7">
      <c r="B2577">
        <f>IF(INDEX(Transactions!$J:$J,ROW()-8)="",TODAY(),INDEX(Transactions!$G:$G,ROW()-8))</f>
      </c>
      <c r="F2577">
        <f>IF(INDEX(Transactions!$J:$J,ROW()-8)="",0,INDEX(Transactions!$O:$O,ROW()-8))</f>
      </c>
    </row>
    <row r="2578" spans="1:7">
      <c r="B2578">
        <f>IF(INDEX(Transactions!$J:$J,ROW()-8)="",TODAY(),INDEX(Transactions!$G:$G,ROW()-8))</f>
      </c>
      <c r="F2578">
        <f>IF(INDEX(Transactions!$J:$J,ROW()-8)="",0,INDEX(Transactions!$O:$O,ROW()-8))</f>
      </c>
    </row>
    <row r="2579" spans="1:7">
      <c r="B2579">
        <f>IF(INDEX(Transactions!$J:$J,ROW()-8)="",TODAY(),INDEX(Transactions!$G:$G,ROW()-8))</f>
      </c>
      <c r="F2579">
        <f>IF(INDEX(Transactions!$J:$J,ROW()-8)="",0,INDEX(Transactions!$O:$O,ROW()-8))</f>
      </c>
    </row>
    <row r="2580" spans="1:7">
      <c r="B2580">
        <f>IF(INDEX(Transactions!$J:$J,ROW()-8)="",TODAY(),INDEX(Transactions!$G:$G,ROW()-8))</f>
      </c>
      <c r="F2580">
        <f>IF(INDEX(Transactions!$J:$J,ROW()-8)="",0,INDEX(Transactions!$O:$O,ROW()-8))</f>
      </c>
    </row>
    <row r="2581" spans="1:7">
      <c r="B2581">
        <f>IF(INDEX(Transactions!$J:$J,ROW()-8)="",TODAY(),INDEX(Transactions!$G:$G,ROW()-8))</f>
      </c>
      <c r="F2581">
        <f>IF(INDEX(Transactions!$J:$J,ROW()-8)="",0,INDEX(Transactions!$O:$O,ROW()-8))</f>
      </c>
    </row>
    <row r="2582" spans="1:7">
      <c r="B2582">
        <f>IF(INDEX(Transactions!$J:$J,ROW()-8)="",TODAY(),INDEX(Transactions!$G:$G,ROW()-8))</f>
      </c>
      <c r="F2582">
        <f>IF(INDEX(Transactions!$J:$J,ROW()-8)="",0,INDEX(Transactions!$O:$O,ROW()-8))</f>
      </c>
    </row>
    <row r="2583" spans="1:7">
      <c r="B2583">
        <f>IF(INDEX(Transactions!$J:$J,ROW()-8)="",TODAY(),INDEX(Transactions!$G:$G,ROW()-8))</f>
      </c>
      <c r="F2583">
        <f>IF(INDEX(Transactions!$J:$J,ROW()-8)="",0,INDEX(Transactions!$O:$O,ROW()-8))</f>
      </c>
    </row>
    <row r="2584" spans="1:7">
      <c r="B2584">
        <f>IF(INDEX(Transactions!$J:$J,ROW()-8)="",TODAY(),INDEX(Transactions!$G:$G,ROW()-8))</f>
      </c>
      <c r="F2584">
        <f>IF(INDEX(Transactions!$J:$J,ROW()-8)="",0,INDEX(Transactions!$O:$O,ROW()-8))</f>
      </c>
    </row>
    <row r="2585" spans="1:7">
      <c r="B2585">
        <f>IF(INDEX(Transactions!$J:$J,ROW()-8)="",TODAY(),INDEX(Transactions!$G:$G,ROW()-8))</f>
      </c>
      <c r="F2585">
        <f>IF(INDEX(Transactions!$J:$J,ROW()-8)="",0,INDEX(Transactions!$O:$O,ROW()-8))</f>
      </c>
    </row>
    <row r="2586" spans="1:7">
      <c r="B2586">
        <f>IF(INDEX(Transactions!$J:$J,ROW()-8)="",TODAY(),INDEX(Transactions!$G:$G,ROW()-8))</f>
      </c>
      <c r="F2586">
        <f>IF(INDEX(Transactions!$J:$J,ROW()-8)="",0,INDEX(Transactions!$O:$O,ROW()-8))</f>
      </c>
    </row>
    <row r="2587" spans="1:7">
      <c r="B2587">
        <f>IF(INDEX(Transactions!$J:$J,ROW()-8)="",TODAY(),INDEX(Transactions!$G:$G,ROW()-8))</f>
      </c>
      <c r="F2587">
        <f>IF(INDEX(Transactions!$J:$J,ROW()-8)="",0,INDEX(Transactions!$O:$O,ROW()-8))</f>
      </c>
    </row>
    <row r="2588" spans="1:7">
      <c r="B2588">
        <f>IF(INDEX(Transactions!$J:$J,ROW()-8)="",TODAY(),INDEX(Transactions!$G:$G,ROW()-8))</f>
      </c>
      <c r="F2588">
        <f>IF(INDEX(Transactions!$J:$J,ROW()-8)="",0,INDEX(Transactions!$O:$O,ROW()-8))</f>
      </c>
    </row>
    <row r="2589" spans="1:7">
      <c r="B2589">
        <f>IF(INDEX(Transactions!$J:$J,ROW()-8)="",TODAY(),INDEX(Transactions!$G:$G,ROW()-8))</f>
      </c>
      <c r="F2589">
        <f>IF(INDEX(Transactions!$J:$J,ROW()-8)="",0,INDEX(Transactions!$O:$O,ROW()-8))</f>
      </c>
    </row>
    <row r="2590" spans="1:7">
      <c r="B2590">
        <f>IF(INDEX(Transactions!$J:$J,ROW()-8)="",TODAY(),INDEX(Transactions!$G:$G,ROW()-8))</f>
      </c>
      <c r="F2590">
        <f>IF(INDEX(Transactions!$J:$J,ROW()-8)="",0,INDEX(Transactions!$O:$O,ROW()-8))</f>
      </c>
    </row>
    <row r="2591" spans="1:7">
      <c r="B2591">
        <f>IF(INDEX(Transactions!$J:$J,ROW()-8)="",TODAY(),INDEX(Transactions!$G:$G,ROW()-8))</f>
      </c>
      <c r="F2591">
        <f>IF(INDEX(Transactions!$J:$J,ROW()-8)="",0,INDEX(Transactions!$O:$O,ROW()-8))</f>
      </c>
    </row>
    <row r="2592" spans="1:7">
      <c r="B2592">
        <f>IF(INDEX(Transactions!$J:$J,ROW()-8)="",TODAY(),INDEX(Transactions!$G:$G,ROW()-8))</f>
      </c>
      <c r="F2592">
        <f>IF(INDEX(Transactions!$J:$J,ROW()-8)="",0,INDEX(Transactions!$O:$O,ROW()-8))</f>
      </c>
    </row>
    <row r="2593" spans="1:7">
      <c r="B2593">
        <f>IF(INDEX(Transactions!$J:$J,ROW()-8)="",TODAY(),INDEX(Transactions!$G:$G,ROW()-8))</f>
      </c>
      <c r="F2593">
        <f>IF(INDEX(Transactions!$J:$J,ROW()-8)="",0,INDEX(Transactions!$O:$O,ROW()-8))</f>
      </c>
    </row>
    <row r="2594" spans="1:7">
      <c r="B2594">
        <f>IF(INDEX(Transactions!$J:$J,ROW()-8)="",TODAY(),INDEX(Transactions!$G:$G,ROW()-8))</f>
      </c>
      <c r="F2594">
        <f>IF(INDEX(Transactions!$J:$J,ROW()-8)="",0,INDEX(Transactions!$O:$O,ROW()-8))</f>
      </c>
    </row>
    <row r="2595" spans="1:7">
      <c r="B2595">
        <f>IF(INDEX(Transactions!$J:$J,ROW()-8)="",TODAY(),INDEX(Transactions!$G:$G,ROW()-8))</f>
      </c>
      <c r="F2595">
        <f>IF(INDEX(Transactions!$J:$J,ROW()-8)="",0,INDEX(Transactions!$O:$O,ROW()-8))</f>
      </c>
    </row>
    <row r="2596" spans="1:7">
      <c r="B2596">
        <f>IF(INDEX(Transactions!$J:$J,ROW()-8)="",TODAY(),INDEX(Transactions!$G:$G,ROW()-8))</f>
      </c>
      <c r="F2596">
        <f>IF(INDEX(Transactions!$J:$J,ROW()-8)="",0,INDEX(Transactions!$O:$O,ROW()-8))</f>
      </c>
    </row>
    <row r="2597" spans="1:7">
      <c r="B2597">
        <f>IF(INDEX(Transactions!$J:$J,ROW()-8)="",TODAY(),INDEX(Transactions!$G:$G,ROW()-8))</f>
      </c>
      <c r="F2597">
        <f>IF(INDEX(Transactions!$J:$J,ROW()-8)="",0,INDEX(Transactions!$O:$O,ROW()-8))</f>
      </c>
    </row>
    <row r="2598" spans="1:7">
      <c r="B2598">
        <f>IF(INDEX(Transactions!$J:$J,ROW()-8)="",TODAY(),INDEX(Transactions!$G:$G,ROW()-8))</f>
      </c>
      <c r="F2598">
        <f>IF(INDEX(Transactions!$J:$J,ROW()-8)="",0,INDEX(Transactions!$O:$O,ROW()-8))</f>
      </c>
    </row>
    <row r="2599" spans="1:7">
      <c r="B2599">
        <f>IF(INDEX(Transactions!$J:$J,ROW()-8)="",TODAY(),INDEX(Transactions!$G:$G,ROW()-8))</f>
      </c>
      <c r="F2599">
        <f>IF(INDEX(Transactions!$J:$J,ROW()-8)="",0,INDEX(Transactions!$O:$O,ROW()-8))</f>
      </c>
    </row>
    <row r="2600" spans="1:7">
      <c r="B2600">
        <f>IF(INDEX(Transactions!$J:$J,ROW()-8)="",TODAY(),INDEX(Transactions!$G:$G,ROW()-8))</f>
      </c>
      <c r="F2600">
        <f>IF(INDEX(Transactions!$J:$J,ROW()-8)="",0,INDEX(Transactions!$O:$O,ROW()-8))</f>
      </c>
    </row>
    <row r="2601" spans="1:7">
      <c r="B2601">
        <f>IF(INDEX(Transactions!$J:$J,ROW()-8)="",TODAY(),INDEX(Transactions!$G:$G,ROW()-8))</f>
      </c>
      <c r="F2601">
        <f>IF(INDEX(Transactions!$J:$J,ROW()-8)="",0,INDEX(Transactions!$O:$O,ROW()-8))</f>
      </c>
    </row>
    <row r="2602" spans="1:7">
      <c r="B2602">
        <f>IF(INDEX(Transactions!$J:$J,ROW()-8)="",TODAY(),INDEX(Transactions!$G:$G,ROW()-8))</f>
      </c>
      <c r="F2602">
        <f>IF(INDEX(Transactions!$J:$J,ROW()-8)="",0,INDEX(Transactions!$O:$O,ROW()-8))</f>
      </c>
    </row>
    <row r="2603" spans="1:7">
      <c r="B2603">
        <f>IF(INDEX(Transactions!$J:$J,ROW()-8)="",TODAY(),INDEX(Transactions!$G:$G,ROW()-8))</f>
      </c>
      <c r="F2603">
        <f>IF(INDEX(Transactions!$J:$J,ROW()-8)="",0,INDEX(Transactions!$O:$O,ROW()-8))</f>
      </c>
    </row>
    <row r="2604" spans="1:7">
      <c r="B2604">
        <f>IF(INDEX(Transactions!$J:$J,ROW()-8)="",TODAY(),INDEX(Transactions!$G:$G,ROW()-8))</f>
      </c>
      <c r="F2604">
        <f>IF(INDEX(Transactions!$J:$J,ROW()-8)="",0,INDEX(Transactions!$O:$O,ROW()-8))</f>
      </c>
    </row>
    <row r="2605" spans="1:7">
      <c r="B2605">
        <f>IF(INDEX(Transactions!$J:$J,ROW()-8)="",TODAY(),INDEX(Transactions!$G:$G,ROW()-8))</f>
      </c>
      <c r="F2605">
        <f>IF(INDEX(Transactions!$J:$J,ROW()-8)="",0,INDEX(Transactions!$O:$O,ROW()-8))</f>
      </c>
    </row>
    <row r="2606" spans="1:7">
      <c r="B2606">
        <f>IF(INDEX(Transactions!$J:$J,ROW()-8)="",TODAY(),INDEX(Transactions!$G:$G,ROW()-8))</f>
      </c>
      <c r="F2606">
        <f>IF(INDEX(Transactions!$J:$J,ROW()-8)="",0,INDEX(Transactions!$O:$O,ROW()-8))</f>
      </c>
    </row>
    <row r="2607" spans="1:7">
      <c r="B2607">
        <f>IF(INDEX(Transactions!$J:$J,ROW()-8)="",TODAY(),INDEX(Transactions!$G:$G,ROW()-8))</f>
      </c>
      <c r="F2607">
        <f>IF(INDEX(Transactions!$J:$J,ROW()-8)="",0,INDEX(Transactions!$O:$O,ROW()-8))</f>
      </c>
    </row>
    <row r="2608" spans="1:7">
      <c r="B2608">
        <f>IF(INDEX(Transactions!$J:$J,ROW()-8)="",TODAY(),INDEX(Transactions!$G:$G,ROW()-8))</f>
      </c>
      <c r="F2608">
        <f>IF(INDEX(Transactions!$J:$J,ROW()-8)="",0,INDEX(Transactions!$O:$O,ROW()-8))</f>
      </c>
    </row>
    <row r="2609" spans="1:7">
      <c r="B2609">
        <f>IF(INDEX(Transactions!$J:$J,ROW()-8)="",TODAY(),INDEX(Transactions!$G:$G,ROW()-8))</f>
      </c>
      <c r="F2609">
        <f>IF(INDEX(Transactions!$J:$J,ROW()-8)="",0,INDEX(Transactions!$O:$O,ROW()-8))</f>
      </c>
    </row>
    <row r="2610" spans="1:7">
      <c r="B2610">
        <f>IF(INDEX(Transactions!$J:$J,ROW()-8)="",TODAY(),INDEX(Transactions!$G:$G,ROW()-8))</f>
      </c>
      <c r="F2610">
        <f>IF(INDEX(Transactions!$J:$J,ROW()-8)="",0,INDEX(Transactions!$O:$O,ROW()-8))</f>
      </c>
    </row>
    <row r="2611" spans="1:7">
      <c r="B2611">
        <f>IF(INDEX(Transactions!$J:$J,ROW()-8)="",TODAY(),INDEX(Transactions!$G:$G,ROW()-8))</f>
      </c>
      <c r="F2611">
        <f>IF(INDEX(Transactions!$J:$J,ROW()-8)="",0,INDEX(Transactions!$O:$O,ROW()-8))</f>
      </c>
    </row>
    <row r="2612" spans="1:7">
      <c r="B2612">
        <f>IF(INDEX(Transactions!$J:$J,ROW()-8)="",TODAY(),INDEX(Transactions!$G:$G,ROW()-8))</f>
      </c>
      <c r="F2612">
        <f>IF(INDEX(Transactions!$J:$J,ROW()-8)="",0,INDEX(Transactions!$O:$O,ROW()-8))</f>
      </c>
    </row>
    <row r="2613" spans="1:7">
      <c r="B2613">
        <f>IF(INDEX(Transactions!$J:$J,ROW()-8)="",TODAY(),INDEX(Transactions!$G:$G,ROW()-8))</f>
      </c>
      <c r="F2613">
        <f>IF(INDEX(Transactions!$J:$J,ROW()-8)="",0,INDEX(Transactions!$O:$O,ROW()-8))</f>
      </c>
    </row>
    <row r="2614" spans="1:7">
      <c r="B2614">
        <f>IF(INDEX(Transactions!$J:$J,ROW()-8)="",TODAY(),INDEX(Transactions!$G:$G,ROW()-8))</f>
      </c>
      <c r="F2614">
        <f>IF(INDEX(Transactions!$J:$J,ROW()-8)="",0,INDEX(Transactions!$O:$O,ROW()-8))</f>
      </c>
    </row>
    <row r="2615" spans="1:7">
      <c r="B2615">
        <f>IF(INDEX(Transactions!$J:$J,ROW()-8)="",TODAY(),INDEX(Transactions!$G:$G,ROW()-8))</f>
      </c>
      <c r="F2615">
        <f>IF(INDEX(Transactions!$J:$J,ROW()-8)="",0,INDEX(Transactions!$O:$O,ROW()-8))</f>
      </c>
    </row>
    <row r="2616" spans="1:7">
      <c r="B2616">
        <f>IF(INDEX(Transactions!$J:$J,ROW()-8)="",TODAY(),INDEX(Transactions!$G:$G,ROW()-8))</f>
      </c>
      <c r="F2616">
        <f>IF(INDEX(Transactions!$J:$J,ROW()-8)="",0,INDEX(Transactions!$O:$O,ROW()-8))</f>
      </c>
    </row>
    <row r="2617" spans="1:7">
      <c r="B2617">
        <f>IF(INDEX(Transactions!$J:$J,ROW()-8)="",TODAY(),INDEX(Transactions!$G:$G,ROW()-8))</f>
      </c>
      <c r="F2617">
        <f>IF(INDEX(Transactions!$J:$J,ROW()-8)="",0,INDEX(Transactions!$O:$O,ROW()-8))</f>
      </c>
    </row>
    <row r="2618" spans="1:7">
      <c r="B2618">
        <f>IF(INDEX(Transactions!$J:$J,ROW()-8)="",TODAY(),INDEX(Transactions!$G:$G,ROW()-8))</f>
      </c>
      <c r="F2618">
        <f>IF(INDEX(Transactions!$J:$J,ROW()-8)="",0,INDEX(Transactions!$O:$O,ROW()-8))</f>
      </c>
    </row>
    <row r="2619" spans="1:7">
      <c r="B2619">
        <f>IF(INDEX(Transactions!$J:$J,ROW()-8)="",TODAY(),INDEX(Transactions!$G:$G,ROW()-8))</f>
      </c>
      <c r="F2619">
        <f>IF(INDEX(Transactions!$J:$J,ROW()-8)="",0,INDEX(Transactions!$O:$O,ROW()-8))</f>
      </c>
    </row>
    <row r="2620" spans="1:7">
      <c r="B2620">
        <f>IF(INDEX(Transactions!$J:$J,ROW()-8)="",TODAY(),INDEX(Transactions!$G:$G,ROW()-8))</f>
      </c>
      <c r="F2620">
        <f>IF(INDEX(Transactions!$J:$J,ROW()-8)="",0,INDEX(Transactions!$O:$O,ROW()-8))</f>
      </c>
    </row>
    <row r="2621" spans="1:7">
      <c r="B2621">
        <f>IF(INDEX(Transactions!$J:$J,ROW()-8)="",TODAY(),INDEX(Transactions!$G:$G,ROW()-8))</f>
      </c>
      <c r="F2621">
        <f>IF(INDEX(Transactions!$J:$J,ROW()-8)="",0,INDEX(Transactions!$O:$O,ROW()-8))</f>
      </c>
    </row>
    <row r="2622" spans="1:7">
      <c r="B2622">
        <f>IF(INDEX(Transactions!$J:$J,ROW()-8)="",TODAY(),INDEX(Transactions!$G:$G,ROW()-8))</f>
      </c>
      <c r="F2622">
        <f>IF(INDEX(Transactions!$J:$J,ROW()-8)="",0,INDEX(Transactions!$O:$O,ROW()-8))</f>
      </c>
    </row>
    <row r="2623" spans="1:7">
      <c r="B2623">
        <f>IF(INDEX(Transactions!$J:$J,ROW()-8)="",TODAY(),INDEX(Transactions!$G:$G,ROW()-8))</f>
      </c>
      <c r="F2623">
        <f>IF(INDEX(Transactions!$J:$J,ROW()-8)="",0,INDEX(Transactions!$O:$O,ROW()-8))</f>
      </c>
    </row>
    <row r="2624" spans="1:7">
      <c r="B2624">
        <f>IF(INDEX(Transactions!$J:$J,ROW()-8)="",TODAY(),INDEX(Transactions!$G:$G,ROW()-8))</f>
      </c>
      <c r="F2624">
        <f>IF(INDEX(Transactions!$J:$J,ROW()-8)="",0,INDEX(Transactions!$O:$O,ROW()-8))</f>
      </c>
    </row>
    <row r="2625" spans="1:7">
      <c r="B2625">
        <f>IF(INDEX(Transactions!$J:$J,ROW()-8)="",TODAY(),INDEX(Transactions!$G:$G,ROW()-8))</f>
      </c>
      <c r="F2625">
        <f>IF(INDEX(Transactions!$J:$J,ROW()-8)="",0,INDEX(Transactions!$O:$O,ROW()-8))</f>
      </c>
    </row>
    <row r="2626" spans="1:7">
      <c r="B2626">
        <f>IF(INDEX(Transactions!$J:$J,ROW()-8)="",TODAY(),INDEX(Transactions!$G:$G,ROW()-8))</f>
      </c>
      <c r="F2626">
        <f>IF(INDEX(Transactions!$J:$J,ROW()-8)="",0,INDEX(Transactions!$O:$O,ROW()-8))</f>
      </c>
    </row>
    <row r="2627" spans="1:7">
      <c r="B2627">
        <f>IF(INDEX(Transactions!$J:$J,ROW()-8)="",TODAY(),INDEX(Transactions!$G:$G,ROW()-8))</f>
      </c>
      <c r="F2627">
        <f>IF(INDEX(Transactions!$J:$J,ROW()-8)="",0,INDEX(Transactions!$O:$O,ROW()-8))</f>
      </c>
    </row>
    <row r="2628" spans="1:7">
      <c r="B2628">
        <f>IF(INDEX(Transactions!$J:$J,ROW()-8)="",TODAY(),INDEX(Transactions!$G:$G,ROW()-8))</f>
      </c>
      <c r="F2628">
        <f>IF(INDEX(Transactions!$J:$J,ROW()-8)="",0,INDEX(Transactions!$O:$O,ROW()-8))</f>
      </c>
    </row>
    <row r="2629" spans="1:7">
      <c r="B2629">
        <f>IF(INDEX(Transactions!$J:$J,ROW()-8)="",TODAY(),INDEX(Transactions!$G:$G,ROW()-8))</f>
      </c>
      <c r="F2629">
        <f>IF(INDEX(Transactions!$J:$J,ROW()-8)="",0,INDEX(Transactions!$O:$O,ROW()-8))</f>
      </c>
    </row>
    <row r="2630" spans="1:7">
      <c r="B2630">
        <f>IF(INDEX(Transactions!$J:$J,ROW()-8)="",TODAY(),INDEX(Transactions!$G:$G,ROW()-8))</f>
      </c>
      <c r="F2630">
        <f>IF(INDEX(Transactions!$J:$J,ROW()-8)="",0,INDEX(Transactions!$O:$O,ROW()-8))</f>
      </c>
    </row>
    <row r="2631" spans="1:7">
      <c r="B2631">
        <f>IF(INDEX(Transactions!$J:$J,ROW()-8)="",TODAY(),INDEX(Transactions!$G:$G,ROW()-8))</f>
      </c>
      <c r="F2631">
        <f>IF(INDEX(Transactions!$J:$J,ROW()-8)="",0,INDEX(Transactions!$O:$O,ROW()-8))</f>
      </c>
    </row>
    <row r="2632" spans="1:7">
      <c r="B2632">
        <f>IF(INDEX(Transactions!$J:$J,ROW()-8)="",TODAY(),INDEX(Transactions!$G:$G,ROW()-8))</f>
      </c>
      <c r="F2632">
        <f>IF(INDEX(Transactions!$J:$J,ROW()-8)="",0,INDEX(Transactions!$O:$O,ROW()-8))</f>
      </c>
    </row>
    <row r="2633" spans="1:7">
      <c r="B2633">
        <f>IF(INDEX(Transactions!$J:$J,ROW()-8)="",TODAY(),INDEX(Transactions!$G:$G,ROW()-8))</f>
      </c>
      <c r="F2633">
        <f>IF(INDEX(Transactions!$J:$J,ROW()-8)="",0,INDEX(Transactions!$O:$O,ROW()-8))</f>
      </c>
    </row>
    <row r="2634" spans="1:7">
      <c r="B2634">
        <f>IF(INDEX(Transactions!$J:$J,ROW()-8)="",TODAY(),INDEX(Transactions!$G:$G,ROW()-8))</f>
      </c>
      <c r="F2634">
        <f>IF(INDEX(Transactions!$J:$J,ROW()-8)="",0,INDEX(Transactions!$O:$O,ROW()-8))</f>
      </c>
    </row>
    <row r="2635" spans="1:7">
      <c r="B2635">
        <f>IF(INDEX(Transactions!$J:$J,ROW()-8)="",TODAY(),INDEX(Transactions!$G:$G,ROW()-8))</f>
      </c>
      <c r="F2635">
        <f>IF(INDEX(Transactions!$J:$J,ROW()-8)="",0,INDEX(Transactions!$O:$O,ROW()-8))</f>
      </c>
    </row>
    <row r="2636" spans="1:7">
      <c r="B2636">
        <f>IF(INDEX(Transactions!$J:$J,ROW()-8)="",TODAY(),INDEX(Transactions!$G:$G,ROW()-8))</f>
      </c>
      <c r="F2636">
        <f>IF(INDEX(Transactions!$J:$J,ROW()-8)="",0,INDEX(Transactions!$O:$O,ROW()-8))</f>
      </c>
    </row>
    <row r="2637" spans="1:7">
      <c r="B2637">
        <f>IF(INDEX(Transactions!$J:$J,ROW()-8)="",TODAY(),INDEX(Transactions!$G:$G,ROW()-8))</f>
      </c>
      <c r="F2637">
        <f>IF(INDEX(Transactions!$J:$J,ROW()-8)="",0,INDEX(Transactions!$O:$O,ROW()-8))</f>
      </c>
    </row>
    <row r="2638" spans="1:7">
      <c r="B2638">
        <f>IF(INDEX(Transactions!$J:$J,ROW()-8)="",TODAY(),INDEX(Transactions!$G:$G,ROW()-8))</f>
      </c>
      <c r="F2638">
        <f>IF(INDEX(Transactions!$J:$J,ROW()-8)="",0,INDEX(Transactions!$O:$O,ROW()-8))</f>
      </c>
    </row>
    <row r="2639" spans="1:7">
      <c r="B2639">
        <f>IF(INDEX(Transactions!$J:$J,ROW()-8)="",TODAY(),INDEX(Transactions!$G:$G,ROW()-8))</f>
      </c>
      <c r="F2639">
        <f>IF(INDEX(Transactions!$J:$J,ROW()-8)="",0,INDEX(Transactions!$O:$O,ROW()-8))</f>
      </c>
    </row>
    <row r="2640" spans="1:7">
      <c r="B2640">
        <f>IF(INDEX(Transactions!$J:$J,ROW()-8)="",TODAY(),INDEX(Transactions!$G:$G,ROW()-8))</f>
      </c>
      <c r="F2640">
        <f>IF(INDEX(Transactions!$J:$J,ROW()-8)="",0,INDEX(Transactions!$O:$O,ROW()-8))</f>
      </c>
    </row>
    <row r="2641" spans="1:7">
      <c r="B2641">
        <f>IF(INDEX(Transactions!$J:$J,ROW()-8)="",TODAY(),INDEX(Transactions!$G:$G,ROW()-8))</f>
      </c>
      <c r="F2641">
        <f>IF(INDEX(Transactions!$J:$J,ROW()-8)="",0,INDEX(Transactions!$O:$O,ROW()-8))</f>
      </c>
    </row>
    <row r="2642" spans="1:7">
      <c r="B2642">
        <f>IF(INDEX(Transactions!$J:$J,ROW()-8)="",TODAY(),INDEX(Transactions!$G:$G,ROW()-8))</f>
      </c>
      <c r="F2642">
        <f>IF(INDEX(Transactions!$J:$J,ROW()-8)="",0,INDEX(Transactions!$O:$O,ROW()-8))</f>
      </c>
    </row>
    <row r="2643" spans="1:7">
      <c r="B2643">
        <f>IF(INDEX(Transactions!$J:$J,ROW()-8)="",TODAY(),INDEX(Transactions!$G:$G,ROW()-8))</f>
      </c>
      <c r="F2643">
        <f>IF(INDEX(Transactions!$J:$J,ROW()-8)="",0,INDEX(Transactions!$O:$O,ROW()-8))</f>
      </c>
    </row>
    <row r="2644" spans="1:7">
      <c r="B2644">
        <f>IF(INDEX(Transactions!$J:$J,ROW()-8)="",TODAY(),INDEX(Transactions!$G:$G,ROW()-8))</f>
      </c>
      <c r="F2644">
        <f>IF(INDEX(Transactions!$J:$J,ROW()-8)="",0,INDEX(Transactions!$O:$O,ROW()-8))</f>
      </c>
    </row>
    <row r="2645" spans="1:7">
      <c r="B2645">
        <f>IF(INDEX(Transactions!$J:$J,ROW()-8)="",TODAY(),INDEX(Transactions!$G:$G,ROW()-8))</f>
      </c>
      <c r="F2645">
        <f>IF(INDEX(Transactions!$J:$J,ROW()-8)="",0,INDEX(Transactions!$O:$O,ROW()-8))</f>
      </c>
    </row>
    <row r="2646" spans="1:7">
      <c r="B2646">
        <f>IF(INDEX(Transactions!$J:$J,ROW()-8)="",TODAY(),INDEX(Transactions!$G:$G,ROW()-8))</f>
      </c>
      <c r="F2646">
        <f>IF(INDEX(Transactions!$J:$J,ROW()-8)="",0,INDEX(Transactions!$O:$O,ROW()-8))</f>
      </c>
    </row>
    <row r="2647" spans="1:7">
      <c r="B2647">
        <f>IF(INDEX(Transactions!$J:$J,ROW()-8)="",TODAY(),INDEX(Transactions!$G:$G,ROW()-8))</f>
      </c>
      <c r="F2647">
        <f>IF(INDEX(Transactions!$J:$J,ROW()-8)="",0,INDEX(Transactions!$O:$O,ROW()-8))</f>
      </c>
    </row>
    <row r="2648" spans="1:7">
      <c r="B2648">
        <f>IF(INDEX(Transactions!$J:$J,ROW()-8)="",TODAY(),INDEX(Transactions!$G:$G,ROW()-8))</f>
      </c>
      <c r="F2648">
        <f>IF(INDEX(Transactions!$J:$J,ROW()-8)="",0,INDEX(Transactions!$O:$O,ROW()-8))</f>
      </c>
    </row>
    <row r="2649" spans="1:7">
      <c r="B2649">
        <f>IF(INDEX(Transactions!$J:$J,ROW()-8)="",TODAY(),INDEX(Transactions!$G:$G,ROW()-8))</f>
      </c>
      <c r="F2649">
        <f>IF(INDEX(Transactions!$J:$J,ROW()-8)="",0,INDEX(Transactions!$O:$O,ROW()-8))</f>
      </c>
    </row>
    <row r="2650" spans="1:7">
      <c r="B2650">
        <f>IF(INDEX(Transactions!$J:$J,ROW()-8)="",TODAY(),INDEX(Transactions!$G:$G,ROW()-8))</f>
      </c>
      <c r="F2650">
        <f>IF(INDEX(Transactions!$J:$J,ROW()-8)="",0,INDEX(Transactions!$O:$O,ROW()-8))</f>
      </c>
    </row>
    <row r="2651" spans="1:7">
      <c r="B2651">
        <f>IF(INDEX(Transactions!$J:$J,ROW()-8)="",TODAY(),INDEX(Transactions!$G:$G,ROW()-8))</f>
      </c>
      <c r="F2651">
        <f>IF(INDEX(Transactions!$J:$J,ROW()-8)="",0,INDEX(Transactions!$O:$O,ROW()-8))</f>
      </c>
    </row>
    <row r="2652" spans="1:7">
      <c r="B2652">
        <f>IF(INDEX(Transactions!$J:$J,ROW()-8)="",TODAY(),INDEX(Transactions!$G:$G,ROW()-8))</f>
      </c>
      <c r="F2652">
        <f>IF(INDEX(Transactions!$J:$J,ROW()-8)="",0,INDEX(Transactions!$O:$O,ROW()-8))</f>
      </c>
    </row>
    <row r="2653" spans="1:7">
      <c r="B2653">
        <f>IF(INDEX(Transactions!$J:$J,ROW()-8)="",TODAY(),INDEX(Transactions!$G:$G,ROW()-8))</f>
      </c>
      <c r="F2653">
        <f>IF(INDEX(Transactions!$J:$J,ROW()-8)="",0,INDEX(Transactions!$O:$O,ROW()-8))</f>
      </c>
    </row>
    <row r="2654" spans="1:7">
      <c r="B2654">
        <f>IF(INDEX(Transactions!$J:$J,ROW()-8)="",TODAY(),INDEX(Transactions!$G:$G,ROW()-8))</f>
      </c>
      <c r="F2654">
        <f>IF(INDEX(Transactions!$J:$J,ROW()-8)="",0,INDEX(Transactions!$O:$O,ROW()-8))</f>
      </c>
    </row>
    <row r="2655" spans="1:7">
      <c r="B2655">
        <f>IF(INDEX(Transactions!$J:$J,ROW()-8)="",TODAY(),INDEX(Transactions!$G:$G,ROW()-8))</f>
      </c>
      <c r="F2655">
        <f>IF(INDEX(Transactions!$J:$J,ROW()-8)="",0,INDEX(Transactions!$O:$O,ROW()-8))</f>
      </c>
    </row>
    <row r="2656" spans="1:7">
      <c r="B2656">
        <f>IF(INDEX(Transactions!$J:$J,ROW()-8)="",TODAY(),INDEX(Transactions!$G:$G,ROW()-8))</f>
      </c>
      <c r="F2656">
        <f>IF(INDEX(Transactions!$J:$J,ROW()-8)="",0,INDEX(Transactions!$O:$O,ROW()-8))</f>
      </c>
    </row>
    <row r="2657" spans="1:7">
      <c r="B2657">
        <f>IF(INDEX(Transactions!$J:$J,ROW()-8)="",TODAY(),INDEX(Transactions!$G:$G,ROW()-8))</f>
      </c>
      <c r="F2657">
        <f>IF(INDEX(Transactions!$J:$J,ROW()-8)="",0,INDEX(Transactions!$O:$O,ROW()-8))</f>
      </c>
    </row>
    <row r="2658" spans="1:7">
      <c r="B2658">
        <f>IF(INDEX(Transactions!$J:$J,ROW()-8)="",TODAY(),INDEX(Transactions!$G:$G,ROW()-8))</f>
      </c>
      <c r="F2658">
        <f>IF(INDEX(Transactions!$J:$J,ROW()-8)="",0,INDEX(Transactions!$O:$O,ROW()-8))</f>
      </c>
    </row>
    <row r="2659" spans="1:7">
      <c r="B2659">
        <f>IF(INDEX(Transactions!$J:$J,ROW()-8)="",TODAY(),INDEX(Transactions!$G:$G,ROW()-8))</f>
      </c>
      <c r="F2659">
        <f>IF(INDEX(Transactions!$J:$J,ROW()-8)="",0,INDEX(Transactions!$O:$O,ROW()-8))</f>
      </c>
    </row>
    <row r="2660" spans="1:7">
      <c r="B2660">
        <f>IF(INDEX(Transactions!$J:$J,ROW()-8)="",TODAY(),INDEX(Transactions!$G:$G,ROW()-8))</f>
      </c>
      <c r="F2660">
        <f>IF(INDEX(Transactions!$J:$J,ROW()-8)="",0,INDEX(Transactions!$O:$O,ROW()-8))</f>
      </c>
    </row>
    <row r="2661" spans="1:7">
      <c r="B2661">
        <f>IF(INDEX(Transactions!$J:$J,ROW()-8)="",TODAY(),INDEX(Transactions!$G:$G,ROW()-8))</f>
      </c>
      <c r="F2661">
        <f>IF(INDEX(Transactions!$J:$J,ROW()-8)="",0,INDEX(Transactions!$O:$O,ROW()-8))</f>
      </c>
    </row>
    <row r="2662" spans="1:7">
      <c r="B2662">
        <f>IF(INDEX(Transactions!$J:$J,ROW()-8)="",TODAY(),INDEX(Transactions!$G:$G,ROW()-8))</f>
      </c>
      <c r="F2662">
        <f>IF(INDEX(Transactions!$J:$J,ROW()-8)="",0,INDEX(Transactions!$O:$O,ROW()-8))</f>
      </c>
    </row>
    <row r="2663" spans="1:7">
      <c r="B2663">
        <f>IF(INDEX(Transactions!$J:$J,ROW()-8)="",TODAY(),INDEX(Transactions!$G:$G,ROW()-8))</f>
      </c>
      <c r="F2663">
        <f>IF(INDEX(Transactions!$J:$J,ROW()-8)="",0,INDEX(Transactions!$O:$O,ROW()-8))</f>
      </c>
    </row>
    <row r="2664" spans="1:7">
      <c r="B2664">
        <f>IF(INDEX(Transactions!$J:$J,ROW()-8)="",TODAY(),INDEX(Transactions!$G:$G,ROW()-8))</f>
      </c>
      <c r="F2664">
        <f>IF(INDEX(Transactions!$J:$J,ROW()-8)="",0,INDEX(Transactions!$O:$O,ROW()-8))</f>
      </c>
    </row>
    <row r="2665" spans="1:7">
      <c r="B2665">
        <f>IF(INDEX(Transactions!$J:$J,ROW()-8)="",TODAY(),INDEX(Transactions!$G:$G,ROW()-8))</f>
      </c>
      <c r="F2665">
        <f>IF(INDEX(Transactions!$J:$J,ROW()-8)="",0,INDEX(Transactions!$O:$O,ROW()-8))</f>
      </c>
    </row>
    <row r="2666" spans="1:7">
      <c r="B2666">
        <f>IF(INDEX(Transactions!$J:$J,ROW()-8)="",TODAY(),INDEX(Transactions!$G:$G,ROW()-8))</f>
      </c>
      <c r="F2666">
        <f>IF(INDEX(Transactions!$J:$J,ROW()-8)="",0,INDEX(Transactions!$O:$O,ROW()-8))</f>
      </c>
    </row>
    <row r="2667" spans="1:7">
      <c r="B2667">
        <f>IF(INDEX(Transactions!$J:$J,ROW()-8)="",TODAY(),INDEX(Transactions!$G:$G,ROW()-8))</f>
      </c>
      <c r="F2667">
        <f>IF(INDEX(Transactions!$J:$J,ROW()-8)="",0,INDEX(Transactions!$O:$O,ROW()-8))</f>
      </c>
    </row>
    <row r="2668" spans="1:7">
      <c r="B2668">
        <f>IF(INDEX(Transactions!$J:$J,ROW()-8)="",TODAY(),INDEX(Transactions!$G:$G,ROW()-8))</f>
      </c>
      <c r="F2668">
        <f>IF(INDEX(Transactions!$J:$J,ROW()-8)="",0,INDEX(Transactions!$O:$O,ROW()-8))</f>
      </c>
    </row>
    <row r="2669" spans="1:7">
      <c r="B2669">
        <f>IF(INDEX(Transactions!$J:$J,ROW()-8)="",TODAY(),INDEX(Transactions!$G:$G,ROW()-8))</f>
      </c>
      <c r="F2669">
        <f>IF(INDEX(Transactions!$J:$J,ROW()-8)="",0,INDEX(Transactions!$O:$O,ROW()-8))</f>
      </c>
    </row>
    <row r="2670" spans="1:7">
      <c r="B2670">
        <f>IF(INDEX(Transactions!$J:$J,ROW()-8)="",TODAY(),INDEX(Transactions!$G:$G,ROW()-8))</f>
      </c>
      <c r="F2670">
        <f>IF(INDEX(Transactions!$J:$J,ROW()-8)="",0,INDEX(Transactions!$O:$O,ROW()-8))</f>
      </c>
    </row>
    <row r="2671" spans="1:7">
      <c r="B2671">
        <f>IF(INDEX(Transactions!$J:$J,ROW()-8)="",TODAY(),INDEX(Transactions!$G:$G,ROW()-8))</f>
      </c>
      <c r="F2671">
        <f>IF(INDEX(Transactions!$J:$J,ROW()-8)="",0,INDEX(Transactions!$O:$O,ROW()-8))</f>
      </c>
    </row>
    <row r="2672" spans="1:7">
      <c r="B2672">
        <f>IF(INDEX(Transactions!$J:$J,ROW()-8)="",TODAY(),INDEX(Transactions!$G:$G,ROW()-8))</f>
      </c>
      <c r="F2672">
        <f>IF(INDEX(Transactions!$J:$J,ROW()-8)="",0,INDEX(Transactions!$O:$O,ROW()-8))</f>
      </c>
    </row>
    <row r="2673" spans="1:7">
      <c r="B2673">
        <f>IF(INDEX(Transactions!$J:$J,ROW()-8)="",TODAY(),INDEX(Transactions!$G:$G,ROW()-8))</f>
      </c>
      <c r="F2673">
        <f>IF(INDEX(Transactions!$J:$J,ROW()-8)="",0,INDEX(Transactions!$O:$O,ROW()-8))</f>
      </c>
    </row>
    <row r="2674" spans="1:7">
      <c r="B2674">
        <f>IF(INDEX(Transactions!$J:$J,ROW()-8)="",TODAY(),INDEX(Transactions!$G:$G,ROW()-8))</f>
      </c>
      <c r="F2674">
        <f>IF(INDEX(Transactions!$J:$J,ROW()-8)="",0,INDEX(Transactions!$O:$O,ROW()-8))</f>
      </c>
    </row>
    <row r="2675" spans="1:7">
      <c r="B2675">
        <f>IF(INDEX(Transactions!$J:$J,ROW()-8)="",TODAY(),INDEX(Transactions!$G:$G,ROW()-8))</f>
      </c>
      <c r="F2675">
        <f>IF(INDEX(Transactions!$J:$J,ROW()-8)="",0,INDEX(Transactions!$O:$O,ROW()-8))</f>
      </c>
    </row>
    <row r="2676" spans="1:7">
      <c r="B2676">
        <f>IF(INDEX(Transactions!$J:$J,ROW()-8)="",TODAY(),INDEX(Transactions!$G:$G,ROW()-8))</f>
      </c>
      <c r="F2676">
        <f>IF(INDEX(Transactions!$J:$J,ROW()-8)="",0,INDEX(Transactions!$O:$O,ROW()-8))</f>
      </c>
    </row>
    <row r="2677" spans="1:7">
      <c r="B2677">
        <f>IF(INDEX(Transactions!$J:$J,ROW()-8)="",TODAY(),INDEX(Transactions!$G:$G,ROW()-8))</f>
      </c>
      <c r="F2677">
        <f>IF(INDEX(Transactions!$J:$J,ROW()-8)="",0,INDEX(Transactions!$O:$O,ROW()-8))</f>
      </c>
    </row>
    <row r="2678" spans="1:7">
      <c r="B2678">
        <f>IF(INDEX(Transactions!$J:$J,ROW()-8)="",TODAY(),INDEX(Transactions!$G:$G,ROW()-8))</f>
      </c>
      <c r="F2678">
        <f>IF(INDEX(Transactions!$J:$J,ROW()-8)="",0,INDEX(Transactions!$O:$O,ROW()-8))</f>
      </c>
    </row>
    <row r="2679" spans="1:7">
      <c r="B2679">
        <f>IF(INDEX(Transactions!$J:$J,ROW()-8)="",TODAY(),INDEX(Transactions!$G:$G,ROW()-8))</f>
      </c>
      <c r="F2679">
        <f>IF(INDEX(Transactions!$J:$J,ROW()-8)="",0,INDEX(Transactions!$O:$O,ROW()-8))</f>
      </c>
    </row>
    <row r="2680" spans="1:7">
      <c r="B2680">
        <f>IF(INDEX(Transactions!$J:$J,ROW()-8)="",TODAY(),INDEX(Transactions!$G:$G,ROW()-8))</f>
      </c>
      <c r="F2680">
        <f>IF(INDEX(Transactions!$J:$J,ROW()-8)="",0,INDEX(Transactions!$O:$O,ROW()-8))</f>
      </c>
    </row>
    <row r="2681" spans="1:7">
      <c r="B2681">
        <f>IF(INDEX(Transactions!$J:$J,ROW()-8)="",TODAY(),INDEX(Transactions!$G:$G,ROW()-8))</f>
      </c>
      <c r="F2681">
        <f>IF(INDEX(Transactions!$J:$J,ROW()-8)="",0,INDEX(Transactions!$O:$O,ROW()-8))</f>
      </c>
    </row>
    <row r="2682" spans="1:7">
      <c r="B2682">
        <f>IF(INDEX(Transactions!$J:$J,ROW()-8)="",TODAY(),INDEX(Transactions!$G:$G,ROW()-8))</f>
      </c>
      <c r="F2682">
        <f>IF(INDEX(Transactions!$J:$J,ROW()-8)="",0,INDEX(Transactions!$O:$O,ROW()-8))</f>
      </c>
    </row>
    <row r="2683" spans="1:7">
      <c r="B2683">
        <f>IF(INDEX(Transactions!$J:$J,ROW()-8)="",TODAY(),INDEX(Transactions!$G:$G,ROW()-8))</f>
      </c>
      <c r="F2683">
        <f>IF(INDEX(Transactions!$J:$J,ROW()-8)="",0,INDEX(Transactions!$O:$O,ROW()-8))</f>
      </c>
    </row>
    <row r="2684" spans="1:7">
      <c r="B2684">
        <f>IF(INDEX(Transactions!$J:$J,ROW()-8)="",TODAY(),INDEX(Transactions!$G:$G,ROW()-8))</f>
      </c>
      <c r="F2684">
        <f>IF(INDEX(Transactions!$J:$J,ROW()-8)="",0,INDEX(Transactions!$O:$O,ROW()-8))</f>
      </c>
    </row>
    <row r="2685" spans="1:7">
      <c r="B2685">
        <f>IF(INDEX(Transactions!$J:$J,ROW()-8)="",TODAY(),INDEX(Transactions!$G:$G,ROW()-8))</f>
      </c>
      <c r="F2685">
        <f>IF(INDEX(Transactions!$J:$J,ROW()-8)="",0,INDEX(Transactions!$O:$O,ROW()-8))</f>
      </c>
    </row>
    <row r="2686" spans="1:7">
      <c r="B2686">
        <f>IF(INDEX(Transactions!$J:$J,ROW()-8)="",TODAY(),INDEX(Transactions!$G:$G,ROW()-8))</f>
      </c>
      <c r="F2686">
        <f>IF(INDEX(Transactions!$J:$J,ROW()-8)="",0,INDEX(Transactions!$O:$O,ROW()-8))</f>
      </c>
    </row>
    <row r="2687" spans="1:7">
      <c r="B2687">
        <f>IF(INDEX(Transactions!$J:$J,ROW()-8)="",TODAY(),INDEX(Transactions!$G:$G,ROW()-8))</f>
      </c>
      <c r="F2687">
        <f>IF(INDEX(Transactions!$J:$J,ROW()-8)="",0,INDEX(Transactions!$O:$O,ROW()-8))</f>
      </c>
    </row>
    <row r="2688" spans="1:7">
      <c r="B2688">
        <f>IF(INDEX(Transactions!$J:$J,ROW()-8)="",TODAY(),INDEX(Transactions!$G:$G,ROW()-8))</f>
      </c>
      <c r="F2688">
        <f>IF(INDEX(Transactions!$J:$J,ROW()-8)="",0,INDEX(Transactions!$O:$O,ROW()-8))</f>
      </c>
    </row>
    <row r="2689" spans="1:7">
      <c r="B2689">
        <f>IF(INDEX(Transactions!$J:$J,ROW()-8)="",TODAY(),INDEX(Transactions!$G:$G,ROW()-8))</f>
      </c>
      <c r="F2689">
        <f>IF(INDEX(Transactions!$J:$J,ROW()-8)="",0,INDEX(Transactions!$O:$O,ROW()-8))</f>
      </c>
    </row>
    <row r="2690" spans="1:7">
      <c r="B2690">
        <f>IF(INDEX(Transactions!$J:$J,ROW()-8)="",TODAY(),INDEX(Transactions!$G:$G,ROW()-8))</f>
      </c>
      <c r="F2690">
        <f>IF(INDEX(Transactions!$J:$J,ROW()-8)="",0,INDEX(Transactions!$O:$O,ROW()-8))</f>
      </c>
    </row>
    <row r="2691" spans="1:7">
      <c r="B2691">
        <f>IF(INDEX(Transactions!$J:$J,ROW()-8)="",TODAY(),INDEX(Transactions!$G:$G,ROW()-8))</f>
      </c>
      <c r="F2691">
        <f>IF(INDEX(Transactions!$J:$J,ROW()-8)="",0,INDEX(Transactions!$O:$O,ROW()-8))</f>
      </c>
    </row>
    <row r="2692" spans="1:7">
      <c r="B2692">
        <f>IF(INDEX(Transactions!$J:$J,ROW()-8)="",TODAY(),INDEX(Transactions!$G:$G,ROW()-8))</f>
      </c>
      <c r="F2692">
        <f>IF(INDEX(Transactions!$J:$J,ROW()-8)="",0,INDEX(Transactions!$O:$O,ROW()-8))</f>
      </c>
    </row>
    <row r="2693" spans="1:7">
      <c r="B2693">
        <f>IF(INDEX(Transactions!$J:$J,ROW()-8)="",TODAY(),INDEX(Transactions!$G:$G,ROW()-8))</f>
      </c>
      <c r="F2693">
        <f>IF(INDEX(Transactions!$J:$J,ROW()-8)="",0,INDEX(Transactions!$O:$O,ROW()-8))</f>
      </c>
    </row>
    <row r="2694" spans="1:7">
      <c r="B2694">
        <f>IF(INDEX(Transactions!$J:$J,ROW()-8)="",TODAY(),INDEX(Transactions!$G:$G,ROW()-8))</f>
      </c>
      <c r="F2694">
        <f>IF(INDEX(Transactions!$J:$J,ROW()-8)="",0,INDEX(Transactions!$O:$O,ROW()-8))</f>
      </c>
    </row>
    <row r="2695" spans="1:7">
      <c r="B2695">
        <f>IF(INDEX(Transactions!$J:$J,ROW()-8)="",TODAY(),INDEX(Transactions!$G:$G,ROW()-8))</f>
      </c>
      <c r="F2695">
        <f>IF(INDEX(Transactions!$J:$J,ROW()-8)="",0,INDEX(Transactions!$O:$O,ROW()-8))</f>
      </c>
    </row>
    <row r="2696" spans="1:7">
      <c r="B2696">
        <f>IF(INDEX(Transactions!$J:$J,ROW()-8)="",TODAY(),INDEX(Transactions!$G:$G,ROW()-8))</f>
      </c>
      <c r="F2696">
        <f>IF(INDEX(Transactions!$J:$J,ROW()-8)="",0,INDEX(Transactions!$O:$O,ROW()-8))</f>
      </c>
    </row>
    <row r="2697" spans="1:7">
      <c r="B2697">
        <f>IF(INDEX(Transactions!$J:$J,ROW()-8)="",TODAY(),INDEX(Transactions!$G:$G,ROW()-8))</f>
      </c>
      <c r="F2697">
        <f>IF(INDEX(Transactions!$J:$J,ROW()-8)="",0,INDEX(Transactions!$O:$O,ROW()-8))</f>
      </c>
    </row>
    <row r="2698" spans="1:7">
      <c r="B2698">
        <f>IF(INDEX(Transactions!$J:$J,ROW()-8)="",TODAY(),INDEX(Transactions!$G:$G,ROW()-8))</f>
      </c>
      <c r="F2698">
        <f>IF(INDEX(Transactions!$J:$J,ROW()-8)="",0,INDEX(Transactions!$O:$O,ROW()-8))</f>
      </c>
    </row>
    <row r="2699" spans="1:7">
      <c r="B2699">
        <f>IF(INDEX(Transactions!$J:$J,ROW()-8)="",TODAY(),INDEX(Transactions!$G:$G,ROW()-8))</f>
      </c>
      <c r="F2699">
        <f>IF(INDEX(Transactions!$J:$J,ROW()-8)="",0,INDEX(Transactions!$O:$O,ROW()-8))</f>
      </c>
    </row>
    <row r="2700" spans="1:7">
      <c r="B2700">
        <f>IF(INDEX(Transactions!$J:$J,ROW()-8)="",TODAY(),INDEX(Transactions!$G:$G,ROW()-8))</f>
      </c>
      <c r="F2700">
        <f>IF(INDEX(Transactions!$J:$J,ROW()-8)="",0,INDEX(Transactions!$O:$O,ROW()-8))</f>
      </c>
    </row>
    <row r="2701" spans="1:7">
      <c r="B2701">
        <f>IF(INDEX(Transactions!$J:$J,ROW()-8)="",TODAY(),INDEX(Transactions!$G:$G,ROW()-8))</f>
      </c>
      <c r="F2701">
        <f>IF(INDEX(Transactions!$J:$J,ROW()-8)="",0,INDEX(Transactions!$O:$O,ROW()-8))</f>
      </c>
    </row>
    <row r="2702" spans="1:7">
      <c r="B2702">
        <f>IF(INDEX(Transactions!$J:$J,ROW()-8)="",TODAY(),INDEX(Transactions!$G:$G,ROW()-8))</f>
      </c>
      <c r="F2702">
        <f>IF(INDEX(Transactions!$J:$J,ROW()-8)="",0,INDEX(Transactions!$O:$O,ROW()-8))</f>
      </c>
    </row>
    <row r="2703" spans="1:7">
      <c r="B2703">
        <f>IF(INDEX(Transactions!$J:$J,ROW()-8)="",TODAY(),INDEX(Transactions!$G:$G,ROW()-8))</f>
      </c>
      <c r="F2703">
        <f>IF(INDEX(Transactions!$J:$J,ROW()-8)="",0,INDEX(Transactions!$O:$O,ROW()-8))</f>
      </c>
    </row>
    <row r="2704" spans="1:7">
      <c r="B2704">
        <f>IF(INDEX(Transactions!$J:$J,ROW()-8)="",TODAY(),INDEX(Transactions!$G:$G,ROW()-8))</f>
      </c>
      <c r="F2704">
        <f>IF(INDEX(Transactions!$J:$J,ROW()-8)="",0,INDEX(Transactions!$O:$O,ROW()-8))</f>
      </c>
    </row>
    <row r="2705" spans="1:7">
      <c r="B2705">
        <f>IF(INDEX(Transactions!$J:$J,ROW()-8)="",TODAY(),INDEX(Transactions!$G:$G,ROW()-8))</f>
      </c>
      <c r="F2705">
        <f>IF(INDEX(Transactions!$J:$J,ROW()-8)="",0,INDEX(Transactions!$O:$O,ROW()-8))</f>
      </c>
    </row>
    <row r="2706" spans="1:7">
      <c r="B2706">
        <f>IF(INDEX(Transactions!$J:$J,ROW()-8)="",TODAY(),INDEX(Transactions!$G:$G,ROW()-8))</f>
      </c>
      <c r="F2706">
        <f>IF(INDEX(Transactions!$J:$J,ROW()-8)="",0,INDEX(Transactions!$O:$O,ROW()-8))</f>
      </c>
    </row>
    <row r="2707" spans="1:7">
      <c r="B2707">
        <f>IF(INDEX(Transactions!$J:$J,ROW()-8)="",TODAY(),INDEX(Transactions!$G:$G,ROW()-8))</f>
      </c>
      <c r="F2707">
        <f>IF(INDEX(Transactions!$J:$J,ROW()-8)="",0,INDEX(Transactions!$O:$O,ROW()-8))</f>
      </c>
    </row>
    <row r="2708" spans="1:7">
      <c r="B2708">
        <f>IF(INDEX(Transactions!$J:$J,ROW()-8)="",TODAY(),INDEX(Transactions!$G:$G,ROW()-8))</f>
      </c>
      <c r="F2708">
        <f>IF(INDEX(Transactions!$J:$J,ROW()-8)="",0,INDEX(Transactions!$O:$O,ROW()-8))</f>
      </c>
    </row>
    <row r="2709" spans="1:7">
      <c r="B2709">
        <f>IF(INDEX(Transactions!$J:$J,ROW()-8)="",TODAY(),INDEX(Transactions!$G:$G,ROW()-8))</f>
      </c>
      <c r="F2709">
        <f>IF(INDEX(Transactions!$J:$J,ROW()-8)="",0,INDEX(Transactions!$O:$O,ROW()-8))</f>
      </c>
    </row>
    <row r="2710" spans="1:7">
      <c r="B2710">
        <f>IF(INDEX(Transactions!$J:$J,ROW()-8)="",TODAY(),INDEX(Transactions!$G:$G,ROW()-8))</f>
      </c>
      <c r="F2710">
        <f>IF(INDEX(Transactions!$J:$J,ROW()-8)="",0,INDEX(Transactions!$O:$O,ROW()-8))</f>
      </c>
    </row>
    <row r="2711" spans="1:7">
      <c r="B2711">
        <f>IF(INDEX(Transactions!$J:$J,ROW()-8)="",TODAY(),INDEX(Transactions!$G:$G,ROW()-8))</f>
      </c>
      <c r="F2711">
        <f>IF(INDEX(Transactions!$J:$J,ROW()-8)="",0,INDEX(Transactions!$O:$O,ROW()-8))</f>
      </c>
    </row>
    <row r="2712" spans="1:7">
      <c r="B2712">
        <f>IF(INDEX(Transactions!$J:$J,ROW()-8)="",TODAY(),INDEX(Transactions!$G:$G,ROW()-8))</f>
      </c>
      <c r="F2712">
        <f>IF(INDEX(Transactions!$J:$J,ROW()-8)="",0,INDEX(Transactions!$O:$O,ROW()-8))</f>
      </c>
    </row>
    <row r="2713" spans="1:7">
      <c r="B2713">
        <f>IF(INDEX(Transactions!$J:$J,ROW()-8)="",TODAY(),INDEX(Transactions!$G:$G,ROW()-8))</f>
      </c>
      <c r="F2713">
        <f>IF(INDEX(Transactions!$J:$J,ROW()-8)="",0,INDEX(Transactions!$O:$O,ROW()-8))</f>
      </c>
    </row>
    <row r="2714" spans="1:7">
      <c r="B2714">
        <f>IF(INDEX(Transactions!$J:$J,ROW()-8)="",TODAY(),INDEX(Transactions!$G:$G,ROW()-8))</f>
      </c>
      <c r="F2714">
        <f>IF(INDEX(Transactions!$J:$J,ROW()-8)="",0,INDEX(Transactions!$O:$O,ROW()-8))</f>
      </c>
    </row>
    <row r="2715" spans="1:7">
      <c r="B2715">
        <f>IF(INDEX(Transactions!$J:$J,ROW()-8)="",TODAY(),INDEX(Transactions!$G:$G,ROW()-8))</f>
      </c>
      <c r="F2715">
        <f>IF(INDEX(Transactions!$J:$J,ROW()-8)="",0,INDEX(Transactions!$O:$O,ROW()-8))</f>
      </c>
    </row>
    <row r="2716" spans="1:7">
      <c r="B2716">
        <f>IF(INDEX(Transactions!$J:$J,ROW()-8)="",TODAY(),INDEX(Transactions!$G:$G,ROW()-8))</f>
      </c>
      <c r="F2716">
        <f>IF(INDEX(Transactions!$J:$J,ROW()-8)="",0,INDEX(Transactions!$O:$O,ROW()-8))</f>
      </c>
    </row>
    <row r="2717" spans="1:7">
      <c r="B2717">
        <f>IF(INDEX(Transactions!$J:$J,ROW()-8)="",TODAY(),INDEX(Transactions!$G:$G,ROW()-8))</f>
      </c>
      <c r="F2717">
        <f>IF(INDEX(Transactions!$J:$J,ROW()-8)="",0,INDEX(Transactions!$O:$O,ROW()-8))</f>
      </c>
    </row>
    <row r="2718" spans="1:7">
      <c r="B2718">
        <f>IF(INDEX(Transactions!$J:$J,ROW()-8)="",TODAY(),INDEX(Transactions!$G:$G,ROW()-8))</f>
      </c>
      <c r="F2718">
        <f>IF(INDEX(Transactions!$J:$J,ROW()-8)="",0,INDEX(Transactions!$O:$O,ROW()-8))</f>
      </c>
    </row>
    <row r="2719" spans="1:7">
      <c r="B2719">
        <f>IF(INDEX(Transactions!$J:$J,ROW()-8)="",TODAY(),INDEX(Transactions!$G:$G,ROW()-8))</f>
      </c>
      <c r="F2719">
        <f>IF(INDEX(Transactions!$J:$J,ROW()-8)="",0,INDEX(Transactions!$O:$O,ROW()-8))</f>
      </c>
    </row>
    <row r="2720" spans="1:7">
      <c r="B2720">
        <f>IF(INDEX(Transactions!$J:$J,ROW()-8)="",TODAY(),INDEX(Transactions!$G:$G,ROW()-8))</f>
      </c>
      <c r="F2720">
        <f>IF(INDEX(Transactions!$J:$J,ROW()-8)="",0,INDEX(Transactions!$O:$O,ROW()-8))</f>
      </c>
    </row>
    <row r="2721" spans="1:7">
      <c r="B2721">
        <f>IF(INDEX(Transactions!$J:$J,ROW()-8)="",TODAY(),INDEX(Transactions!$G:$G,ROW()-8))</f>
      </c>
      <c r="F2721">
        <f>IF(INDEX(Transactions!$J:$J,ROW()-8)="",0,INDEX(Transactions!$O:$O,ROW()-8))</f>
      </c>
    </row>
    <row r="2722" spans="1:7">
      <c r="B2722">
        <f>IF(INDEX(Transactions!$J:$J,ROW()-8)="",TODAY(),INDEX(Transactions!$G:$G,ROW()-8))</f>
      </c>
      <c r="F2722">
        <f>IF(INDEX(Transactions!$J:$J,ROW()-8)="",0,INDEX(Transactions!$O:$O,ROW()-8))</f>
      </c>
    </row>
    <row r="2723" spans="1:7">
      <c r="B2723">
        <f>IF(INDEX(Transactions!$J:$J,ROW()-8)="",TODAY(),INDEX(Transactions!$G:$G,ROW()-8))</f>
      </c>
      <c r="F2723">
        <f>IF(INDEX(Transactions!$J:$J,ROW()-8)="",0,INDEX(Transactions!$O:$O,ROW()-8))</f>
      </c>
    </row>
    <row r="2724" spans="1:7">
      <c r="B2724">
        <f>IF(INDEX(Transactions!$J:$J,ROW()-8)="",TODAY(),INDEX(Transactions!$G:$G,ROW()-8))</f>
      </c>
      <c r="F2724">
        <f>IF(INDEX(Transactions!$J:$J,ROW()-8)="",0,INDEX(Transactions!$O:$O,ROW()-8))</f>
      </c>
    </row>
    <row r="2725" spans="1:7">
      <c r="B2725">
        <f>IF(INDEX(Transactions!$J:$J,ROW()-8)="",TODAY(),INDEX(Transactions!$G:$G,ROW()-8))</f>
      </c>
      <c r="F2725">
        <f>IF(INDEX(Transactions!$J:$J,ROW()-8)="",0,INDEX(Transactions!$O:$O,ROW()-8))</f>
      </c>
    </row>
    <row r="2726" spans="1:7">
      <c r="B2726">
        <f>IF(INDEX(Transactions!$J:$J,ROW()-8)="",TODAY(),INDEX(Transactions!$G:$G,ROW()-8))</f>
      </c>
      <c r="F2726">
        <f>IF(INDEX(Transactions!$J:$J,ROW()-8)="",0,INDEX(Transactions!$O:$O,ROW()-8))</f>
      </c>
    </row>
    <row r="2727" spans="1:7">
      <c r="B2727">
        <f>IF(INDEX(Transactions!$J:$J,ROW()-8)="",TODAY(),INDEX(Transactions!$G:$G,ROW()-8))</f>
      </c>
      <c r="F2727">
        <f>IF(INDEX(Transactions!$J:$J,ROW()-8)="",0,INDEX(Transactions!$O:$O,ROW()-8))</f>
      </c>
    </row>
    <row r="2728" spans="1:7">
      <c r="B2728">
        <f>IF(INDEX(Transactions!$J:$J,ROW()-8)="",TODAY(),INDEX(Transactions!$G:$G,ROW()-8))</f>
      </c>
      <c r="F2728">
        <f>IF(INDEX(Transactions!$J:$J,ROW()-8)="",0,INDEX(Transactions!$O:$O,ROW()-8))</f>
      </c>
    </row>
    <row r="2729" spans="1:7">
      <c r="B2729">
        <f>IF(INDEX(Transactions!$J:$J,ROW()-8)="",TODAY(),INDEX(Transactions!$G:$G,ROW()-8))</f>
      </c>
      <c r="F2729">
        <f>IF(INDEX(Transactions!$J:$J,ROW()-8)="",0,INDEX(Transactions!$O:$O,ROW()-8))</f>
      </c>
    </row>
    <row r="2730" spans="1:7">
      <c r="B2730">
        <f>IF(INDEX(Transactions!$J:$J,ROW()-8)="",TODAY(),INDEX(Transactions!$G:$G,ROW()-8))</f>
      </c>
      <c r="F2730">
        <f>IF(INDEX(Transactions!$J:$J,ROW()-8)="",0,INDEX(Transactions!$O:$O,ROW()-8))</f>
      </c>
    </row>
    <row r="2731" spans="1:7">
      <c r="B2731">
        <f>IF(INDEX(Transactions!$J:$J,ROW()-8)="",TODAY(),INDEX(Transactions!$G:$G,ROW()-8))</f>
      </c>
      <c r="F2731">
        <f>IF(INDEX(Transactions!$J:$J,ROW()-8)="",0,INDEX(Transactions!$O:$O,ROW()-8))</f>
      </c>
    </row>
    <row r="2732" spans="1:7">
      <c r="B2732">
        <f>IF(INDEX(Transactions!$J:$J,ROW()-8)="",TODAY(),INDEX(Transactions!$G:$G,ROW()-8))</f>
      </c>
      <c r="F2732">
        <f>IF(INDEX(Transactions!$J:$J,ROW()-8)="",0,INDEX(Transactions!$O:$O,ROW()-8))</f>
      </c>
    </row>
    <row r="2733" spans="1:7">
      <c r="B2733">
        <f>IF(INDEX(Transactions!$J:$J,ROW()-8)="",TODAY(),INDEX(Transactions!$G:$G,ROW()-8))</f>
      </c>
      <c r="F2733">
        <f>IF(INDEX(Transactions!$J:$J,ROW()-8)="",0,INDEX(Transactions!$O:$O,ROW()-8))</f>
      </c>
    </row>
    <row r="2734" spans="1:7">
      <c r="B2734">
        <f>IF(INDEX(Transactions!$J:$J,ROW()-8)="",TODAY(),INDEX(Transactions!$G:$G,ROW()-8))</f>
      </c>
      <c r="F2734">
        <f>IF(INDEX(Transactions!$J:$J,ROW()-8)="",0,INDEX(Transactions!$O:$O,ROW()-8))</f>
      </c>
    </row>
    <row r="2735" spans="1:7">
      <c r="B2735">
        <f>IF(INDEX(Transactions!$J:$J,ROW()-8)="",TODAY(),INDEX(Transactions!$G:$G,ROW()-8))</f>
      </c>
      <c r="F2735">
        <f>IF(INDEX(Transactions!$J:$J,ROW()-8)="",0,INDEX(Transactions!$O:$O,ROW()-8))</f>
      </c>
    </row>
    <row r="2736" spans="1:7">
      <c r="B2736">
        <f>IF(INDEX(Transactions!$J:$J,ROW()-8)="",TODAY(),INDEX(Transactions!$G:$G,ROW()-8))</f>
      </c>
      <c r="F2736">
        <f>IF(INDEX(Transactions!$J:$J,ROW()-8)="",0,INDEX(Transactions!$O:$O,ROW()-8))</f>
      </c>
    </row>
    <row r="2737" spans="1:7">
      <c r="B2737">
        <f>IF(INDEX(Transactions!$J:$J,ROW()-8)="",TODAY(),INDEX(Transactions!$G:$G,ROW()-8))</f>
      </c>
      <c r="F2737">
        <f>IF(INDEX(Transactions!$J:$J,ROW()-8)="",0,INDEX(Transactions!$O:$O,ROW()-8))</f>
      </c>
    </row>
    <row r="2738" spans="1:7">
      <c r="B2738">
        <f>IF(INDEX(Transactions!$J:$J,ROW()-8)="",TODAY(),INDEX(Transactions!$G:$G,ROW()-8))</f>
      </c>
      <c r="F2738">
        <f>IF(INDEX(Transactions!$J:$J,ROW()-8)="",0,INDEX(Transactions!$O:$O,ROW()-8))</f>
      </c>
    </row>
    <row r="2739" spans="1:7">
      <c r="B2739">
        <f>IF(INDEX(Transactions!$J:$J,ROW()-8)="",TODAY(),INDEX(Transactions!$G:$G,ROW()-8))</f>
      </c>
      <c r="F2739">
        <f>IF(INDEX(Transactions!$J:$J,ROW()-8)="",0,INDEX(Transactions!$O:$O,ROW()-8))</f>
      </c>
    </row>
    <row r="2740" spans="1:7">
      <c r="B2740">
        <f>IF(INDEX(Transactions!$J:$J,ROW()-8)="",TODAY(),INDEX(Transactions!$G:$G,ROW()-8))</f>
      </c>
      <c r="F2740">
        <f>IF(INDEX(Transactions!$J:$J,ROW()-8)="",0,INDEX(Transactions!$O:$O,ROW()-8))</f>
      </c>
    </row>
    <row r="2741" spans="1:7">
      <c r="B2741">
        <f>IF(INDEX(Transactions!$J:$J,ROW()-8)="",TODAY(),INDEX(Transactions!$G:$G,ROW()-8))</f>
      </c>
      <c r="F2741">
        <f>IF(INDEX(Transactions!$J:$J,ROW()-8)="",0,INDEX(Transactions!$O:$O,ROW()-8))</f>
      </c>
    </row>
    <row r="2742" spans="1:7">
      <c r="B2742">
        <f>IF(INDEX(Transactions!$J:$J,ROW()-8)="",TODAY(),INDEX(Transactions!$G:$G,ROW()-8))</f>
      </c>
      <c r="F2742">
        <f>IF(INDEX(Transactions!$J:$J,ROW()-8)="",0,INDEX(Transactions!$O:$O,ROW()-8))</f>
      </c>
    </row>
    <row r="2743" spans="1:7">
      <c r="B2743">
        <f>IF(INDEX(Transactions!$J:$J,ROW()-8)="",TODAY(),INDEX(Transactions!$G:$G,ROW()-8))</f>
      </c>
      <c r="F2743">
        <f>IF(INDEX(Transactions!$J:$J,ROW()-8)="",0,INDEX(Transactions!$O:$O,ROW()-8))</f>
      </c>
    </row>
    <row r="2744" spans="1:7">
      <c r="B2744">
        <f>IF(INDEX(Transactions!$J:$J,ROW()-8)="",TODAY(),INDEX(Transactions!$G:$G,ROW()-8))</f>
      </c>
      <c r="F2744">
        <f>IF(INDEX(Transactions!$J:$J,ROW()-8)="",0,INDEX(Transactions!$O:$O,ROW()-8))</f>
      </c>
    </row>
    <row r="2745" spans="1:7">
      <c r="B2745">
        <f>IF(INDEX(Transactions!$J:$J,ROW()-8)="",TODAY(),INDEX(Transactions!$G:$G,ROW()-8))</f>
      </c>
      <c r="F2745">
        <f>IF(INDEX(Transactions!$J:$J,ROW()-8)="",0,INDEX(Transactions!$O:$O,ROW()-8))</f>
      </c>
    </row>
    <row r="2746" spans="1:7">
      <c r="B2746">
        <f>IF(INDEX(Transactions!$J:$J,ROW()-8)="",TODAY(),INDEX(Transactions!$G:$G,ROW()-8))</f>
      </c>
      <c r="F2746">
        <f>IF(INDEX(Transactions!$J:$J,ROW()-8)="",0,INDEX(Transactions!$O:$O,ROW()-8))</f>
      </c>
    </row>
    <row r="2747" spans="1:7">
      <c r="B2747">
        <f>IF(INDEX(Transactions!$J:$J,ROW()-8)="",TODAY(),INDEX(Transactions!$G:$G,ROW()-8))</f>
      </c>
      <c r="F2747">
        <f>IF(INDEX(Transactions!$J:$J,ROW()-8)="",0,INDEX(Transactions!$O:$O,ROW()-8))</f>
      </c>
    </row>
    <row r="2748" spans="1:7">
      <c r="B2748">
        <f>IF(INDEX(Transactions!$J:$J,ROW()-8)="",TODAY(),INDEX(Transactions!$G:$G,ROW()-8))</f>
      </c>
      <c r="F2748">
        <f>IF(INDEX(Transactions!$J:$J,ROW()-8)="",0,INDEX(Transactions!$O:$O,ROW()-8))</f>
      </c>
    </row>
    <row r="2749" spans="1:7">
      <c r="B2749">
        <f>IF(INDEX(Transactions!$J:$J,ROW()-8)="",TODAY(),INDEX(Transactions!$G:$G,ROW()-8))</f>
      </c>
      <c r="F2749">
        <f>IF(INDEX(Transactions!$J:$J,ROW()-8)="",0,INDEX(Transactions!$O:$O,ROW()-8))</f>
      </c>
    </row>
    <row r="2750" spans="1:7">
      <c r="B2750">
        <f>IF(INDEX(Transactions!$J:$J,ROW()-8)="",TODAY(),INDEX(Transactions!$G:$G,ROW()-8))</f>
      </c>
      <c r="F2750">
        <f>IF(INDEX(Transactions!$J:$J,ROW()-8)="",0,INDEX(Transactions!$O:$O,ROW()-8))</f>
      </c>
    </row>
    <row r="2751" spans="1:7">
      <c r="B2751">
        <f>IF(INDEX(Transactions!$J:$J,ROW()-8)="",TODAY(),INDEX(Transactions!$G:$G,ROW()-8))</f>
      </c>
      <c r="F2751">
        <f>IF(INDEX(Transactions!$J:$J,ROW()-8)="",0,INDEX(Transactions!$O:$O,ROW()-8))</f>
      </c>
    </row>
    <row r="2752" spans="1:7">
      <c r="B2752">
        <f>IF(INDEX(Transactions!$J:$J,ROW()-8)="",TODAY(),INDEX(Transactions!$G:$G,ROW()-8))</f>
      </c>
      <c r="F2752">
        <f>IF(INDEX(Transactions!$J:$J,ROW()-8)="",0,INDEX(Transactions!$O:$O,ROW()-8))</f>
      </c>
    </row>
    <row r="2753" spans="1:7">
      <c r="B2753">
        <f>IF(INDEX(Transactions!$J:$J,ROW()-8)="",TODAY(),INDEX(Transactions!$G:$G,ROW()-8))</f>
      </c>
      <c r="F2753">
        <f>IF(INDEX(Transactions!$J:$J,ROW()-8)="",0,INDEX(Transactions!$O:$O,ROW()-8))</f>
      </c>
    </row>
    <row r="2754" spans="1:7">
      <c r="B2754">
        <f>IF(INDEX(Transactions!$J:$J,ROW()-8)="",TODAY(),INDEX(Transactions!$G:$G,ROW()-8))</f>
      </c>
      <c r="F2754">
        <f>IF(INDEX(Transactions!$J:$J,ROW()-8)="",0,INDEX(Transactions!$O:$O,ROW()-8))</f>
      </c>
    </row>
    <row r="2755" spans="1:7">
      <c r="B2755">
        <f>IF(INDEX(Transactions!$J:$J,ROW()-8)="",TODAY(),INDEX(Transactions!$G:$G,ROW()-8))</f>
      </c>
      <c r="F2755">
        <f>IF(INDEX(Transactions!$J:$J,ROW()-8)="",0,INDEX(Transactions!$O:$O,ROW()-8))</f>
      </c>
    </row>
    <row r="2756" spans="1:7">
      <c r="B2756">
        <f>IF(INDEX(Transactions!$J:$J,ROW()-8)="",TODAY(),INDEX(Transactions!$G:$G,ROW()-8))</f>
      </c>
      <c r="F2756">
        <f>IF(INDEX(Transactions!$J:$J,ROW()-8)="",0,INDEX(Transactions!$O:$O,ROW()-8))</f>
      </c>
    </row>
    <row r="2757" spans="1:7">
      <c r="B2757">
        <f>IF(INDEX(Transactions!$J:$J,ROW()-8)="",TODAY(),INDEX(Transactions!$G:$G,ROW()-8))</f>
      </c>
      <c r="F2757">
        <f>IF(INDEX(Transactions!$J:$J,ROW()-8)="",0,INDEX(Transactions!$O:$O,ROW()-8))</f>
      </c>
    </row>
    <row r="2758" spans="1:7">
      <c r="B2758">
        <f>IF(INDEX(Transactions!$J:$J,ROW()-8)="",TODAY(),INDEX(Transactions!$G:$G,ROW()-8))</f>
      </c>
      <c r="F2758">
        <f>IF(INDEX(Transactions!$J:$J,ROW()-8)="",0,INDEX(Transactions!$O:$O,ROW()-8))</f>
      </c>
    </row>
    <row r="2759" spans="1:7">
      <c r="B2759">
        <f>IF(INDEX(Transactions!$J:$J,ROW()-8)="",TODAY(),INDEX(Transactions!$G:$G,ROW()-8))</f>
      </c>
      <c r="F2759">
        <f>IF(INDEX(Transactions!$J:$J,ROW()-8)="",0,INDEX(Transactions!$O:$O,ROW()-8))</f>
      </c>
    </row>
    <row r="2760" spans="1:7">
      <c r="B2760">
        <f>IF(INDEX(Transactions!$J:$J,ROW()-8)="",TODAY(),INDEX(Transactions!$G:$G,ROW()-8))</f>
      </c>
      <c r="F2760">
        <f>IF(INDEX(Transactions!$J:$J,ROW()-8)="",0,INDEX(Transactions!$O:$O,ROW()-8))</f>
      </c>
    </row>
    <row r="2761" spans="1:7">
      <c r="B2761">
        <f>IF(INDEX(Transactions!$J:$J,ROW()-8)="",TODAY(),INDEX(Transactions!$G:$G,ROW()-8))</f>
      </c>
      <c r="F2761">
        <f>IF(INDEX(Transactions!$J:$J,ROW()-8)="",0,INDEX(Transactions!$O:$O,ROW()-8))</f>
      </c>
    </row>
    <row r="2762" spans="1:7">
      <c r="B2762">
        <f>IF(INDEX(Transactions!$J:$J,ROW()-8)="",TODAY(),INDEX(Transactions!$G:$G,ROW()-8))</f>
      </c>
      <c r="F2762">
        <f>IF(INDEX(Transactions!$J:$J,ROW()-8)="",0,INDEX(Transactions!$O:$O,ROW()-8))</f>
      </c>
    </row>
    <row r="2763" spans="1:7">
      <c r="B2763">
        <f>IF(INDEX(Transactions!$J:$J,ROW()-8)="",TODAY(),INDEX(Transactions!$G:$G,ROW()-8))</f>
      </c>
      <c r="F2763">
        <f>IF(INDEX(Transactions!$J:$J,ROW()-8)="",0,INDEX(Transactions!$O:$O,ROW()-8))</f>
      </c>
    </row>
    <row r="2764" spans="1:7">
      <c r="B2764">
        <f>IF(INDEX(Transactions!$J:$J,ROW()-8)="",TODAY(),INDEX(Transactions!$G:$G,ROW()-8))</f>
      </c>
      <c r="F2764">
        <f>IF(INDEX(Transactions!$J:$J,ROW()-8)="",0,INDEX(Transactions!$O:$O,ROW()-8))</f>
      </c>
    </row>
    <row r="2765" spans="1:7">
      <c r="B2765">
        <f>IF(INDEX(Transactions!$J:$J,ROW()-8)="",TODAY(),INDEX(Transactions!$G:$G,ROW()-8))</f>
      </c>
      <c r="F2765">
        <f>IF(INDEX(Transactions!$J:$J,ROW()-8)="",0,INDEX(Transactions!$O:$O,ROW()-8))</f>
      </c>
    </row>
    <row r="2766" spans="1:7">
      <c r="B2766">
        <f>IF(INDEX(Transactions!$J:$J,ROW()-8)="",TODAY(),INDEX(Transactions!$G:$G,ROW()-8))</f>
      </c>
      <c r="F2766">
        <f>IF(INDEX(Transactions!$J:$J,ROW()-8)="",0,INDEX(Transactions!$O:$O,ROW()-8))</f>
      </c>
    </row>
    <row r="2767" spans="1:7">
      <c r="B2767">
        <f>IF(INDEX(Transactions!$J:$J,ROW()-8)="",TODAY(),INDEX(Transactions!$G:$G,ROW()-8))</f>
      </c>
      <c r="F2767">
        <f>IF(INDEX(Transactions!$J:$J,ROW()-8)="",0,INDEX(Transactions!$O:$O,ROW()-8))</f>
      </c>
    </row>
    <row r="2768" spans="1:7">
      <c r="B2768">
        <f>IF(INDEX(Transactions!$J:$J,ROW()-8)="",TODAY(),INDEX(Transactions!$G:$G,ROW()-8))</f>
      </c>
      <c r="F2768">
        <f>IF(INDEX(Transactions!$J:$J,ROW()-8)="",0,INDEX(Transactions!$O:$O,ROW()-8))</f>
      </c>
    </row>
    <row r="2769" spans="1:7">
      <c r="B2769">
        <f>IF(INDEX(Transactions!$J:$J,ROW()-8)="",TODAY(),INDEX(Transactions!$G:$G,ROW()-8))</f>
      </c>
      <c r="F2769">
        <f>IF(INDEX(Transactions!$J:$J,ROW()-8)="",0,INDEX(Transactions!$O:$O,ROW()-8))</f>
      </c>
    </row>
    <row r="2770" spans="1:7">
      <c r="B2770">
        <f>IF(INDEX(Transactions!$J:$J,ROW()-8)="",TODAY(),INDEX(Transactions!$G:$G,ROW()-8))</f>
      </c>
      <c r="F2770">
        <f>IF(INDEX(Transactions!$J:$J,ROW()-8)="",0,INDEX(Transactions!$O:$O,ROW()-8))</f>
      </c>
    </row>
    <row r="2771" spans="1:7">
      <c r="B2771">
        <f>IF(INDEX(Transactions!$J:$J,ROW()-8)="",TODAY(),INDEX(Transactions!$G:$G,ROW()-8))</f>
      </c>
      <c r="F2771">
        <f>IF(INDEX(Transactions!$J:$J,ROW()-8)="",0,INDEX(Transactions!$O:$O,ROW()-8))</f>
      </c>
    </row>
    <row r="2772" spans="1:7">
      <c r="B2772">
        <f>IF(INDEX(Transactions!$J:$J,ROW()-8)="",TODAY(),INDEX(Transactions!$G:$G,ROW()-8))</f>
      </c>
      <c r="F2772">
        <f>IF(INDEX(Transactions!$J:$J,ROW()-8)="",0,INDEX(Transactions!$O:$O,ROW()-8))</f>
      </c>
    </row>
    <row r="2773" spans="1:7">
      <c r="B2773">
        <f>IF(INDEX(Transactions!$J:$J,ROW()-8)="",TODAY(),INDEX(Transactions!$G:$G,ROW()-8))</f>
      </c>
      <c r="F2773">
        <f>IF(INDEX(Transactions!$J:$J,ROW()-8)="",0,INDEX(Transactions!$O:$O,ROW()-8))</f>
      </c>
    </row>
    <row r="2774" spans="1:7">
      <c r="B2774">
        <f>IF(INDEX(Transactions!$J:$J,ROW()-8)="",TODAY(),INDEX(Transactions!$G:$G,ROW()-8))</f>
      </c>
      <c r="F2774">
        <f>IF(INDEX(Transactions!$J:$J,ROW()-8)="",0,INDEX(Transactions!$O:$O,ROW()-8))</f>
      </c>
    </row>
    <row r="2775" spans="1:7">
      <c r="B2775">
        <f>IF(INDEX(Transactions!$J:$J,ROW()-8)="",TODAY(),INDEX(Transactions!$G:$G,ROW()-8))</f>
      </c>
      <c r="F2775">
        <f>IF(INDEX(Transactions!$J:$J,ROW()-8)="",0,INDEX(Transactions!$O:$O,ROW()-8))</f>
      </c>
    </row>
    <row r="2776" spans="1:7">
      <c r="B2776">
        <f>IF(INDEX(Transactions!$J:$J,ROW()-8)="",TODAY(),INDEX(Transactions!$G:$G,ROW()-8))</f>
      </c>
      <c r="F2776">
        <f>IF(INDEX(Transactions!$J:$J,ROW()-8)="",0,INDEX(Transactions!$O:$O,ROW()-8))</f>
      </c>
    </row>
    <row r="2777" spans="1:7">
      <c r="B2777">
        <f>IF(INDEX(Transactions!$J:$J,ROW()-8)="",TODAY(),INDEX(Transactions!$G:$G,ROW()-8))</f>
      </c>
      <c r="F2777">
        <f>IF(INDEX(Transactions!$J:$J,ROW()-8)="",0,INDEX(Transactions!$O:$O,ROW()-8))</f>
      </c>
    </row>
    <row r="2778" spans="1:7">
      <c r="B2778">
        <f>IF(INDEX(Transactions!$J:$J,ROW()-8)="",TODAY(),INDEX(Transactions!$G:$G,ROW()-8))</f>
      </c>
      <c r="F2778">
        <f>IF(INDEX(Transactions!$J:$J,ROW()-8)="",0,INDEX(Transactions!$O:$O,ROW()-8))</f>
      </c>
    </row>
    <row r="2779" spans="1:7">
      <c r="B2779">
        <f>IF(INDEX(Transactions!$J:$J,ROW()-8)="",TODAY(),INDEX(Transactions!$G:$G,ROW()-8))</f>
      </c>
      <c r="F2779">
        <f>IF(INDEX(Transactions!$J:$J,ROW()-8)="",0,INDEX(Transactions!$O:$O,ROW()-8))</f>
      </c>
    </row>
    <row r="2780" spans="1:7">
      <c r="B2780">
        <f>IF(INDEX(Transactions!$J:$J,ROW()-8)="",TODAY(),INDEX(Transactions!$G:$G,ROW()-8))</f>
      </c>
      <c r="F2780">
        <f>IF(INDEX(Transactions!$J:$J,ROW()-8)="",0,INDEX(Transactions!$O:$O,ROW()-8))</f>
      </c>
    </row>
    <row r="2781" spans="1:7">
      <c r="B2781">
        <f>IF(INDEX(Transactions!$J:$J,ROW()-8)="",TODAY(),INDEX(Transactions!$G:$G,ROW()-8))</f>
      </c>
      <c r="F2781">
        <f>IF(INDEX(Transactions!$J:$J,ROW()-8)="",0,INDEX(Transactions!$O:$O,ROW()-8))</f>
      </c>
    </row>
    <row r="2782" spans="1:7">
      <c r="B2782">
        <f>IF(INDEX(Transactions!$J:$J,ROW()-8)="",TODAY(),INDEX(Transactions!$G:$G,ROW()-8))</f>
      </c>
      <c r="F2782">
        <f>IF(INDEX(Transactions!$J:$J,ROW()-8)="",0,INDEX(Transactions!$O:$O,ROW()-8))</f>
      </c>
    </row>
    <row r="2783" spans="1:7">
      <c r="B2783">
        <f>IF(INDEX(Transactions!$J:$J,ROW()-8)="",TODAY(),INDEX(Transactions!$G:$G,ROW()-8))</f>
      </c>
      <c r="F2783">
        <f>IF(INDEX(Transactions!$J:$J,ROW()-8)="",0,INDEX(Transactions!$O:$O,ROW()-8))</f>
      </c>
    </row>
    <row r="2784" spans="1:7">
      <c r="B2784">
        <f>IF(INDEX(Transactions!$J:$J,ROW()-8)="",TODAY(),INDEX(Transactions!$G:$G,ROW()-8))</f>
      </c>
      <c r="F2784">
        <f>IF(INDEX(Transactions!$J:$J,ROW()-8)="",0,INDEX(Transactions!$O:$O,ROW()-8))</f>
      </c>
    </row>
    <row r="2785" spans="1:7">
      <c r="B2785">
        <f>IF(INDEX(Transactions!$J:$J,ROW()-8)="",TODAY(),INDEX(Transactions!$G:$G,ROW()-8))</f>
      </c>
      <c r="F2785">
        <f>IF(INDEX(Transactions!$J:$J,ROW()-8)="",0,INDEX(Transactions!$O:$O,ROW()-8))</f>
      </c>
    </row>
    <row r="2786" spans="1:7">
      <c r="B2786">
        <f>IF(INDEX(Transactions!$J:$J,ROW()-8)="",TODAY(),INDEX(Transactions!$G:$G,ROW()-8))</f>
      </c>
      <c r="F2786">
        <f>IF(INDEX(Transactions!$J:$J,ROW()-8)="",0,INDEX(Transactions!$O:$O,ROW()-8))</f>
      </c>
    </row>
    <row r="2787" spans="1:7">
      <c r="B2787">
        <f>IF(INDEX(Transactions!$J:$J,ROW()-8)="",TODAY(),INDEX(Transactions!$G:$G,ROW()-8))</f>
      </c>
      <c r="F2787">
        <f>IF(INDEX(Transactions!$J:$J,ROW()-8)="",0,INDEX(Transactions!$O:$O,ROW()-8))</f>
      </c>
    </row>
    <row r="2788" spans="1:7">
      <c r="B2788">
        <f>IF(INDEX(Transactions!$J:$J,ROW()-8)="",TODAY(),INDEX(Transactions!$G:$G,ROW()-8))</f>
      </c>
      <c r="F2788">
        <f>IF(INDEX(Transactions!$J:$J,ROW()-8)="",0,INDEX(Transactions!$O:$O,ROW()-8))</f>
      </c>
    </row>
    <row r="2789" spans="1:7">
      <c r="B2789">
        <f>IF(INDEX(Transactions!$J:$J,ROW()-8)="",TODAY(),INDEX(Transactions!$G:$G,ROW()-8))</f>
      </c>
      <c r="F2789">
        <f>IF(INDEX(Transactions!$J:$J,ROW()-8)="",0,INDEX(Transactions!$O:$O,ROW()-8))</f>
      </c>
    </row>
    <row r="2790" spans="1:7">
      <c r="B2790">
        <f>IF(INDEX(Transactions!$J:$J,ROW()-8)="",TODAY(),INDEX(Transactions!$G:$G,ROW()-8))</f>
      </c>
      <c r="F2790">
        <f>IF(INDEX(Transactions!$J:$J,ROW()-8)="",0,INDEX(Transactions!$O:$O,ROW()-8))</f>
      </c>
    </row>
    <row r="2791" spans="1:7">
      <c r="B2791">
        <f>IF(INDEX(Transactions!$J:$J,ROW()-8)="",TODAY(),INDEX(Transactions!$G:$G,ROW()-8))</f>
      </c>
      <c r="F2791">
        <f>IF(INDEX(Transactions!$J:$J,ROW()-8)="",0,INDEX(Transactions!$O:$O,ROW()-8))</f>
      </c>
    </row>
    <row r="2792" spans="1:7">
      <c r="B2792">
        <f>IF(INDEX(Transactions!$J:$J,ROW()-8)="",TODAY(),INDEX(Transactions!$G:$G,ROW()-8))</f>
      </c>
      <c r="F2792">
        <f>IF(INDEX(Transactions!$J:$J,ROW()-8)="",0,INDEX(Transactions!$O:$O,ROW()-8))</f>
      </c>
    </row>
    <row r="2793" spans="1:7">
      <c r="B2793">
        <f>IF(INDEX(Transactions!$J:$J,ROW()-8)="",TODAY(),INDEX(Transactions!$G:$G,ROW()-8))</f>
      </c>
      <c r="F2793">
        <f>IF(INDEX(Transactions!$J:$J,ROW()-8)="",0,INDEX(Transactions!$O:$O,ROW()-8))</f>
      </c>
    </row>
    <row r="2794" spans="1:7">
      <c r="B2794">
        <f>IF(INDEX(Transactions!$J:$J,ROW()-8)="",TODAY(),INDEX(Transactions!$G:$G,ROW()-8))</f>
      </c>
      <c r="F2794">
        <f>IF(INDEX(Transactions!$J:$J,ROW()-8)="",0,INDEX(Transactions!$O:$O,ROW()-8))</f>
      </c>
    </row>
    <row r="2795" spans="1:7">
      <c r="B2795">
        <f>IF(INDEX(Transactions!$J:$J,ROW()-8)="",TODAY(),INDEX(Transactions!$G:$G,ROW()-8))</f>
      </c>
      <c r="F2795">
        <f>IF(INDEX(Transactions!$J:$J,ROW()-8)="",0,INDEX(Transactions!$O:$O,ROW()-8))</f>
      </c>
    </row>
    <row r="2796" spans="1:7">
      <c r="B2796">
        <f>IF(INDEX(Transactions!$J:$J,ROW()-8)="",TODAY(),INDEX(Transactions!$G:$G,ROW()-8))</f>
      </c>
      <c r="F2796">
        <f>IF(INDEX(Transactions!$J:$J,ROW()-8)="",0,INDEX(Transactions!$O:$O,ROW()-8))</f>
      </c>
    </row>
    <row r="2797" spans="1:7">
      <c r="B2797">
        <f>IF(INDEX(Transactions!$J:$J,ROW()-8)="",TODAY(),INDEX(Transactions!$G:$G,ROW()-8))</f>
      </c>
      <c r="F2797">
        <f>IF(INDEX(Transactions!$J:$J,ROW()-8)="",0,INDEX(Transactions!$O:$O,ROW()-8))</f>
      </c>
    </row>
    <row r="2798" spans="1:7">
      <c r="B2798">
        <f>IF(INDEX(Transactions!$J:$J,ROW()-8)="",TODAY(),INDEX(Transactions!$G:$G,ROW()-8))</f>
      </c>
      <c r="F2798">
        <f>IF(INDEX(Transactions!$J:$J,ROW()-8)="",0,INDEX(Transactions!$O:$O,ROW()-8))</f>
      </c>
    </row>
    <row r="2799" spans="1:7">
      <c r="B2799">
        <f>IF(INDEX(Transactions!$J:$J,ROW()-8)="",TODAY(),INDEX(Transactions!$G:$G,ROW()-8))</f>
      </c>
      <c r="F2799">
        <f>IF(INDEX(Transactions!$J:$J,ROW()-8)="",0,INDEX(Transactions!$O:$O,ROW()-8))</f>
      </c>
    </row>
    <row r="2800" spans="1:7">
      <c r="B2800">
        <f>IF(INDEX(Transactions!$J:$J,ROW()-8)="",TODAY(),INDEX(Transactions!$G:$G,ROW()-8))</f>
      </c>
      <c r="F2800">
        <f>IF(INDEX(Transactions!$J:$J,ROW()-8)="",0,INDEX(Transactions!$O:$O,ROW()-8))</f>
      </c>
    </row>
    <row r="2801" spans="1:7">
      <c r="B2801">
        <f>IF(INDEX(Transactions!$J:$J,ROW()-8)="",TODAY(),INDEX(Transactions!$G:$G,ROW()-8))</f>
      </c>
      <c r="F2801">
        <f>IF(INDEX(Transactions!$J:$J,ROW()-8)="",0,INDEX(Transactions!$O:$O,ROW()-8))</f>
      </c>
    </row>
    <row r="2802" spans="1:7">
      <c r="B2802">
        <f>IF(INDEX(Transactions!$J:$J,ROW()-8)="",TODAY(),INDEX(Transactions!$G:$G,ROW()-8))</f>
      </c>
      <c r="F2802">
        <f>IF(INDEX(Transactions!$J:$J,ROW()-8)="",0,INDEX(Transactions!$O:$O,ROW()-8))</f>
      </c>
    </row>
    <row r="2803" spans="1:7">
      <c r="B2803">
        <f>IF(INDEX(Transactions!$J:$J,ROW()-8)="",TODAY(),INDEX(Transactions!$G:$G,ROW()-8))</f>
      </c>
      <c r="F2803">
        <f>IF(INDEX(Transactions!$J:$J,ROW()-8)="",0,INDEX(Transactions!$O:$O,ROW()-8))</f>
      </c>
    </row>
    <row r="2804" spans="1:7">
      <c r="B2804">
        <f>IF(INDEX(Transactions!$J:$J,ROW()-8)="",TODAY(),INDEX(Transactions!$G:$G,ROW()-8))</f>
      </c>
      <c r="F2804">
        <f>IF(INDEX(Transactions!$J:$J,ROW()-8)="",0,INDEX(Transactions!$O:$O,ROW()-8))</f>
      </c>
    </row>
    <row r="2805" spans="1:7">
      <c r="B2805">
        <f>IF(INDEX(Transactions!$J:$J,ROW()-8)="",TODAY(),INDEX(Transactions!$G:$G,ROW()-8))</f>
      </c>
      <c r="F2805">
        <f>IF(INDEX(Transactions!$J:$J,ROW()-8)="",0,INDEX(Transactions!$O:$O,ROW()-8))</f>
      </c>
    </row>
    <row r="2806" spans="1:7">
      <c r="B2806">
        <f>IF(INDEX(Transactions!$J:$J,ROW()-8)="",TODAY(),INDEX(Transactions!$G:$G,ROW()-8))</f>
      </c>
      <c r="F2806">
        <f>IF(INDEX(Transactions!$J:$J,ROW()-8)="",0,INDEX(Transactions!$O:$O,ROW()-8))</f>
      </c>
    </row>
    <row r="2807" spans="1:7">
      <c r="B2807">
        <f>IF(INDEX(Transactions!$J:$J,ROW()-8)="",TODAY(),INDEX(Transactions!$G:$G,ROW()-8))</f>
      </c>
      <c r="F2807">
        <f>IF(INDEX(Transactions!$J:$J,ROW()-8)="",0,INDEX(Transactions!$O:$O,ROW()-8))</f>
      </c>
    </row>
    <row r="2808" spans="1:7">
      <c r="B2808">
        <f>IF(INDEX(Transactions!$J:$J,ROW()-8)="",TODAY(),INDEX(Transactions!$G:$G,ROW()-8))</f>
      </c>
      <c r="F2808">
        <f>IF(INDEX(Transactions!$J:$J,ROW()-8)="",0,INDEX(Transactions!$O:$O,ROW()-8))</f>
      </c>
    </row>
    <row r="2809" spans="1:7">
      <c r="B2809">
        <f>IF(INDEX(Transactions!$J:$J,ROW()-8)="",TODAY(),INDEX(Transactions!$G:$G,ROW()-8))</f>
      </c>
      <c r="F2809">
        <f>IF(INDEX(Transactions!$J:$J,ROW()-8)="",0,INDEX(Transactions!$O:$O,ROW()-8))</f>
      </c>
    </row>
    <row r="2810" spans="1:7">
      <c r="B2810">
        <f>IF(INDEX(Transactions!$J:$J,ROW()-8)="",TODAY(),INDEX(Transactions!$G:$G,ROW()-8))</f>
      </c>
      <c r="F2810">
        <f>IF(INDEX(Transactions!$J:$J,ROW()-8)="",0,INDEX(Transactions!$O:$O,ROW()-8))</f>
      </c>
    </row>
    <row r="2811" spans="1:7">
      <c r="B2811">
        <f>IF(INDEX(Transactions!$J:$J,ROW()-8)="",TODAY(),INDEX(Transactions!$G:$G,ROW()-8))</f>
      </c>
      <c r="F2811">
        <f>IF(INDEX(Transactions!$J:$J,ROW()-8)="",0,INDEX(Transactions!$O:$O,ROW()-8))</f>
      </c>
    </row>
    <row r="2812" spans="1:7">
      <c r="B2812">
        <f>IF(INDEX(Transactions!$J:$J,ROW()-8)="",TODAY(),INDEX(Transactions!$G:$G,ROW()-8))</f>
      </c>
      <c r="F2812">
        <f>IF(INDEX(Transactions!$J:$J,ROW()-8)="",0,INDEX(Transactions!$O:$O,ROW()-8))</f>
      </c>
    </row>
    <row r="2813" spans="1:7">
      <c r="B2813">
        <f>IF(INDEX(Transactions!$J:$J,ROW()-8)="",TODAY(),INDEX(Transactions!$G:$G,ROW()-8))</f>
      </c>
      <c r="F2813">
        <f>IF(INDEX(Transactions!$J:$J,ROW()-8)="",0,INDEX(Transactions!$O:$O,ROW()-8))</f>
      </c>
    </row>
    <row r="2814" spans="1:7">
      <c r="B2814">
        <f>IF(INDEX(Transactions!$J:$J,ROW()-8)="",TODAY(),INDEX(Transactions!$G:$G,ROW()-8))</f>
      </c>
      <c r="F2814">
        <f>IF(INDEX(Transactions!$J:$J,ROW()-8)="",0,INDEX(Transactions!$O:$O,ROW()-8))</f>
      </c>
    </row>
    <row r="2815" spans="1:7">
      <c r="B2815">
        <f>IF(INDEX(Transactions!$J:$J,ROW()-8)="",TODAY(),INDEX(Transactions!$G:$G,ROW()-8))</f>
      </c>
      <c r="F2815">
        <f>IF(INDEX(Transactions!$J:$J,ROW()-8)="",0,INDEX(Transactions!$O:$O,ROW()-8))</f>
      </c>
    </row>
    <row r="2816" spans="1:7">
      <c r="B2816">
        <f>IF(INDEX(Transactions!$J:$J,ROW()-8)="",TODAY(),INDEX(Transactions!$G:$G,ROW()-8))</f>
      </c>
      <c r="F2816">
        <f>IF(INDEX(Transactions!$J:$J,ROW()-8)="",0,INDEX(Transactions!$O:$O,ROW()-8))</f>
      </c>
    </row>
    <row r="2817" spans="1:7">
      <c r="B2817">
        <f>IF(INDEX(Transactions!$J:$J,ROW()-8)="",TODAY(),INDEX(Transactions!$G:$G,ROW()-8))</f>
      </c>
      <c r="F2817">
        <f>IF(INDEX(Transactions!$J:$J,ROW()-8)="",0,INDEX(Transactions!$O:$O,ROW()-8))</f>
      </c>
    </row>
    <row r="2818" spans="1:7">
      <c r="B2818">
        <f>IF(INDEX(Transactions!$J:$J,ROW()-8)="",TODAY(),INDEX(Transactions!$G:$G,ROW()-8))</f>
      </c>
      <c r="F2818">
        <f>IF(INDEX(Transactions!$J:$J,ROW()-8)="",0,INDEX(Transactions!$O:$O,ROW()-8))</f>
      </c>
    </row>
    <row r="2819" spans="1:7">
      <c r="B2819">
        <f>IF(INDEX(Transactions!$J:$J,ROW()-8)="",TODAY(),INDEX(Transactions!$G:$G,ROW()-8))</f>
      </c>
      <c r="F2819">
        <f>IF(INDEX(Transactions!$J:$J,ROW()-8)="",0,INDEX(Transactions!$O:$O,ROW()-8))</f>
      </c>
    </row>
    <row r="2820" spans="1:7">
      <c r="B2820">
        <f>IF(INDEX(Transactions!$J:$J,ROW()-8)="",TODAY(),INDEX(Transactions!$G:$G,ROW()-8))</f>
      </c>
      <c r="F2820">
        <f>IF(INDEX(Transactions!$J:$J,ROW()-8)="",0,INDEX(Transactions!$O:$O,ROW()-8))</f>
      </c>
    </row>
    <row r="2821" spans="1:7">
      <c r="B2821">
        <f>IF(INDEX(Transactions!$J:$J,ROW()-8)="",TODAY(),INDEX(Transactions!$G:$G,ROW()-8))</f>
      </c>
      <c r="F2821">
        <f>IF(INDEX(Transactions!$J:$J,ROW()-8)="",0,INDEX(Transactions!$O:$O,ROW()-8))</f>
      </c>
    </row>
    <row r="2822" spans="1:7">
      <c r="B2822">
        <f>IF(INDEX(Transactions!$J:$J,ROW()-8)="",TODAY(),INDEX(Transactions!$G:$G,ROW()-8))</f>
      </c>
      <c r="F2822">
        <f>IF(INDEX(Transactions!$J:$J,ROW()-8)="",0,INDEX(Transactions!$O:$O,ROW()-8))</f>
      </c>
    </row>
    <row r="2823" spans="1:7">
      <c r="B2823">
        <f>IF(INDEX(Transactions!$J:$J,ROW()-8)="",TODAY(),INDEX(Transactions!$G:$G,ROW()-8))</f>
      </c>
      <c r="F2823">
        <f>IF(INDEX(Transactions!$J:$J,ROW()-8)="",0,INDEX(Transactions!$O:$O,ROW()-8))</f>
      </c>
    </row>
    <row r="2824" spans="1:7">
      <c r="B2824">
        <f>IF(INDEX(Transactions!$J:$J,ROW()-8)="",TODAY(),INDEX(Transactions!$G:$G,ROW()-8))</f>
      </c>
      <c r="F2824">
        <f>IF(INDEX(Transactions!$J:$J,ROW()-8)="",0,INDEX(Transactions!$O:$O,ROW()-8))</f>
      </c>
    </row>
    <row r="2825" spans="1:7">
      <c r="B2825">
        <f>IF(INDEX(Transactions!$J:$J,ROW()-8)="",TODAY(),INDEX(Transactions!$G:$G,ROW()-8))</f>
      </c>
      <c r="F2825">
        <f>IF(INDEX(Transactions!$J:$J,ROW()-8)="",0,INDEX(Transactions!$O:$O,ROW()-8))</f>
      </c>
    </row>
    <row r="2826" spans="1:7">
      <c r="B2826">
        <f>IF(INDEX(Transactions!$J:$J,ROW()-8)="",TODAY(),INDEX(Transactions!$G:$G,ROW()-8))</f>
      </c>
      <c r="F2826">
        <f>IF(INDEX(Transactions!$J:$J,ROW()-8)="",0,INDEX(Transactions!$O:$O,ROW()-8))</f>
      </c>
    </row>
    <row r="2827" spans="1:7">
      <c r="B2827">
        <f>IF(INDEX(Transactions!$J:$J,ROW()-8)="",TODAY(),INDEX(Transactions!$G:$G,ROW()-8))</f>
      </c>
      <c r="F2827">
        <f>IF(INDEX(Transactions!$J:$J,ROW()-8)="",0,INDEX(Transactions!$O:$O,ROW()-8))</f>
      </c>
    </row>
    <row r="2828" spans="1:7">
      <c r="B2828">
        <f>IF(INDEX(Transactions!$J:$J,ROW()-8)="",TODAY(),INDEX(Transactions!$G:$G,ROW()-8))</f>
      </c>
      <c r="F2828">
        <f>IF(INDEX(Transactions!$J:$J,ROW()-8)="",0,INDEX(Transactions!$O:$O,ROW()-8))</f>
      </c>
    </row>
    <row r="2829" spans="1:7">
      <c r="B2829">
        <f>IF(INDEX(Transactions!$J:$J,ROW()-8)="",TODAY(),INDEX(Transactions!$G:$G,ROW()-8))</f>
      </c>
      <c r="F2829">
        <f>IF(INDEX(Transactions!$J:$J,ROW()-8)="",0,INDEX(Transactions!$O:$O,ROW()-8))</f>
      </c>
    </row>
    <row r="2830" spans="1:7">
      <c r="B2830">
        <f>IF(INDEX(Transactions!$J:$J,ROW()-8)="",TODAY(),INDEX(Transactions!$G:$G,ROW()-8))</f>
      </c>
      <c r="F2830">
        <f>IF(INDEX(Transactions!$J:$J,ROW()-8)="",0,INDEX(Transactions!$O:$O,ROW()-8))</f>
      </c>
    </row>
    <row r="2831" spans="1:7">
      <c r="B2831">
        <f>IF(INDEX(Transactions!$J:$J,ROW()-8)="",TODAY(),INDEX(Transactions!$G:$G,ROW()-8))</f>
      </c>
      <c r="F2831">
        <f>IF(INDEX(Transactions!$J:$J,ROW()-8)="",0,INDEX(Transactions!$O:$O,ROW()-8))</f>
      </c>
    </row>
    <row r="2832" spans="1:7">
      <c r="B2832">
        <f>IF(INDEX(Transactions!$J:$J,ROW()-8)="",TODAY(),INDEX(Transactions!$G:$G,ROW()-8))</f>
      </c>
      <c r="F2832">
        <f>IF(INDEX(Transactions!$J:$J,ROW()-8)="",0,INDEX(Transactions!$O:$O,ROW()-8))</f>
      </c>
    </row>
    <row r="2833" spans="1:7">
      <c r="B2833">
        <f>IF(INDEX(Transactions!$J:$J,ROW()-8)="",TODAY(),INDEX(Transactions!$G:$G,ROW()-8))</f>
      </c>
      <c r="F2833">
        <f>IF(INDEX(Transactions!$J:$J,ROW()-8)="",0,INDEX(Transactions!$O:$O,ROW()-8))</f>
      </c>
    </row>
    <row r="2834" spans="1:7">
      <c r="B2834">
        <f>IF(INDEX(Transactions!$J:$J,ROW()-8)="",TODAY(),INDEX(Transactions!$G:$G,ROW()-8))</f>
      </c>
      <c r="F2834">
        <f>IF(INDEX(Transactions!$J:$J,ROW()-8)="",0,INDEX(Transactions!$O:$O,ROW()-8))</f>
      </c>
    </row>
    <row r="2835" spans="1:7">
      <c r="B2835">
        <f>IF(INDEX(Transactions!$J:$J,ROW()-8)="",TODAY(),INDEX(Transactions!$G:$G,ROW()-8))</f>
      </c>
      <c r="F2835">
        <f>IF(INDEX(Transactions!$J:$J,ROW()-8)="",0,INDEX(Transactions!$O:$O,ROW()-8))</f>
      </c>
    </row>
    <row r="2836" spans="1:7">
      <c r="B2836">
        <f>IF(INDEX(Transactions!$J:$J,ROW()-8)="",TODAY(),INDEX(Transactions!$G:$G,ROW()-8))</f>
      </c>
      <c r="F2836">
        <f>IF(INDEX(Transactions!$J:$J,ROW()-8)="",0,INDEX(Transactions!$O:$O,ROW()-8))</f>
      </c>
    </row>
    <row r="2837" spans="1:7">
      <c r="B2837">
        <f>IF(INDEX(Transactions!$J:$J,ROW()-8)="",TODAY(),INDEX(Transactions!$G:$G,ROW()-8))</f>
      </c>
      <c r="F2837">
        <f>IF(INDEX(Transactions!$J:$J,ROW()-8)="",0,INDEX(Transactions!$O:$O,ROW()-8))</f>
      </c>
    </row>
    <row r="2838" spans="1:7">
      <c r="B2838">
        <f>IF(INDEX(Transactions!$J:$J,ROW()-8)="",TODAY(),INDEX(Transactions!$G:$G,ROW()-8))</f>
      </c>
      <c r="F2838">
        <f>IF(INDEX(Transactions!$J:$J,ROW()-8)="",0,INDEX(Transactions!$O:$O,ROW()-8))</f>
      </c>
    </row>
    <row r="2839" spans="1:7">
      <c r="B2839">
        <f>IF(INDEX(Transactions!$J:$J,ROW()-8)="",TODAY(),INDEX(Transactions!$G:$G,ROW()-8))</f>
      </c>
      <c r="F2839">
        <f>IF(INDEX(Transactions!$J:$J,ROW()-8)="",0,INDEX(Transactions!$O:$O,ROW()-8))</f>
      </c>
    </row>
    <row r="2840" spans="1:7">
      <c r="B2840">
        <f>IF(INDEX(Transactions!$J:$J,ROW()-8)="",TODAY(),INDEX(Transactions!$G:$G,ROW()-8))</f>
      </c>
      <c r="F2840">
        <f>IF(INDEX(Transactions!$J:$J,ROW()-8)="",0,INDEX(Transactions!$O:$O,ROW()-8))</f>
      </c>
    </row>
    <row r="2841" spans="1:7">
      <c r="B2841">
        <f>IF(INDEX(Transactions!$J:$J,ROW()-8)="",TODAY(),INDEX(Transactions!$G:$G,ROW()-8))</f>
      </c>
      <c r="F2841">
        <f>IF(INDEX(Transactions!$J:$J,ROW()-8)="",0,INDEX(Transactions!$O:$O,ROW()-8))</f>
      </c>
    </row>
    <row r="2842" spans="1:7">
      <c r="B2842">
        <f>IF(INDEX(Transactions!$J:$J,ROW()-8)="",TODAY(),INDEX(Transactions!$G:$G,ROW()-8))</f>
      </c>
      <c r="F2842">
        <f>IF(INDEX(Transactions!$J:$J,ROW()-8)="",0,INDEX(Transactions!$O:$O,ROW()-8))</f>
      </c>
    </row>
    <row r="2843" spans="1:7">
      <c r="B2843">
        <f>IF(INDEX(Transactions!$J:$J,ROW()-8)="",TODAY(),INDEX(Transactions!$G:$G,ROW()-8))</f>
      </c>
      <c r="F2843">
        <f>IF(INDEX(Transactions!$J:$J,ROW()-8)="",0,INDEX(Transactions!$O:$O,ROW()-8))</f>
      </c>
    </row>
    <row r="2844" spans="1:7">
      <c r="B2844">
        <f>IF(INDEX(Transactions!$J:$J,ROW()-8)="",TODAY(),INDEX(Transactions!$G:$G,ROW()-8))</f>
      </c>
      <c r="F2844">
        <f>IF(INDEX(Transactions!$J:$J,ROW()-8)="",0,INDEX(Transactions!$O:$O,ROW()-8))</f>
      </c>
    </row>
    <row r="2845" spans="1:7">
      <c r="B2845">
        <f>IF(INDEX(Transactions!$J:$J,ROW()-8)="",TODAY(),INDEX(Transactions!$G:$G,ROW()-8))</f>
      </c>
      <c r="F2845">
        <f>IF(INDEX(Transactions!$J:$J,ROW()-8)="",0,INDEX(Transactions!$O:$O,ROW()-8))</f>
      </c>
    </row>
    <row r="2846" spans="1:7">
      <c r="B2846">
        <f>IF(INDEX(Transactions!$J:$J,ROW()-8)="",TODAY(),INDEX(Transactions!$G:$G,ROW()-8))</f>
      </c>
      <c r="F2846">
        <f>IF(INDEX(Transactions!$J:$J,ROW()-8)="",0,INDEX(Transactions!$O:$O,ROW()-8))</f>
      </c>
    </row>
    <row r="2847" spans="1:7">
      <c r="B2847">
        <f>IF(INDEX(Transactions!$J:$J,ROW()-8)="",TODAY(),INDEX(Transactions!$G:$G,ROW()-8))</f>
      </c>
      <c r="F2847">
        <f>IF(INDEX(Transactions!$J:$J,ROW()-8)="",0,INDEX(Transactions!$O:$O,ROW()-8))</f>
      </c>
    </row>
    <row r="2848" spans="1:7">
      <c r="B2848">
        <f>IF(INDEX(Transactions!$J:$J,ROW()-8)="",TODAY(),INDEX(Transactions!$G:$G,ROW()-8))</f>
      </c>
      <c r="F2848">
        <f>IF(INDEX(Transactions!$J:$J,ROW()-8)="",0,INDEX(Transactions!$O:$O,ROW()-8))</f>
      </c>
    </row>
    <row r="2849" spans="1:7">
      <c r="B2849">
        <f>IF(INDEX(Transactions!$J:$J,ROW()-8)="",TODAY(),INDEX(Transactions!$G:$G,ROW()-8))</f>
      </c>
      <c r="F2849">
        <f>IF(INDEX(Transactions!$J:$J,ROW()-8)="",0,INDEX(Transactions!$O:$O,ROW()-8))</f>
      </c>
    </row>
    <row r="2850" spans="1:7">
      <c r="B2850">
        <f>IF(INDEX(Transactions!$J:$J,ROW()-8)="",TODAY(),INDEX(Transactions!$G:$G,ROW()-8))</f>
      </c>
      <c r="F2850">
        <f>IF(INDEX(Transactions!$J:$J,ROW()-8)="",0,INDEX(Transactions!$O:$O,ROW()-8))</f>
      </c>
    </row>
    <row r="2851" spans="1:7">
      <c r="B2851">
        <f>IF(INDEX(Transactions!$J:$J,ROW()-8)="",TODAY(),INDEX(Transactions!$G:$G,ROW()-8))</f>
      </c>
      <c r="F2851">
        <f>IF(INDEX(Transactions!$J:$J,ROW()-8)="",0,INDEX(Transactions!$O:$O,ROW()-8))</f>
      </c>
    </row>
    <row r="2852" spans="1:7">
      <c r="B2852">
        <f>IF(INDEX(Transactions!$J:$J,ROW()-8)="",TODAY(),INDEX(Transactions!$G:$G,ROW()-8))</f>
      </c>
      <c r="F2852">
        <f>IF(INDEX(Transactions!$J:$J,ROW()-8)="",0,INDEX(Transactions!$O:$O,ROW()-8))</f>
      </c>
    </row>
    <row r="2853" spans="1:7">
      <c r="B2853">
        <f>IF(INDEX(Transactions!$J:$J,ROW()-8)="",TODAY(),INDEX(Transactions!$G:$G,ROW()-8))</f>
      </c>
      <c r="F2853">
        <f>IF(INDEX(Transactions!$J:$J,ROW()-8)="",0,INDEX(Transactions!$O:$O,ROW()-8))</f>
      </c>
    </row>
    <row r="2854" spans="1:7">
      <c r="B2854">
        <f>IF(INDEX(Transactions!$J:$J,ROW()-8)="",TODAY(),INDEX(Transactions!$G:$G,ROW()-8))</f>
      </c>
      <c r="F2854">
        <f>IF(INDEX(Transactions!$J:$J,ROW()-8)="",0,INDEX(Transactions!$O:$O,ROW()-8))</f>
      </c>
    </row>
    <row r="2855" spans="1:7">
      <c r="B2855">
        <f>IF(INDEX(Transactions!$J:$J,ROW()-8)="",TODAY(),INDEX(Transactions!$G:$G,ROW()-8))</f>
      </c>
      <c r="F2855">
        <f>IF(INDEX(Transactions!$J:$J,ROW()-8)="",0,INDEX(Transactions!$O:$O,ROW()-8))</f>
      </c>
    </row>
    <row r="2856" spans="1:7">
      <c r="B2856">
        <f>IF(INDEX(Transactions!$J:$J,ROW()-8)="",TODAY(),INDEX(Transactions!$G:$G,ROW()-8))</f>
      </c>
      <c r="F2856">
        <f>IF(INDEX(Transactions!$J:$J,ROW()-8)="",0,INDEX(Transactions!$O:$O,ROW()-8))</f>
      </c>
    </row>
    <row r="2857" spans="1:7">
      <c r="B2857">
        <f>IF(INDEX(Transactions!$J:$J,ROW()-8)="",TODAY(),INDEX(Transactions!$G:$G,ROW()-8))</f>
      </c>
      <c r="F2857">
        <f>IF(INDEX(Transactions!$J:$J,ROW()-8)="",0,INDEX(Transactions!$O:$O,ROW()-8))</f>
      </c>
    </row>
    <row r="2858" spans="1:7">
      <c r="B2858">
        <f>IF(INDEX(Transactions!$J:$J,ROW()-8)="",TODAY(),INDEX(Transactions!$G:$G,ROW()-8))</f>
      </c>
      <c r="F2858">
        <f>IF(INDEX(Transactions!$J:$J,ROW()-8)="",0,INDEX(Transactions!$O:$O,ROW()-8))</f>
      </c>
    </row>
    <row r="2859" spans="1:7">
      <c r="B2859">
        <f>IF(INDEX(Transactions!$J:$J,ROW()-8)="",TODAY(),INDEX(Transactions!$G:$G,ROW()-8))</f>
      </c>
      <c r="F2859">
        <f>IF(INDEX(Transactions!$J:$J,ROW()-8)="",0,INDEX(Transactions!$O:$O,ROW()-8))</f>
      </c>
    </row>
    <row r="2860" spans="1:7">
      <c r="B2860">
        <f>IF(INDEX(Transactions!$J:$J,ROW()-8)="",TODAY(),INDEX(Transactions!$G:$G,ROW()-8))</f>
      </c>
      <c r="F2860">
        <f>IF(INDEX(Transactions!$J:$J,ROW()-8)="",0,INDEX(Transactions!$O:$O,ROW()-8))</f>
      </c>
    </row>
    <row r="2861" spans="1:7">
      <c r="B2861">
        <f>IF(INDEX(Transactions!$J:$J,ROW()-8)="",TODAY(),INDEX(Transactions!$G:$G,ROW()-8))</f>
      </c>
      <c r="F2861">
        <f>IF(INDEX(Transactions!$J:$J,ROW()-8)="",0,INDEX(Transactions!$O:$O,ROW()-8))</f>
      </c>
    </row>
    <row r="2862" spans="1:7">
      <c r="B2862">
        <f>IF(INDEX(Transactions!$J:$J,ROW()-8)="",TODAY(),INDEX(Transactions!$G:$G,ROW()-8))</f>
      </c>
      <c r="F2862">
        <f>IF(INDEX(Transactions!$J:$J,ROW()-8)="",0,INDEX(Transactions!$O:$O,ROW()-8))</f>
      </c>
    </row>
    <row r="2863" spans="1:7">
      <c r="B2863">
        <f>IF(INDEX(Transactions!$J:$J,ROW()-8)="",TODAY(),INDEX(Transactions!$G:$G,ROW()-8))</f>
      </c>
      <c r="F2863">
        <f>IF(INDEX(Transactions!$J:$J,ROW()-8)="",0,INDEX(Transactions!$O:$O,ROW()-8))</f>
      </c>
    </row>
    <row r="2864" spans="1:7">
      <c r="B2864">
        <f>IF(INDEX(Transactions!$J:$J,ROW()-8)="",TODAY(),INDEX(Transactions!$G:$G,ROW()-8))</f>
      </c>
      <c r="F2864">
        <f>IF(INDEX(Transactions!$J:$J,ROW()-8)="",0,INDEX(Transactions!$O:$O,ROW()-8))</f>
      </c>
    </row>
    <row r="2865" spans="1:7">
      <c r="B2865">
        <f>IF(INDEX(Transactions!$J:$J,ROW()-8)="",TODAY(),INDEX(Transactions!$G:$G,ROW()-8))</f>
      </c>
      <c r="F2865">
        <f>IF(INDEX(Transactions!$J:$J,ROW()-8)="",0,INDEX(Transactions!$O:$O,ROW()-8))</f>
      </c>
    </row>
    <row r="2866" spans="1:7">
      <c r="B2866">
        <f>IF(INDEX(Transactions!$J:$J,ROW()-8)="",TODAY(),INDEX(Transactions!$G:$G,ROW()-8))</f>
      </c>
      <c r="F2866">
        <f>IF(INDEX(Transactions!$J:$J,ROW()-8)="",0,INDEX(Transactions!$O:$O,ROW()-8))</f>
      </c>
    </row>
    <row r="2867" spans="1:7">
      <c r="B2867">
        <f>IF(INDEX(Transactions!$J:$J,ROW()-8)="",TODAY(),INDEX(Transactions!$G:$G,ROW()-8))</f>
      </c>
      <c r="F2867">
        <f>IF(INDEX(Transactions!$J:$J,ROW()-8)="",0,INDEX(Transactions!$O:$O,ROW()-8))</f>
      </c>
    </row>
    <row r="2868" spans="1:7">
      <c r="B2868">
        <f>IF(INDEX(Transactions!$J:$J,ROW()-8)="",TODAY(),INDEX(Transactions!$G:$G,ROW()-8))</f>
      </c>
      <c r="F2868">
        <f>IF(INDEX(Transactions!$J:$J,ROW()-8)="",0,INDEX(Transactions!$O:$O,ROW()-8))</f>
      </c>
    </row>
    <row r="2869" spans="1:7">
      <c r="B2869">
        <f>IF(INDEX(Transactions!$J:$J,ROW()-8)="",TODAY(),INDEX(Transactions!$G:$G,ROW()-8))</f>
      </c>
      <c r="F2869">
        <f>IF(INDEX(Transactions!$J:$J,ROW()-8)="",0,INDEX(Transactions!$O:$O,ROW()-8))</f>
      </c>
    </row>
    <row r="2870" spans="1:7">
      <c r="B2870">
        <f>IF(INDEX(Transactions!$J:$J,ROW()-8)="",TODAY(),INDEX(Transactions!$G:$G,ROW()-8))</f>
      </c>
      <c r="F2870">
        <f>IF(INDEX(Transactions!$J:$J,ROW()-8)="",0,INDEX(Transactions!$O:$O,ROW()-8))</f>
      </c>
    </row>
    <row r="2871" spans="1:7">
      <c r="B2871">
        <f>IF(INDEX(Transactions!$J:$J,ROW()-8)="",TODAY(),INDEX(Transactions!$G:$G,ROW()-8))</f>
      </c>
      <c r="F2871">
        <f>IF(INDEX(Transactions!$J:$J,ROW()-8)="",0,INDEX(Transactions!$O:$O,ROW()-8))</f>
      </c>
    </row>
    <row r="2872" spans="1:7">
      <c r="B2872">
        <f>IF(INDEX(Transactions!$J:$J,ROW()-8)="",TODAY(),INDEX(Transactions!$G:$G,ROW()-8))</f>
      </c>
      <c r="F2872">
        <f>IF(INDEX(Transactions!$J:$J,ROW()-8)="",0,INDEX(Transactions!$O:$O,ROW()-8))</f>
      </c>
    </row>
    <row r="2873" spans="1:7">
      <c r="B2873">
        <f>IF(INDEX(Transactions!$J:$J,ROW()-8)="",TODAY(),INDEX(Transactions!$G:$G,ROW()-8))</f>
      </c>
      <c r="F2873">
        <f>IF(INDEX(Transactions!$J:$J,ROW()-8)="",0,INDEX(Transactions!$O:$O,ROW()-8))</f>
      </c>
    </row>
    <row r="2874" spans="1:7">
      <c r="B2874">
        <f>IF(INDEX(Transactions!$J:$J,ROW()-8)="",TODAY(),INDEX(Transactions!$G:$G,ROW()-8))</f>
      </c>
      <c r="F2874">
        <f>IF(INDEX(Transactions!$J:$J,ROW()-8)="",0,INDEX(Transactions!$O:$O,ROW()-8))</f>
      </c>
    </row>
    <row r="2875" spans="1:7">
      <c r="B2875">
        <f>IF(INDEX(Transactions!$J:$J,ROW()-8)="",TODAY(),INDEX(Transactions!$G:$G,ROW()-8))</f>
      </c>
      <c r="F2875">
        <f>IF(INDEX(Transactions!$J:$J,ROW()-8)="",0,INDEX(Transactions!$O:$O,ROW()-8))</f>
      </c>
    </row>
    <row r="2876" spans="1:7">
      <c r="B2876">
        <f>IF(INDEX(Transactions!$J:$J,ROW()-8)="",TODAY(),INDEX(Transactions!$G:$G,ROW()-8))</f>
      </c>
      <c r="F2876">
        <f>IF(INDEX(Transactions!$J:$J,ROW()-8)="",0,INDEX(Transactions!$O:$O,ROW()-8))</f>
      </c>
    </row>
    <row r="2877" spans="1:7">
      <c r="B2877">
        <f>IF(INDEX(Transactions!$J:$J,ROW()-8)="",TODAY(),INDEX(Transactions!$G:$G,ROW()-8))</f>
      </c>
      <c r="F2877">
        <f>IF(INDEX(Transactions!$J:$J,ROW()-8)="",0,INDEX(Transactions!$O:$O,ROW()-8))</f>
      </c>
    </row>
    <row r="2878" spans="1:7">
      <c r="B2878">
        <f>IF(INDEX(Transactions!$J:$J,ROW()-8)="",TODAY(),INDEX(Transactions!$G:$G,ROW()-8))</f>
      </c>
      <c r="F2878">
        <f>IF(INDEX(Transactions!$J:$J,ROW()-8)="",0,INDEX(Transactions!$O:$O,ROW()-8))</f>
      </c>
    </row>
    <row r="2879" spans="1:7">
      <c r="B2879">
        <f>IF(INDEX(Transactions!$J:$J,ROW()-8)="",TODAY(),INDEX(Transactions!$G:$G,ROW()-8))</f>
      </c>
      <c r="F2879">
        <f>IF(INDEX(Transactions!$J:$J,ROW()-8)="",0,INDEX(Transactions!$O:$O,ROW()-8))</f>
      </c>
    </row>
    <row r="2880" spans="1:7">
      <c r="B2880">
        <f>IF(INDEX(Transactions!$J:$J,ROW()-8)="",TODAY(),INDEX(Transactions!$G:$G,ROW()-8))</f>
      </c>
      <c r="F2880">
        <f>IF(INDEX(Transactions!$J:$J,ROW()-8)="",0,INDEX(Transactions!$O:$O,ROW()-8))</f>
      </c>
    </row>
    <row r="2881" spans="1:7">
      <c r="B2881">
        <f>IF(INDEX(Transactions!$J:$J,ROW()-8)="",TODAY(),INDEX(Transactions!$G:$G,ROW()-8))</f>
      </c>
      <c r="F2881">
        <f>IF(INDEX(Transactions!$J:$J,ROW()-8)="",0,INDEX(Transactions!$O:$O,ROW()-8))</f>
      </c>
    </row>
    <row r="2882" spans="1:7">
      <c r="B2882">
        <f>IF(INDEX(Transactions!$J:$J,ROW()-8)="",TODAY(),INDEX(Transactions!$G:$G,ROW()-8))</f>
      </c>
      <c r="F2882">
        <f>IF(INDEX(Transactions!$J:$J,ROW()-8)="",0,INDEX(Transactions!$O:$O,ROW()-8))</f>
      </c>
    </row>
    <row r="2883" spans="1:7">
      <c r="B2883">
        <f>IF(INDEX(Transactions!$J:$J,ROW()-8)="",TODAY(),INDEX(Transactions!$G:$G,ROW()-8))</f>
      </c>
      <c r="F2883">
        <f>IF(INDEX(Transactions!$J:$J,ROW()-8)="",0,INDEX(Transactions!$O:$O,ROW()-8))</f>
      </c>
    </row>
    <row r="2884" spans="1:7">
      <c r="B2884">
        <f>IF(INDEX(Transactions!$J:$J,ROW()-8)="",TODAY(),INDEX(Transactions!$G:$G,ROW()-8))</f>
      </c>
      <c r="F2884">
        <f>IF(INDEX(Transactions!$J:$J,ROW()-8)="",0,INDEX(Transactions!$O:$O,ROW()-8))</f>
      </c>
    </row>
    <row r="2885" spans="1:7">
      <c r="B2885">
        <f>IF(INDEX(Transactions!$J:$J,ROW()-8)="",TODAY(),INDEX(Transactions!$G:$G,ROW()-8))</f>
      </c>
      <c r="F2885">
        <f>IF(INDEX(Transactions!$J:$J,ROW()-8)="",0,INDEX(Transactions!$O:$O,ROW()-8))</f>
      </c>
    </row>
    <row r="2886" spans="1:7">
      <c r="B2886">
        <f>IF(INDEX(Transactions!$J:$J,ROW()-8)="",TODAY(),INDEX(Transactions!$G:$G,ROW()-8))</f>
      </c>
      <c r="F2886">
        <f>IF(INDEX(Transactions!$J:$J,ROW()-8)="",0,INDEX(Transactions!$O:$O,ROW()-8))</f>
      </c>
    </row>
    <row r="2887" spans="1:7">
      <c r="B2887">
        <f>IF(INDEX(Transactions!$J:$J,ROW()-8)="",TODAY(),INDEX(Transactions!$G:$G,ROW()-8))</f>
      </c>
      <c r="F2887">
        <f>IF(INDEX(Transactions!$J:$J,ROW()-8)="",0,INDEX(Transactions!$O:$O,ROW()-8))</f>
      </c>
    </row>
    <row r="2888" spans="1:7">
      <c r="B2888">
        <f>IF(INDEX(Transactions!$J:$J,ROW()-8)="",TODAY(),INDEX(Transactions!$G:$G,ROW()-8))</f>
      </c>
      <c r="F2888">
        <f>IF(INDEX(Transactions!$J:$J,ROW()-8)="",0,INDEX(Transactions!$O:$O,ROW()-8))</f>
      </c>
    </row>
    <row r="2889" spans="1:7">
      <c r="B2889">
        <f>IF(INDEX(Transactions!$J:$J,ROW()-8)="",TODAY(),INDEX(Transactions!$G:$G,ROW()-8))</f>
      </c>
      <c r="F2889">
        <f>IF(INDEX(Transactions!$J:$J,ROW()-8)="",0,INDEX(Transactions!$O:$O,ROW()-8))</f>
      </c>
    </row>
    <row r="2890" spans="1:7">
      <c r="B2890">
        <f>IF(INDEX(Transactions!$J:$J,ROW()-8)="",TODAY(),INDEX(Transactions!$G:$G,ROW()-8))</f>
      </c>
      <c r="F2890">
        <f>IF(INDEX(Transactions!$J:$J,ROW()-8)="",0,INDEX(Transactions!$O:$O,ROW()-8))</f>
      </c>
    </row>
    <row r="2891" spans="1:7">
      <c r="B2891">
        <f>IF(INDEX(Transactions!$J:$J,ROW()-8)="",TODAY(),INDEX(Transactions!$G:$G,ROW()-8))</f>
      </c>
      <c r="F2891">
        <f>IF(INDEX(Transactions!$J:$J,ROW()-8)="",0,INDEX(Transactions!$O:$O,ROW()-8))</f>
      </c>
    </row>
    <row r="2892" spans="1:7">
      <c r="B2892">
        <f>IF(INDEX(Transactions!$J:$J,ROW()-8)="",TODAY(),INDEX(Transactions!$G:$G,ROW()-8))</f>
      </c>
      <c r="F2892">
        <f>IF(INDEX(Transactions!$J:$J,ROW()-8)="",0,INDEX(Transactions!$O:$O,ROW()-8))</f>
      </c>
    </row>
    <row r="2893" spans="1:7">
      <c r="B2893">
        <f>IF(INDEX(Transactions!$J:$J,ROW()-8)="",TODAY(),INDEX(Transactions!$G:$G,ROW()-8))</f>
      </c>
      <c r="F2893">
        <f>IF(INDEX(Transactions!$J:$J,ROW()-8)="",0,INDEX(Transactions!$O:$O,ROW()-8))</f>
      </c>
    </row>
    <row r="2894" spans="1:7">
      <c r="B2894">
        <f>IF(INDEX(Transactions!$J:$J,ROW()-8)="",TODAY(),INDEX(Transactions!$G:$G,ROW()-8))</f>
      </c>
      <c r="F2894">
        <f>IF(INDEX(Transactions!$J:$J,ROW()-8)="",0,INDEX(Transactions!$O:$O,ROW()-8))</f>
      </c>
    </row>
    <row r="2895" spans="1:7">
      <c r="B2895">
        <f>IF(INDEX(Transactions!$J:$J,ROW()-8)="",TODAY(),INDEX(Transactions!$G:$G,ROW()-8))</f>
      </c>
      <c r="F2895">
        <f>IF(INDEX(Transactions!$J:$J,ROW()-8)="",0,INDEX(Transactions!$O:$O,ROW()-8))</f>
      </c>
    </row>
    <row r="2896" spans="1:7">
      <c r="B2896">
        <f>IF(INDEX(Transactions!$J:$J,ROW()-8)="",TODAY(),INDEX(Transactions!$G:$G,ROW()-8))</f>
      </c>
      <c r="F2896">
        <f>IF(INDEX(Transactions!$J:$J,ROW()-8)="",0,INDEX(Transactions!$O:$O,ROW()-8))</f>
      </c>
    </row>
    <row r="2897" spans="1:7">
      <c r="B2897">
        <f>IF(INDEX(Transactions!$J:$J,ROW()-8)="",TODAY(),INDEX(Transactions!$G:$G,ROW()-8))</f>
      </c>
      <c r="F2897">
        <f>IF(INDEX(Transactions!$J:$J,ROW()-8)="",0,INDEX(Transactions!$O:$O,ROW()-8))</f>
      </c>
    </row>
    <row r="2898" spans="1:7">
      <c r="B2898">
        <f>IF(INDEX(Transactions!$J:$J,ROW()-8)="",TODAY(),INDEX(Transactions!$G:$G,ROW()-8))</f>
      </c>
      <c r="F2898">
        <f>IF(INDEX(Transactions!$J:$J,ROW()-8)="",0,INDEX(Transactions!$O:$O,ROW()-8))</f>
      </c>
    </row>
    <row r="2899" spans="1:7">
      <c r="B2899">
        <f>IF(INDEX(Transactions!$J:$J,ROW()-8)="",TODAY(),INDEX(Transactions!$G:$G,ROW()-8))</f>
      </c>
      <c r="F2899">
        <f>IF(INDEX(Transactions!$J:$J,ROW()-8)="",0,INDEX(Transactions!$O:$O,ROW()-8))</f>
      </c>
    </row>
    <row r="2900" spans="1:7">
      <c r="B2900">
        <f>IF(INDEX(Transactions!$J:$J,ROW()-8)="",TODAY(),INDEX(Transactions!$G:$G,ROW()-8))</f>
      </c>
      <c r="F2900">
        <f>IF(INDEX(Transactions!$J:$J,ROW()-8)="",0,INDEX(Transactions!$O:$O,ROW()-8))</f>
      </c>
    </row>
    <row r="2901" spans="1:7">
      <c r="B2901">
        <f>IF(INDEX(Transactions!$J:$J,ROW()-8)="",TODAY(),INDEX(Transactions!$G:$G,ROW()-8))</f>
      </c>
      <c r="F2901">
        <f>IF(INDEX(Transactions!$J:$J,ROW()-8)="",0,INDEX(Transactions!$O:$O,ROW()-8))</f>
      </c>
    </row>
    <row r="2902" spans="1:7">
      <c r="B2902">
        <f>IF(INDEX(Transactions!$J:$J,ROW()-8)="",TODAY(),INDEX(Transactions!$G:$G,ROW()-8))</f>
      </c>
      <c r="F2902">
        <f>IF(INDEX(Transactions!$J:$J,ROW()-8)="",0,INDEX(Transactions!$O:$O,ROW()-8))</f>
      </c>
    </row>
    <row r="2903" spans="1:7">
      <c r="B2903">
        <f>IF(INDEX(Transactions!$J:$J,ROW()-8)="",TODAY(),INDEX(Transactions!$G:$G,ROW()-8))</f>
      </c>
      <c r="F2903">
        <f>IF(INDEX(Transactions!$J:$J,ROW()-8)="",0,INDEX(Transactions!$O:$O,ROW()-8))</f>
      </c>
    </row>
    <row r="2904" spans="1:7">
      <c r="B2904">
        <f>IF(INDEX(Transactions!$J:$J,ROW()-8)="",TODAY(),INDEX(Transactions!$G:$G,ROW()-8))</f>
      </c>
      <c r="F2904">
        <f>IF(INDEX(Transactions!$J:$J,ROW()-8)="",0,INDEX(Transactions!$O:$O,ROW()-8))</f>
      </c>
    </row>
    <row r="2905" spans="1:7">
      <c r="B2905">
        <f>IF(INDEX(Transactions!$J:$J,ROW()-8)="",TODAY(),INDEX(Transactions!$G:$G,ROW()-8))</f>
      </c>
      <c r="F2905">
        <f>IF(INDEX(Transactions!$J:$J,ROW()-8)="",0,INDEX(Transactions!$O:$O,ROW()-8))</f>
      </c>
    </row>
    <row r="2906" spans="1:7">
      <c r="B2906">
        <f>IF(INDEX(Transactions!$J:$J,ROW()-8)="",TODAY(),INDEX(Transactions!$G:$G,ROW()-8))</f>
      </c>
      <c r="F2906">
        <f>IF(INDEX(Transactions!$J:$J,ROW()-8)="",0,INDEX(Transactions!$O:$O,ROW()-8))</f>
      </c>
    </row>
    <row r="2907" spans="1:7">
      <c r="B2907">
        <f>IF(INDEX(Transactions!$J:$J,ROW()-8)="",TODAY(),INDEX(Transactions!$G:$G,ROW()-8))</f>
      </c>
      <c r="F2907">
        <f>IF(INDEX(Transactions!$J:$J,ROW()-8)="",0,INDEX(Transactions!$O:$O,ROW()-8))</f>
      </c>
    </row>
    <row r="2908" spans="1:7">
      <c r="B2908">
        <f>IF(INDEX(Transactions!$J:$J,ROW()-8)="",TODAY(),INDEX(Transactions!$G:$G,ROW()-8))</f>
      </c>
      <c r="F2908">
        <f>IF(INDEX(Transactions!$J:$J,ROW()-8)="",0,INDEX(Transactions!$O:$O,ROW()-8))</f>
      </c>
    </row>
    <row r="2909" spans="1:7">
      <c r="B2909">
        <f>IF(INDEX(Transactions!$J:$J,ROW()-8)="",TODAY(),INDEX(Transactions!$G:$G,ROW()-8))</f>
      </c>
      <c r="F2909">
        <f>IF(INDEX(Transactions!$J:$J,ROW()-8)="",0,INDEX(Transactions!$O:$O,ROW()-8))</f>
      </c>
    </row>
    <row r="2910" spans="1:7">
      <c r="B2910">
        <f>IF(INDEX(Transactions!$J:$J,ROW()-8)="",TODAY(),INDEX(Transactions!$G:$G,ROW()-8))</f>
      </c>
      <c r="F2910">
        <f>IF(INDEX(Transactions!$J:$J,ROW()-8)="",0,INDEX(Transactions!$O:$O,ROW()-8))</f>
      </c>
    </row>
    <row r="2911" spans="1:7">
      <c r="B2911">
        <f>IF(INDEX(Transactions!$J:$J,ROW()-8)="",TODAY(),INDEX(Transactions!$G:$G,ROW()-8))</f>
      </c>
      <c r="F2911">
        <f>IF(INDEX(Transactions!$J:$J,ROW()-8)="",0,INDEX(Transactions!$O:$O,ROW()-8))</f>
      </c>
    </row>
    <row r="2912" spans="1:7">
      <c r="B2912">
        <f>IF(INDEX(Transactions!$J:$J,ROW()-8)="",TODAY(),INDEX(Transactions!$G:$G,ROW()-8))</f>
      </c>
      <c r="F2912">
        <f>IF(INDEX(Transactions!$J:$J,ROW()-8)="",0,INDEX(Transactions!$O:$O,ROW()-8))</f>
      </c>
    </row>
    <row r="2913" spans="1:7">
      <c r="B2913">
        <f>IF(INDEX(Transactions!$J:$J,ROW()-8)="",TODAY(),INDEX(Transactions!$G:$G,ROW()-8))</f>
      </c>
      <c r="F2913">
        <f>IF(INDEX(Transactions!$J:$J,ROW()-8)="",0,INDEX(Transactions!$O:$O,ROW()-8))</f>
      </c>
    </row>
    <row r="2914" spans="1:7">
      <c r="B2914">
        <f>IF(INDEX(Transactions!$J:$J,ROW()-8)="",TODAY(),INDEX(Transactions!$G:$G,ROW()-8))</f>
      </c>
      <c r="F2914">
        <f>IF(INDEX(Transactions!$J:$J,ROW()-8)="",0,INDEX(Transactions!$O:$O,ROW()-8))</f>
      </c>
    </row>
    <row r="2915" spans="1:7">
      <c r="B2915">
        <f>IF(INDEX(Transactions!$J:$J,ROW()-8)="",TODAY(),INDEX(Transactions!$G:$G,ROW()-8))</f>
      </c>
      <c r="F2915">
        <f>IF(INDEX(Transactions!$J:$J,ROW()-8)="",0,INDEX(Transactions!$O:$O,ROW()-8))</f>
      </c>
    </row>
    <row r="2916" spans="1:7">
      <c r="B2916">
        <f>IF(INDEX(Transactions!$J:$J,ROW()-8)="",TODAY(),INDEX(Transactions!$G:$G,ROW()-8))</f>
      </c>
      <c r="F2916">
        <f>IF(INDEX(Transactions!$J:$J,ROW()-8)="",0,INDEX(Transactions!$O:$O,ROW()-8))</f>
      </c>
    </row>
    <row r="2917" spans="1:7">
      <c r="B2917">
        <f>IF(INDEX(Transactions!$J:$J,ROW()-8)="",TODAY(),INDEX(Transactions!$G:$G,ROW()-8))</f>
      </c>
      <c r="F2917">
        <f>IF(INDEX(Transactions!$J:$J,ROW()-8)="",0,INDEX(Transactions!$O:$O,ROW()-8))</f>
      </c>
    </row>
    <row r="2918" spans="1:7">
      <c r="B2918">
        <f>IF(INDEX(Transactions!$J:$J,ROW()-8)="",TODAY(),INDEX(Transactions!$G:$G,ROW()-8))</f>
      </c>
      <c r="F2918">
        <f>IF(INDEX(Transactions!$J:$J,ROW()-8)="",0,INDEX(Transactions!$O:$O,ROW()-8))</f>
      </c>
    </row>
    <row r="2919" spans="1:7">
      <c r="B2919">
        <f>IF(INDEX(Transactions!$J:$J,ROW()-8)="",TODAY(),INDEX(Transactions!$G:$G,ROW()-8))</f>
      </c>
      <c r="F2919">
        <f>IF(INDEX(Transactions!$J:$J,ROW()-8)="",0,INDEX(Transactions!$O:$O,ROW()-8))</f>
      </c>
    </row>
    <row r="2920" spans="1:7">
      <c r="B2920">
        <f>IF(INDEX(Transactions!$J:$J,ROW()-8)="",TODAY(),INDEX(Transactions!$G:$G,ROW()-8))</f>
      </c>
      <c r="F2920">
        <f>IF(INDEX(Transactions!$J:$J,ROW()-8)="",0,INDEX(Transactions!$O:$O,ROW()-8))</f>
      </c>
    </row>
    <row r="2921" spans="1:7">
      <c r="B2921">
        <f>IF(INDEX(Transactions!$J:$J,ROW()-8)="",TODAY(),INDEX(Transactions!$G:$G,ROW()-8))</f>
      </c>
      <c r="F2921">
        <f>IF(INDEX(Transactions!$J:$J,ROW()-8)="",0,INDEX(Transactions!$O:$O,ROW()-8))</f>
      </c>
    </row>
    <row r="2922" spans="1:7">
      <c r="B2922">
        <f>IF(INDEX(Transactions!$J:$J,ROW()-8)="",TODAY(),INDEX(Transactions!$G:$G,ROW()-8))</f>
      </c>
      <c r="F2922">
        <f>IF(INDEX(Transactions!$J:$J,ROW()-8)="",0,INDEX(Transactions!$O:$O,ROW()-8))</f>
      </c>
    </row>
    <row r="2923" spans="1:7">
      <c r="B2923">
        <f>IF(INDEX(Transactions!$J:$J,ROW()-8)="",TODAY(),INDEX(Transactions!$G:$G,ROW()-8))</f>
      </c>
      <c r="F2923">
        <f>IF(INDEX(Transactions!$J:$J,ROW()-8)="",0,INDEX(Transactions!$O:$O,ROW()-8))</f>
      </c>
    </row>
    <row r="2924" spans="1:7">
      <c r="B2924">
        <f>IF(INDEX(Transactions!$J:$J,ROW()-8)="",TODAY(),INDEX(Transactions!$G:$G,ROW()-8))</f>
      </c>
      <c r="F2924">
        <f>IF(INDEX(Transactions!$J:$J,ROW()-8)="",0,INDEX(Transactions!$O:$O,ROW()-8))</f>
      </c>
    </row>
    <row r="2925" spans="1:7">
      <c r="B2925">
        <f>IF(INDEX(Transactions!$J:$J,ROW()-8)="",TODAY(),INDEX(Transactions!$G:$G,ROW()-8))</f>
      </c>
      <c r="F2925">
        <f>IF(INDEX(Transactions!$J:$J,ROW()-8)="",0,INDEX(Transactions!$O:$O,ROW()-8))</f>
      </c>
    </row>
    <row r="2926" spans="1:7">
      <c r="B2926">
        <f>IF(INDEX(Transactions!$J:$J,ROW()-8)="",TODAY(),INDEX(Transactions!$G:$G,ROW()-8))</f>
      </c>
      <c r="F2926">
        <f>IF(INDEX(Transactions!$J:$J,ROW()-8)="",0,INDEX(Transactions!$O:$O,ROW()-8))</f>
      </c>
    </row>
    <row r="2927" spans="1:7">
      <c r="B2927">
        <f>IF(INDEX(Transactions!$J:$J,ROW()-8)="",TODAY(),INDEX(Transactions!$G:$G,ROW()-8))</f>
      </c>
      <c r="F2927">
        <f>IF(INDEX(Transactions!$J:$J,ROW()-8)="",0,INDEX(Transactions!$O:$O,ROW()-8))</f>
      </c>
    </row>
    <row r="2928" spans="1:7">
      <c r="B2928">
        <f>IF(INDEX(Transactions!$J:$J,ROW()-8)="",TODAY(),INDEX(Transactions!$G:$G,ROW()-8))</f>
      </c>
      <c r="F2928">
        <f>IF(INDEX(Transactions!$J:$J,ROW()-8)="",0,INDEX(Transactions!$O:$O,ROW()-8))</f>
      </c>
    </row>
    <row r="2929" spans="1:7">
      <c r="B2929">
        <f>IF(INDEX(Transactions!$J:$J,ROW()-8)="",TODAY(),INDEX(Transactions!$G:$G,ROW()-8))</f>
      </c>
      <c r="F2929">
        <f>IF(INDEX(Transactions!$J:$J,ROW()-8)="",0,INDEX(Transactions!$O:$O,ROW()-8))</f>
      </c>
    </row>
    <row r="2930" spans="1:7">
      <c r="B2930">
        <f>IF(INDEX(Transactions!$J:$J,ROW()-8)="",TODAY(),INDEX(Transactions!$G:$G,ROW()-8))</f>
      </c>
      <c r="F2930">
        <f>IF(INDEX(Transactions!$J:$J,ROW()-8)="",0,INDEX(Transactions!$O:$O,ROW()-8))</f>
      </c>
    </row>
    <row r="2931" spans="1:7">
      <c r="B2931">
        <f>IF(INDEX(Transactions!$J:$J,ROW()-8)="",TODAY(),INDEX(Transactions!$G:$G,ROW()-8))</f>
      </c>
      <c r="F2931">
        <f>IF(INDEX(Transactions!$J:$J,ROW()-8)="",0,INDEX(Transactions!$O:$O,ROW()-8))</f>
      </c>
    </row>
    <row r="2932" spans="1:7">
      <c r="B2932">
        <f>IF(INDEX(Transactions!$J:$J,ROW()-8)="",TODAY(),INDEX(Transactions!$G:$G,ROW()-8))</f>
      </c>
      <c r="F2932">
        <f>IF(INDEX(Transactions!$J:$J,ROW()-8)="",0,INDEX(Transactions!$O:$O,ROW()-8))</f>
      </c>
    </row>
    <row r="2933" spans="1:7">
      <c r="B2933">
        <f>IF(INDEX(Transactions!$J:$J,ROW()-8)="",TODAY(),INDEX(Transactions!$G:$G,ROW()-8))</f>
      </c>
      <c r="F2933">
        <f>IF(INDEX(Transactions!$J:$J,ROW()-8)="",0,INDEX(Transactions!$O:$O,ROW()-8))</f>
      </c>
    </row>
    <row r="2934" spans="1:7">
      <c r="B2934">
        <f>IF(INDEX(Transactions!$J:$J,ROW()-8)="",TODAY(),INDEX(Transactions!$G:$G,ROW()-8))</f>
      </c>
      <c r="F2934">
        <f>IF(INDEX(Transactions!$J:$J,ROW()-8)="",0,INDEX(Transactions!$O:$O,ROW()-8))</f>
      </c>
    </row>
    <row r="2935" spans="1:7">
      <c r="B2935">
        <f>IF(INDEX(Transactions!$J:$J,ROW()-8)="",TODAY(),INDEX(Transactions!$G:$G,ROW()-8))</f>
      </c>
      <c r="F2935">
        <f>IF(INDEX(Transactions!$J:$J,ROW()-8)="",0,INDEX(Transactions!$O:$O,ROW()-8))</f>
      </c>
    </row>
    <row r="2936" spans="1:7">
      <c r="B2936">
        <f>IF(INDEX(Transactions!$J:$J,ROW()-8)="",TODAY(),INDEX(Transactions!$G:$G,ROW()-8))</f>
      </c>
      <c r="F2936">
        <f>IF(INDEX(Transactions!$J:$J,ROW()-8)="",0,INDEX(Transactions!$O:$O,ROW()-8))</f>
      </c>
    </row>
    <row r="2937" spans="1:7">
      <c r="B2937">
        <f>IF(INDEX(Transactions!$J:$J,ROW()-8)="",TODAY(),INDEX(Transactions!$G:$G,ROW()-8))</f>
      </c>
      <c r="F2937">
        <f>IF(INDEX(Transactions!$J:$J,ROW()-8)="",0,INDEX(Transactions!$O:$O,ROW()-8))</f>
      </c>
    </row>
    <row r="2938" spans="1:7">
      <c r="B2938">
        <f>IF(INDEX(Transactions!$J:$J,ROW()-8)="",TODAY(),INDEX(Transactions!$G:$G,ROW()-8))</f>
      </c>
      <c r="F2938">
        <f>IF(INDEX(Transactions!$J:$J,ROW()-8)="",0,INDEX(Transactions!$O:$O,ROW()-8))</f>
      </c>
    </row>
    <row r="2939" spans="1:7">
      <c r="B2939">
        <f>IF(INDEX(Transactions!$J:$J,ROW()-8)="",TODAY(),INDEX(Transactions!$G:$G,ROW()-8))</f>
      </c>
      <c r="F2939">
        <f>IF(INDEX(Transactions!$J:$J,ROW()-8)="",0,INDEX(Transactions!$O:$O,ROW()-8))</f>
      </c>
    </row>
    <row r="2940" spans="1:7">
      <c r="B2940">
        <f>IF(INDEX(Transactions!$J:$J,ROW()-8)="",TODAY(),INDEX(Transactions!$G:$G,ROW()-8))</f>
      </c>
      <c r="F2940">
        <f>IF(INDEX(Transactions!$J:$J,ROW()-8)="",0,INDEX(Transactions!$O:$O,ROW()-8))</f>
      </c>
    </row>
    <row r="2941" spans="1:7">
      <c r="B2941">
        <f>IF(INDEX(Transactions!$J:$J,ROW()-8)="",TODAY(),INDEX(Transactions!$G:$G,ROW()-8))</f>
      </c>
      <c r="F2941">
        <f>IF(INDEX(Transactions!$J:$J,ROW()-8)="",0,INDEX(Transactions!$O:$O,ROW()-8))</f>
      </c>
    </row>
    <row r="2942" spans="1:7">
      <c r="B2942">
        <f>IF(INDEX(Transactions!$J:$J,ROW()-8)="",TODAY(),INDEX(Transactions!$G:$G,ROW()-8))</f>
      </c>
      <c r="F2942">
        <f>IF(INDEX(Transactions!$J:$J,ROW()-8)="",0,INDEX(Transactions!$O:$O,ROW()-8))</f>
      </c>
    </row>
    <row r="2943" spans="1:7">
      <c r="B2943">
        <f>IF(INDEX(Transactions!$J:$J,ROW()-8)="",TODAY(),INDEX(Transactions!$G:$G,ROW()-8))</f>
      </c>
      <c r="F2943">
        <f>IF(INDEX(Transactions!$J:$J,ROW()-8)="",0,INDEX(Transactions!$O:$O,ROW()-8))</f>
      </c>
    </row>
    <row r="2944" spans="1:7">
      <c r="B2944">
        <f>IF(INDEX(Transactions!$J:$J,ROW()-8)="",TODAY(),INDEX(Transactions!$G:$G,ROW()-8))</f>
      </c>
      <c r="F2944">
        <f>IF(INDEX(Transactions!$J:$J,ROW()-8)="",0,INDEX(Transactions!$O:$O,ROW()-8))</f>
      </c>
    </row>
    <row r="2945" spans="1:7">
      <c r="B2945">
        <f>IF(INDEX(Transactions!$J:$J,ROW()-8)="",TODAY(),INDEX(Transactions!$G:$G,ROW()-8))</f>
      </c>
      <c r="F2945">
        <f>IF(INDEX(Transactions!$J:$J,ROW()-8)="",0,INDEX(Transactions!$O:$O,ROW()-8))</f>
      </c>
    </row>
    <row r="2946" spans="1:7">
      <c r="B2946">
        <f>IF(INDEX(Transactions!$J:$J,ROW()-8)="",TODAY(),INDEX(Transactions!$G:$G,ROW()-8))</f>
      </c>
      <c r="F2946">
        <f>IF(INDEX(Transactions!$J:$J,ROW()-8)="",0,INDEX(Transactions!$O:$O,ROW()-8))</f>
      </c>
    </row>
    <row r="2947" spans="1:7">
      <c r="B2947">
        <f>IF(INDEX(Transactions!$J:$J,ROW()-8)="",TODAY(),INDEX(Transactions!$G:$G,ROW()-8))</f>
      </c>
      <c r="F2947">
        <f>IF(INDEX(Transactions!$J:$J,ROW()-8)="",0,INDEX(Transactions!$O:$O,ROW()-8))</f>
      </c>
    </row>
    <row r="2948" spans="1:7">
      <c r="B2948">
        <f>IF(INDEX(Transactions!$J:$J,ROW()-8)="",TODAY(),INDEX(Transactions!$G:$G,ROW()-8))</f>
      </c>
      <c r="F2948">
        <f>IF(INDEX(Transactions!$J:$J,ROW()-8)="",0,INDEX(Transactions!$O:$O,ROW()-8))</f>
      </c>
    </row>
    <row r="2949" spans="1:7">
      <c r="B2949">
        <f>IF(INDEX(Transactions!$J:$J,ROW()-8)="",TODAY(),INDEX(Transactions!$G:$G,ROW()-8))</f>
      </c>
      <c r="F2949">
        <f>IF(INDEX(Transactions!$J:$J,ROW()-8)="",0,INDEX(Transactions!$O:$O,ROW()-8))</f>
      </c>
    </row>
    <row r="2950" spans="1:7">
      <c r="B2950">
        <f>IF(INDEX(Transactions!$J:$J,ROW()-8)="",TODAY(),INDEX(Transactions!$G:$G,ROW()-8))</f>
      </c>
      <c r="F2950">
        <f>IF(INDEX(Transactions!$J:$J,ROW()-8)="",0,INDEX(Transactions!$O:$O,ROW()-8))</f>
      </c>
    </row>
    <row r="2951" spans="1:7">
      <c r="B2951">
        <f>IF(INDEX(Transactions!$J:$J,ROW()-8)="",TODAY(),INDEX(Transactions!$G:$G,ROW()-8))</f>
      </c>
      <c r="F2951">
        <f>IF(INDEX(Transactions!$J:$J,ROW()-8)="",0,INDEX(Transactions!$O:$O,ROW()-8))</f>
      </c>
    </row>
    <row r="2952" spans="1:7">
      <c r="B2952">
        <f>IF(INDEX(Transactions!$J:$J,ROW()-8)="",TODAY(),INDEX(Transactions!$G:$G,ROW()-8))</f>
      </c>
      <c r="F2952">
        <f>IF(INDEX(Transactions!$J:$J,ROW()-8)="",0,INDEX(Transactions!$O:$O,ROW()-8))</f>
      </c>
    </row>
    <row r="2953" spans="1:7">
      <c r="B2953">
        <f>IF(INDEX(Transactions!$J:$J,ROW()-8)="",TODAY(),INDEX(Transactions!$G:$G,ROW()-8))</f>
      </c>
      <c r="F2953">
        <f>IF(INDEX(Transactions!$J:$J,ROW()-8)="",0,INDEX(Transactions!$O:$O,ROW()-8))</f>
      </c>
    </row>
    <row r="2954" spans="1:7">
      <c r="B2954">
        <f>IF(INDEX(Transactions!$J:$J,ROW()-8)="",TODAY(),INDEX(Transactions!$G:$G,ROW()-8))</f>
      </c>
      <c r="F2954">
        <f>IF(INDEX(Transactions!$J:$J,ROW()-8)="",0,INDEX(Transactions!$O:$O,ROW()-8))</f>
      </c>
    </row>
    <row r="2955" spans="1:7">
      <c r="B2955">
        <f>IF(INDEX(Transactions!$J:$J,ROW()-8)="",TODAY(),INDEX(Transactions!$G:$G,ROW()-8))</f>
      </c>
      <c r="F2955">
        <f>IF(INDEX(Transactions!$J:$J,ROW()-8)="",0,INDEX(Transactions!$O:$O,ROW()-8))</f>
      </c>
    </row>
    <row r="2956" spans="1:7">
      <c r="B2956">
        <f>IF(INDEX(Transactions!$J:$J,ROW()-8)="",TODAY(),INDEX(Transactions!$G:$G,ROW()-8))</f>
      </c>
      <c r="F2956">
        <f>IF(INDEX(Transactions!$J:$J,ROW()-8)="",0,INDEX(Transactions!$O:$O,ROW()-8))</f>
      </c>
    </row>
    <row r="2957" spans="1:7">
      <c r="B2957">
        <f>IF(INDEX(Transactions!$J:$J,ROW()-8)="",TODAY(),INDEX(Transactions!$G:$G,ROW()-8))</f>
      </c>
      <c r="F2957">
        <f>IF(INDEX(Transactions!$J:$J,ROW()-8)="",0,INDEX(Transactions!$O:$O,ROW()-8))</f>
      </c>
    </row>
    <row r="2958" spans="1:7">
      <c r="B2958">
        <f>IF(INDEX(Transactions!$J:$J,ROW()-8)="",TODAY(),INDEX(Transactions!$G:$G,ROW()-8))</f>
      </c>
      <c r="F2958">
        <f>IF(INDEX(Transactions!$J:$J,ROW()-8)="",0,INDEX(Transactions!$O:$O,ROW()-8))</f>
      </c>
    </row>
    <row r="2959" spans="1:7">
      <c r="B2959">
        <f>IF(INDEX(Transactions!$J:$J,ROW()-8)="",TODAY(),INDEX(Transactions!$G:$G,ROW()-8))</f>
      </c>
      <c r="F2959">
        <f>IF(INDEX(Transactions!$J:$J,ROW()-8)="",0,INDEX(Transactions!$O:$O,ROW()-8))</f>
      </c>
    </row>
    <row r="2960" spans="1:7">
      <c r="B2960">
        <f>IF(INDEX(Transactions!$J:$J,ROW()-8)="",TODAY(),INDEX(Transactions!$G:$G,ROW()-8))</f>
      </c>
      <c r="F2960">
        <f>IF(INDEX(Transactions!$J:$J,ROW()-8)="",0,INDEX(Transactions!$O:$O,ROW()-8))</f>
      </c>
    </row>
    <row r="2961" spans="1:7">
      <c r="B2961">
        <f>IF(INDEX(Transactions!$J:$J,ROW()-8)="",TODAY(),INDEX(Transactions!$G:$G,ROW()-8))</f>
      </c>
      <c r="F2961">
        <f>IF(INDEX(Transactions!$J:$J,ROW()-8)="",0,INDEX(Transactions!$O:$O,ROW()-8))</f>
      </c>
    </row>
    <row r="2962" spans="1:7">
      <c r="B2962">
        <f>IF(INDEX(Transactions!$J:$J,ROW()-8)="",TODAY(),INDEX(Transactions!$G:$G,ROW()-8))</f>
      </c>
      <c r="F2962">
        <f>IF(INDEX(Transactions!$J:$J,ROW()-8)="",0,INDEX(Transactions!$O:$O,ROW()-8))</f>
      </c>
    </row>
    <row r="2963" spans="1:7">
      <c r="B2963">
        <f>IF(INDEX(Transactions!$J:$J,ROW()-8)="",TODAY(),INDEX(Transactions!$G:$G,ROW()-8))</f>
      </c>
      <c r="F2963">
        <f>IF(INDEX(Transactions!$J:$J,ROW()-8)="",0,INDEX(Transactions!$O:$O,ROW()-8))</f>
      </c>
    </row>
    <row r="2964" spans="1:7">
      <c r="B2964">
        <f>IF(INDEX(Transactions!$J:$J,ROW()-8)="",TODAY(),INDEX(Transactions!$G:$G,ROW()-8))</f>
      </c>
      <c r="F2964">
        <f>IF(INDEX(Transactions!$J:$J,ROW()-8)="",0,INDEX(Transactions!$O:$O,ROW()-8))</f>
      </c>
    </row>
    <row r="2965" spans="1:7">
      <c r="B2965">
        <f>IF(INDEX(Transactions!$J:$J,ROW()-8)="",TODAY(),INDEX(Transactions!$G:$G,ROW()-8))</f>
      </c>
      <c r="F2965">
        <f>IF(INDEX(Transactions!$J:$J,ROW()-8)="",0,INDEX(Transactions!$O:$O,ROW()-8))</f>
      </c>
    </row>
    <row r="2966" spans="1:7">
      <c r="B2966">
        <f>IF(INDEX(Transactions!$J:$J,ROW()-8)="",TODAY(),INDEX(Transactions!$G:$G,ROW()-8))</f>
      </c>
      <c r="F2966">
        <f>IF(INDEX(Transactions!$J:$J,ROW()-8)="",0,INDEX(Transactions!$O:$O,ROW()-8))</f>
      </c>
    </row>
    <row r="2967" spans="1:7">
      <c r="B2967">
        <f>IF(INDEX(Transactions!$J:$J,ROW()-8)="",TODAY(),INDEX(Transactions!$G:$G,ROW()-8))</f>
      </c>
      <c r="F2967">
        <f>IF(INDEX(Transactions!$J:$J,ROW()-8)="",0,INDEX(Transactions!$O:$O,ROW()-8))</f>
      </c>
    </row>
    <row r="2968" spans="1:7">
      <c r="B2968">
        <f>IF(INDEX(Transactions!$J:$J,ROW()-8)="",TODAY(),INDEX(Transactions!$G:$G,ROW()-8))</f>
      </c>
      <c r="F2968">
        <f>IF(INDEX(Transactions!$J:$J,ROW()-8)="",0,INDEX(Transactions!$O:$O,ROW()-8))</f>
      </c>
    </row>
    <row r="2969" spans="1:7">
      <c r="B2969">
        <f>IF(INDEX(Transactions!$J:$J,ROW()-8)="",TODAY(),INDEX(Transactions!$G:$G,ROW()-8))</f>
      </c>
      <c r="F2969">
        <f>IF(INDEX(Transactions!$J:$J,ROW()-8)="",0,INDEX(Transactions!$O:$O,ROW()-8))</f>
      </c>
    </row>
    <row r="2970" spans="1:7">
      <c r="B2970">
        <f>IF(INDEX(Transactions!$J:$J,ROW()-8)="",TODAY(),INDEX(Transactions!$G:$G,ROW()-8))</f>
      </c>
      <c r="F2970">
        <f>IF(INDEX(Transactions!$J:$J,ROW()-8)="",0,INDEX(Transactions!$O:$O,ROW()-8))</f>
      </c>
    </row>
    <row r="2971" spans="1:7">
      <c r="B2971">
        <f>IF(INDEX(Transactions!$J:$J,ROW()-8)="",TODAY(),INDEX(Transactions!$G:$G,ROW()-8))</f>
      </c>
      <c r="F2971">
        <f>IF(INDEX(Transactions!$J:$J,ROW()-8)="",0,INDEX(Transactions!$O:$O,ROW()-8))</f>
      </c>
    </row>
    <row r="2972" spans="1:7">
      <c r="B2972">
        <f>IF(INDEX(Transactions!$J:$J,ROW()-8)="",TODAY(),INDEX(Transactions!$G:$G,ROW()-8))</f>
      </c>
      <c r="F2972">
        <f>IF(INDEX(Transactions!$J:$J,ROW()-8)="",0,INDEX(Transactions!$O:$O,ROW()-8))</f>
      </c>
    </row>
    <row r="2973" spans="1:7">
      <c r="B2973">
        <f>IF(INDEX(Transactions!$J:$J,ROW()-8)="",TODAY(),INDEX(Transactions!$G:$G,ROW()-8))</f>
      </c>
      <c r="F2973">
        <f>IF(INDEX(Transactions!$J:$J,ROW()-8)="",0,INDEX(Transactions!$O:$O,ROW()-8))</f>
      </c>
    </row>
    <row r="2974" spans="1:7">
      <c r="B2974">
        <f>IF(INDEX(Transactions!$J:$J,ROW()-8)="",TODAY(),INDEX(Transactions!$G:$G,ROW()-8))</f>
      </c>
      <c r="F2974">
        <f>IF(INDEX(Transactions!$J:$J,ROW()-8)="",0,INDEX(Transactions!$O:$O,ROW()-8))</f>
      </c>
    </row>
    <row r="2975" spans="1:7">
      <c r="B2975">
        <f>IF(INDEX(Transactions!$J:$J,ROW()-8)="",TODAY(),INDEX(Transactions!$G:$G,ROW()-8))</f>
      </c>
      <c r="F2975">
        <f>IF(INDEX(Transactions!$J:$J,ROW()-8)="",0,INDEX(Transactions!$O:$O,ROW()-8))</f>
      </c>
    </row>
    <row r="2976" spans="1:7">
      <c r="B2976">
        <f>IF(INDEX(Transactions!$J:$J,ROW()-8)="",TODAY(),INDEX(Transactions!$G:$G,ROW()-8))</f>
      </c>
      <c r="F2976">
        <f>IF(INDEX(Transactions!$J:$J,ROW()-8)="",0,INDEX(Transactions!$O:$O,ROW()-8))</f>
      </c>
    </row>
    <row r="2977" spans="1:7">
      <c r="B2977">
        <f>IF(INDEX(Transactions!$J:$J,ROW()-8)="",TODAY(),INDEX(Transactions!$G:$G,ROW()-8))</f>
      </c>
      <c r="F2977">
        <f>IF(INDEX(Transactions!$J:$J,ROW()-8)="",0,INDEX(Transactions!$O:$O,ROW()-8))</f>
      </c>
    </row>
    <row r="2978" spans="1:7">
      <c r="B2978">
        <f>IF(INDEX(Transactions!$J:$J,ROW()-8)="",TODAY(),INDEX(Transactions!$G:$G,ROW()-8))</f>
      </c>
      <c r="F2978">
        <f>IF(INDEX(Transactions!$J:$J,ROW()-8)="",0,INDEX(Transactions!$O:$O,ROW()-8))</f>
      </c>
    </row>
    <row r="2979" spans="1:7">
      <c r="B2979">
        <f>IF(INDEX(Transactions!$J:$J,ROW()-8)="",TODAY(),INDEX(Transactions!$G:$G,ROW()-8))</f>
      </c>
      <c r="F2979">
        <f>IF(INDEX(Transactions!$J:$J,ROW()-8)="",0,INDEX(Transactions!$O:$O,ROW()-8))</f>
      </c>
    </row>
    <row r="2980" spans="1:7">
      <c r="B2980">
        <f>IF(INDEX(Transactions!$J:$J,ROW()-8)="",TODAY(),INDEX(Transactions!$G:$G,ROW()-8))</f>
      </c>
      <c r="F2980">
        <f>IF(INDEX(Transactions!$J:$J,ROW()-8)="",0,INDEX(Transactions!$O:$O,ROW()-8))</f>
      </c>
    </row>
    <row r="2981" spans="1:7">
      <c r="B2981">
        <f>IF(INDEX(Transactions!$J:$J,ROW()-8)="",TODAY(),INDEX(Transactions!$G:$G,ROW()-8))</f>
      </c>
      <c r="F2981">
        <f>IF(INDEX(Transactions!$J:$J,ROW()-8)="",0,INDEX(Transactions!$O:$O,ROW()-8))</f>
      </c>
    </row>
    <row r="2982" spans="1:7">
      <c r="B2982">
        <f>IF(INDEX(Transactions!$J:$J,ROW()-8)="",TODAY(),INDEX(Transactions!$G:$G,ROW()-8))</f>
      </c>
      <c r="F2982">
        <f>IF(INDEX(Transactions!$J:$J,ROW()-8)="",0,INDEX(Transactions!$O:$O,ROW()-8))</f>
      </c>
    </row>
    <row r="2983" spans="1:7">
      <c r="B2983">
        <f>IF(INDEX(Transactions!$J:$J,ROW()-8)="",TODAY(),INDEX(Transactions!$G:$G,ROW()-8))</f>
      </c>
      <c r="F2983">
        <f>IF(INDEX(Transactions!$J:$J,ROW()-8)="",0,INDEX(Transactions!$O:$O,ROW()-8))</f>
      </c>
    </row>
    <row r="2984" spans="1:7">
      <c r="B2984">
        <f>IF(INDEX(Transactions!$J:$J,ROW()-8)="",TODAY(),INDEX(Transactions!$G:$G,ROW()-8))</f>
      </c>
      <c r="F2984">
        <f>IF(INDEX(Transactions!$J:$J,ROW()-8)="",0,INDEX(Transactions!$O:$O,ROW()-8))</f>
      </c>
    </row>
    <row r="2985" spans="1:7">
      <c r="B2985">
        <f>IF(INDEX(Transactions!$J:$J,ROW()-8)="",TODAY(),INDEX(Transactions!$G:$G,ROW()-8))</f>
      </c>
      <c r="F2985">
        <f>IF(INDEX(Transactions!$J:$J,ROW()-8)="",0,INDEX(Transactions!$O:$O,ROW()-8))</f>
      </c>
    </row>
    <row r="2986" spans="1:7">
      <c r="B2986">
        <f>IF(INDEX(Transactions!$J:$J,ROW()-8)="",TODAY(),INDEX(Transactions!$G:$G,ROW()-8))</f>
      </c>
      <c r="F2986">
        <f>IF(INDEX(Transactions!$J:$J,ROW()-8)="",0,INDEX(Transactions!$O:$O,ROW()-8))</f>
      </c>
    </row>
    <row r="2987" spans="1:7">
      <c r="B2987">
        <f>IF(INDEX(Transactions!$J:$J,ROW()-8)="",TODAY(),INDEX(Transactions!$G:$G,ROW()-8))</f>
      </c>
      <c r="F2987">
        <f>IF(INDEX(Transactions!$J:$J,ROW()-8)="",0,INDEX(Transactions!$O:$O,ROW()-8))</f>
      </c>
    </row>
    <row r="2988" spans="1:7">
      <c r="B2988">
        <f>IF(INDEX(Transactions!$J:$J,ROW()-8)="",TODAY(),INDEX(Transactions!$G:$G,ROW()-8))</f>
      </c>
      <c r="F2988">
        <f>IF(INDEX(Transactions!$J:$J,ROW()-8)="",0,INDEX(Transactions!$O:$O,ROW()-8))</f>
      </c>
    </row>
    <row r="2989" spans="1:7">
      <c r="B2989">
        <f>IF(INDEX(Transactions!$J:$J,ROW()-8)="",TODAY(),INDEX(Transactions!$G:$G,ROW()-8))</f>
      </c>
      <c r="F2989">
        <f>IF(INDEX(Transactions!$J:$J,ROW()-8)="",0,INDEX(Transactions!$O:$O,ROW()-8))</f>
      </c>
    </row>
    <row r="2990" spans="1:7">
      <c r="B2990">
        <f>IF(INDEX(Transactions!$J:$J,ROW()-8)="",TODAY(),INDEX(Transactions!$G:$G,ROW()-8))</f>
      </c>
      <c r="F2990">
        <f>IF(INDEX(Transactions!$J:$J,ROW()-8)="",0,INDEX(Transactions!$O:$O,ROW()-8))</f>
      </c>
    </row>
    <row r="2991" spans="1:7">
      <c r="B2991">
        <f>IF(INDEX(Transactions!$J:$J,ROW()-8)="",TODAY(),INDEX(Transactions!$G:$G,ROW()-8))</f>
      </c>
      <c r="F2991">
        <f>IF(INDEX(Transactions!$J:$J,ROW()-8)="",0,INDEX(Transactions!$O:$O,ROW()-8))</f>
      </c>
    </row>
    <row r="2992" spans="1:7">
      <c r="B2992">
        <f>IF(INDEX(Transactions!$J:$J,ROW()-8)="",TODAY(),INDEX(Transactions!$G:$G,ROW()-8))</f>
      </c>
      <c r="F2992">
        <f>IF(INDEX(Transactions!$J:$J,ROW()-8)="",0,INDEX(Transactions!$O:$O,ROW()-8))</f>
      </c>
    </row>
    <row r="2993" spans="1:7">
      <c r="B2993">
        <f>IF(INDEX(Transactions!$J:$J,ROW()-8)="",TODAY(),INDEX(Transactions!$G:$G,ROW()-8))</f>
      </c>
      <c r="F2993">
        <f>IF(INDEX(Transactions!$J:$J,ROW()-8)="",0,INDEX(Transactions!$O:$O,ROW()-8))</f>
      </c>
    </row>
    <row r="2994" spans="1:7">
      <c r="B2994">
        <f>IF(INDEX(Transactions!$J:$J,ROW()-8)="",TODAY(),INDEX(Transactions!$G:$G,ROW()-8))</f>
      </c>
      <c r="F2994">
        <f>IF(INDEX(Transactions!$J:$J,ROW()-8)="",0,INDEX(Transactions!$O:$O,ROW()-8))</f>
      </c>
    </row>
    <row r="2995" spans="1:7">
      <c r="B2995">
        <f>IF(INDEX(Transactions!$J:$J,ROW()-8)="",TODAY(),INDEX(Transactions!$G:$G,ROW()-8))</f>
      </c>
      <c r="F2995">
        <f>IF(INDEX(Transactions!$J:$J,ROW()-8)="",0,INDEX(Transactions!$O:$O,ROW()-8))</f>
      </c>
    </row>
    <row r="2996" spans="1:7">
      <c r="B2996">
        <f>IF(INDEX(Transactions!$J:$J,ROW()-8)="",TODAY(),INDEX(Transactions!$G:$G,ROW()-8))</f>
      </c>
      <c r="F2996">
        <f>IF(INDEX(Transactions!$J:$J,ROW()-8)="",0,INDEX(Transactions!$O:$O,ROW()-8))</f>
      </c>
    </row>
    <row r="2997" spans="1:7">
      <c r="B2997">
        <f>IF(INDEX(Transactions!$J:$J,ROW()-8)="",TODAY(),INDEX(Transactions!$G:$G,ROW()-8))</f>
      </c>
      <c r="F2997">
        <f>IF(INDEX(Transactions!$J:$J,ROW()-8)="",0,INDEX(Transactions!$O:$O,ROW()-8))</f>
      </c>
    </row>
    <row r="2998" spans="1:7">
      <c r="B2998">
        <f>IF(INDEX(Transactions!$J:$J,ROW()-8)="",TODAY(),INDEX(Transactions!$G:$G,ROW()-8))</f>
      </c>
      <c r="F2998">
        <f>IF(INDEX(Transactions!$J:$J,ROW()-8)="",0,INDEX(Transactions!$O:$O,ROW()-8))</f>
      </c>
    </row>
    <row r="2999" spans="1:7">
      <c r="B2999">
        <f>IF(INDEX(Transactions!$J:$J,ROW()-8)="",TODAY(),INDEX(Transactions!$G:$G,ROW()-8))</f>
      </c>
      <c r="F2999">
        <f>IF(INDEX(Transactions!$J:$J,ROW()-8)="",0,INDEX(Transactions!$O:$O,ROW()-8))</f>
      </c>
    </row>
    <row r="3000" spans="1:7">
      <c r="B3000">
        <f>IF(INDEX(Transactions!$J:$J,ROW()-8)="",TODAY(),INDEX(Transactions!$G:$G,ROW()-8))</f>
      </c>
      <c r="F3000">
        <f>IF(INDEX(Transactions!$J:$J,ROW()-8)="",0,INDEX(Transactions!$O:$O,ROW()-8))</f>
      </c>
    </row>
    <row r="3001" spans="1:7">
      <c r="B3001">
        <f>IF(INDEX(Transactions!$J:$J,ROW()-8)="",TODAY(),INDEX(Transactions!$G:$G,ROW()-8))</f>
      </c>
      <c r="F3001">
        <f>IF(INDEX(Transactions!$J:$J,ROW()-8)="",0,INDEX(Transactions!$O:$O,ROW()-8))</f>
      </c>
    </row>
    <row r="3002" spans="1:7">
      <c r="B3002">
        <f>IF(INDEX(Transactions!$J:$J,ROW()-8)="",TODAY(),INDEX(Transactions!$G:$G,ROW()-8))</f>
      </c>
      <c r="F3002">
        <f>IF(INDEX(Transactions!$J:$J,ROW()-8)="",0,INDEX(Transactions!$O:$O,ROW()-8))</f>
      </c>
    </row>
    <row r="3003" spans="1:7">
      <c r="B3003">
        <f>IF(INDEX(Transactions!$J:$J,ROW()-8)="",TODAY(),INDEX(Transactions!$G:$G,ROW()-8))</f>
      </c>
      <c r="F3003">
        <f>IF(INDEX(Transactions!$J:$J,ROW()-8)="",0,INDEX(Transactions!$O:$O,ROW()-8))</f>
      </c>
    </row>
    <row r="3004" spans="1:7">
      <c r="B3004">
        <f>IF(INDEX(Transactions!$J:$J,ROW()-8)="",TODAY(),INDEX(Transactions!$G:$G,ROW()-8))</f>
      </c>
      <c r="F3004">
        <f>IF(INDEX(Transactions!$J:$J,ROW()-8)="",0,INDEX(Transactions!$O:$O,ROW()-8))</f>
      </c>
    </row>
    <row r="3005" spans="1:7">
      <c r="B3005">
        <f>IF(INDEX(Transactions!$J:$J,ROW()-8)="",TODAY(),INDEX(Transactions!$G:$G,ROW()-8))</f>
      </c>
      <c r="F3005">
        <f>IF(INDEX(Transactions!$J:$J,ROW()-8)="",0,INDEX(Transactions!$O:$O,ROW()-8))</f>
      </c>
    </row>
    <row r="3006" spans="1:7">
      <c r="B3006">
        <f>IF(INDEX(Transactions!$J:$J,ROW()-8)="",TODAY(),INDEX(Transactions!$G:$G,ROW()-8))</f>
      </c>
      <c r="F3006">
        <f>IF(INDEX(Transactions!$J:$J,ROW()-8)="",0,INDEX(Transactions!$O:$O,ROW()-8))</f>
      </c>
    </row>
    <row r="3007" spans="1:7">
      <c r="B3007">
        <f>IF(INDEX(Transactions!$J:$J,ROW()-8)="",TODAY(),INDEX(Transactions!$G:$G,ROW()-8))</f>
      </c>
      <c r="F3007">
        <f>IF(INDEX(Transactions!$J:$J,ROW()-8)="",0,INDEX(Transactions!$O:$O,ROW()-8))</f>
      </c>
    </row>
    <row r="3008" spans="1:7">
      <c r="B3008">
        <f>IF(INDEX(Transactions!$J:$J,ROW()-8)="",TODAY(),INDEX(Transactions!$G:$G,ROW()-8))</f>
      </c>
      <c r="F3008">
        <f>IF(INDEX(Transactions!$J:$J,ROW()-8)="",0,INDEX(Transactions!$O:$O,ROW()-8))</f>
      </c>
    </row>
    <row r="3009" spans="1:7">
      <c r="B3009">
        <f>IF(INDEX(Transactions!$J:$J,ROW()-8)="",TODAY(),INDEX(Transactions!$G:$G,ROW()-8))</f>
      </c>
      <c r="F3009">
        <f>IF(INDEX(Transactions!$J:$J,ROW()-8)="",0,INDEX(Transactions!$O:$O,ROW()-8))</f>
      </c>
    </row>
    <row r="3010" spans="1:7">
      <c r="B3010">
        <f>IF(INDEX(Transactions!$J:$J,ROW()-8)="",TODAY(),INDEX(Transactions!$G:$G,ROW()-8))</f>
      </c>
      <c r="F3010">
        <f>IF(INDEX(Transactions!$J:$J,ROW()-8)="",0,INDEX(Transactions!$O:$O,ROW()-8))</f>
      </c>
    </row>
    <row r="3011" spans="1:7">
      <c r="B3011">
        <f>IF(INDEX(Transactions!$J:$J,ROW()-8)="",TODAY(),INDEX(Transactions!$G:$G,ROW()-8))</f>
      </c>
      <c r="F3011">
        <f>IF(INDEX(Transactions!$J:$J,ROW()-8)="",0,INDEX(Transactions!$O:$O,ROW()-8))</f>
      </c>
    </row>
    <row r="3012" spans="1:7">
      <c r="B3012">
        <f>IF(INDEX(Transactions!$J:$J,ROW()-8)="",TODAY(),INDEX(Transactions!$G:$G,ROW()-8))</f>
      </c>
      <c r="F3012">
        <f>IF(INDEX(Transactions!$J:$J,ROW()-8)="",0,INDEX(Transactions!$O:$O,ROW()-8))</f>
      </c>
    </row>
    <row r="3013" spans="1:7">
      <c r="B3013">
        <f>IF(INDEX(Transactions!$J:$J,ROW()-8)="",TODAY(),INDEX(Transactions!$G:$G,ROW()-8))</f>
      </c>
      <c r="F3013">
        <f>IF(INDEX(Transactions!$J:$J,ROW()-8)="",0,INDEX(Transactions!$O:$O,ROW()-8))</f>
      </c>
    </row>
    <row r="3014" spans="1:7">
      <c r="B3014">
        <f>IF(INDEX(Transactions!$J:$J,ROW()-8)="",TODAY(),INDEX(Transactions!$G:$G,ROW()-8))</f>
      </c>
      <c r="F3014">
        <f>IF(INDEX(Transactions!$J:$J,ROW()-8)="",0,INDEX(Transactions!$O:$O,ROW()-8))</f>
      </c>
    </row>
    <row r="3015" spans="1:7">
      <c r="B3015">
        <f>IF(INDEX(Transactions!$J:$J,ROW()-8)="",TODAY(),INDEX(Transactions!$G:$G,ROW()-8))</f>
      </c>
      <c r="F3015">
        <f>IF(INDEX(Transactions!$J:$J,ROW()-8)="",0,INDEX(Transactions!$O:$O,ROW()-8))</f>
      </c>
    </row>
    <row r="3016" spans="1:7">
      <c r="B3016">
        <f>IF(INDEX(Transactions!$J:$J,ROW()-8)="",TODAY(),INDEX(Transactions!$G:$G,ROW()-8))</f>
      </c>
      <c r="F3016">
        <f>IF(INDEX(Transactions!$J:$J,ROW()-8)="",0,INDEX(Transactions!$O:$O,ROW()-8))</f>
      </c>
    </row>
    <row r="3017" spans="1:7">
      <c r="B3017">
        <f>IF(INDEX(Transactions!$J:$J,ROW()-8)="",TODAY(),INDEX(Transactions!$G:$G,ROW()-8))</f>
      </c>
      <c r="F3017">
        <f>IF(INDEX(Transactions!$J:$J,ROW()-8)="",0,INDEX(Transactions!$O:$O,ROW()-8))</f>
      </c>
    </row>
    <row r="3018" spans="1:7">
      <c r="B3018">
        <f>IF(INDEX(Transactions!$J:$J,ROW()-8)="",TODAY(),INDEX(Transactions!$G:$G,ROW()-8))</f>
      </c>
      <c r="F3018">
        <f>IF(INDEX(Transactions!$J:$J,ROW()-8)="",0,INDEX(Transactions!$O:$O,ROW()-8))</f>
      </c>
    </row>
    <row r="3019" spans="1:7">
      <c r="B3019">
        <f>IF(INDEX(Transactions!$J:$J,ROW()-8)="",TODAY(),INDEX(Transactions!$G:$G,ROW()-8))</f>
      </c>
      <c r="F3019">
        <f>IF(INDEX(Transactions!$J:$J,ROW()-8)="",0,INDEX(Transactions!$O:$O,ROW()-8))</f>
      </c>
    </row>
    <row r="3020" spans="1:7">
      <c r="B3020">
        <f>IF(INDEX(Transactions!$J:$J,ROW()-8)="",TODAY(),INDEX(Transactions!$G:$G,ROW()-8))</f>
      </c>
      <c r="F3020">
        <f>IF(INDEX(Transactions!$J:$J,ROW()-8)="",0,INDEX(Transactions!$O:$O,ROW()-8))</f>
      </c>
    </row>
    <row r="3021" spans="1:7">
      <c r="B3021">
        <f>IF(INDEX(Transactions!$J:$J,ROW()-8)="",TODAY(),INDEX(Transactions!$G:$G,ROW()-8))</f>
      </c>
      <c r="F3021">
        <f>IF(INDEX(Transactions!$J:$J,ROW()-8)="",0,INDEX(Transactions!$O:$O,ROW()-8))</f>
      </c>
    </row>
    <row r="3022" spans="1:7">
      <c r="B3022">
        <f>IF(INDEX(Transactions!$J:$J,ROW()-8)="",TODAY(),INDEX(Transactions!$G:$G,ROW()-8))</f>
      </c>
      <c r="F3022">
        <f>IF(INDEX(Transactions!$J:$J,ROW()-8)="",0,INDEX(Transactions!$O:$O,ROW()-8))</f>
      </c>
    </row>
    <row r="3023" spans="1:7">
      <c r="B3023">
        <f>IF(INDEX(Transactions!$J:$J,ROW()-8)="",TODAY(),INDEX(Transactions!$G:$G,ROW()-8))</f>
      </c>
      <c r="F3023">
        <f>IF(INDEX(Transactions!$J:$J,ROW()-8)="",0,INDEX(Transactions!$O:$O,ROW()-8))</f>
      </c>
    </row>
    <row r="3024" spans="1:7">
      <c r="B3024">
        <f>IF(INDEX(Transactions!$J:$J,ROW()-8)="",TODAY(),INDEX(Transactions!$G:$G,ROW()-8))</f>
      </c>
      <c r="F3024">
        <f>IF(INDEX(Transactions!$J:$J,ROW()-8)="",0,INDEX(Transactions!$O:$O,ROW()-8))</f>
      </c>
    </row>
    <row r="3025" spans="1:7">
      <c r="B3025">
        <f>IF(INDEX(Transactions!$J:$J,ROW()-8)="",TODAY(),INDEX(Transactions!$G:$G,ROW()-8))</f>
      </c>
      <c r="F3025">
        <f>IF(INDEX(Transactions!$J:$J,ROW()-8)="",0,INDEX(Transactions!$O:$O,ROW()-8))</f>
      </c>
    </row>
    <row r="3026" spans="1:7">
      <c r="B3026">
        <f>IF(INDEX(Transactions!$J:$J,ROW()-8)="",TODAY(),INDEX(Transactions!$G:$G,ROW()-8))</f>
      </c>
      <c r="F3026">
        <f>IF(INDEX(Transactions!$J:$J,ROW()-8)="",0,INDEX(Transactions!$O:$O,ROW()-8))</f>
      </c>
    </row>
    <row r="3027" spans="1:7">
      <c r="B3027">
        <f>IF(INDEX(Transactions!$J:$J,ROW()-8)="",TODAY(),INDEX(Transactions!$G:$G,ROW()-8))</f>
      </c>
      <c r="F3027">
        <f>IF(INDEX(Transactions!$J:$J,ROW()-8)="",0,INDEX(Transactions!$O:$O,ROW()-8))</f>
      </c>
    </row>
    <row r="3028" spans="1:7">
      <c r="B3028">
        <f>IF(INDEX(Transactions!$J:$J,ROW()-8)="",TODAY(),INDEX(Transactions!$G:$G,ROW()-8))</f>
      </c>
      <c r="F3028">
        <f>IF(INDEX(Transactions!$J:$J,ROW()-8)="",0,INDEX(Transactions!$O:$O,ROW()-8))</f>
      </c>
    </row>
    <row r="3029" spans="1:7">
      <c r="B3029">
        <f>IF(INDEX(Transactions!$J:$J,ROW()-8)="",TODAY(),INDEX(Transactions!$G:$G,ROW()-8))</f>
      </c>
      <c r="F3029">
        <f>IF(INDEX(Transactions!$J:$J,ROW()-8)="",0,INDEX(Transactions!$O:$O,ROW()-8))</f>
      </c>
    </row>
    <row r="3030" spans="1:7">
      <c r="B3030">
        <f>IF(INDEX(Transactions!$J:$J,ROW()-8)="",TODAY(),INDEX(Transactions!$G:$G,ROW()-8))</f>
      </c>
      <c r="F3030">
        <f>IF(INDEX(Transactions!$J:$J,ROW()-8)="",0,INDEX(Transactions!$O:$O,ROW()-8))</f>
      </c>
    </row>
    <row r="3031" spans="1:7">
      <c r="B3031">
        <f>IF(INDEX(Transactions!$J:$J,ROW()-8)="",TODAY(),INDEX(Transactions!$G:$G,ROW()-8))</f>
      </c>
      <c r="F3031">
        <f>IF(INDEX(Transactions!$J:$J,ROW()-8)="",0,INDEX(Transactions!$O:$O,ROW()-8))</f>
      </c>
    </row>
    <row r="3032" spans="1:7">
      <c r="B3032">
        <f>IF(INDEX(Transactions!$J:$J,ROW()-8)="",TODAY(),INDEX(Transactions!$G:$G,ROW()-8))</f>
      </c>
      <c r="F3032">
        <f>IF(INDEX(Transactions!$J:$J,ROW()-8)="",0,INDEX(Transactions!$O:$O,ROW()-8))</f>
      </c>
    </row>
    <row r="3033" spans="1:7">
      <c r="B3033">
        <f>IF(INDEX(Transactions!$J:$J,ROW()-8)="",TODAY(),INDEX(Transactions!$G:$G,ROW()-8))</f>
      </c>
      <c r="F3033">
        <f>IF(INDEX(Transactions!$J:$J,ROW()-8)="",0,INDEX(Transactions!$O:$O,ROW()-8))</f>
      </c>
    </row>
    <row r="3034" spans="1:7">
      <c r="B3034">
        <f>IF(INDEX(Transactions!$J:$J,ROW()-8)="",TODAY(),INDEX(Transactions!$G:$G,ROW()-8))</f>
      </c>
      <c r="F3034">
        <f>IF(INDEX(Transactions!$J:$J,ROW()-8)="",0,INDEX(Transactions!$O:$O,ROW()-8))</f>
      </c>
    </row>
    <row r="3035" spans="1:7">
      <c r="B3035">
        <f>IF(INDEX(Transactions!$J:$J,ROW()-8)="",TODAY(),INDEX(Transactions!$G:$G,ROW()-8))</f>
      </c>
      <c r="F3035">
        <f>IF(INDEX(Transactions!$J:$J,ROW()-8)="",0,INDEX(Transactions!$O:$O,ROW()-8))</f>
      </c>
    </row>
    <row r="3036" spans="1:7">
      <c r="B3036">
        <f>IF(INDEX(Transactions!$J:$J,ROW()-8)="",TODAY(),INDEX(Transactions!$G:$G,ROW()-8))</f>
      </c>
      <c r="F3036">
        <f>IF(INDEX(Transactions!$J:$J,ROW()-8)="",0,INDEX(Transactions!$O:$O,ROW()-8))</f>
      </c>
    </row>
    <row r="3037" spans="1:7">
      <c r="B3037">
        <f>IF(INDEX(Transactions!$J:$J,ROW()-8)="",TODAY(),INDEX(Transactions!$G:$G,ROW()-8))</f>
      </c>
      <c r="F3037">
        <f>IF(INDEX(Transactions!$J:$J,ROW()-8)="",0,INDEX(Transactions!$O:$O,ROW()-8))</f>
      </c>
    </row>
    <row r="3038" spans="1:7">
      <c r="B3038">
        <f>IF(INDEX(Transactions!$J:$J,ROW()-8)="",TODAY(),INDEX(Transactions!$G:$G,ROW()-8))</f>
      </c>
      <c r="F3038">
        <f>IF(INDEX(Transactions!$J:$J,ROW()-8)="",0,INDEX(Transactions!$O:$O,ROW()-8))</f>
      </c>
    </row>
    <row r="3039" spans="1:7">
      <c r="B3039">
        <f>IF(INDEX(Transactions!$J:$J,ROW()-8)="",TODAY(),INDEX(Transactions!$G:$G,ROW()-8))</f>
      </c>
      <c r="F3039">
        <f>IF(INDEX(Transactions!$J:$J,ROW()-8)="",0,INDEX(Transactions!$O:$O,ROW()-8))</f>
      </c>
    </row>
    <row r="3040" spans="1:7">
      <c r="B3040">
        <f>IF(INDEX(Transactions!$J:$J,ROW()-8)="",TODAY(),INDEX(Transactions!$G:$G,ROW()-8))</f>
      </c>
      <c r="F3040">
        <f>IF(INDEX(Transactions!$J:$J,ROW()-8)="",0,INDEX(Transactions!$O:$O,ROW()-8))</f>
      </c>
    </row>
    <row r="3041" spans="1:7">
      <c r="B3041">
        <f>IF(INDEX(Transactions!$J:$J,ROW()-8)="",TODAY(),INDEX(Transactions!$G:$G,ROW()-8))</f>
      </c>
      <c r="F3041">
        <f>IF(INDEX(Transactions!$J:$J,ROW()-8)="",0,INDEX(Transactions!$O:$O,ROW()-8))</f>
      </c>
    </row>
    <row r="3042" spans="1:7">
      <c r="B3042">
        <f>IF(INDEX(Transactions!$J:$J,ROW()-8)="",TODAY(),INDEX(Transactions!$G:$G,ROW()-8))</f>
      </c>
      <c r="F3042">
        <f>IF(INDEX(Transactions!$J:$J,ROW()-8)="",0,INDEX(Transactions!$O:$O,ROW()-8))</f>
      </c>
    </row>
    <row r="3043" spans="1:7">
      <c r="B3043">
        <f>IF(INDEX(Transactions!$J:$J,ROW()-8)="",TODAY(),INDEX(Transactions!$G:$G,ROW()-8))</f>
      </c>
      <c r="F3043">
        <f>IF(INDEX(Transactions!$J:$J,ROW()-8)="",0,INDEX(Transactions!$O:$O,ROW()-8))</f>
      </c>
    </row>
    <row r="3044" spans="1:7">
      <c r="B3044">
        <f>IF(INDEX(Transactions!$J:$J,ROW()-8)="",TODAY(),INDEX(Transactions!$G:$G,ROW()-8))</f>
      </c>
      <c r="F3044">
        <f>IF(INDEX(Transactions!$J:$J,ROW()-8)="",0,INDEX(Transactions!$O:$O,ROW()-8))</f>
      </c>
    </row>
    <row r="3045" spans="1:7">
      <c r="B3045">
        <f>IF(INDEX(Transactions!$J:$J,ROW()-8)="",TODAY(),INDEX(Transactions!$G:$G,ROW()-8))</f>
      </c>
      <c r="F3045">
        <f>IF(INDEX(Transactions!$J:$J,ROW()-8)="",0,INDEX(Transactions!$O:$O,ROW()-8))</f>
      </c>
    </row>
    <row r="3046" spans="1:7">
      <c r="B3046">
        <f>IF(INDEX(Transactions!$J:$J,ROW()-8)="",TODAY(),INDEX(Transactions!$G:$G,ROW()-8))</f>
      </c>
      <c r="F3046">
        <f>IF(INDEX(Transactions!$J:$J,ROW()-8)="",0,INDEX(Transactions!$O:$O,ROW()-8))</f>
      </c>
    </row>
    <row r="3047" spans="1:7">
      <c r="B3047">
        <f>IF(INDEX(Transactions!$J:$J,ROW()-8)="",TODAY(),INDEX(Transactions!$G:$G,ROW()-8))</f>
      </c>
      <c r="F3047">
        <f>IF(INDEX(Transactions!$J:$J,ROW()-8)="",0,INDEX(Transactions!$O:$O,ROW()-8))</f>
      </c>
    </row>
    <row r="3048" spans="1:7">
      <c r="B3048">
        <f>IF(INDEX(Transactions!$J:$J,ROW()-8)="",TODAY(),INDEX(Transactions!$G:$G,ROW()-8))</f>
      </c>
      <c r="F3048">
        <f>IF(INDEX(Transactions!$J:$J,ROW()-8)="",0,INDEX(Transactions!$O:$O,ROW()-8))</f>
      </c>
    </row>
    <row r="3049" spans="1:7">
      <c r="B3049">
        <f>IF(INDEX(Transactions!$J:$J,ROW()-8)="",TODAY(),INDEX(Transactions!$G:$G,ROW()-8))</f>
      </c>
      <c r="F3049">
        <f>IF(INDEX(Transactions!$J:$J,ROW()-8)="",0,INDEX(Transactions!$O:$O,ROW()-8))</f>
      </c>
    </row>
    <row r="3050" spans="1:7">
      <c r="B3050">
        <f>IF(INDEX(Transactions!$J:$J,ROW()-8)="",TODAY(),INDEX(Transactions!$G:$G,ROW()-8))</f>
      </c>
      <c r="F3050">
        <f>IF(INDEX(Transactions!$J:$J,ROW()-8)="",0,INDEX(Transactions!$O:$O,ROW()-8))</f>
      </c>
    </row>
    <row r="3051" spans="1:7">
      <c r="B3051">
        <f>IF(INDEX(Transactions!$J:$J,ROW()-8)="",TODAY(),INDEX(Transactions!$G:$G,ROW()-8))</f>
      </c>
      <c r="F3051">
        <f>IF(INDEX(Transactions!$J:$J,ROW()-8)="",0,INDEX(Transactions!$O:$O,ROW()-8))</f>
      </c>
    </row>
    <row r="3052" spans="1:7">
      <c r="B3052">
        <f>IF(INDEX(Transactions!$J:$J,ROW()-8)="",TODAY(),INDEX(Transactions!$G:$G,ROW()-8))</f>
      </c>
      <c r="F3052">
        <f>IF(INDEX(Transactions!$J:$J,ROW()-8)="",0,INDEX(Transactions!$O:$O,ROW()-8))</f>
      </c>
    </row>
    <row r="3053" spans="1:7">
      <c r="B3053">
        <f>IF(INDEX(Transactions!$J:$J,ROW()-8)="",TODAY(),INDEX(Transactions!$G:$G,ROW()-8))</f>
      </c>
      <c r="F3053">
        <f>IF(INDEX(Transactions!$J:$J,ROW()-8)="",0,INDEX(Transactions!$O:$O,ROW()-8))</f>
      </c>
    </row>
    <row r="3054" spans="1:7">
      <c r="B3054">
        <f>IF(INDEX(Transactions!$J:$J,ROW()-8)="",TODAY(),INDEX(Transactions!$G:$G,ROW()-8))</f>
      </c>
      <c r="F3054">
        <f>IF(INDEX(Transactions!$J:$J,ROW()-8)="",0,INDEX(Transactions!$O:$O,ROW()-8))</f>
      </c>
    </row>
    <row r="3055" spans="1:7">
      <c r="B3055">
        <f>IF(INDEX(Transactions!$J:$J,ROW()-8)="",TODAY(),INDEX(Transactions!$G:$G,ROW()-8))</f>
      </c>
      <c r="F3055">
        <f>IF(INDEX(Transactions!$J:$J,ROW()-8)="",0,INDEX(Transactions!$O:$O,ROW()-8))</f>
      </c>
    </row>
    <row r="3056" spans="1:7">
      <c r="B3056">
        <f>IF(INDEX(Transactions!$J:$J,ROW()-8)="",TODAY(),INDEX(Transactions!$G:$G,ROW()-8))</f>
      </c>
      <c r="F3056">
        <f>IF(INDEX(Transactions!$J:$J,ROW()-8)="",0,INDEX(Transactions!$O:$O,ROW()-8))</f>
      </c>
    </row>
    <row r="3057" spans="1:7">
      <c r="B3057">
        <f>IF(INDEX(Transactions!$J:$J,ROW()-8)="",TODAY(),INDEX(Transactions!$G:$G,ROW()-8))</f>
      </c>
      <c r="F3057">
        <f>IF(INDEX(Transactions!$J:$J,ROW()-8)="",0,INDEX(Transactions!$O:$O,ROW()-8))</f>
      </c>
    </row>
    <row r="3058" spans="1:7">
      <c r="B3058">
        <f>IF(INDEX(Transactions!$J:$J,ROW()-8)="",TODAY(),INDEX(Transactions!$G:$G,ROW()-8))</f>
      </c>
      <c r="F3058">
        <f>IF(INDEX(Transactions!$J:$J,ROW()-8)="",0,INDEX(Transactions!$O:$O,ROW()-8))</f>
      </c>
    </row>
    <row r="3059" spans="1:7">
      <c r="B3059">
        <f>IF(INDEX(Transactions!$J:$J,ROW()-8)="",TODAY(),INDEX(Transactions!$G:$G,ROW()-8))</f>
      </c>
      <c r="F3059">
        <f>IF(INDEX(Transactions!$J:$J,ROW()-8)="",0,INDEX(Transactions!$O:$O,ROW()-8))</f>
      </c>
    </row>
    <row r="3060" spans="1:7">
      <c r="B3060">
        <f>IF(INDEX(Transactions!$J:$J,ROW()-8)="",TODAY(),INDEX(Transactions!$G:$G,ROW()-8))</f>
      </c>
      <c r="F3060">
        <f>IF(INDEX(Transactions!$J:$J,ROW()-8)="",0,INDEX(Transactions!$O:$O,ROW()-8))</f>
      </c>
    </row>
    <row r="3061" spans="1:7">
      <c r="B3061">
        <f>IF(INDEX(Transactions!$J:$J,ROW()-8)="",TODAY(),INDEX(Transactions!$G:$G,ROW()-8))</f>
      </c>
      <c r="F3061">
        <f>IF(INDEX(Transactions!$J:$J,ROW()-8)="",0,INDEX(Transactions!$O:$O,ROW()-8))</f>
      </c>
    </row>
    <row r="3062" spans="1:7">
      <c r="B3062">
        <f>IF(INDEX(Transactions!$J:$J,ROW()-8)="",TODAY(),INDEX(Transactions!$G:$G,ROW()-8))</f>
      </c>
      <c r="F3062">
        <f>IF(INDEX(Transactions!$J:$J,ROW()-8)="",0,INDEX(Transactions!$O:$O,ROW()-8))</f>
      </c>
    </row>
    <row r="3063" spans="1:7">
      <c r="B3063">
        <f>IF(INDEX(Transactions!$J:$J,ROW()-8)="",TODAY(),INDEX(Transactions!$G:$G,ROW()-8))</f>
      </c>
      <c r="F3063">
        <f>IF(INDEX(Transactions!$J:$J,ROW()-8)="",0,INDEX(Transactions!$O:$O,ROW()-8))</f>
      </c>
    </row>
    <row r="3064" spans="1:7">
      <c r="B3064">
        <f>IF(INDEX(Transactions!$J:$J,ROW()-8)="",TODAY(),INDEX(Transactions!$G:$G,ROW()-8))</f>
      </c>
      <c r="F3064">
        <f>IF(INDEX(Transactions!$J:$J,ROW()-8)="",0,INDEX(Transactions!$O:$O,ROW()-8))</f>
      </c>
    </row>
    <row r="3065" spans="1:7">
      <c r="B3065">
        <f>IF(INDEX(Transactions!$J:$J,ROW()-8)="",TODAY(),INDEX(Transactions!$G:$G,ROW()-8))</f>
      </c>
      <c r="F3065">
        <f>IF(INDEX(Transactions!$J:$J,ROW()-8)="",0,INDEX(Transactions!$O:$O,ROW()-8))</f>
      </c>
    </row>
    <row r="3066" spans="1:7">
      <c r="B3066">
        <f>IF(INDEX(Transactions!$J:$J,ROW()-8)="",TODAY(),INDEX(Transactions!$G:$G,ROW()-8))</f>
      </c>
      <c r="F3066">
        <f>IF(INDEX(Transactions!$J:$J,ROW()-8)="",0,INDEX(Transactions!$O:$O,ROW()-8))</f>
      </c>
    </row>
    <row r="3067" spans="1:7">
      <c r="B3067">
        <f>IF(INDEX(Transactions!$J:$J,ROW()-8)="",TODAY(),INDEX(Transactions!$G:$G,ROW()-8))</f>
      </c>
      <c r="F3067">
        <f>IF(INDEX(Transactions!$J:$J,ROW()-8)="",0,INDEX(Transactions!$O:$O,ROW()-8))</f>
      </c>
    </row>
    <row r="3068" spans="1:7">
      <c r="B3068">
        <f>IF(INDEX(Transactions!$J:$J,ROW()-8)="",TODAY(),INDEX(Transactions!$G:$G,ROW()-8))</f>
      </c>
      <c r="F3068">
        <f>IF(INDEX(Transactions!$J:$J,ROW()-8)="",0,INDEX(Transactions!$O:$O,ROW()-8))</f>
      </c>
    </row>
    <row r="3069" spans="1:7">
      <c r="B3069">
        <f>IF(INDEX(Transactions!$J:$J,ROW()-8)="",TODAY(),INDEX(Transactions!$G:$G,ROW()-8))</f>
      </c>
      <c r="F3069">
        <f>IF(INDEX(Transactions!$J:$J,ROW()-8)="",0,INDEX(Transactions!$O:$O,ROW()-8))</f>
      </c>
    </row>
    <row r="3070" spans="1:7">
      <c r="B3070">
        <f>IF(INDEX(Transactions!$J:$J,ROW()-8)="",TODAY(),INDEX(Transactions!$G:$G,ROW()-8))</f>
      </c>
      <c r="F3070">
        <f>IF(INDEX(Transactions!$J:$J,ROW()-8)="",0,INDEX(Transactions!$O:$O,ROW()-8))</f>
      </c>
    </row>
    <row r="3071" spans="1:7">
      <c r="B3071">
        <f>IF(INDEX(Transactions!$J:$J,ROW()-8)="",TODAY(),INDEX(Transactions!$G:$G,ROW()-8))</f>
      </c>
      <c r="F3071">
        <f>IF(INDEX(Transactions!$J:$J,ROW()-8)="",0,INDEX(Transactions!$O:$O,ROW()-8))</f>
      </c>
    </row>
    <row r="3072" spans="1:7">
      <c r="B3072">
        <f>IF(INDEX(Transactions!$J:$J,ROW()-8)="",TODAY(),INDEX(Transactions!$G:$G,ROW()-8))</f>
      </c>
      <c r="F3072">
        <f>IF(INDEX(Transactions!$J:$J,ROW()-8)="",0,INDEX(Transactions!$O:$O,ROW()-8))</f>
      </c>
    </row>
    <row r="3073" spans="1:7">
      <c r="B3073">
        <f>IF(INDEX(Transactions!$J:$J,ROW()-8)="",TODAY(),INDEX(Transactions!$G:$G,ROW()-8))</f>
      </c>
      <c r="F3073">
        <f>IF(INDEX(Transactions!$J:$J,ROW()-8)="",0,INDEX(Transactions!$O:$O,ROW()-8))</f>
      </c>
    </row>
    <row r="3074" spans="1:7">
      <c r="B3074">
        <f>IF(INDEX(Transactions!$J:$J,ROW()-8)="",TODAY(),INDEX(Transactions!$G:$G,ROW()-8))</f>
      </c>
      <c r="F3074">
        <f>IF(INDEX(Transactions!$J:$J,ROW()-8)="",0,INDEX(Transactions!$O:$O,ROW()-8))</f>
      </c>
    </row>
    <row r="3075" spans="1:7">
      <c r="B3075">
        <f>IF(INDEX(Transactions!$J:$J,ROW()-8)="",TODAY(),INDEX(Transactions!$G:$G,ROW()-8))</f>
      </c>
      <c r="F3075">
        <f>IF(INDEX(Transactions!$J:$J,ROW()-8)="",0,INDEX(Transactions!$O:$O,ROW()-8))</f>
      </c>
    </row>
    <row r="3076" spans="1:7">
      <c r="B3076">
        <f>IF(INDEX(Transactions!$J:$J,ROW()-8)="",TODAY(),INDEX(Transactions!$G:$G,ROW()-8))</f>
      </c>
      <c r="F3076">
        <f>IF(INDEX(Transactions!$J:$J,ROW()-8)="",0,INDEX(Transactions!$O:$O,ROW()-8))</f>
      </c>
    </row>
    <row r="3077" spans="1:7">
      <c r="B3077">
        <f>IF(INDEX(Transactions!$J:$J,ROW()-8)="",TODAY(),INDEX(Transactions!$G:$G,ROW()-8))</f>
      </c>
      <c r="F3077">
        <f>IF(INDEX(Transactions!$J:$J,ROW()-8)="",0,INDEX(Transactions!$O:$O,ROW()-8))</f>
      </c>
    </row>
    <row r="3078" spans="1:7">
      <c r="B3078">
        <f>IF(INDEX(Transactions!$J:$J,ROW()-8)="",TODAY(),INDEX(Transactions!$G:$G,ROW()-8))</f>
      </c>
      <c r="F3078">
        <f>IF(INDEX(Transactions!$J:$J,ROW()-8)="",0,INDEX(Transactions!$O:$O,ROW()-8))</f>
      </c>
    </row>
    <row r="3079" spans="1:7">
      <c r="B3079">
        <f>IF(INDEX(Transactions!$J:$J,ROW()-8)="",TODAY(),INDEX(Transactions!$G:$G,ROW()-8))</f>
      </c>
      <c r="F3079">
        <f>IF(INDEX(Transactions!$J:$J,ROW()-8)="",0,INDEX(Transactions!$O:$O,ROW()-8))</f>
      </c>
    </row>
    <row r="3080" spans="1:7">
      <c r="B3080">
        <f>IF(INDEX(Transactions!$J:$J,ROW()-8)="",TODAY(),INDEX(Transactions!$G:$G,ROW()-8))</f>
      </c>
      <c r="F3080">
        <f>IF(INDEX(Transactions!$J:$J,ROW()-8)="",0,INDEX(Transactions!$O:$O,ROW()-8))</f>
      </c>
    </row>
    <row r="3081" spans="1:7">
      <c r="B3081">
        <f>IF(INDEX(Transactions!$J:$J,ROW()-8)="",TODAY(),INDEX(Transactions!$G:$G,ROW()-8))</f>
      </c>
      <c r="F3081">
        <f>IF(INDEX(Transactions!$J:$J,ROW()-8)="",0,INDEX(Transactions!$O:$O,ROW()-8))</f>
      </c>
    </row>
    <row r="3082" spans="1:7">
      <c r="B3082">
        <f>IF(INDEX(Transactions!$J:$J,ROW()-8)="",TODAY(),INDEX(Transactions!$G:$G,ROW()-8))</f>
      </c>
      <c r="F3082">
        <f>IF(INDEX(Transactions!$J:$J,ROW()-8)="",0,INDEX(Transactions!$O:$O,ROW()-8))</f>
      </c>
    </row>
    <row r="3083" spans="1:7">
      <c r="B3083">
        <f>IF(INDEX(Transactions!$J:$J,ROW()-8)="",TODAY(),INDEX(Transactions!$G:$G,ROW()-8))</f>
      </c>
      <c r="F3083">
        <f>IF(INDEX(Transactions!$J:$J,ROW()-8)="",0,INDEX(Transactions!$O:$O,ROW()-8))</f>
      </c>
    </row>
    <row r="3084" spans="1:7">
      <c r="B3084">
        <f>IF(INDEX(Transactions!$J:$J,ROW()-8)="",TODAY(),INDEX(Transactions!$G:$G,ROW()-8))</f>
      </c>
      <c r="F3084">
        <f>IF(INDEX(Transactions!$J:$J,ROW()-8)="",0,INDEX(Transactions!$O:$O,ROW()-8))</f>
      </c>
    </row>
    <row r="3085" spans="1:7">
      <c r="B3085">
        <f>IF(INDEX(Transactions!$J:$J,ROW()-8)="",TODAY(),INDEX(Transactions!$G:$G,ROW()-8))</f>
      </c>
      <c r="F3085">
        <f>IF(INDEX(Transactions!$J:$J,ROW()-8)="",0,INDEX(Transactions!$O:$O,ROW()-8))</f>
      </c>
    </row>
    <row r="3086" spans="1:7">
      <c r="B3086">
        <f>IF(INDEX(Transactions!$J:$J,ROW()-8)="",TODAY(),INDEX(Transactions!$G:$G,ROW()-8))</f>
      </c>
      <c r="F3086">
        <f>IF(INDEX(Transactions!$J:$J,ROW()-8)="",0,INDEX(Transactions!$O:$O,ROW()-8))</f>
      </c>
    </row>
    <row r="3087" spans="1:7">
      <c r="B3087">
        <f>IF(INDEX(Transactions!$J:$J,ROW()-8)="",TODAY(),INDEX(Transactions!$G:$G,ROW()-8))</f>
      </c>
      <c r="F3087">
        <f>IF(INDEX(Transactions!$J:$J,ROW()-8)="",0,INDEX(Transactions!$O:$O,ROW()-8))</f>
      </c>
    </row>
    <row r="3088" spans="1:7">
      <c r="B3088">
        <f>IF(INDEX(Transactions!$J:$J,ROW()-8)="",TODAY(),INDEX(Transactions!$G:$G,ROW()-8))</f>
      </c>
      <c r="F3088">
        <f>IF(INDEX(Transactions!$J:$J,ROW()-8)="",0,INDEX(Transactions!$O:$O,ROW()-8))</f>
      </c>
    </row>
    <row r="3089" spans="1:7">
      <c r="B3089">
        <f>IF(INDEX(Transactions!$J:$J,ROW()-8)="",TODAY(),INDEX(Transactions!$G:$G,ROW()-8))</f>
      </c>
      <c r="F3089">
        <f>IF(INDEX(Transactions!$J:$J,ROW()-8)="",0,INDEX(Transactions!$O:$O,ROW()-8))</f>
      </c>
    </row>
    <row r="3090" spans="1:7">
      <c r="B3090">
        <f>IF(INDEX(Transactions!$J:$J,ROW()-8)="",TODAY(),INDEX(Transactions!$G:$G,ROW()-8))</f>
      </c>
      <c r="F3090">
        <f>IF(INDEX(Transactions!$J:$J,ROW()-8)="",0,INDEX(Transactions!$O:$O,ROW()-8))</f>
      </c>
    </row>
    <row r="3091" spans="1:7">
      <c r="B3091">
        <f>IF(INDEX(Transactions!$J:$J,ROW()-8)="",TODAY(),INDEX(Transactions!$G:$G,ROW()-8))</f>
      </c>
      <c r="F3091">
        <f>IF(INDEX(Transactions!$J:$J,ROW()-8)="",0,INDEX(Transactions!$O:$O,ROW()-8))</f>
      </c>
    </row>
    <row r="3092" spans="1:7">
      <c r="B3092">
        <f>IF(INDEX(Transactions!$J:$J,ROW()-8)="",TODAY(),INDEX(Transactions!$G:$G,ROW()-8))</f>
      </c>
      <c r="F3092">
        <f>IF(INDEX(Transactions!$J:$J,ROW()-8)="",0,INDEX(Transactions!$O:$O,ROW()-8))</f>
      </c>
    </row>
    <row r="3093" spans="1:7">
      <c r="B3093">
        <f>IF(INDEX(Transactions!$J:$J,ROW()-8)="",TODAY(),INDEX(Transactions!$G:$G,ROW()-8))</f>
      </c>
      <c r="F3093">
        <f>IF(INDEX(Transactions!$J:$J,ROW()-8)="",0,INDEX(Transactions!$O:$O,ROW()-8))</f>
      </c>
    </row>
    <row r="3094" spans="1:7">
      <c r="B3094">
        <f>IF(INDEX(Transactions!$J:$J,ROW()-8)="",TODAY(),INDEX(Transactions!$G:$G,ROW()-8))</f>
      </c>
      <c r="F3094">
        <f>IF(INDEX(Transactions!$J:$J,ROW()-8)="",0,INDEX(Transactions!$O:$O,ROW()-8))</f>
      </c>
    </row>
    <row r="3095" spans="1:7">
      <c r="B3095">
        <f>IF(INDEX(Transactions!$J:$J,ROW()-8)="",TODAY(),INDEX(Transactions!$G:$G,ROW()-8))</f>
      </c>
      <c r="F3095">
        <f>IF(INDEX(Transactions!$J:$J,ROW()-8)="",0,INDEX(Transactions!$O:$O,ROW()-8))</f>
      </c>
    </row>
    <row r="3096" spans="1:7">
      <c r="B3096">
        <f>IF(INDEX(Transactions!$J:$J,ROW()-8)="",TODAY(),INDEX(Transactions!$G:$G,ROW()-8))</f>
      </c>
      <c r="F3096">
        <f>IF(INDEX(Transactions!$J:$J,ROW()-8)="",0,INDEX(Transactions!$O:$O,ROW()-8))</f>
      </c>
    </row>
    <row r="3097" spans="1:7">
      <c r="B3097">
        <f>IF(INDEX(Transactions!$J:$J,ROW()-8)="",TODAY(),INDEX(Transactions!$G:$G,ROW()-8))</f>
      </c>
      <c r="F3097">
        <f>IF(INDEX(Transactions!$J:$J,ROW()-8)="",0,INDEX(Transactions!$O:$O,ROW()-8))</f>
      </c>
    </row>
    <row r="3098" spans="1:7">
      <c r="B3098">
        <f>IF(INDEX(Transactions!$J:$J,ROW()-8)="",TODAY(),INDEX(Transactions!$G:$G,ROW()-8))</f>
      </c>
      <c r="F3098">
        <f>IF(INDEX(Transactions!$J:$J,ROW()-8)="",0,INDEX(Transactions!$O:$O,ROW()-8))</f>
      </c>
    </row>
    <row r="3099" spans="1:7">
      <c r="B3099">
        <f>IF(INDEX(Transactions!$J:$J,ROW()-8)="",TODAY(),INDEX(Transactions!$G:$G,ROW()-8))</f>
      </c>
      <c r="F3099">
        <f>IF(INDEX(Transactions!$J:$J,ROW()-8)="",0,INDEX(Transactions!$O:$O,ROW()-8))</f>
      </c>
    </row>
    <row r="3100" spans="1:7">
      <c r="B3100">
        <f>IF(INDEX(Transactions!$J:$J,ROW()-8)="",TODAY(),INDEX(Transactions!$G:$G,ROW()-8))</f>
      </c>
      <c r="F3100">
        <f>IF(INDEX(Transactions!$J:$J,ROW()-8)="",0,INDEX(Transactions!$O:$O,ROW()-8))</f>
      </c>
    </row>
    <row r="3101" spans="1:7">
      <c r="B3101">
        <f>IF(INDEX(Transactions!$J:$J,ROW()-8)="",TODAY(),INDEX(Transactions!$G:$G,ROW()-8))</f>
      </c>
      <c r="F3101">
        <f>IF(INDEX(Transactions!$J:$J,ROW()-8)="",0,INDEX(Transactions!$O:$O,ROW()-8))</f>
      </c>
    </row>
    <row r="3102" spans="1:7">
      <c r="B3102">
        <f>IF(INDEX(Transactions!$J:$J,ROW()-8)="",TODAY(),INDEX(Transactions!$G:$G,ROW()-8))</f>
      </c>
      <c r="F3102">
        <f>IF(INDEX(Transactions!$J:$J,ROW()-8)="",0,INDEX(Transactions!$O:$O,ROW()-8))</f>
      </c>
    </row>
    <row r="3103" spans="1:7">
      <c r="B3103">
        <f>IF(INDEX(Transactions!$J:$J,ROW()-8)="",TODAY(),INDEX(Transactions!$G:$G,ROW()-8))</f>
      </c>
      <c r="F3103">
        <f>IF(INDEX(Transactions!$J:$J,ROW()-8)="",0,INDEX(Transactions!$O:$O,ROW()-8))</f>
      </c>
    </row>
    <row r="3104" spans="1:7">
      <c r="B3104">
        <f>IF(INDEX(Transactions!$J:$J,ROW()-8)="",TODAY(),INDEX(Transactions!$G:$G,ROW()-8))</f>
      </c>
      <c r="F3104">
        <f>IF(INDEX(Transactions!$J:$J,ROW()-8)="",0,INDEX(Transactions!$O:$O,ROW()-8))</f>
      </c>
    </row>
    <row r="3105" spans="1:7">
      <c r="B3105">
        <f>IF(INDEX(Transactions!$J:$J,ROW()-8)="",TODAY(),INDEX(Transactions!$G:$G,ROW()-8))</f>
      </c>
      <c r="F3105">
        <f>IF(INDEX(Transactions!$J:$J,ROW()-8)="",0,INDEX(Transactions!$O:$O,ROW()-8))</f>
      </c>
    </row>
    <row r="3106" spans="1:7">
      <c r="B3106">
        <f>IF(INDEX(Transactions!$J:$J,ROW()-8)="",TODAY(),INDEX(Transactions!$G:$G,ROW()-8))</f>
      </c>
      <c r="F3106">
        <f>IF(INDEX(Transactions!$J:$J,ROW()-8)="",0,INDEX(Transactions!$O:$O,ROW()-8))</f>
      </c>
    </row>
    <row r="3107" spans="1:7">
      <c r="B3107">
        <f>IF(INDEX(Transactions!$J:$J,ROW()-8)="",TODAY(),INDEX(Transactions!$G:$G,ROW()-8))</f>
      </c>
      <c r="F3107">
        <f>IF(INDEX(Transactions!$J:$J,ROW()-8)="",0,INDEX(Transactions!$O:$O,ROW()-8))</f>
      </c>
    </row>
    <row r="3108" spans="1:7">
      <c r="B3108">
        <f>IF(INDEX(Transactions!$J:$J,ROW()-8)="",TODAY(),INDEX(Transactions!$G:$G,ROW()-8))</f>
      </c>
      <c r="F3108">
        <f>IF(INDEX(Transactions!$J:$J,ROW()-8)="",0,INDEX(Transactions!$O:$O,ROW()-8))</f>
      </c>
    </row>
    <row r="3109" spans="1:7">
      <c r="B3109">
        <f>IF(INDEX(Transactions!$J:$J,ROW()-8)="",TODAY(),INDEX(Transactions!$G:$G,ROW()-8))</f>
      </c>
      <c r="F3109">
        <f>IF(INDEX(Transactions!$J:$J,ROW()-8)="",0,INDEX(Transactions!$O:$O,ROW()-8))</f>
      </c>
    </row>
    <row r="3110" spans="1:7">
      <c r="B3110">
        <f>IF(INDEX(Transactions!$J:$J,ROW()-8)="",TODAY(),INDEX(Transactions!$G:$G,ROW()-8))</f>
      </c>
      <c r="F3110">
        <f>IF(INDEX(Transactions!$J:$J,ROW()-8)="",0,INDEX(Transactions!$O:$O,ROW()-8))</f>
      </c>
    </row>
    <row r="3111" spans="1:7">
      <c r="B3111">
        <f>IF(INDEX(Transactions!$J:$J,ROW()-8)="",TODAY(),INDEX(Transactions!$G:$G,ROW()-8))</f>
      </c>
      <c r="F3111">
        <f>IF(INDEX(Transactions!$J:$J,ROW()-8)="",0,INDEX(Transactions!$O:$O,ROW()-8))</f>
      </c>
    </row>
    <row r="3112" spans="1:7">
      <c r="B3112">
        <f>IF(INDEX(Transactions!$J:$J,ROW()-8)="",TODAY(),INDEX(Transactions!$G:$G,ROW()-8))</f>
      </c>
      <c r="F3112">
        <f>IF(INDEX(Transactions!$J:$J,ROW()-8)="",0,INDEX(Transactions!$O:$O,ROW()-8))</f>
      </c>
    </row>
    <row r="3113" spans="1:7">
      <c r="B3113">
        <f>IF(INDEX(Transactions!$J:$J,ROW()-8)="",TODAY(),INDEX(Transactions!$G:$G,ROW()-8))</f>
      </c>
      <c r="F3113">
        <f>IF(INDEX(Transactions!$J:$J,ROW()-8)="",0,INDEX(Transactions!$O:$O,ROW()-8))</f>
      </c>
    </row>
    <row r="3114" spans="1:7">
      <c r="B3114">
        <f>IF(INDEX(Transactions!$J:$J,ROW()-8)="",TODAY(),INDEX(Transactions!$G:$G,ROW()-8))</f>
      </c>
      <c r="F3114">
        <f>IF(INDEX(Transactions!$J:$J,ROW()-8)="",0,INDEX(Transactions!$O:$O,ROW()-8))</f>
      </c>
    </row>
    <row r="3115" spans="1:7">
      <c r="B3115">
        <f>IF(INDEX(Transactions!$J:$J,ROW()-8)="",TODAY(),INDEX(Transactions!$G:$G,ROW()-8))</f>
      </c>
      <c r="F3115">
        <f>IF(INDEX(Transactions!$J:$J,ROW()-8)="",0,INDEX(Transactions!$O:$O,ROW()-8))</f>
      </c>
    </row>
    <row r="3116" spans="1:7">
      <c r="B3116">
        <f>IF(INDEX(Transactions!$J:$J,ROW()-8)="",TODAY(),INDEX(Transactions!$G:$G,ROW()-8))</f>
      </c>
      <c r="F3116">
        <f>IF(INDEX(Transactions!$J:$J,ROW()-8)="",0,INDEX(Transactions!$O:$O,ROW()-8))</f>
      </c>
    </row>
    <row r="3117" spans="1:7">
      <c r="B3117">
        <f>IF(INDEX(Transactions!$J:$J,ROW()-8)="",TODAY(),INDEX(Transactions!$G:$G,ROW()-8))</f>
      </c>
      <c r="F3117">
        <f>IF(INDEX(Transactions!$J:$J,ROW()-8)="",0,INDEX(Transactions!$O:$O,ROW()-8))</f>
      </c>
    </row>
    <row r="3118" spans="1:7">
      <c r="B3118">
        <f>IF(INDEX(Transactions!$J:$J,ROW()-8)="",TODAY(),INDEX(Transactions!$G:$G,ROW()-8))</f>
      </c>
      <c r="F3118">
        <f>IF(INDEX(Transactions!$J:$J,ROW()-8)="",0,INDEX(Transactions!$O:$O,ROW()-8))</f>
      </c>
    </row>
    <row r="3119" spans="1:7">
      <c r="B3119">
        <f>IF(INDEX(Transactions!$J:$J,ROW()-8)="",TODAY(),INDEX(Transactions!$G:$G,ROW()-8))</f>
      </c>
      <c r="F3119">
        <f>IF(INDEX(Transactions!$J:$J,ROW()-8)="",0,INDEX(Transactions!$O:$O,ROW()-8))</f>
      </c>
    </row>
    <row r="3120" spans="1:7">
      <c r="B3120">
        <f>IF(INDEX(Transactions!$J:$J,ROW()-8)="",TODAY(),INDEX(Transactions!$G:$G,ROW()-8))</f>
      </c>
      <c r="F3120">
        <f>IF(INDEX(Transactions!$J:$J,ROW()-8)="",0,INDEX(Transactions!$O:$O,ROW()-8))</f>
      </c>
    </row>
    <row r="3121" spans="1:7">
      <c r="B3121">
        <f>IF(INDEX(Transactions!$J:$J,ROW()-8)="",TODAY(),INDEX(Transactions!$G:$G,ROW()-8))</f>
      </c>
      <c r="F3121">
        <f>IF(INDEX(Transactions!$J:$J,ROW()-8)="",0,INDEX(Transactions!$O:$O,ROW()-8))</f>
      </c>
    </row>
    <row r="3122" spans="1:7">
      <c r="B3122">
        <f>IF(INDEX(Transactions!$J:$J,ROW()-8)="",TODAY(),INDEX(Transactions!$G:$G,ROW()-8))</f>
      </c>
      <c r="F3122">
        <f>IF(INDEX(Transactions!$J:$J,ROW()-8)="",0,INDEX(Transactions!$O:$O,ROW()-8))</f>
      </c>
    </row>
    <row r="3123" spans="1:7">
      <c r="B3123">
        <f>IF(INDEX(Transactions!$J:$J,ROW()-8)="",TODAY(),INDEX(Transactions!$G:$G,ROW()-8))</f>
      </c>
      <c r="F3123">
        <f>IF(INDEX(Transactions!$J:$J,ROW()-8)="",0,INDEX(Transactions!$O:$O,ROW()-8))</f>
      </c>
    </row>
    <row r="3124" spans="1:7">
      <c r="B3124">
        <f>IF(INDEX(Transactions!$J:$J,ROW()-8)="",TODAY(),INDEX(Transactions!$G:$G,ROW()-8))</f>
      </c>
      <c r="F3124">
        <f>IF(INDEX(Transactions!$J:$J,ROW()-8)="",0,INDEX(Transactions!$O:$O,ROW()-8))</f>
      </c>
    </row>
    <row r="3125" spans="1:7">
      <c r="B3125">
        <f>IF(INDEX(Transactions!$J:$J,ROW()-8)="",TODAY(),INDEX(Transactions!$G:$G,ROW()-8))</f>
      </c>
      <c r="F3125">
        <f>IF(INDEX(Transactions!$J:$J,ROW()-8)="",0,INDEX(Transactions!$O:$O,ROW()-8))</f>
      </c>
    </row>
    <row r="3126" spans="1:7">
      <c r="B3126">
        <f>IF(INDEX(Transactions!$J:$J,ROW()-8)="",TODAY(),INDEX(Transactions!$G:$G,ROW()-8))</f>
      </c>
      <c r="F3126">
        <f>IF(INDEX(Transactions!$J:$J,ROW()-8)="",0,INDEX(Transactions!$O:$O,ROW()-8))</f>
      </c>
    </row>
    <row r="3127" spans="1:7">
      <c r="B3127">
        <f>IF(INDEX(Transactions!$J:$J,ROW()-8)="",TODAY(),INDEX(Transactions!$G:$G,ROW()-8))</f>
      </c>
      <c r="F3127">
        <f>IF(INDEX(Transactions!$J:$J,ROW()-8)="",0,INDEX(Transactions!$O:$O,ROW()-8))</f>
      </c>
    </row>
    <row r="3128" spans="1:7">
      <c r="B3128">
        <f>IF(INDEX(Transactions!$J:$J,ROW()-8)="",TODAY(),INDEX(Transactions!$G:$G,ROW()-8))</f>
      </c>
      <c r="F3128">
        <f>IF(INDEX(Transactions!$J:$J,ROW()-8)="",0,INDEX(Transactions!$O:$O,ROW()-8))</f>
      </c>
    </row>
    <row r="3129" spans="1:7">
      <c r="B3129">
        <f>IF(INDEX(Transactions!$J:$J,ROW()-8)="",TODAY(),INDEX(Transactions!$G:$G,ROW()-8))</f>
      </c>
      <c r="F3129">
        <f>IF(INDEX(Transactions!$J:$J,ROW()-8)="",0,INDEX(Transactions!$O:$O,ROW()-8))</f>
      </c>
    </row>
    <row r="3130" spans="1:7">
      <c r="B3130">
        <f>IF(INDEX(Transactions!$J:$J,ROW()-8)="",TODAY(),INDEX(Transactions!$G:$G,ROW()-8))</f>
      </c>
      <c r="F3130">
        <f>IF(INDEX(Transactions!$J:$J,ROW()-8)="",0,INDEX(Transactions!$O:$O,ROW()-8))</f>
      </c>
    </row>
    <row r="3131" spans="1:7">
      <c r="B3131">
        <f>IF(INDEX(Transactions!$J:$J,ROW()-8)="",TODAY(),INDEX(Transactions!$G:$G,ROW()-8))</f>
      </c>
      <c r="F3131">
        <f>IF(INDEX(Transactions!$J:$J,ROW()-8)="",0,INDEX(Transactions!$O:$O,ROW()-8))</f>
      </c>
    </row>
    <row r="3132" spans="1:7">
      <c r="B3132">
        <f>IF(INDEX(Transactions!$J:$J,ROW()-8)="",TODAY(),INDEX(Transactions!$G:$G,ROW()-8))</f>
      </c>
      <c r="F3132">
        <f>IF(INDEX(Transactions!$J:$J,ROW()-8)="",0,INDEX(Transactions!$O:$O,ROW()-8))</f>
      </c>
    </row>
    <row r="3133" spans="1:7">
      <c r="B3133">
        <f>IF(INDEX(Transactions!$J:$J,ROW()-8)="",TODAY(),INDEX(Transactions!$G:$G,ROW()-8))</f>
      </c>
      <c r="F3133">
        <f>IF(INDEX(Transactions!$J:$J,ROW()-8)="",0,INDEX(Transactions!$O:$O,ROW()-8))</f>
      </c>
    </row>
    <row r="3134" spans="1:7">
      <c r="B3134">
        <f>IF(INDEX(Transactions!$J:$J,ROW()-8)="",TODAY(),INDEX(Transactions!$G:$G,ROW()-8))</f>
      </c>
      <c r="F3134">
        <f>IF(INDEX(Transactions!$J:$J,ROW()-8)="",0,INDEX(Transactions!$O:$O,ROW()-8))</f>
      </c>
    </row>
    <row r="3135" spans="1:7">
      <c r="B3135">
        <f>IF(INDEX(Transactions!$J:$J,ROW()-8)="",TODAY(),INDEX(Transactions!$G:$G,ROW()-8))</f>
      </c>
      <c r="F3135">
        <f>IF(INDEX(Transactions!$J:$J,ROW()-8)="",0,INDEX(Transactions!$O:$O,ROW()-8))</f>
      </c>
    </row>
    <row r="3136" spans="1:7">
      <c r="B3136">
        <f>IF(INDEX(Transactions!$J:$J,ROW()-8)="",TODAY(),INDEX(Transactions!$G:$G,ROW()-8))</f>
      </c>
      <c r="F3136">
        <f>IF(INDEX(Transactions!$J:$J,ROW()-8)="",0,INDEX(Transactions!$O:$O,ROW()-8))</f>
      </c>
    </row>
    <row r="3137" spans="1:7">
      <c r="B3137">
        <f>IF(INDEX(Transactions!$J:$J,ROW()-8)="",TODAY(),INDEX(Transactions!$G:$G,ROW()-8))</f>
      </c>
      <c r="F3137">
        <f>IF(INDEX(Transactions!$J:$J,ROW()-8)="",0,INDEX(Transactions!$O:$O,ROW()-8))</f>
      </c>
    </row>
    <row r="3138" spans="1:7">
      <c r="B3138">
        <f>IF(INDEX(Transactions!$J:$J,ROW()-8)="",TODAY(),INDEX(Transactions!$G:$G,ROW()-8))</f>
      </c>
      <c r="F3138">
        <f>IF(INDEX(Transactions!$J:$J,ROW()-8)="",0,INDEX(Transactions!$O:$O,ROW()-8))</f>
      </c>
    </row>
    <row r="3139" spans="1:7">
      <c r="B3139">
        <f>IF(INDEX(Transactions!$J:$J,ROW()-8)="",TODAY(),INDEX(Transactions!$G:$G,ROW()-8))</f>
      </c>
      <c r="F3139">
        <f>IF(INDEX(Transactions!$J:$J,ROW()-8)="",0,INDEX(Transactions!$O:$O,ROW()-8))</f>
      </c>
    </row>
    <row r="3140" spans="1:7">
      <c r="B3140">
        <f>IF(INDEX(Transactions!$J:$J,ROW()-8)="",TODAY(),INDEX(Transactions!$G:$G,ROW()-8))</f>
      </c>
      <c r="F3140">
        <f>IF(INDEX(Transactions!$J:$J,ROW()-8)="",0,INDEX(Transactions!$O:$O,ROW()-8))</f>
      </c>
    </row>
    <row r="3141" spans="1:7">
      <c r="B3141">
        <f>IF(INDEX(Transactions!$J:$J,ROW()-8)="",TODAY(),INDEX(Transactions!$G:$G,ROW()-8))</f>
      </c>
      <c r="F3141">
        <f>IF(INDEX(Transactions!$J:$J,ROW()-8)="",0,INDEX(Transactions!$O:$O,ROW()-8))</f>
      </c>
    </row>
    <row r="3142" spans="1:7">
      <c r="B3142">
        <f>IF(INDEX(Transactions!$J:$J,ROW()-8)="",TODAY(),INDEX(Transactions!$G:$G,ROW()-8))</f>
      </c>
      <c r="F3142">
        <f>IF(INDEX(Transactions!$J:$J,ROW()-8)="",0,INDEX(Transactions!$O:$O,ROW()-8))</f>
      </c>
    </row>
    <row r="3143" spans="1:7">
      <c r="B3143">
        <f>IF(INDEX(Transactions!$J:$J,ROW()-8)="",TODAY(),INDEX(Transactions!$G:$G,ROW()-8))</f>
      </c>
      <c r="F3143">
        <f>IF(INDEX(Transactions!$J:$J,ROW()-8)="",0,INDEX(Transactions!$O:$O,ROW()-8))</f>
      </c>
    </row>
    <row r="3144" spans="1:7">
      <c r="B3144">
        <f>IF(INDEX(Transactions!$J:$J,ROW()-8)="",TODAY(),INDEX(Transactions!$G:$G,ROW()-8))</f>
      </c>
      <c r="F3144">
        <f>IF(INDEX(Transactions!$J:$J,ROW()-8)="",0,INDEX(Transactions!$O:$O,ROW()-8))</f>
      </c>
    </row>
    <row r="3145" spans="1:7">
      <c r="B3145">
        <f>IF(INDEX(Transactions!$J:$J,ROW()-8)="",TODAY(),INDEX(Transactions!$G:$G,ROW()-8))</f>
      </c>
      <c r="F3145">
        <f>IF(INDEX(Transactions!$J:$J,ROW()-8)="",0,INDEX(Transactions!$O:$O,ROW()-8))</f>
      </c>
    </row>
    <row r="3146" spans="1:7">
      <c r="B3146">
        <f>IF(INDEX(Transactions!$J:$J,ROW()-8)="",TODAY(),INDEX(Transactions!$G:$G,ROW()-8))</f>
      </c>
      <c r="F3146">
        <f>IF(INDEX(Transactions!$J:$J,ROW()-8)="",0,INDEX(Transactions!$O:$O,ROW()-8))</f>
      </c>
    </row>
    <row r="3147" spans="1:7">
      <c r="B3147">
        <f>IF(INDEX(Transactions!$J:$J,ROW()-8)="",TODAY(),INDEX(Transactions!$G:$G,ROW()-8))</f>
      </c>
      <c r="F3147">
        <f>IF(INDEX(Transactions!$J:$J,ROW()-8)="",0,INDEX(Transactions!$O:$O,ROW()-8))</f>
      </c>
    </row>
    <row r="3148" spans="1:7">
      <c r="B3148">
        <f>IF(INDEX(Transactions!$J:$J,ROW()-8)="",TODAY(),INDEX(Transactions!$G:$G,ROW()-8))</f>
      </c>
      <c r="F3148">
        <f>IF(INDEX(Transactions!$J:$J,ROW()-8)="",0,INDEX(Transactions!$O:$O,ROW()-8))</f>
      </c>
    </row>
    <row r="3149" spans="1:7">
      <c r="B3149">
        <f>IF(INDEX(Transactions!$J:$J,ROW()-8)="",TODAY(),INDEX(Transactions!$G:$G,ROW()-8))</f>
      </c>
      <c r="F3149">
        <f>IF(INDEX(Transactions!$J:$J,ROW()-8)="",0,INDEX(Transactions!$O:$O,ROW()-8))</f>
      </c>
    </row>
    <row r="3150" spans="1:7">
      <c r="B3150">
        <f>IF(INDEX(Transactions!$J:$J,ROW()-8)="",TODAY(),INDEX(Transactions!$G:$G,ROW()-8))</f>
      </c>
      <c r="F3150">
        <f>IF(INDEX(Transactions!$J:$J,ROW()-8)="",0,INDEX(Transactions!$O:$O,ROW()-8))</f>
      </c>
    </row>
    <row r="3151" spans="1:7">
      <c r="B3151">
        <f>IF(INDEX(Transactions!$J:$J,ROW()-8)="",TODAY(),INDEX(Transactions!$G:$G,ROW()-8))</f>
      </c>
      <c r="F3151">
        <f>IF(INDEX(Transactions!$J:$J,ROW()-8)="",0,INDEX(Transactions!$O:$O,ROW()-8))</f>
      </c>
    </row>
    <row r="3152" spans="1:7">
      <c r="B3152">
        <f>IF(INDEX(Transactions!$J:$J,ROW()-8)="",TODAY(),INDEX(Transactions!$G:$G,ROW()-8))</f>
      </c>
      <c r="F3152">
        <f>IF(INDEX(Transactions!$J:$J,ROW()-8)="",0,INDEX(Transactions!$O:$O,ROW()-8))</f>
      </c>
    </row>
    <row r="3153" spans="1:7">
      <c r="B3153">
        <f>IF(INDEX(Transactions!$J:$J,ROW()-8)="",TODAY(),INDEX(Transactions!$G:$G,ROW()-8))</f>
      </c>
      <c r="F3153">
        <f>IF(INDEX(Transactions!$J:$J,ROW()-8)="",0,INDEX(Transactions!$O:$O,ROW()-8))</f>
      </c>
    </row>
    <row r="3154" spans="1:7">
      <c r="B3154">
        <f>IF(INDEX(Transactions!$J:$J,ROW()-8)="",TODAY(),INDEX(Transactions!$G:$G,ROW()-8))</f>
      </c>
      <c r="F3154">
        <f>IF(INDEX(Transactions!$J:$J,ROW()-8)="",0,INDEX(Transactions!$O:$O,ROW()-8))</f>
      </c>
    </row>
    <row r="3155" spans="1:7">
      <c r="B3155">
        <f>IF(INDEX(Transactions!$J:$J,ROW()-8)="",TODAY(),INDEX(Transactions!$G:$G,ROW()-8))</f>
      </c>
      <c r="F3155">
        <f>IF(INDEX(Transactions!$J:$J,ROW()-8)="",0,INDEX(Transactions!$O:$O,ROW()-8))</f>
      </c>
    </row>
    <row r="3156" spans="1:7">
      <c r="B3156">
        <f>IF(INDEX(Transactions!$J:$J,ROW()-8)="",TODAY(),INDEX(Transactions!$G:$G,ROW()-8))</f>
      </c>
      <c r="F3156">
        <f>IF(INDEX(Transactions!$J:$J,ROW()-8)="",0,INDEX(Transactions!$O:$O,ROW()-8))</f>
      </c>
    </row>
    <row r="3157" spans="1:7">
      <c r="B3157">
        <f>IF(INDEX(Transactions!$J:$J,ROW()-8)="",TODAY(),INDEX(Transactions!$G:$G,ROW()-8))</f>
      </c>
      <c r="F3157">
        <f>IF(INDEX(Transactions!$J:$J,ROW()-8)="",0,INDEX(Transactions!$O:$O,ROW()-8))</f>
      </c>
    </row>
    <row r="3158" spans="1:7">
      <c r="B3158">
        <f>IF(INDEX(Transactions!$J:$J,ROW()-8)="",TODAY(),INDEX(Transactions!$G:$G,ROW()-8))</f>
      </c>
      <c r="F3158">
        <f>IF(INDEX(Transactions!$J:$J,ROW()-8)="",0,INDEX(Transactions!$O:$O,ROW()-8))</f>
      </c>
    </row>
    <row r="3159" spans="1:7">
      <c r="B3159">
        <f>IF(INDEX(Transactions!$J:$J,ROW()-8)="",TODAY(),INDEX(Transactions!$G:$G,ROW()-8))</f>
      </c>
      <c r="F3159">
        <f>IF(INDEX(Transactions!$J:$J,ROW()-8)="",0,INDEX(Transactions!$O:$O,ROW()-8))</f>
      </c>
    </row>
    <row r="3160" spans="1:7">
      <c r="B3160">
        <f>IF(INDEX(Transactions!$J:$J,ROW()-8)="",TODAY(),INDEX(Transactions!$G:$G,ROW()-8))</f>
      </c>
      <c r="F3160">
        <f>IF(INDEX(Transactions!$J:$J,ROW()-8)="",0,INDEX(Transactions!$O:$O,ROW()-8))</f>
      </c>
    </row>
    <row r="3161" spans="1:7">
      <c r="B3161">
        <f>IF(INDEX(Transactions!$J:$J,ROW()-8)="",TODAY(),INDEX(Transactions!$G:$G,ROW()-8))</f>
      </c>
      <c r="F3161">
        <f>IF(INDEX(Transactions!$J:$J,ROW()-8)="",0,INDEX(Transactions!$O:$O,ROW()-8))</f>
      </c>
    </row>
    <row r="3162" spans="1:7">
      <c r="B3162">
        <f>IF(INDEX(Transactions!$J:$J,ROW()-8)="",TODAY(),INDEX(Transactions!$G:$G,ROW()-8))</f>
      </c>
      <c r="F3162">
        <f>IF(INDEX(Transactions!$J:$J,ROW()-8)="",0,INDEX(Transactions!$O:$O,ROW()-8))</f>
      </c>
    </row>
    <row r="3163" spans="1:7">
      <c r="B3163">
        <f>IF(INDEX(Transactions!$J:$J,ROW()-8)="",TODAY(),INDEX(Transactions!$G:$G,ROW()-8))</f>
      </c>
      <c r="F3163">
        <f>IF(INDEX(Transactions!$J:$J,ROW()-8)="",0,INDEX(Transactions!$O:$O,ROW()-8))</f>
      </c>
    </row>
    <row r="3164" spans="1:7">
      <c r="B3164">
        <f>IF(INDEX(Transactions!$J:$J,ROW()-8)="",TODAY(),INDEX(Transactions!$G:$G,ROW()-8))</f>
      </c>
      <c r="F3164">
        <f>IF(INDEX(Transactions!$J:$J,ROW()-8)="",0,INDEX(Transactions!$O:$O,ROW()-8))</f>
      </c>
    </row>
    <row r="3165" spans="1:7">
      <c r="B3165">
        <f>IF(INDEX(Transactions!$J:$J,ROW()-8)="",TODAY(),INDEX(Transactions!$G:$G,ROW()-8))</f>
      </c>
      <c r="F3165">
        <f>IF(INDEX(Transactions!$J:$J,ROW()-8)="",0,INDEX(Transactions!$O:$O,ROW()-8))</f>
      </c>
    </row>
    <row r="3166" spans="1:7">
      <c r="B3166">
        <f>IF(INDEX(Transactions!$J:$J,ROW()-8)="",TODAY(),INDEX(Transactions!$G:$G,ROW()-8))</f>
      </c>
      <c r="F3166">
        <f>IF(INDEX(Transactions!$J:$J,ROW()-8)="",0,INDEX(Transactions!$O:$O,ROW()-8))</f>
      </c>
    </row>
    <row r="3167" spans="1:7">
      <c r="B3167">
        <f>IF(INDEX(Transactions!$J:$J,ROW()-8)="",TODAY(),INDEX(Transactions!$G:$G,ROW()-8))</f>
      </c>
      <c r="F3167">
        <f>IF(INDEX(Transactions!$J:$J,ROW()-8)="",0,INDEX(Transactions!$O:$O,ROW()-8))</f>
      </c>
    </row>
    <row r="3168" spans="1:7">
      <c r="B3168">
        <f>IF(INDEX(Transactions!$J:$J,ROW()-8)="",TODAY(),INDEX(Transactions!$G:$G,ROW()-8))</f>
      </c>
      <c r="F3168">
        <f>IF(INDEX(Transactions!$J:$J,ROW()-8)="",0,INDEX(Transactions!$O:$O,ROW()-8))</f>
      </c>
    </row>
    <row r="3169" spans="1:7">
      <c r="B3169">
        <f>IF(INDEX(Transactions!$J:$J,ROW()-8)="",TODAY(),INDEX(Transactions!$G:$G,ROW()-8))</f>
      </c>
      <c r="F3169">
        <f>IF(INDEX(Transactions!$J:$J,ROW()-8)="",0,INDEX(Transactions!$O:$O,ROW()-8))</f>
      </c>
    </row>
    <row r="3170" spans="1:7">
      <c r="B3170">
        <f>IF(INDEX(Transactions!$J:$J,ROW()-8)="",TODAY(),INDEX(Transactions!$G:$G,ROW()-8))</f>
      </c>
      <c r="F3170">
        <f>IF(INDEX(Transactions!$J:$J,ROW()-8)="",0,INDEX(Transactions!$O:$O,ROW()-8))</f>
      </c>
    </row>
    <row r="3171" spans="1:7">
      <c r="B3171">
        <f>IF(INDEX(Transactions!$J:$J,ROW()-8)="",TODAY(),INDEX(Transactions!$G:$G,ROW()-8))</f>
      </c>
      <c r="F3171">
        <f>IF(INDEX(Transactions!$J:$J,ROW()-8)="",0,INDEX(Transactions!$O:$O,ROW()-8))</f>
      </c>
    </row>
    <row r="3172" spans="1:7">
      <c r="B3172">
        <f>IF(INDEX(Transactions!$J:$J,ROW()-8)="",TODAY(),INDEX(Transactions!$G:$G,ROW()-8))</f>
      </c>
      <c r="F3172">
        <f>IF(INDEX(Transactions!$J:$J,ROW()-8)="",0,INDEX(Transactions!$O:$O,ROW()-8))</f>
      </c>
    </row>
    <row r="3173" spans="1:7">
      <c r="B3173">
        <f>IF(INDEX(Transactions!$J:$J,ROW()-8)="",TODAY(),INDEX(Transactions!$G:$G,ROW()-8))</f>
      </c>
      <c r="F3173">
        <f>IF(INDEX(Transactions!$J:$J,ROW()-8)="",0,INDEX(Transactions!$O:$O,ROW()-8))</f>
      </c>
    </row>
    <row r="3174" spans="1:7">
      <c r="B3174">
        <f>IF(INDEX(Transactions!$J:$J,ROW()-8)="",TODAY(),INDEX(Transactions!$G:$G,ROW()-8))</f>
      </c>
      <c r="F3174">
        <f>IF(INDEX(Transactions!$J:$J,ROW()-8)="",0,INDEX(Transactions!$O:$O,ROW()-8))</f>
      </c>
    </row>
    <row r="3175" spans="1:7">
      <c r="B3175">
        <f>IF(INDEX(Transactions!$J:$J,ROW()-8)="",TODAY(),INDEX(Transactions!$G:$G,ROW()-8))</f>
      </c>
      <c r="F3175">
        <f>IF(INDEX(Transactions!$J:$J,ROW()-8)="",0,INDEX(Transactions!$O:$O,ROW()-8))</f>
      </c>
    </row>
    <row r="3176" spans="1:7">
      <c r="B3176">
        <f>IF(INDEX(Transactions!$J:$J,ROW()-8)="",TODAY(),INDEX(Transactions!$G:$G,ROW()-8))</f>
      </c>
      <c r="F3176">
        <f>IF(INDEX(Transactions!$J:$J,ROW()-8)="",0,INDEX(Transactions!$O:$O,ROW()-8))</f>
      </c>
    </row>
    <row r="3177" spans="1:7">
      <c r="B3177">
        <f>IF(INDEX(Transactions!$J:$J,ROW()-8)="",TODAY(),INDEX(Transactions!$G:$G,ROW()-8))</f>
      </c>
      <c r="F3177">
        <f>IF(INDEX(Transactions!$J:$J,ROW()-8)="",0,INDEX(Transactions!$O:$O,ROW()-8))</f>
      </c>
    </row>
    <row r="3178" spans="1:7">
      <c r="B3178">
        <f>IF(INDEX(Transactions!$J:$J,ROW()-8)="",TODAY(),INDEX(Transactions!$G:$G,ROW()-8))</f>
      </c>
      <c r="F3178">
        <f>IF(INDEX(Transactions!$J:$J,ROW()-8)="",0,INDEX(Transactions!$O:$O,ROW()-8))</f>
      </c>
    </row>
    <row r="3179" spans="1:7">
      <c r="B3179">
        <f>IF(INDEX(Transactions!$J:$J,ROW()-8)="",TODAY(),INDEX(Transactions!$G:$G,ROW()-8))</f>
      </c>
      <c r="F3179">
        <f>IF(INDEX(Transactions!$J:$J,ROW()-8)="",0,INDEX(Transactions!$O:$O,ROW()-8))</f>
      </c>
    </row>
    <row r="3180" spans="1:7">
      <c r="B3180">
        <f>IF(INDEX(Transactions!$J:$J,ROW()-8)="",TODAY(),INDEX(Transactions!$G:$G,ROW()-8))</f>
      </c>
      <c r="F3180">
        <f>IF(INDEX(Transactions!$J:$J,ROW()-8)="",0,INDEX(Transactions!$O:$O,ROW()-8))</f>
      </c>
    </row>
    <row r="3181" spans="1:7">
      <c r="B3181">
        <f>IF(INDEX(Transactions!$J:$J,ROW()-8)="",TODAY(),INDEX(Transactions!$G:$G,ROW()-8))</f>
      </c>
      <c r="F3181">
        <f>IF(INDEX(Transactions!$J:$J,ROW()-8)="",0,INDEX(Transactions!$O:$O,ROW()-8))</f>
      </c>
    </row>
    <row r="3182" spans="1:7">
      <c r="B3182">
        <f>IF(INDEX(Transactions!$J:$J,ROW()-8)="",TODAY(),INDEX(Transactions!$G:$G,ROW()-8))</f>
      </c>
      <c r="F3182">
        <f>IF(INDEX(Transactions!$J:$J,ROW()-8)="",0,INDEX(Transactions!$O:$O,ROW()-8))</f>
      </c>
    </row>
    <row r="3183" spans="1:7">
      <c r="B3183">
        <f>IF(INDEX(Transactions!$J:$J,ROW()-8)="",TODAY(),INDEX(Transactions!$G:$G,ROW()-8))</f>
      </c>
      <c r="F3183">
        <f>IF(INDEX(Transactions!$J:$J,ROW()-8)="",0,INDEX(Transactions!$O:$O,ROW()-8))</f>
      </c>
    </row>
    <row r="3184" spans="1:7">
      <c r="B3184">
        <f>IF(INDEX(Transactions!$J:$J,ROW()-8)="",TODAY(),INDEX(Transactions!$G:$G,ROW()-8))</f>
      </c>
      <c r="F3184">
        <f>IF(INDEX(Transactions!$J:$J,ROW()-8)="",0,INDEX(Transactions!$O:$O,ROW()-8))</f>
      </c>
    </row>
    <row r="3185" spans="1:7">
      <c r="B3185">
        <f>IF(INDEX(Transactions!$J:$J,ROW()-8)="",TODAY(),INDEX(Transactions!$G:$G,ROW()-8))</f>
      </c>
      <c r="F3185">
        <f>IF(INDEX(Transactions!$J:$J,ROW()-8)="",0,INDEX(Transactions!$O:$O,ROW()-8))</f>
      </c>
    </row>
    <row r="3186" spans="1:7">
      <c r="B3186">
        <f>IF(INDEX(Transactions!$J:$J,ROW()-8)="",TODAY(),INDEX(Transactions!$G:$G,ROW()-8))</f>
      </c>
      <c r="F3186">
        <f>IF(INDEX(Transactions!$J:$J,ROW()-8)="",0,INDEX(Transactions!$O:$O,ROW()-8))</f>
      </c>
    </row>
    <row r="3187" spans="1:7">
      <c r="B3187">
        <f>IF(INDEX(Transactions!$J:$J,ROW()-8)="",TODAY(),INDEX(Transactions!$G:$G,ROW()-8))</f>
      </c>
      <c r="F3187">
        <f>IF(INDEX(Transactions!$J:$J,ROW()-8)="",0,INDEX(Transactions!$O:$O,ROW()-8))</f>
      </c>
    </row>
    <row r="3188" spans="1:7">
      <c r="B3188">
        <f>IF(INDEX(Transactions!$J:$J,ROW()-8)="",TODAY(),INDEX(Transactions!$G:$G,ROW()-8))</f>
      </c>
      <c r="F3188">
        <f>IF(INDEX(Transactions!$J:$J,ROW()-8)="",0,INDEX(Transactions!$O:$O,ROW()-8))</f>
      </c>
    </row>
    <row r="3189" spans="1:7">
      <c r="B3189">
        <f>IF(INDEX(Transactions!$J:$J,ROW()-8)="",TODAY(),INDEX(Transactions!$G:$G,ROW()-8))</f>
      </c>
      <c r="F3189">
        <f>IF(INDEX(Transactions!$J:$J,ROW()-8)="",0,INDEX(Transactions!$O:$O,ROW()-8))</f>
      </c>
    </row>
    <row r="3190" spans="1:7">
      <c r="B3190">
        <f>IF(INDEX(Transactions!$J:$J,ROW()-8)="",TODAY(),INDEX(Transactions!$G:$G,ROW()-8))</f>
      </c>
      <c r="F3190">
        <f>IF(INDEX(Transactions!$J:$J,ROW()-8)="",0,INDEX(Transactions!$O:$O,ROW()-8))</f>
      </c>
    </row>
    <row r="3191" spans="1:7">
      <c r="B3191">
        <f>IF(INDEX(Transactions!$J:$J,ROW()-8)="",TODAY(),INDEX(Transactions!$G:$G,ROW()-8))</f>
      </c>
      <c r="F3191">
        <f>IF(INDEX(Transactions!$J:$J,ROW()-8)="",0,INDEX(Transactions!$O:$O,ROW()-8))</f>
      </c>
    </row>
    <row r="3192" spans="1:7">
      <c r="B3192">
        <f>IF(INDEX(Transactions!$J:$J,ROW()-8)="",TODAY(),INDEX(Transactions!$G:$G,ROW()-8))</f>
      </c>
      <c r="F3192">
        <f>IF(INDEX(Transactions!$J:$J,ROW()-8)="",0,INDEX(Transactions!$O:$O,ROW()-8))</f>
      </c>
    </row>
    <row r="3193" spans="1:7">
      <c r="B3193">
        <f>IF(INDEX(Transactions!$J:$J,ROW()-8)="",TODAY(),INDEX(Transactions!$G:$G,ROW()-8))</f>
      </c>
      <c r="F3193">
        <f>IF(INDEX(Transactions!$J:$J,ROW()-8)="",0,INDEX(Transactions!$O:$O,ROW()-8))</f>
      </c>
    </row>
    <row r="3194" spans="1:7">
      <c r="B3194">
        <f>IF(INDEX(Transactions!$J:$J,ROW()-8)="",TODAY(),INDEX(Transactions!$G:$G,ROW()-8))</f>
      </c>
      <c r="F3194">
        <f>IF(INDEX(Transactions!$J:$J,ROW()-8)="",0,INDEX(Transactions!$O:$O,ROW()-8))</f>
      </c>
    </row>
    <row r="3195" spans="1:7">
      <c r="B3195">
        <f>IF(INDEX(Transactions!$J:$J,ROW()-8)="",TODAY(),INDEX(Transactions!$G:$G,ROW()-8))</f>
      </c>
      <c r="F3195">
        <f>IF(INDEX(Transactions!$J:$J,ROW()-8)="",0,INDEX(Transactions!$O:$O,ROW()-8))</f>
      </c>
    </row>
    <row r="3196" spans="1:7">
      <c r="B3196">
        <f>IF(INDEX(Transactions!$J:$J,ROW()-8)="",TODAY(),INDEX(Transactions!$G:$G,ROW()-8))</f>
      </c>
      <c r="F3196">
        <f>IF(INDEX(Transactions!$J:$J,ROW()-8)="",0,INDEX(Transactions!$O:$O,ROW()-8))</f>
      </c>
    </row>
    <row r="3197" spans="1:7">
      <c r="B3197">
        <f>IF(INDEX(Transactions!$J:$J,ROW()-8)="",TODAY(),INDEX(Transactions!$G:$G,ROW()-8))</f>
      </c>
      <c r="F3197">
        <f>IF(INDEX(Transactions!$J:$J,ROW()-8)="",0,INDEX(Transactions!$O:$O,ROW()-8))</f>
      </c>
    </row>
    <row r="3198" spans="1:7">
      <c r="B3198">
        <f>IF(INDEX(Transactions!$J:$J,ROW()-8)="",TODAY(),INDEX(Transactions!$G:$G,ROW()-8))</f>
      </c>
      <c r="F3198">
        <f>IF(INDEX(Transactions!$J:$J,ROW()-8)="",0,INDEX(Transactions!$O:$O,ROW()-8))</f>
      </c>
    </row>
    <row r="3199" spans="1:7">
      <c r="B3199">
        <f>IF(INDEX(Transactions!$J:$J,ROW()-8)="",TODAY(),INDEX(Transactions!$G:$G,ROW()-8))</f>
      </c>
      <c r="F3199">
        <f>IF(INDEX(Transactions!$J:$J,ROW()-8)="",0,INDEX(Transactions!$O:$O,ROW()-8))</f>
      </c>
    </row>
    <row r="3200" spans="1:7">
      <c r="B3200">
        <f>IF(INDEX(Transactions!$J:$J,ROW()-8)="",TODAY(),INDEX(Transactions!$G:$G,ROW()-8))</f>
      </c>
      <c r="F3200">
        <f>IF(INDEX(Transactions!$J:$J,ROW()-8)="",0,INDEX(Transactions!$O:$O,ROW()-8))</f>
      </c>
    </row>
    <row r="3201" spans="1:7">
      <c r="B3201">
        <f>IF(INDEX(Transactions!$J:$J,ROW()-8)="",TODAY(),INDEX(Transactions!$G:$G,ROW()-8))</f>
      </c>
      <c r="F3201">
        <f>IF(INDEX(Transactions!$J:$J,ROW()-8)="",0,INDEX(Transactions!$O:$O,ROW()-8))</f>
      </c>
    </row>
    <row r="3202" spans="1:7">
      <c r="B3202">
        <f>IF(INDEX(Transactions!$J:$J,ROW()-8)="",TODAY(),INDEX(Transactions!$G:$G,ROW()-8))</f>
      </c>
      <c r="F3202">
        <f>IF(INDEX(Transactions!$J:$J,ROW()-8)="",0,INDEX(Transactions!$O:$O,ROW()-8))</f>
      </c>
    </row>
    <row r="3203" spans="1:7">
      <c r="B3203">
        <f>IF(INDEX(Transactions!$J:$J,ROW()-8)="",TODAY(),INDEX(Transactions!$G:$G,ROW()-8))</f>
      </c>
      <c r="F3203">
        <f>IF(INDEX(Transactions!$J:$J,ROW()-8)="",0,INDEX(Transactions!$O:$O,ROW()-8))</f>
      </c>
    </row>
    <row r="3204" spans="1:7">
      <c r="B3204">
        <f>IF(INDEX(Transactions!$J:$J,ROW()-8)="",TODAY(),INDEX(Transactions!$G:$G,ROW()-8))</f>
      </c>
      <c r="F3204">
        <f>IF(INDEX(Transactions!$J:$J,ROW()-8)="",0,INDEX(Transactions!$O:$O,ROW()-8))</f>
      </c>
    </row>
    <row r="3205" spans="1:7">
      <c r="B3205">
        <f>IF(INDEX(Transactions!$J:$J,ROW()-8)="",TODAY(),INDEX(Transactions!$G:$G,ROW()-8))</f>
      </c>
      <c r="F3205">
        <f>IF(INDEX(Transactions!$J:$J,ROW()-8)="",0,INDEX(Transactions!$O:$O,ROW()-8))</f>
      </c>
    </row>
    <row r="3206" spans="1:7">
      <c r="B3206">
        <f>IF(INDEX(Transactions!$J:$J,ROW()-8)="",TODAY(),INDEX(Transactions!$G:$G,ROW()-8))</f>
      </c>
      <c r="F3206">
        <f>IF(INDEX(Transactions!$J:$J,ROW()-8)="",0,INDEX(Transactions!$O:$O,ROW()-8))</f>
      </c>
    </row>
    <row r="3207" spans="1:7">
      <c r="B3207">
        <f>IF(INDEX(Transactions!$J:$J,ROW()-8)="",TODAY(),INDEX(Transactions!$G:$G,ROW()-8))</f>
      </c>
      <c r="F3207">
        <f>IF(INDEX(Transactions!$J:$J,ROW()-8)="",0,INDEX(Transactions!$O:$O,ROW()-8))</f>
      </c>
    </row>
    <row r="3208" spans="1:7">
      <c r="B3208">
        <f>IF(INDEX(Transactions!$J:$J,ROW()-8)="",TODAY(),INDEX(Transactions!$G:$G,ROW()-8))</f>
      </c>
      <c r="F3208">
        <f>IF(INDEX(Transactions!$J:$J,ROW()-8)="",0,INDEX(Transactions!$O:$O,ROW()-8))</f>
      </c>
    </row>
    <row r="3209" spans="1:7">
      <c r="B3209">
        <f>IF(INDEX(Transactions!$J:$J,ROW()-8)="",TODAY(),INDEX(Transactions!$G:$G,ROW()-8))</f>
      </c>
      <c r="F3209">
        <f>IF(INDEX(Transactions!$J:$J,ROW()-8)="",0,INDEX(Transactions!$O:$O,ROW()-8))</f>
      </c>
    </row>
    <row r="3210" spans="1:7">
      <c r="B3210">
        <f>IF(INDEX(Transactions!$J:$J,ROW()-8)="",TODAY(),INDEX(Transactions!$G:$G,ROW()-8))</f>
      </c>
      <c r="F3210">
        <f>IF(INDEX(Transactions!$J:$J,ROW()-8)="",0,INDEX(Transactions!$O:$O,ROW()-8))</f>
      </c>
    </row>
    <row r="3211" spans="1:7">
      <c r="B3211">
        <f>IF(INDEX(Transactions!$J:$J,ROW()-8)="",TODAY(),INDEX(Transactions!$G:$G,ROW()-8))</f>
      </c>
      <c r="F3211">
        <f>IF(INDEX(Transactions!$J:$J,ROW()-8)="",0,INDEX(Transactions!$O:$O,ROW()-8))</f>
      </c>
    </row>
    <row r="3212" spans="1:7">
      <c r="B3212">
        <f>IF(INDEX(Transactions!$J:$J,ROW()-8)="",TODAY(),INDEX(Transactions!$G:$G,ROW()-8))</f>
      </c>
      <c r="F3212">
        <f>IF(INDEX(Transactions!$J:$J,ROW()-8)="",0,INDEX(Transactions!$O:$O,ROW()-8))</f>
      </c>
    </row>
    <row r="3213" spans="1:7">
      <c r="B3213">
        <f>IF(INDEX(Transactions!$J:$J,ROW()-8)="",TODAY(),INDEX(Transactions!$G:$G,ROW()-8))</f>
      </c>
      <c r="F3213">
        <f>IF(INDEX(Transactions!$J:$J,ROW()-8)="",0,INDEX(Transactions!$O:$O,ROW()-8))</f>
      </c>
    </row>
    <row r="3214" spans="1:7">
      <c r="B3214">
        <f>IF(INDEX(Transactions!$J:$J,ROW()-8)="",TODAY(),INDEX(Transactions!$G:$G,ROW()-8))</f>
      </c>
      <c r="F3214">
        <f>IF(INDEX(Transactions!$J:$J,ROW()-8)="",0,INDEX(Transactions!$O:$O,ROW()-8))</f>
      </c>
    </row>
    <row r="3215" spans="1:7">
      <c r="B3215">
        <f>IF(INDEX(Transactions!$J:$J,ROW()-8)="",TODAY(),INDEX(Transactions!$G:$G,ROW()-8))</f>
      </c>
      <c r="F3215">
        <f>IF(INDEX(Transactions!$J:$J,ROW()-8)="",0,INDEX(Transactions!$O:$O,ROW()-8))</f>
      </c>
    </row>
    <row r="3216" spans="1:7">
      <c r="B3216">
        <f>IF(INDEX(Transactions!$J:$J,ROW()-8)="",TODAY(),INDEX(Transactions!$G:$G,ROW()-8))</f>
      </c>
      <c r="F3216">
        <f>IF(INDEX(Transactions!$J:$J,ROW()-8)="",0,INDEX(Transactions!$O:$O,ROW()-8))</f>
      </c>
    </row>
    <row r="3217" spans="1:7">
      <c r="B3217">
        <f>IF(INDEX(Transactions!$J:$J,ROW()-8)="",TODAY(),INDEX(Transactions!$G:$G,ROW()-8))</f>
      </c>
      <c r="F3217">
        <f>IF(INDEX(Transactions!$J:$J,ROW()-8)="",0,INDEX(Transactions!$O:$O,ROW()-8))</f>
      </c>
    </row>
    <row r="3218" spans="1:7">
      <c r="B3218">
        <f>IF(INDEX(Transactions!$J:$J,ROW()-8)="",TODAY(),INDEX(Transactions!$G:$G,ROW()-8))</f>
      </c>
      <c r="F3218">
        <f>IF(INDEX(Transactions!$J:$J,ROW()-8)="",0,INDEX(Transactions!$O:$O,ROW()-8))</f>
      </c>
    </row>
    <row r="3219" spans="1:7">
      <c r="B3219">
        <f>IF(INDEX(Transactions!$J:$J,ROW()-8)="",TODAY(),INDEX(Transactions!$G:$G,ROW()-8))</f>
      </c>
      <c r="F3219">
        <f>IF(INDEX(Transactions!$J:$J,ROW()-8)="",0,INDEX(Transactions!$O:$O,ROW()-8))</f>
      </c>
    </row>
    <row r="3220" spans="1:7">
      <c r="B3220">
        <f>IF(INDEX(Transactions!$J:$J,ROW()-8)="",TODAY(),INDEX(Transactions!$G:$G,ROW()-8))</f>
      </c>
      <c r="F3220">
        <f>IF(INDEX(Transactions!$J:$J,ROW()-8)="",0,INDEX(Transactions!$O:$O,ROW()-8))</f>
      </c>
    </row>
    <row r="3221" spans="1:7">
      <c r="B3221">
        <f>IF(INDEX(Transactions!$J:$J,ROW()-8)="",TODAY(),INDEX(Transactions!$G:$G,ROW()-8))</f>
      </c>
      <c r="F3221">
        <f>IF(INDEX(Transactions!$J:$J,ROW()-8)="",0,INDEX(Transactions!$O:$O,ROW()-8))</f>
      </c>
    </row>
    <row r="3222" spans="1:7">
      <c r="B3222">
        <f>IF(INDEX(Transactions!$J:$J,ROW()-8)="",TODAY(),INDEX(Transactions!$G:$G,ROW()-8))</f>
      </c>
      <c r="F3222">
        <f>IF(INDEX(Transactions!$J:$J,ROW()-8)="",0,INDEX(Transactions!$O:$O,ROW()-8))</f>
      </c>
    </row>
    <row r="3223" spans="1:7">
      <c r="B3223">
        <f>IF(INDEX(Transactions!$J:$J,ROW()-8)="",TODAY(),INDEX(Transactions!$G:$G,ROW()-8))</f>
      </c>
      <c r="F3223">
        <f>IF(INDEX(Transactions!$J:$J,ROW()-8)="",0,INDEX(Transactions!$O:$O,ROW()-8))</f>
      </c>
    </row>
    <row r="3224" spans="1:7">
      <c r="B3224">
        <f>IF(INDEX(Transactions!$J:$J,ROW()-8)="",TODAY(),INDEX(Transactions!$G:$G,ROW()-8))</f>
      </c>
      <c r="F3224">
        <f>IF(INDEX(Transactions!$J:$J,ROW()-8)="",0,INDEX(Transactions!$O:$O,ROW()-8))</f>
      </c>
    </row>
    <row r="3225" spans="1:7">
      <c r="B3225">
        <f>IF(INDEX(Transactions!$J:$J,ROW()-8)="",TODAY(),INDEX(Transactions!$G:$G,ROW()-8))</f>
      </c>
      <c r="F3225">
        <f>IF(INDEX(Transactions!$J:$J,ROW()-8)="",0,INDEX(Transactions!$O:$O,ROW()-8))</f>
      </c>
    </row>
    <row r="3226" spans="1:7">
      <c r="B3226">
        <f>IF(INDEX(Transactions!$J:$J,ROW()-8)="",TODAY(),INDEX(Transactions!$G:$G,ROW()-8))</f>
      </c>
      <c r="F3226">
        <f>IF(INDEX(Transactions!$J:$J,ROW()-8)="",0,INDEX(Transactions!$O:$O,ROW()-8))</f>
      </c>
    </row>
    <row r="3227" spans="1:7">
      <c r="B3227">
        <f>IF(INDEX(Transactions!$J:$J,ROW()-8)="",TODAY(),INDEX(Transactions!$G:$G,ROW()-8))</f>
      </c>
      <c r="F3227">
        <f>IF(INDEX(Transactions!$J:$J,ROW()-8)="",0,INDEX(Transactions!$O:$O,ROW()-8))</f>
      </c>
    </row>
    <row r="3228" spans="1:7">
      <c r="B3228">
        <f>IF(INDEX(Transactions!$J:$J,ROW()-8)="",TODAY(),INDEX(Transactions!$G:$G,ROW()-8))</f>
      </c>
      <c r="F3228">
        <f>IF(INDEX(Transactions!$J:$J,ROW()-8)="",0,INDEX(Transactions!$O:$O,ROW()-8))</f>
      </c>
    </row>
    <row r="3229" spans="1:7">
      <c r="B3229">
        <f>IF(INDEX(Transactions!$J:$J,ROW()-8)="",TODAY(),INDEX(Transactions!$G:$G,ROW()-8))</f>
      </c>
      <c r="F3229">
        <f>IF(INDEX(Transactions!$J:$J,ROW()-8)="",0,INDEX(Transactions!$O:$O,ROW()-8))</f>
      </c>
    </row>
    <row r="3230" spans="1:7">
      <c r="B3230">
        <f>IF(INDEX(Transactions!$J:$J,ROW()-8)="",TODAY(),INDEX(Transactions!$G:$G,ROW()-8))</f>
      </c>
      <c r="F3230">
        <f>IF(INDEX(Transactions!$J:$J,ROW()-8)="",0,INDEX(Transactions!$O:$O,ROW()-8))</f>
      </c>
    </row>
    <row r="3231" spans="1:7">
      <c r="B3231">
        <f>IF(INDEX(Transactions!$J:$J,ROW()-8)="",TODAY(),INDEX(Transactions!$G:$G,ROW()-8))</f>
      </c>
      <c r="F3231">
        <f>IF(INDEX(Transactions!$J:$J,ROW()-8)="",0,INDEX(Transactions!$O:$O,ROW()-8))</f>
      </c>
    </row>
    <row r="3232" spans="1:7">
      <c r="B3232">
        <f>IF(INDEX(Transactions!$J:$J,ROW()-8)="",TODAY(),INDEX(Transactions!$G:$G,ROW()-8))</f>
      </c>
      <c r="F3232">
        <f>IF(INDEX(Transactions!$J:$J,ROW()-8)="",0,INDEX(Transactions!$O:$O,ROW()-8))</f>
      </c>
    </row>
    <row r="3233" spans="1:7">
      <c r="B3233">
        <f>IF(INDEX(Transactions!$J:$J,ROW()-8)="",TODAY(),INDEX(Transactions!$G:$G,ROW()-8))</f>
      </c>
      <c r="F3233">
        <f>IF(INDEX(Transactions!$J:$J,ROW()-8)="",0,INDEX(Transactions!$O:$O,ROW()-8))</f>
      </c>
    </row>
    <row r="3234" spans="1:7">
      <c r="B3234">
        <f>IF(INDEX(Transactions!$J:$J,ROW()-8)="",TODAY(),INDEX(Transactions!$G:$G,ROW()-8))</f>
      </c>
      <c r="F3234">
        <f>IF(INDEX(Transactions!$J:$J,ROW()-8)="",0,INDEX(Transactions!$O:$O,ROW()-8))</f>
      </c>
    </row>
    <row r="3235" spans="1:7">
      <c r="B3235">
        <f>IF(INDEX(Transactions!$J:$J,ROW()-8)="",TODAY(),INDEX(Transactions!$G:$G,ROW()-8))</f>
      </c>
      <c r="F3235">
        <f>IF(INDEX(Transactions!$J:$J,ROW()-8)="",0,INDEX(Transactions!$O:$O,ROW()-8))</f>
      </c>
    </row>
    <row r="3236" spans="1:7">
      <c r="B3236">
        <f>IF(INDEX(Transactions!$J:$J,ROW()-8)="",TODAY(),INDEX(Transactions!$G:$G,ROW()-8))</f>
      </c>
      <c r="F3236">
        <f>IF(INDEX(Transactions!$J:$J,ROW()-8)="",0,INDEX(Transactions!$O:$O,ROW()-8))</f>
      </c>
    </row>
    <row r="3237" spans="1:7">
      <c r="B3237">
        <f>IF(INDEX(Transactions!$J:$J,ROW()-8)="",TODAY(),INDEX(Transactions!$G:$G,ROW()-8))</f>
      </c>
      <c r="F3237">
        <f>IF(INDEX(Transactions!$J:$J,ROW()-8)="",0,INDEX(Transactions!$O:$O,ROW()-8))</f>
      </c>
    </row>
    <row r="3238" spans="1:7">
      <c r="B3238">
        <f>IF(INDEX(Transactions!$J:$J,ROW()-8)="",TODAY(),INDEX(Transactions!$G:$G,ROW()-8))</f>
      </c>
      <c r="F3238">
        <f>IF(INDEX(Transactions!$J:$J,ROW()-8)="",0,INDEX(Transactions!$O:$O,ROW()-8))</f>
      </c>
    </row>
    <row r="3239" spans="1:7">
      <c r="B3239">
        <f>IF(INDEX(Transactions!$J:$J,ROW()-8)="",TODAY(),INDEX(Transactions!$G:$G,ROW()-8))</f>
      </c>
      <c r="F3239">
        <f>IF(INDEX(Transactions!$J:$J,ROW()-8)="",0,INDEX(Transactions!$O:$O,ROW()-8))</f>
      </c>
    </row>
    <row r="3240" spans="1:7">
      <c r="B3240">
        <f>IF(INDEX(Transactions!$J:$J,ROW()-8)="",TODAY(),INDEX(Transactions!$G:$G,ROW()-8))</f>
      </c>
      <c r="F3240">
        <f>IF(INDEX(Transactions!$J:$J,ROW()-8)="",0,INDEX(Transactions!$O:$O,ROW()-8))</f>
      </c>
    </row>
    <row r="3241" spans="1:7">
      <c r="B3241">
        <f>IF(INDEX(Transactions!$J:$J,ROW()-8)="",TODAY(),INDEX(Transactions!$G:$G,ROW()-8))</f>
      </c>
      <c r="F3241">
        <f>IF(INDEX(Transactions!$J:$J,ROW()-8)="",0,INDEX(Transactions!$O:$O,ROW()-8))</f>
      </c>
    </row>
    <row r="3242" spans="1:7">
      <c r="B3242">
        <f>IF(INDEX(Transactions!$J:$J,ROW()-8)="",TODAY(),INDEX(Transactions!$G:$G,ROW()-8))</f>
      </c>
      <c r="F3242">
        <f>IF(INDEX(Transactions!$J:$J,ROW()-8)="",0,INDEX(Transactions!$O:$O,ROW()-8))</f>
      </c>
    </row>
    <row r="3243" spans="1:7">
      <c r="B3243">
        <f>IF(INDEX(Transactions!$J:$J,ROW()-8)="",TODAY(),INDEX(Transactions!$G:$G,ROW()-8))</f>
      </c>
      <c r="F3243">
        <f>IF(INDEX(Transactions!$J:$J,ROW()-8)="",0,INDEX(Transactions!$O:$O,ROW()-8))</f>
      </c>
    </row>
    <row r="3244" spans="1:7">
      <c r="B3244">
        <f>IF(INDEX(Transactions!$J:$J,ROW()-8)="",TODAY(),INDEX(Transactions!$G:$G,ROW()-8))</f>
      </c>
      <c r="F3244">
        <f>IF(INDEX(Transactions!$J:$J,ROW()-8)="",0,INDEX(Transactions!$O:$O,ROW()-8))</f>
      </c>
    </row>
    <row r="3245" spans="1:7">
      <c r="B3245">
        <f>IF(INDEX(Transactions!$J:$J,ROW()-8)="",TODAY(),INDEX(Transactions!$G:$G,ROW()-8))</f>
      </c>
      <c r="F3245">
        <f>IF(INDEX(Transactions!$J:$J,ROW()-8)="",0,INDEX(Transactions!$O:$O,ROW()-8))</f>
      </c>
    </row>
    <row r="3246" spans="1:7">
      <c r="B3246">
        <f>IF(INDEX(Transactions!$J:$J,ROW()-8)="",TODAY(),INDEX(Transactions!$G:$G,ROW()-8))</f>
      </c>
      <c r="F3246">
        <f>IF(INDEX(Transactions!$J:$J,ROW()-8)="",0,INDEX(Transactions!$O:$O,ROW()-8))</f>
      </c>
    </row>
    <row r="3247" spans="1:7">
      <c r="B3247">
        <f>IF(INDEX(Transactions!$J:$J,ROW()-8)="",TODAY(),INDEX(Transactions!$G:$G,ROW()-8))</f>
      </c>
      <c r="F3247">
        <f>IF(INDEX(Transactions!$J:$J,ROW()-8)="",0,INDEX(Transactions!$O:$O,ROW()-8))</f>
      </c>
    </row>
    <row r="3248" spans="1:7">
      <c r="B3248">
        <f>IF(INDEX(Transactions!$J:$J,ROW()-8)="",TODAY(),INDEX(Transactions!$G:$G,ROW()-8))</f>
      </c>
      <c r="F3248">
        <f>IF(INDEX(Transactions!$J:$J,ROW()-8)="",0,INDEX(Transactions!$O:$O,ROW()-8))</f>
      </c>
    </row>
    <row r="3249" spans="1:7">
      <c r="B3249">
        <f>IF(INDEX(Transactions!$J:$J,ROW()-8)="",TODAY(),INDEX(Transactions!$G:$G,ROW()-8))</f>
      </c>
      <c r="F3249">
        <f>IF(INDEX(Transactions!$J:$J,ROW()-8)="",0,INDEX(Transactions!$O:$O,ROW()-8))</f>
      </c>
    </row>
    <row r="3250" spans="1:7">
      <c r="B3250">
        <f>IF(INDEX(Transactions!$J:$J,ROW()-8)="",TODAY(),INDEX(Transactions!$G:$G,ROW()-8))</f>
      </c>
      <c r="F3250">
        <f>IF(INDEX(Transactions!$J:$J,ROW()-8)="",0,INDEX(Transactions!$O:$O,ROW()-8))</f>
      </c>
    </row>
    <row r="3251" spans="1:7">
      <c r="B3251">
        <f>IF(INDEX(Transactions!$J:$J,ROW()-8)="",TODAY(),INDEX(Transactions!$G:$G,ROW()-8))</f>
      </c>
      <c r="F3251">
        <f>IF(INDEX(Transactions!$J:$J,ROW()-8)="",0,INDEX(Transactions!$O:$O,ROW()-8))</f>
      </c>
    </row>
    <row r="3252" spans="1:7">
      <c r="B3252">
        <f>IF(INDEX(Transactions!$J:$J,ROW()-8)="",TODAY(),INDEX(Transactions!$G:$G,ROW()-8))</f>
      </c>
      <c r="F3252">
        <f>IF(INDEX(Transactions!$J:$J,ROW()-8)="",0,INDEX(Transactions!$O:$O,ROW()-8))</f>
      </c>
    </row>
    <row r="3253" spans="1:7">
      <c r="B3253">
        <f>IF(INDEX(Transactions!$J:$J,ROW()-8)="",TODAY(),INDEX(Transactions!$G:$G,ROW()-8))</f>
      </c>
      <c r="F3253">
        <f>IF(INDEX(Transactions!$J:$J,ROW()-8)="",0,INDEX(Transactions!$O:$O,ROW()-8))</f>
      </c>
    </row>
    <row r="3254" spans="1:7">
      <c r="B3254">
        <f>IF(INDEX(Transactions!$J:$J,ROW()-8)="",TODAY(),INDEX(Transactions!$G:$G,ROW()-8))</f>
      </c>
      <c r="F3254">
        <f>IF(INDEX(Transactions!$J:$J,ROW()-8)="",0,INDEX(Transactions!$O:$O,ROW()-8))</f>
      </c>
    </row>
    <row r="3255" spans="1:7">
      <c r="B3255">
        <f>IF(INDEX(Transactions!$J:$J,ROW()-8)="",TODAY(),INDEX(Transactions!$G:$G,ROW()-8))</f>
      </c>
      <c r="F3255">
        <f>IF(INDEX(Transactions!$J:$J,ROW()-8)="",0,INDEX(Transactions!$O:$O,ROW()-8))</f>
      </c>
    </row>
    <row r="3256" spans="1:7">
      <c r="B3256">
        <f>IF(INDEX(Transactions!$J:$J,ROW()-8)="",TODAY(),INDEX(Transactions!$G:$G,ROW()-8))</f>
      </c>
      <c r="F3256">
        <f>IF(INDEX(Transactions!$J:$J,ROW()-8)="",0,INDEX(Transactions!$O:$O,ROW()-8))</f>
      </c>
    </row>
    <row r="3257" spans="1:7">
      <c r="B3257">
        <f>IF(INDEX(Transactions!$J:$J,ROW()-8)="",TODAY(),INDEX(Transactions!$G:$G,ROW()-8))</f>
      </c>
      <c r="F3257">
        <f>IF(INDEX(Transactions!$J:$J,ROW()-8)="",0,INDEX(Transactions!$O:$O,ROW()-8))</f>
      </c>
    </row>
    <row r="3258" spans="1:7">
      <c r="B3258">
        <f>IF(INDEX(Transactions!$J:$J,ROW()-8)="",TODAY(),INDEX(Transactions!$G:$G,ROW()-8))</f>
      </c>
      <c r="F3258">
        <f>IF(INDEX(Transactions!$J:$J,ROW()-8)="",0,INDEX(Transactions!$O:$O,ROW()-8))</f>
      </c>
    </row>
    <row r="3259" spans="1:7">
      <c r="B3259">
        <f>IF(INDEX(Transactions!$J:$J,ROW()-8)="",TODAY(),INDEX(Transactions!$G:$G,ROW()-8))</f>
      </c>
      <c r="F3259">
        <f>IF(INDEX(Transactions!$J:$J,ROW()-8)="",0,INDEX(Transactions!$O:$O,ROW()-8))</f>
      </c>
    </row>
    <row r="3260" spans="1:7">
      <c r="B3260">
        <f>IF(INDEX(Transactions!$J:$J,ROW()-8)="",TODAY(),INDEX(Transactions!$G:$G,ROW()-8))</f>
      </c>
      <c r="F3260">
        <f>IF(INDEX(Transactions!$J:$J,ROW()-8)="",0,INDEX(Transactions!$O:$O,ROW()-8))</f>
      </c>
    </row>
    <row r="3261" spans="1:7">
      <c r="B3261">
        <f>IF(INDEX(Transactions!$J:$J,ROW()-8)="",TODAY(),INDEX(Transactions!$G:$G,ROW()-8))</f>
      </c>
      <c r="F3261">
        <f>IF(INDEX(Transactions!$J:$J,ROW()-8)="",0,INDEX(Transactions!$O:$O,ROW()-8))</f>
      </c>
    </row>
    <row r="3262" spans="1:7">
      <c r="B3262">
        <f>IF(INDEX(Transactions!$J:$J,ROW()-8)="",TODAY(),INDEX(Transactions!$G:$G,ROW()-8))</f>
      </c>
      <c r="F3262">
        <f>IF(INDEX(Transactions!$J:$J,ROW()-8)="",0,INDEX(Transactions!$O:$O,ROW()-8))</f>
      </c>
    </row>
    <row r="3263" spans="1:7">
      <c r="B3263">
        <f>IF(INDEX(Transactions!$J:$J,ROW()-8)="",TODAY(),INDEX(Transactions!$G:$G,ROW()-8))</f>
      </c>
      <c r="F3263">
        <f>IF(INDEX(Transactions!$J:$J,ROW()-8)="",0,INDEX(Transactions!$O:$O,ROW()-8))</f>
      </c>
    </row>
    <row r="3264" spans="1:7">
      <c r="B3264">
        <f>IF(INDEX(Transactions!$J:$J,ROW()-8)="",TODAY(),INDEX(Transactions!$G:$G,ROW()-8))</f>
      </c>
      <c r="F3264">
        <f>IF(INDEX(Transactions!$J:$J,ROW()-8)="",0,INDEX(Transactions!$O:$O,ROW()-8))</f>
      </c>
    </row>
    <row r="3265" spans="1:7">
      <c r="B3265">
        <f>IF(INDEX(Transactions!$J:$J,ROW()-8)="",TODAY(),INDEX(Transactions!$G:$G,ROW()-8))</f>
      </c>
      <c r="F3265">
        <f>IF(INDEX(Transactions!$J:$J,ROW()-8)="",0,INDEX(Transactions!$O:$O,ROW()-8))</f>
      </c>
    </row>
    <row r="3266" spans="1:7">
      <c r="B3266">
        <f>IF(INDEX(Transactions!$J:$J,ROW()-8)="",TODAY(),INDEX(Transactions!$G:$G,ROW()-8))</f>
      </c>
      <c r="F3266">
        <f>IF(INDEX(Transactions!$J:$J,ROW()-8)="",0,INDEX(Transactions!$O:$O,ROW()-8))</f>
      </c>
    </row>
    <row r="3267" spans="1:7">
      <c r="B3267">
        <f>IF(INDEX(Transactions!$J:$J,ROW()-8)="",TODAY(),INDEX(Transactions!$G:$G,ROW()-8))</f>
      </c>
      <c r="F3267">
        <f>IF(INDEX(Transactions!$J:$J,ROW()-8)="",0,INDEX(Transactions!$O:$O,ROW()-8))</f>
      </c>
    </row>
    <row r="3268" spans="1:7">
      <c r="B3268">
        <f>IF(INDEX(Transactions!$J:$J,ROW()-8)="",TODAY(),INDEX(Transactions!$G:$G,ROW()-8))</f>
      </c>
      <c r="F3268">
        <f>IF(INDEX(Transactions!$J:$J,ROW()-8)="",0,INDEX(Transactions!$O:$O,ROW()-8))</f>
      </c>
    </row>
    <row r="3269" spans="1:7">
      <c r="B3269">
        <f>IF(INDEX(Transactions!$J:$J,ROW()-8)="",TODAY(),INDEX(Transactions!$G:$G,ROW()-8))</f>
      </c>
      <c r="F3269">
        <f>IF(INDEX(Transactions!$J:$J,ROW()-8)="",0,INDEX(Transactions!$O:$O,ROW()-8))</f>
      </c>
    </row>
    <row r="3270" spans="1:7">
      <c r="B3270">
        <f>IF(INDEX(Transactions!$J:$J,ROW()-8)="",TODAY(),INDEX(Transactions!$G:$G,ROW()-8))</f>
      </c>
      <c r="F3270">
        <f>IF(INDEX(Transactions!$J:$J,ROW()-8)="",0,INDEX(Transactions!$O:$O,ROW()-8))</f>
      </c>
    </row>
    <row r="3271" spans="1:7">
      <c r="B3271">
        <f>IF(INDEX(Transactions!$J:$J,ROW()-8)="",TODAY(),INDEX(Transactions!$G:$G,ROW()-8))</f>
      </c>
      <c r="F3271">
        <f>IF(INDEX(Transactions!$J:$J,ROW()-8)="",0,INDEX(Transactions!$O:$O,ROW()-8))</f>
      </c>
    </row>
    <row r="3272" spans="1:7">
      <c r="B3272">
        <f>IF(INDEX(Transactions!$J:$J,ROW()-8)="",TODAY(),INDEX(Transactions!$G:$G,ROW()-8))</f>
      </c>
      <c r="F3272">
        <f>IF(INDEX(Transactions!$J:$J,ROW()-8)="",0,INDEX(Transactions!$O:$O,ROW()-8))</f>
      </c>
    </row>
    <row r="3273" spans="1:7">
      <c r="B3273">
        <f>IF(INDEX(Transactions!$J:$J,ROW()-8)="",TODAY(),INDEX(Transactions!$G:$G,ROW()-8))</f>
      </c>
      <c r="F3273">
        <f>IF(INDEX(Transactions!$J:$J,ROW()-8)="",0,INDEX(Transactions!$O:$O,ROW()-8))</f>
      </c>
    </row>
    <row r="3274" spans="1:7">
      <c r="B3274">
        <f>IF(INDEX(Transactions!$J:$J,ROW()-8)="",TODAY(),INDEX(Transactions!$G:$G,ROW()-8))</f>
      </c>
      <c r="F3274">
        <f>IF(INDEX(Transactions!$J:$J,ROW()-8)="",0,INDEX(Transactions!$O:$O,ROW()-8))</f>
      </c>
    </row>
    <row r="3275" spans="1:7">
      <c r="B3275">
        <f>IF(INDEX(Transactions!$J:$J,ROW()-8)="",TODAY(),INDEX(Transactions!$G:$G,ROW()-8))</f>
      </c>
      <c r="F3275">
        <f>IF(INDEX(Transactions!$J:$J,ROW()-8)="",0,INDEX(Transactions!$O:$O,ROW()-8))</f>
      </c>
    </row>
    <row r="3276" spans="1:7">
      <c r="B3276">
        <f>IF(INDEX(Transactions!$J:$J,ROW()-8)="",TODAY(),INDEX(Transactions!$G:$G,ROW()-8))</f>
      </c>
      <c r="F3276">
        <f>IF(INDEX(Transactions!$J:$J,ROW()-8)="",0,INDEX(Transactions!$O:$O,ROW()-8))</f>
      </c>
    </row>
    <row r="3277" spans="1:7">
      <c r="B3277">
        <f>IF(INDEX(Transactions!$J:$J,ROW()-8)="",TODAY(),INDEX(Transactions!$G:$G,ROW()-8))</f>
      </c>
      <c r="F3277">
        <f>IF(INDEX(Transactions!$J:$J,ROW()-8)="",0,INDEX(Transactions!$O:$O,ROW()-8))</f>
      </c>
    </row>
    <row r="3278" spans="1:7">
      <c r="B3278">
        <f>IF(INDEX(Transactions!$J:$J,ROW()-8)="",TODAY(),INDEX(Transactions!$G:$G,ROW()-8))</f>
      </c>
      <c r="F3278">
        <f>IF(INDEX(Transactions!$J:$J,ROW()-8)="",0,INDEX(Transactions!$O:$O,ROW()-8))</f>
      </c>
    </row>
    <row r="3279" spans="1:7">
      <c r="B3279">
        <f>IF(INDEX(Transactions!$J:$J,ROW()-8)="",TODAY(),INDEX(Transactions!$G:$G,ROW()-8))</f>
      </c>
      <c r="F3279">
        <f>IF(INDEX(Transactions!$J:$J,ROW()-8)="",0,INDEX(Transactions!$O:$O,ROW()-8))</f>
      </c>
    </row>
    <row r="3280" spans="1:7">
      <c r="B3280">
        <f>IF(INDEX(Transactions!$J:$J,ROW()-8)="",TODAY(),INDEX(Transactions!$G:$G,ROW()-8))</f>
      </c>
      <c r="F3280">
        <f>IF(INDEX(Transactions!$J:$J,ROW()-8)="",0,INDEX(Transactions!$O:$O,ROW()-8))</f>
      </c>
    </row>
    <row r="3281" spans="1:7">
      <c r="B3281">
        <f>IF(INDEX(Transactions!$J:$J,ROW()-8)="",TODAY(),INDEX(Transactions!$G:$G,ROW()-8))</f>
      </c>
      <c r="F3281">
        <f>IF(INDEX(Transactions!$J:$J,ROW()-8)="",0,INDEX(Transactions!$O:$O,ROW()-8))</f>
      </c>
    </row>
    <row r="3282" spans="1:7">
      <c r="B3282">
        <f>IF(INDEX(Transactions!$J:$J,ROW()-8)="",TODAY(),INDEX(Transactions!$G:$G,ROW()-8))</f>
      </c>
      <c r="F3282">
        <f>IF(INDEX(Transactions!$J:$J,ROW()-8)="",0,INDEX(Transactions!$O:$O,ROW()-8))</f>
      </c>
    </row>
    <row r="3283" spans="1:7">
      <c r="B3283">
        <f>IF(INDEX(Transactions!$J:$J,ROW()-8)="",TODAY(),INDEX(Transactions!$G:$G,ROW()-8))</f>
      </c>
      <c r="F3283">
        <f>IF(INDEX(Transactions!$J:$J,ROW()-8)="",0,INDEX(Transactions!$O:$O,ROW()-8))</f>
      </c>
    </row>
    <row r="3284" spans="1:7">
      <c r="B3284">
        <f>IF(INDEX(Transactions!$J:$J,ROW()-8)="",TODAY(),INDEX(Transactions!$G:$G,ROW()-8))</f>
      </c>
      <c r="F3284">
        <f>IF(INDEX(Transactions!$J:$J,ROW()-8)="",0,INDEX(Transactions!$O:$O,ROW()-8))</f>
      </c>
    </row>
    <row r="3285" spans="1:7">
      <c r="B3285">
        <f>IF(INDEX(Transactions!$J:$J,ROW()-8)="",TODAY(),INDEX(Transactions!$G:$G,ROW()-8))</f>
      </c>
      <c r="F3285">
        <f>IF(INDEX(Transactions!$J:$J,ROW()-8)="",0,INDEX(Transactions!$O:$O,ROW()-8))</f>
      </c>
    </row>
    <row r="3286" spans="1:7">
      <c r="B3286">
        <f>IF(INDEX(Transactions!$J:$J,ROW()-8)="",TODAY(),INDEX(Transactions!$G:$G,ROW()-8))</f>
      </c>
      <c r="F3286">
        <f>IF(INDEX(Transactions!$J:$J,ROW()-8)="",0,INDEX(Transactions!$O:$O,ROW()-8))</f>
      </c>
    </row>
    <row r="3287" spans="1:7">
      <c r="B3287">
        <f>IF(INDEX(Transactions!$J:$J,ROW()-8)="",TODAY(),INDEX(Transactions!$G:$G,ROW()-8))</f>
      </c>
      <c r="F3287">
        <f>IF(INDEX(Transactions!$J:$J,ROW()-8)="",0,INDEX(Transactions!$O:$O,ROW()-8))</f>
      </c>
    </row>
    <row r="3288" spans="1:7">
      <c r="B3288">
        <f>IF(INDEX(Transactions!$J:$J,ROW()-8)="",TODAY(),INDEX(Transactions!$G:$G,ROW()-8))</f>
      </c>
      <c r="F3288">
        <f>IF(INDEX(Transactions!$J:$J,ROW()-8)="",0,INDEX(Transactions!$O:$O,ROW()-8))</f>
      </c>
    </row>
    <row r="3289" spans="1:7">
      <c r="B3289">
        <f>IF(INDEX(Transactions!$J:$J,ROW()-8)="",TODAY(),INDEX(Transactions!$G:$G,ROW()-8))</f>
      </c>
      <c r="F3289">
        <f>IF(INDEX(Transactions!$J:$J,ROW()-8)="",0,INDEX(Transactions!$O:$O,ROW()-8))</f>
      </c>
    </row>
    <row r="3290" spans="1:7">
      <c r="B3290">
        <f>IF(INDEX(Transactions!$J:$J,ROW()-8)="",TODAY(),INDEX(Transactions!$G:$G,ROW()-8))</f>
      </c>
      <c r="F3290">
        <f>IF(INDEX(Transactions!$J:$J,ROW()-8)="",0,INDEX(Transactions!$O:$O,ROW()-8))</f>
      </c>
    </row>
    <row r="3291" spans="1:7">
      <c r="B3291">
        <f>IF(INDEX(Transactions!$J:$J,ROW()-8)="",TODAY(),INDEX(Transactions!$G:$G,ROW()-8))</f>
      </c>
      <c r="F3291">
        <f>IF(INDEX(Transactions!$J:$J,ROW()-8)="",0,INDEX(Transactions!$O:$O,ROW()-8))</f>
      </c>
    </row>
    <row r="3292" spans="1:7">
      <c r="B3292">
        <f>IF(INDEX(Transactions!$J:$J,ROW()-8)="",TODAY(),INDEX(Transactions!$G:$G,ROW()-8))</f>
      </c>
      <c r="F3292">
        <f>IF(INDEX(Transactions!$J:$J,ROW()-8)="",0,INDEX(Transactions!$O:$O,ROW()-8))</f>
      </c>
    </row>
    <row r="3293" spans="1:7">
      <c r="B3293">
        <f>IF(INDEX(Transactions!$J:$J,ROW()-8)="",TODAY(),INDEX(Transactions!$G:$G,ROW()-8))</f>
      </c>
      <c r="F3293">
        <f>IF(INDEX(Transactions!$J:$J,ROW()-8)="",0,INDEX(Transactions!$O:$O,ROW()-8))</f>
      </c>
    </row>
    <row r="3294" spans="1:7">
      <c r="B3294">
        <f>IF(INDEX(Transactions!$J:$J,ROW()-8)="",TODAY(),INDEX(Transactions!$G:$G,ROW()-8))</f>
      </c>
      <c r="F3294">
        <f>IF(INDEX(Transactions!$J:$J,ROW()-8)="",0,INDEX(Transactions!$O:$O,ROW()-8))</f>
      </c>
    </row>
    <row r="3295" spans="1:7">
      <c r="B3295">
        <f>IF(INDEX(Transactions!$J:$J,ROW()-8)="",TODAY(),INDEX(Transactions!$G:$G,ROW()-8))</f>
      </c>
      <c r="F3295">
        <f>IF(INDEX(Transactions!$J:$J,ROW()-8)="",0,INDEX(Transactions!$O:$O,ROW()-8))</f>
      </c>
    </row>
    <row r="3296" spans="1:7">
      <c r="B3296">
        <f>IF(INDEX(Transactions!$J:$J,ROW()-8)="",TODAY(),INDEX(Transactions!$G:$G,ROW()-8))</f>
      </c>
      <c r="F3296">
        <f>IF(INDEX(Transactions!$J:$J,ROW()-8)="",0,INDEX(Transactions!$O:$O,ROW()-8))</f>
      </c>
    </row>
    <row r="3297" spans="1:7">
      <c r="B3297">
        <f>IF(INDEX(Transactions!$J:$J,ROW()-8)="",TODAY(),INDEX(Transactions!$G:$G,ROW()-8))</f>
      </c>
      <c r="F3297">
        <f>IF(INDEX(Transactions!$J:$J,ROW()-8)="",0,INDEX(Transactions!$O:$O,ROW()-8))</f>
      </c>
    </row>
    <row r="3298" spans="1:7">
      <c r="B3298">
        <f>IF(INDEX(Transactions!$J:$J,ROW()-8)="",TODAY(),INDEX(Transactions!$G:$G,ROW()-8))</f>
      </c>
      <c r="F3298">
        <f>IF(INDEX(Transactions!$J:$J,ROW()-8)="",0,INDEX(Transactions!$O:$O,ROW()-8))</f>
      </c>
    </row>
    <row r="3299" spans="1:7">
      <c r="B3299">
        <f>IF(INDEX(Transactions!$J:$J,ROW()-8)="",TODAY(),INDEX(Transactions!$G:$G,ROW()-8))</f>
      </c>
      <c r="F3299">
        <f>IF(INDEX(Transactions!$J:$J,ROW()-8)="",0,INDEX(Transactions!$O:$O,ROW()-8))</f>
      </c>
    </row>
    <row r="3300" spans="1:7">
      <c r="B3300">
        <f>IF(INDEX(Transactions!$J:$J,ROW()-8)="",TODAY(),INDEX(Transactions!$G:$G,ROW()-8))</f>
      </c>
      <c r="F3300">
        <f>IF(INDEX(Transactions!$J:$J,ROW()-8)="",0,INDEX(Transactions!$O:$O,ROW()-8))</f>
      </c>
    </row>
    <row r="3301" spans="1:7">
      <c r="B3301">
        <f>IF(INDEX(Transactions!$J:$J,ROW()-8)="",TODAY(),INDEX(Transactions!$G:$G,ROW()-8))</f>
      </c>
      <c r="F3301">
        <f>IF(INDEX(Transactions!$J:$J,ROW()-8)="",0,INDEX(Transactions!$O:$O,ROW()-8))</f>
      </c>
    </row>
    <row r="3302" spans="1:7">
      <c r="B3302">
        <f>IF(INDEX(Transactions!$J:$J,ROW()-8)="",TODAY(),INDEX(Transactions!$G:$G,ROW()-8))</f>
      </c>
      <c r="F3302">
        <f>IF(INDEX(Transactions!$J:$J,ROW()-8)="",0,INDEX(Transactions!$O:$O,ROW()-8))</f>
      </c>
    </row>
    <row r="3303" spans="1:7">
      <c r="B3303">
        <f>IF(INDEX(Transactions!$J:$J,ROW()-8)="",TODAY(),INDEX(Transactions!$G:$G,ROW()-8))</f>
      </c>
      <c r="F3303">
        <f>IF(INDEX(Transactions!$J:$J,ROW()-8)="",0,INDEX(Transactions!$O:$O,ROW()-8))</f>
      </c>
    </row>
    <row r="3304" spans="1:7">
      <c r="B3304">
        <f>IF(INDEX(Transactions!$J:$J,ROW()-8)="",TODAY(),INDEX(Transactions!$G:$G,ROW()-8))</f>
      </c>
      <c r="F3304">
        <f>IF(INDEX(Transactions!$J:$J,ROW()-8)="",0,INDEX(Transactions!$O:$O,ROW()-8))</f>
      </c>
    </row>
    <row r="3305" spans="1:7">
      <c r="B3305">
        <f>IF(INDEX(Transactions!$J:$J,ROW()-8)="",TODAY(),INDEX(Transactions!$G:$G,ROW()-8))</f>
      </c>
      <c r="F3305">
        <f>IF(INDEX(Transactions!$J:$J,ROW()-8)="",0,INDEX(Transactions!$O:$O,ROW()-8))</f>
      </c>
    </row>
    <row r="3306" spans="1:7">
      <c r="B3306">
        <f>IF(INDEX(Transactions!$J:$J,ROW()-8)="",TODAY(),INDEX(Transactions!$G:$G,ROW()-8))</f>
      </c>
      <c r="F3306">
        <f>IF(INDEX(Transactions!$J:$J,ROW()-8)="",0,INDEX(Transactions!$O:$O,ROW()-8))</f>
      </c>
    </row>
    <row r="3307" spans="1:7">
      <c r="B3307">
        <f>IF(INDEX(Transactions!$J:$J,ROW()-8)="",TODAY(),INDEX(Transactions!$G:$G,ROW()-8))</f>
      </c>
      <c r="F3307">
        <f>IF(INDEX(Transactions!$J:$J,ROW()-8)="",0,INDEX(Transactions!$O:$O,ROW()-8))</f>
      </c>
    </row>
    <row r="3308" spans="1:7">
      <c r="B3308">
        <f>IF(INDEX(Transactions!$J:$J,ROW()-8)="",TODAY(),INDEX(Transactions!$G:$G,ROW()-8))</f>
      </c>
      <c r="F3308">
        <f>IF(INDEX(Transactions!$J:$J,ROW()-8)="",0,INDEX(Transactions!$O:$O,ROW()-8))</f>
      </c>
    </row>
    <row r="3309" spans="1:7">
      <c r="B3309">
        <f>IF(INDEX(Transactions!$J:$J,ROW()-8)="",TODAY(),INDEX(Transactions!$G:$G,ROW()-8))</f>
      </c>
      <c r="F3309">
        <f>IF(INDEX(Transactions!$J:$J,ROW()-8)="",0,INDEX(Transactions!$O:$O,ROW()-8))</f>
      </c>
    </row>
    <row r="3310" spans="1:7">
      <c r="B3310">
        <f>IF(INDEX(Transactions!$J:$J,ROW()-8)="",TODAY(),INDEX(Transactions!$G:$G,ROW()-8))</f>
      </c>
      <c r="F3310">
        <f>IF(INDEX(Transactions!$J:$J,ROW()-8)="",0,INDEX(Transactions!$O:$O,ROW()-8))</f>
      </c>
    </row>
    <row r="3311" spans="1:7">
      <c r="B3311">
        <f>IF(INDEX(Transactions!$J:$J,ROW()-8)="",TODAY(),INDEX(Transactions!$G:$G,ROW()-8))</f>
      </c>
      <c r="F3311">
        <f>IF(INDEX(Transactions!$J:$J,ROW()-8)="",0,INDEX(Transactions!$O:$O,ROW()-8))</f>
      </c>
    </row>
    <row r="3312" spans="1:7">
      <c r="B3312">
        <f>IF(INDEX(Transactions!$J:$J,ROW()-8)="",TODAY(),INDEX(Transactions!$G:$G,ROW()-8))</f>
      </c>
      <c r="F3312">
        <f>IF(INDEX(Transactions!$J:$J,ROW()-8)="",0,INDEX(Transactions!$O:$O,ROW()-8))</f>
      </c>
    </row>
    <row r="3313" spans="1:7">
      <c r="B3313">
        <f>IF(INDEX(Transactions!$J:$J,ROW()-8)="",TODAY(),INDEX(Transactions!$G:$G,ROW()-8))</f>
      </c>
      <c r="F3313">
        <f>IF(INDEX(Transactions!$J:$J,ROW()-8)="",0,INDEX(Transactions!$O:$O,ROW()-8))</f>
      </c>
    </row>
    <row r="3314" spans="1:7">
      <c r="B3314">
        <f>IF(INDEX(Transactions!$J:$J,ROW()-8)="",TODAY(),INDEX(Transactions!$G:$G,ROW()-8))</f>
      </c>
      <c r="F3314">
        <f>IF(INDEX(Transactions!$J:$J,ROW()-8)="",0,INDEX(Transactions!$O:$O,ROW()-8))</f>
      </c>
    </row>
    <row r="3315" spans="1:7">
      <c r="B3315">
        <f>IF(INDEX(Transactions!$J:$J,ROW()-8)="",TODAY(),INDEX(Transactions!$G:$G,ROW()-8))</f>
      </c>
      <c r="F3315">
        <f>IF(INDEX(Transactions!$J:$J,ROW()-8)="",0,INDEX(Transactions!$O:$O,ROW()-8))</f>
      </c>
    </row>
    <row r="3316" spans="1:7">
      <c r="B3316">
        <f>IF(INDEX(Transactions!$J:$J,ROW()-8)="",TODAY(),INDEX(Transactions!$G:$G,ROW()-8))</f>
      </c>
      <c r="F3316">
        <f>IF(INDEX(Transactions!$J:$J,ROW()-8)="",0,INDEX(Transactions!$O:$O,ROW()-8))</f>
      </c>
    </row>
    <row r="3317" spans="1:7">
      <c r="B3317">
        <f>IF(INDEX(Transactions!$J:$J,ROW()-8)="",TODAY(),INDEX(Transactions!$G:$G,ROW()-8))</f>
      </c>
      <c r="F3317">
        <f>IF(INDEX(Transactions!$J:$J,ROW()-8)="",0,INDEX(Transactions!$O:$O,ROW()-8))</f>
      </c>
    </row>
    <row r="3318" spans="1:7">
      <c r="B3318">
        <f>IF(INDEX(Transactions!$J:$J,ROW()-8)="",TODAY(),INDEX(Transactions!$G:$G,ROW()-8))</f>
      </c>
      <c r="F3318">
        <f>IF(INDEX(Transactions!$J:$J,ROW()-8)="",0,INDEX(Transactions!$O:$O,ROW()-8))</f>
      </c>
    </row>
    <row r="3319" spans="1:7">
      <c r="B3319">
        <f>IF(INDEX(Transactions!$J:$J,ROW()-8)="",TODAY(),INDEX(Transactions!$G:$G,ROW()-8))</f>
      </c>
      <c r="F3319">
        <f>IF(INDEX(Transactions!$J:$J,ROW()-8)="",0,INDEX(Transactions!$O:$O,ROW()-8))</f>
      </c>
    </row>
    <row r="3320" spans="1:7">
      <c r="B3320">
        <f>IF(INDEX(Transactions!$J:$J,ROW()-8)="",TODAY(),INDEX(Transactions!$G:$G,ROW()-8))</f>
      </c>
      <c r="F3320">
        <f>IF(INDEX(Transactions!$J:$J,ROW()-8)="",0,INDEX(Transactions!$O:$O,ROW()-8))</f>
      </c>
    </row>
    <row r="3321" spans="1:7">
      <c r="B3321">
        <f>IF(INDEX(Transactions!$J:$J,ROW()-8)="",TODAY(),INDEX(Transactions!$G:$G,ROW()-8))</f>
      </c>
      <c r="F3321">
        <f>IF(INDEX(Transactions!$J:$J,ROW()-8)="",0,INDEX(Transactions!$O:$O,ROW()-8))</f>
      </c>
    </row>
    <row r="3322" spans="1:7">
      <c r="B3322">
        <f>IF(INDEX(Transactions!$J:$J,ROW()-8)="",TODAY(),INDEX(Transactions!$G:$G,ROW()-8))</f>
      </c>
      <c r="F3322">
        <f>IF(INDEX(Transactions!$J:$J,ROW()-8)="",0,INDEX(Transactions!$O:$O,ROW()-8))</f>
      </c>
    </row>
    <row r="3323" spans="1:7">
      <c r="B3323">
        <f>IF(INDEX(Transactions!$J:$J,ROW()-8)="",TODAY(),INDEX(Transactions!$G:$G,ROW()-8))</f>
      </c>
      <c r="F3323">
        <f>IF(INDEX(Transactions!$J:$J,ROW()-8)="",0,INDEX(Transactions!$O:$O,ROW()-8))</f>
      </c>
    </row>
    <row r="3324" spans="1:7">
      <c r="B3324">
        <f>IF(INDEX(Transactions!$J:$J,ROW()-8)="",TODAY(),INDEX(Transactions!$G:$G,ROW()-8))</f>
      </c>
      <c r="F3324">
        <f>IF(INDEX(Transactions!$J:$J,ROW()-8)="",0,INDEX(Transactions!$O:$O,ROW()-8))</f>
      </c>
    </row>
    <row r="3325" spans="1:7">
      <c r="B3325">
        <f>IF(INDEX(Transactions!$J:$J,ROW()-8)="",TODAY(),INDEX(Transactions!$G:$G,ROW()-8))</f>
      </c>
      <c r="F3325">
        <f>IF(INDEX(Transactions!$J:$J,ROW()-8)="",0,INDEX(Transactions!$O:$O,ROW()-8))</f>
      </c>
    </row>
    <row r="3326" spans="1:7">
      <c r="B3326">
        <f>IF(INDEX(Transactions!$J:$J,ROW()-8)="",TODAY(),INDEX(Transactions!$G:$G,ROW()-8))</f>
      </c>
      <c r="F3326">
        <f>IF(INDEX(Transactions!$J:$J,ROW()-8)="",0,INDEX(Transactions!$O:$O,ROW()-8))</f>
      </c>
    </row>
    <row r="3327" spans="1:7">
      <c r="B3327">
        <f>IF(INDEX(Transactions!$J:$J,ROW()-8)="",TODAY(),INDEX(Transactions!$G:$G,ROW()-8))</f>
      </c>
      <c r="F3327">
        <f>IF(INDEX(Transactions!$J:$J,ROW()-8)="",0,INDEX(Transactions!$O:$O,ROW()-8))</f>
      </c>
    </row>
    <row r="3328" spans="1:7">
      <c r="B3328">
        <f>IF(INDEX(Transactions!$J:$J,ROW()-8)="",TODAY(),INDEX(Transactions!$G:$G,ROW()-8))</f>
      </c>
      <c r="F3328">
        <f>IF(INDEX(Transactions!$J:$J,ROW()-8)="",0,INDEX(Transactions!$O:$O,ROW()-8))</f>
      </c>
    </row>
    <row r="3329" spans="1:7">
      <c r="B3329">
        <f>IF(INDEX(Transactions!$J:$J,ROW()-8)="",TODAY(),INDEX(Transactions!$G:$G,ROW()-8))</f>
      </c>
      <c r="F3329">
        <f>IF(INDEX(Transactions!$J:$J,ROW()-8)="",0,INDEX(Transactions!$O:$O,ROW()-8))</f>
      </c>
    </row>
    <row r="3330" spans="1:7">
      <c r="B3330">
        <f>IF(INDEX(Transactions!$J:$J,ROW()-8)="",TODAY(),INDEX(Transactions!$G:$G,ROW()-8))</f>
      </c>
      <c r="F3330">
        <f>IF(INDEX(Transactions!$J:$J,ROW()-8)="",0,INDEX(Transactions!$O:$O,ROW()-8))</f>
      </c>
    </row>
    <row r="3331" spans="1:7">
      <c r="B3331">
        <f>IF(INDEX(Transactions!$J:$J,ROW()-8)="",TODAY(),INDEX(Transactions!$G:$G,ROW()-8))</f>
      </c>
      <c r="F3331">
        <f>IF(INDEX(Transactions!$J:$J,ROW()-8)="",0,INDEX(Transactions!$O:$O,ROW()-8))</f>
      </c>
    </row>
    <row r="3332" spans="1:7">
      <c r="B3332">
        <f>IF(INDEX(Transactions!$J:$J,ROW()-8)="",TODAY(),INDEX(Transactions!$G:$G,ROW()-8))</f>
      </c>
      <c r="F3332">
        <f>IF(INDEX(Transactions!$J:$J,ROW()-8)="",0,INDEX(Transactions!$O:$O,ROW()-8))</f>
      </c>
    </row>
    <row r="3333" spans="1:7">
      <c r="B3333">
        <f>IF(INDEX(Transactions!$J:$J,ROW()-8)="",TODAY(),INDEX(Transactions!$G:$G,ROW()-8))</f>
      </c>
      <c r="F3333">
        <f>IF(INDEX(Transactions!$J:$J,ROW()-8)="",0,INDEX(Transactions!$O:$O,ROW()-8))</f>
      </c>
    </row>
    <row r="3334" spans="1:7">
      <c r="B3334">
        <f>IF(INDEX(Transactions!$J:$J,ROW()-8)="",TODAY(),INDEX(Transactions!$G:$G,ROW()-8))</f>
      </c>
      <c r="F3334">
        <f>IF(INDEX(Transactions!$J:$J,ROW()-8)="",0,INDEX(Transactions!$O:$O,ROW()-8))</f>
      </c>
    </row>
    <row r="3335" spans="1:7">
      <c r="B3335">
        <f>IF(INDEX(Transactions!$J:$J,ROW()-8)="",TODAY(),INDEX(Transactions!$G:$G,ROW()-8))</f>
      </c>
      <c r="F3335">
        <f>IF(INDEX(Transactions!$J:$J,ROW()-8)="",0,INDEX(Transactions!$O:$O,ROW()-8))</f>
      </c>
    </row>
    <row r="3336" spans="1:7">
      <c r="B3336">
        <f>IF(INDEX(Transactions!$J:$J,ROW()-8)="",TODAY(),INDEX(Transactions!$G:$G,ROW()-8))</f>
      </c>
      <c r="F3336">
        <f>IF(INDEX(Transactions!$J:$J,ROW()-8)="",0,INDEX(Transactions!$O:$O,ROW()-8))</f>
      </c>
    </row>
    <row r="3337" spans="1:7">
      <c r="B3337">
        <f>IF(INDEX(Transactions!$J:$J,ROW()-8)="",TODAY(),INDEX(Transactions!$G:$G,ROW()-8))</f>
      </c>
      <c r="F3337">
        <f>IF(INDEX(Transactions!$J:$J,ROW()-8)="",0,INDEX(Transactions!$O:$O,ROW()-8))</f>
      </c>
    </row>
    <row r="3338" spans="1:7">
      <c r="B3338">
        <f>IF(INDEX(Transactions!$J:$J,ROW()-8)="",TODAY(),INDEX(Transactions!$G:$G,ROW()-8))</f>
      </c>
      <c r="F3338">
        <f>IF(INDEX(Transactions!$J:$J,ROW()-8)="",0,INDEX(Transactions!$O:$O,ROW()-8))</f>
      </c>
    </row>
    <row r="3339" spans="1:7">
      <c r="B3339">
        <f>IF(INDEX(Transactions!$J:$J,ROW()-8)="",TODAY(),INDEX(Transactions!$G:$G,ROW()-8))</f>
      </c>
      <c r="F3339">
        <f>IF(INDEX(Transactions!$J:$J,ROW()-8)="",0,INDEX(Transactions!$O:$O,ROW()-8))</f>
      </c>
    </row>
    <row r="3340" spans="1:7">
      <c r="B3340">
        <f>IF(INDEX(Transactions!$J:$J,ROW()-8)="",TODAY(),INDEX(Transactions!$G:$G,ROW()-8))</f>
      </c>
      <c r="F3340">
        <f>IF(INDEX(Transactions!$J:$J,ROW()-8)="",0,INDEX(Transactions!$O:$O,ROW()-8))</f>
      </c>
    </row>
    <row r="3341" spans="1:7">
      <c r="B3341">
        <f>IF(INDEX(Transactions!$J:$J,ROW()-8)="",TODAY(),INDEX(Transactions!$G:$G,ROW()-8))</f>
      </c>
      <c r="F3341">
        <f>IF(INDEX(Transactions!$J:$J,ROW()-8)="",0,INDEX(Transactions!$O:$O,ROW()-8))</f>
      </c>
    </row>
    <row r="3342" spans="1:7">
      <c r="B3342">
        <f>IF(INDEX(Transactions!$J:$J,ROW()-8)="",TODAY(),INDEX(Transactions!$G:$G,ROW()-8))</f>
      </c>
      <c r="F3342">
        <f>IF(INDEX(Transactions!$J:$J,ROW()-8)="",0,INDEX(Transactions!$O:$O,ROW()-8))</f>
      </c>
    </row>
    <row r="3343" spans="1:7">
      <c r="B3343">
        <f>IF(INDEX(Transactions!$J:$J,ROW()-8)="",TODAY(),INDEX(Transactions!$G:$G,ROW()-8))</f>
      </c>
      <c r="F3343">
        <f>IF(INDEX(Transactions!$J:$J,ROW()-8)="",0,INDEX(Transactions!$O:$O,ROW()-8))</f>
      </c>
    </row>
    <row r="3344" spans="1:7">
      <c r="B3344">
        <f>IF(INDEX(Transactions!$J:$J,ROW()-8)="",TODAY(),INDEX(Transactions!$G:$G,ROW()-8))</f>
      </c>
      <c r="F3344">
        <f>IF(INDEX(Transactions!$J:$J,ROW()-8)="",0,INDEX(Transactions!$O:$O,ROW()-8))</f>
      </c>
    </row>
    <row r="3345" spans="1:7">
      <c r="B3345">
        <f>IF(INDEX(Transactions!$J:$J,ROW()-8)="",TODAY(),INDEX(Transactions!$G:$G,ROW()-8))</f>
      </c>
      <c r="F3345">
        <f>IF(INDEX(Transactions!$J:$J,ROW()-8)="",0,INDEX(Transactions!$O:$O,ROW()-8))</f>
      </c>
    </row>
    <row r="3346" spans="1:7">
      <c r="B3346">
        <f>IF(INDEX(Transactions!$J:$J,ROW()-8)="",TODAY(),INDEX(Transactions!$G:$G,ROW()-8))</f>
      </c>
      <c r="F3346">
        <f>IF(INDEX(Transactions!$J:$J,ROW()-8)="",0,INDEX(Transactions!$O:$O,ROW()-8))</f>
      </c>
    </row>
    <row r="3347" spans="1:7">
      <c r="B3347">
        <f>IF(INDEX(Transactions!$J:$J,ROW()-8)="",TODAY(),INDEX(Transactions!$G:$G,ROW()-8))</f>
      </c>
      <c r="F3347">
        <f>IF(INDEX(Transactions!$J:$J,ROW()-8)="",0,INDEX(Transactions!$O:$O,ROW()-8))</f>
      </c>
    </row>
    <row r="3348" spans="1:7">
      <c r="B3348">
        <f>IF(INDEX(Transactions!$J:$J,ROW()-8)="",TODAY(),INDEX(Transactions!$G:$G,ROW()-8))</f>
      </c>
      <c r="F3348">
        <f>IF(INDEX(Transactions!$J:$J,ROW()-8)="",0,INDEX(Transactions!$O:$O,ROW()-8))</f>
      </c>
    </row>
    <row r="3349" spans="1:7">
      <c r="B3349">
        <f>IF(INDEX(Transactions!$J:$J,ROW()-8)="",TODAY(),INDEX(Transactions!$G:$G,ROW()-8))</f>
      </c>
      <c r="F3349">
        <f>IF(INDEX(Transactions!$J:$J,ROW()-8)="",0,INDEX(Transactions!$O:$O,ROW()-8))</f>
      </c>
    </row>
    <row r="3350" spans="1:7">
      <c r="B3350">
        <f>IF(INDEX(Transactions!$J:$J,ROW()-8)="",TODAY(),INDEX(Transactions!$G:$G,ROW()-8))</f>
      </c>
      <c r="F3350">
        <f>IF(INDEX(Transactions!$J:$J,ROW()-8)="",0,INDEX(Transactions!$O:$O,ROW()-8))</f>
      </c>
    </row>
    <row r="3351" spans="1:7">
      <c r="B3351">
        <f>IF(INDEX(Transactions!$J:$J,ROW()-8)="",TODAY(),INDEX(Transactions!$G:$G,ROW()-8))</f>
      </c>
      <c r="F3351">
        <f>IF(INDEX(Transactions!$J:$J,ROW()-8)="",0,INDEX(Transactions!$O:$O,ROW()-8))</f>
      </c>
    </row>
    <row r="3352" spans="1:7">
      <c r="B3352">
        <f>IF(INDEX(Transactions!$J:$J,ROW()-8)="",TODAY(),INDEX(Transactions!$G:$G,ROW()-8))</f>
      </c>
      <c r="F3352">
        <f>IF(INDEX(Transactions!$J:$J,ROW()-8)="",0,INDEX(Transactions!$O:$O,ROW()-8))</f>
      </c>
    </row>
    <row r="3353" spans="1:7">
      <c r="B3353">
        <f>IF(INDEX(Transactions!$J:$J,ROW()-8)="",TODAY(),INDEX(Transactions!$G:$G,ROW()-8))</f>
      </c>
      <c r="F3353">
        <f>IF(INDEX(Transactions!$J:$J,ROW()-8)="",0,INDEX(Transactions!$O:$O,ROW()-8))</f>
      </c>
    </row>
    <row r="3354" spans="1:7">
      <c r="B3354">
        <f>IF(INDEX(Transactions!$J:$J,ROW()-8)="",TODAY(),INDEX(Transactions!$G:$G,ROW()-8))</f>
      </c>
      <c r="F3354">
        <f>IF(INDEX(Transactions!$J:$J,ROW()-8)="",0,INDEX(Transactions!$O:$O,ROW()-8))</f>
      </c>
    </row>
    <row r="3355" spans="1:7">
      <c r="B3355">
        <f>IF(INDEX(Transactions!$J:$J,ROW()-8)="",TODAY(),INDEX(Transactions!$G:$G,ROW()-8))</f>
      </c>
      <c r="F3355">
        <f>IF(INDEX(Transactions!$J:$J,ROW()-8)="",0,INDEX(Transactions!$O:$O,ROW()-8))</f>
      </c>
    </row>
    <row r="3356" spans="1:7">
      <c r="B3356">
        <f>IF(INDEX(Transactions!$J:$J,ROW()-8)="",TODAY(),INDEX(Transactions!$G:$G,ROW()-8))</f>
      </c>
      <c r="F3356">
        <f>IF(INDEX(Transactions!$J:$J,ROW()-8)="",0,INDEX(Transactions!$O:$O,ROW()-8))</f>
      </c>
    </row>
    <row r="3357" spans="1:7">
      <c r="B3357">
        <f>IF(INDEX(Transactions!$J:$J,ROW()-8)="",TODAY(),INDEX(Transactions!$G:$G,ROW()-8))</f>
      </c>
      <c r="F3357">
        <f>IF(INDEX(Transactions!$J:$J,ROW()-8)="",0,INDEX(Transactions!$O:$O,ROW()-8))</f>
      </c>
    </row>
    <row r="3358" spans="1:7">
      <c r="B3358">
        <f>IF(INDEX(Transactions!$J:$J,ROW()-8)="",TODAY(),INDEX(Transactions!$G:$G,ROW()-8))</f>
      </c>
      <c r="F3358">
        <f>IF(INDEX(Transactions!$J:$J,ROW()-8)="",0,INDEX(Transactions!$O:$O,ROW()-8))</f>
      </c>
    </row>
    <row r="3359" spans="1:7">
      <c r="B3359">
        <f>IF(INDEX(Transactions!$J:$J,ROW()-8)="",TODAY(),INDEX(Transactions!$G:$G,ROW()-8))</f>
      </c>
      <c r="F3359">
        <f>IF(INDEX(Transactions!$J:$J,ROW()-8)="",0,INDEX(Transactions!$O:$O,ROW()-8))</f>
      </c>
    </row>
    <row r="3360" spans="1:7">
      <c r="B3360">
        <f>IF(INDEX(Transactions!$J:$J,ROW()-8)="",TODAY(),INDEX(Transactions!$G:$G,ROW()-8))</f>
      </c>
      <c r="F3360">
        <f>IF(INDEX(Transactions!$J:$J,ROW()-8)="",0,INDEX(Transactions!$O:$O,ROW()-8))</f>
      </c>
    </row>
    <row r="3361" spans="1:7">
      <c r="B3361">
        <f>IF(INDEX(Transactions!$J:$J,ROW()-8)="",TODAY(),INDEX(Transactions!$G:$G,ROW()-8))</f>
      </c>
      <c r="F3361">
        <f>IF(INDEX(Transactions!$J:$J,ROW()-8)="",0,INDEX(Transactions!$O:$O,ROW()-8))</f>
      </c>
    </row>
    <row r="3362" spans="1:7">
      <c r="B3362">
        <f>IF(INDEX(Transactions!$J:$J,ROW()-8)="",TODAY(),INDEX(Transactions!$G:$G,ROW()-8))</f>
      </c>
      <c r="F3362">
        <f>IF(INDEX(Transactions!$J:$J,ROW()-8)="",0,INDEX(Transactions!$O:$O,ROW()-8))</f>
      </c>
    </row>
    <row r="3363" spans="1:7">
      <c r="B3363">
        <f>IF(INDEX(Transactions!$J:$J,ROW()-8)="",TODAY(),INDEX(Transactions!$G:$G,ROW()-8))</f>
      </c>
      <c r="F3363">
        <f>IF(INDEX(Transactions!$J:$J,ROW()-8)="",0,INDEX(Transactions!$O:$O,ROW()-8))</f>
      </c>
    </row>
    <row r="3364" spans="1:7">
      <c r="B3364">
        <f>IF(INDEX(Transactions!$J:$J,ROW()-8)="",TODAY(),INDEX(Transactions!$G:$G,ROW()-8))</f>
      </c>
      <c r="F3364">
        <f>IF(INDEX(Transactions!$J:$J,ROW()-8)="",0,INDEX(Transactions!$O:$O,ROW()-8))</f>
      </c>
    </row>
    <row r="3365" spans="1:7">
      <c r="B3365">
        <f>IF(INDEX(Transactions!$J:$J,ROW()-8)="",TODAY(),INDEX(Transactions!$G:$G,ROW()-8))</f>
      </c>
      <c r="F3365">
        <f>IF(INDEX(Transactions!$J:$J,ROW()-8)="",0,INDEX(Transactions!$O:$O,ROW()-8))</f>
      </c>
    </row>
    <row r="3366" spans="1:7">
      <c r="B3366">
        <f>IF(INDEX(Transactions!$J:$J,ROW()-8)="",TODAY(),INDEX(Transactions!$G:$G,ROW()-8))</f>
      </c>
      <c r="F3366">
        <f>IF(INDEX(Transactions!$J:$J,ROW()-8)="",0,INDEX(Transactions!$O:$O,ROW()-8))</f>
      </c>
    </row>
    <row r="3367" spans="1:7">
      <c r="B3367">
        <f>IF(INDEX(Transactions!$J:$J,ROW()-8)="",TODAY(),INDEX(Transactions!$G:$G,ROW()-8))</f>
      </c>
      <c r="F3367">
        <f>IF(INDEX(Transactions!$J:$J,ROW()-8)="",0,INDEX(Transactions!$O:$O,ROW()-8))</f>
      </c>
    </row>
    <row r="3368" spans="1:7">
      <c r="B3368">
        <f>IF(INDEX(Transactions!$J:$J,ROW()-8)="",TODAY(),INDEX(Transactions!$G:$G,ROW()-8))</f>
      </c>
      <c r="F3368">
        <f>IF(INDEX(Transactions!$J:$J,ROW()-8)="",0,INDEX(Transactions!$O:$O,ROW()-8))</f>
      </c>
    </row>
    <row r="3369" spans="1:7">
      <c r="B3369">
        <f>IF(INDEX(Transactions!$J:$J,ROW()-8)="",TODAY(),INDEX(Transactions!$G:$G,ROW()-8))</f>
      </c>
      <c r="F3369">
        <f>IF(INDEX(Transactions!$J:$J,ROW()-8)="",0,INDEX(Transactions!$O:$O,ROW()-8))</f>
      </c>
    </row>
    <row r="3370" spans="1:7">
      <c r="B3370">
        <f>IF(INDEX(Transactions!$J:$J,ROW()-8)="",TODAY(),INDEX(Transactions!$G:$G,ROW()-8))</f>
      </c>
      <c r="F3370">
        <f>IF(INDEX(Transactions!$J:$J,ROW()-8)="",0,INDEX(Transactions!$O:$O,ROW()-8))</f>
      </c>
    </row>
    <row r="3371" spans="1:7">
      <c r="B3371">
        <f>IF(INDEX(Transactions!$J:$J,ROW()-8)="",TODAY(),INDEX(Transactions!$G:$G,ROW()-8))</f>
      </c>
      <c r="F3371">
        <f>IF(INDEX(Transactions!$J:$J,ROW()-8)="",0,INDEX(Transactions!$O:$O,ROW()-8))</f>
      </c>
    </row>
    <row r="3372" spans="1:7">
      <c r="B3372">
        <f>IF(INDEX(Transactions!$J:$J,ROW()-8)="",TODAY(),INDEX(Transactions!$G:$G,ROW()-8))</f>
      </c>
      <c r="F3372">
        <f>IF(INDEX(Transactions!$J:$J,ROW()-8)="",0,INDEX(Transactions!$O:$O,ROW()-8))</f>
      </c>
    </row>
    <row r="3373" spans="1:7">
      <c r="B3373">
        <f>IF(INDEX(Transactions!$J:$J,ROW()-8)="",TODAY(),INDEX(Transactions!$G:$G,ROW()-8))</f>
      </c>
      <c r="F3373">
        <f>IF(INDEX(Transactions!$J:$J,ROW()-8)="",0,INDEX(Transactions!$O:$O,ROW()-8))</f>
      </c>
    </row>
    <row r="3374" spans="1:7">
      <c r="B3374">
        <f>IF(INDEX(Transactions!$J:$J,ROW()-8)="",TODAY(),INDEX(Transactions!$G:$G,ROW()-8))</f>
      </c>
      <c r="F3374">
        <f>IF(INDEX(Transactions!$J:$J,ROW()-8)="",0,INDEX(Transactions!$O:$O,ROW()-8))</f>
      </c>
    </row>
    <row r="3375" spans="1:7">
      <c r="B3375">
        <f>IF(INDEX(Transactions!$J:$J,ROW()-8)="",TODAY(),INDEX(Transactions!$G:$G,ROW()-8))</f>
      </c>
      <c r="F3375">
        <f>IF(INDEX(Transactions!$J:$J,ROW()-8)="",0,INDEX(Transactions!$O:$O,ROW()-8))</f>
      </c>
    </row>
    <row r="3376" spans="1:7">
      <c r="B3376">
        <f>IF(INDEX(Transactions!$J:$J,ROW()-8)="",TODAY(),INDEX(Transactions!$G:$G,ROW()-8))</f>
      </c>
      <c r="F3376">
        <f>IF(INDEX(Transactions!$J:$J,ROW()-8)="",0,INDEX(Transactions!$O:$O,ROW()-8))</f>
      </c>
    </row>
    <row r="3377" spans="1:7">
      <c r="B3377">
        <f>IF(INDEX(Transactions!$J:$J,ROW()-8)="",TODAY(),INDEX(Transactions!$G:$G,ROW()-8))</f>
      </c>
      <c r="F3377">
        <f>IF(INDEX(Transactions!$J:$J,ROW()-8)="",0,INDEX(Transactions!$O:$O,ROW()-8))</f>
      </c>
    </row>
    <row r="3378" spans="1:7">
      <c r="B3378">
        <f>IF(INDEX(Transactions!$J:$J,ROW()-8)="",TODAY(),INDEX(Transactions!$G:$G,ROW()-8))</f>
      </c>
      <c r="F3378">
        <f>IF(INDEX(Transactions!$J:$J,ROW()-8)="",0,INDEX(Transactions!$O:$O,ROW()-8))</f>
      </c>
    </row>
    <row r="3379" spans="1:7">
      <c r="B3379">
        <f>IF(INDEX(Transactions!$J:$J,ROW()-8)="",TODAY(),INDEX(Transactions!$G:$G,ROW()-8))</f>
      </c>
      <c r="F3379">
        <f>IF(INDEX(Transactions!$J:$J,ROW()-8)="",0,INDEX(Transactions!$O:$O,ROW()-8))</f>
      </c>
    </row>
    <row r="3380" spans="1:7">
      <c r="B3380">
        <f>IF(INDEX(Transactions!$J:$J,ROW()-8)="",TODAY(),INDEX(Transactions!$G:$G,ROW()-8))</f>
      </c>
      <c r="F3380">
        <f>IF(INDEX(Transactions!$J:$J,ROW()-8)="",0,INDEX(Transactions!$O:$O,ROW()-8))</f>
      </c>
    </row>
    <row r="3381" spans="1:7">
      <c r="B3381">
        <f>IF(INDEX(Transactions!$J:$J,ROW()-8)="",TODAY(),INDEX(Transactions!$G:$G,ROW()-8))</f>
      </c>
      <c r="F3381">
        <f>IF(INDEX(Transactions!$J:$J,ROW()-8)="",0,INDEX(Transactions!$O:$O,ROW()-8))</f>
      </c>
    </row>
    <row r="3382" spans="1:7">
      <c r="B3382">
        <f>IF(INDEX(Transactions!$J:$J,ROW()-8)="",TODAY(),INDEX(Transactions!$G:$G,ROW()-8))</f>
      </c>
      <c r="F3382">
        <f>IF(INDEX(Transactions!$J:$J,ROW()-8)="",0,INDEX(Transactions!$O:$O,ROW()-8))</f>
      </c>
    </row>
    <row r="3383" spans="1:7">
      <c r="B3383">
        <f>IF(INDEX(Transactions!$J:$J,ROW()-8)="",TODAY(),INDEX(Transactions!$G:$G,ROW()-8))</f>
      </c>
      <c r="F3383">
        <f>IF(INDEX(Transactions!$J:$J,ROW()-8)="",0,INDEX(Transactions!$O:$O,ROW()-8))</f>
      </c>
    </row>
    <row r="3384" spans="1:7">
      <c r="B3384">
        <f>IF(INDEX(Transactions!$J:$J,ROW()-8)="",TODAY(),INDEX(Transactions!$G:$G,ROW()-8))</f>
      </c>
      <c r="F3384">
        <f>IF(INDEX(Transactions!$J:$J,ROW()-8)="",0,INDEX(Transactions!$O:$O,ROW()-8))</f>
      </c>
    </row>
    <row r="3385" spans="1:7">
      <c r="B3385">
        <f>IF(INDEX(Transactions!$J:$J,ROW()-8)="",TODAY(),INDEX(Transactions!$G:$G,ROW()-8))</f>
      </c>
      <c r="F3385">
        <f>IF(INDEX(Transactions!$J:$J,ROW()-8)="",0,INDEX(Transactions!$O:$O,ROW()-8))</f>
      </c>
    </row>
    <row r="3386" spans="1:7">
      <c r="B3386">
        <f>IF(INDEX(Transactions!$J:$J,ROW()-8)="",TODAY(),INDEX(Transactions!$G:$G,ROW()-8))</f>
      </c>
      <c r="F3386">
        <f>IF(INDEX(Transactions!$J:$J,ROW()-8)="",0,INDEX(Transactions!$O:$O,ROW()-8))</f>
      </c>
    </row>
    <row r="3387" spans="1:7">
      <c r="B3387">
        <f>IF(INDEX(Transactions!$J:$J,ROW()-8)="",TODAY(),INDEX(Transactions!$G:$G,ROW()-8))</f>
      </c>
      <c r="F3387">
        <f>IF(INDEX(Transactions!$J:$J,ROW()-8)="",0,INDEX(Transactions!$O:$O,ROW()-8))</f>
      </c>
    </row>
    <row r="3388" spans="1:7">
      <c r="B3388">
        <f>IF(INDEX(Transactions!$J:$J,ROW()-8)="",TODAY(),INDEX(Transactions!$G:$G,ROW()-8))</f>
      </c>
      <c r="F3388">
        <f>IF(INDEX(Transactions!$J:$J,ROW()-8)="",0,INDEX(Transactions!$O:$O,ROW()-8))</f>
      </c>
    </row>
    <row r="3389" spans="1:7">
      <c r="B3389">
        <f>IF(INDEX(Transactions!$J:$J,ROW()-8)="",TODAY(),INDEX(Transactions!$G:$G,ROW()-8))</f>
      </c>
      <c r="F3389">
        <f>IF(INDEX(Transactions!$J:$J,ROW()-8)="",0,INDEX(Transactions!$O:$O,ROW()-8))</f>
      </c>
    </row>
    <row r="3390" spans="1:7">
      <c r="B3390">
        <f>IF(INDEX(Transactions!$J:$J,ROW()-8)="",TODAY(),INDEX(Transactions!$G:$G,ROW()-8))</f>
      </c>
      <c r="F3390">
        <f>IF(INDEX(Transactions!$J:$J,ROW()-8)="",0,INDEX(Transactions!$O:$O,ROW()-8))</f>
      </c>
    </row>
    <row r="3391" spans="1:7">
      <c r="B3391">
        <f>IF(INDEX(Transactions!$J:$J,ROW()-8)="",TODAY(),INDEX(Transactions!$G:$G,ROW()-8))</f>
      </c>
      <c r="F3391">
        <f>IF(INDEX(Transactions!$J:$J,ROW()-8)="",0,INDEX(Transactions!$O:$O,ROW()-8))</f>
      </c>
    </row>
    <row r="3392" spans="1:7">
      <c r="B3392">
        <f>IF(INDEX(Transactions!$J:$J,ROW()-8)="",TODAY(),INDEX(Transactions!$G:$G,ROW()-8))</f>
      </c>
      <c r="F3392">
        <f>IF(INDEX(Transactions!$J:$J,ROW()-8)="",0,INDEX(Transactions!$O:$O,ROW()-8))</f>
      </c>
    </row>
    <row r="3393" spans="1:7">
      <c r="B3393">
        <f>IF(INDEX(Transactions!$J:$J,ROW()-8)="",TODAY(),INDEX(Transactions!$G:$G,ROW()-8))</f>
      </c>
      <c r="F3393">
        <f>IF(INDEX(Transactions!$J:$J,ROW()-8)="",0,INDEX(Transactions!$O:$O,ROW()-8))</f>
      </c>
    </row>
    <row r="3394" spans="1:7">
      <c r="B3394">
        <f>IF(INDEX(Transactions!$J:$J,ROW()-8)="",TODAY(),INDEX(Transactions!$G:$G,ROW()-8))</f>
      </c>
      <c r="F3394">
        <f>IF(INDEX(Transactions!$J:$J,ROW()-8)="",0,INDEX(Transactions!$O:$O,ROW()-8))</f>
      </c>
    </row>
    <row r="3395" spans="1:7">
      <c r="B3395">
        <f>IF(INDEX(Transactions!$J:$J,ROW()-8)="",TODAY(),INDEX(Transactions!$G:$G,ROW()-8))</f>
      </c>
      <c r="F3395">
        <f>IF(INDEX(Transactions!$J:$J,ROW()-8)="",0,INDEX(Transactions!$O:$O,ROW()-8))</f>
      </c>
    </row>
    <row r="3396" spans="1:7">
      <c r="B3396">
        <f>IF(INDEX(Transactions!$J:$J,ROW()-8)="",TODAY(),INDEX(Transactions!$G:$G,ROW()-8))</f>
      </c>
      <c r="F3396">
        <f>IF(INDEX(Transactions!$J:$J,ROW()-8)="",0,INDEX(Transactions!$O:$O,ROW()-8))</f>
      </c>
    </row>
    <row r="3397" spans="1:7">
      <c r="B3397">
        <f>IF(INDEX(Transactions!$J:$J,ROW()-8)="",TODAY(),INDEX(Transactions!$G:$G,ROW()-8))</f>
      </c>
      <c r="F3397">
        <f>IF(INDEX(Transactions!$J:$J,ROW()-8)="",0,INDEX(Transactions!$O:$O,ROW()-8))</f>
      </c>
    </row>
    <row r="3398" spans="1:7">
      <c r="B3398">
        <f>IF(INDEX(Transactions!$J:$J,ROW()-8)="",TODAY(),INDEX(Transactions!$G:$G,ROW()-8))</f>
      </c>
      <c r="F3398">
        <f>IF(INDEX(Transactions!$J:$J,ROW()-8)="",0,INDEX(Transactions!$O:$O,ROW()-8))</f>
      </c>
    </row>
    <row r="3399" spans="1:7">
      <c r="B3399">
        <f>IF(INDEX(Transactions!$J:$J,ROW()-8)="",TODAY(),INDEX(Transactions!$G:$G,ROW()-8))</f>
      </c>
      <c r="F3399">
        <f>IF(INDEX(Transactions!$J:$J,ROW()-8)="",0,INDEX(Transactions!$O:$O,ROW()-8))</f>
      </c>
    </row>
    <row r="3400" spans="1:7">
      <c r="B3400">
        <f>IF(INDEX(Transactions!$J:$J,ROW()-8)="",TODAY(),INDEX(Transactions!$G:$G,ROW()-8))</f>
      </c>
      <c r="F3400">
        <f>IF(INDEX(Transactions!$J:$J,ROW()-8)="",0,INDEX(Transactions!$O:$O,ROW()-8))</f>
      </c>
    </row>
    <row r="3401" spans="1:7">
      <c r="B3401">
        <f>IF(INDEX(Transactions!$J:$J,ROW()-8)="",TODAY(),INDEX(Transactions!$G:$G,ROW()-8))</f>
      </c>
      <c r="F3401">
        <f>IF(INDEX(Transactions!$J:$J,ROW()-8)="",0,INDEX(Transactions!$O:$O,ROW()-8))</f>
      </c>
    </row>
    <row r="3402" spans="1:7">
      <c r="B3402">
        <f>IF(INDEX(Transactions!$J:$J,ROW()-8)="",TODAY(),INDEX(Transactions!$G:$G,ROW()-8))</f>
      </c>
      <c r="F3402">
        <f>IF(INDEX(Transactions!$J:$J,ROW()-8)="",0,INDEX(Transactions!$O:$O,ROW()-8))</f>
      </c>
    </row>
    <row r="3403" spans="1:7">
      <c r="B3403">
        <f>IF(INDEX(Transactions!$J:$J,ROW()-8)="",TODAY(),INDEX(Transactions!$G:$G,ROW()-8))</f>
      </c>
      <c r="F3403">
        <f>IF(INDEX(Transactions!$J:$J,ROW()-8)="",0,INDEX(Transactions!$O:$O,ROW()-8))</f>
      </c>
    </row>
    <row r="3404" spans="1:7">
      <c r="B3404">
        <f>IF(INDEX(Transactions!$J:$J,ROW()-8)="",TODAY(),INDEX(Transactions!$G:$G,ROW()-8))</f>
      </c>
      <c r="F3404">
        <f>IF(INDEX(Transactions!$J:$J,ROW()-8)="",0,INDEX(Transactions!$O:$O,ROW()-8))</f>
      </c>
    </row>
    <row r="3405" spans="1:7">
      <c r="B3405">
        <f>IF(INDEX(Transactions!$J:$J,ROW()-8)="",TODAY(),INDEX(Transactions!$G:$G,ROW()-8))</f>
      </c>
      <c r="F3405">
        <f>IF(INDEX(Transactions!$J:$J,ROW()-8)="",0,INDEX(Transactions!$O:$O,ROW()-8))</f>
      </c>
    </row>
    <row r="3406" spans="1:7">
      <c r="B3406">
        <f>IF(INDEX(Transactions!$J:$J,ROW()-8)="",TODAY(),INDEX(Transactions!$G:$G,ROW()-8))</f>
      </c>
      <c r="F3406">
        <f>IF(INDEX(Transactions!$J:$J,ROW()-8)="",0,INDEX(Transactions!$O:$O,ROW()-8))</f>
      </c>
    </row>
    <row r="3407" spans="1:7">
      <c r="B3407">
        <f>IF(INDEX(Transactions!$J:$J,ROW()-8)="",TODAY(),INDEX(Transactions!$G:$G,ROW()-8))</f>
      </c>
      <c r="F3407">
        <f>IF(INDEX(Transactions!$J:$J,ROW()-8)="",0,INDEX(Transactions!$O:$O,ROW()-8))</f>
      </c>
    </row>
    <row r="3408" spans="1:7">
      <c r="B3408">
        <f>IF(INDEX(Transactions!$J:$J,ROW()-8)="",TODAY(),INDEX(Transactions!$G:$G,ROW()-8))</f>
      </c>
      <c r="F3408">
        <f>IF(INDEX(Transactions!$J:$J,ROW()-8)="",0,INDEX(Transactions!$O:$O,ROW()-8))</f>
      </c>
    </row>
    <row r="3409" spans="1:7">
      <c r="B3409">
        <f>IF(INDEX(Transactions!$J:$J,ROW()-8)="",TODAY(),INDEX(Transactions!$G:$G,ROW()-8))</f>
      </c>
      <c r="F3409">
        <f>IF(INDEX(Transactions!$J:$J,ROW()-8)="",0,INDEX(Transactions!$O:$O,ROW()-8))</f>
      </c>
    </row>
    <row r="3410" spans="1:7">
      <c r="B3410">
        <f>IF(INDEX(Transactions!$J:$J,ROW()-8)="",TODAY(),INDEX(Transactions!$G:$G,ROW()-8))</f>
      </c>
      <c r="F3410">
        <f>IF(INDEX(Transactions!$J:$J,ROW()-8)="",0,INDEX(Transactions!$O:$O,ROW()-8))</f>
      </c>
    </row>
    <row r="3411" spans="1:7">
      <c r="B3411">
        <f>IF(INDEX(Transactions!$J:$J,ROW()-8)="",TODAY(),INDEX(Transactions!$G:$G,ROW()-8))</f>
      </c>
      <c r="F3411">
        <f>IF(INDEX(Transactions!$J:$J,ROW()-8)="",0,INDEX(Transactions!$O:$O,ROW()-8))</f>
      </c>
    </row>
    <row r="3412" spans="1:7">
      <c r="B3412">
        <f>IF(INDEX(Transactions!$J:$J,ROW()-8)="",TODAY(),INDEX(Transactions!$G:$G,ROW()-8))</f>
      </c>
      <c r="F3412">
        <f>IF(INDEX(Transactions!$J:$J,ROW()-8)="",0,INDEX(Transactions!$O:$O,ROW()-8))</f>
      </c>
    </row>
    <row r="3413" spans="1:7">
      <c r="B3413">
        <f>IF(INDEX(Transactions!$J:$J,ROW()-8)="",TODAY(),INDEX(Transactions!$G:$G,ROW()-8))</f>
      </c>
      <c r="F3413">
        <f>IF(INDEX(Transactions!$J:$J,ROW()-8)="",0,INDEX(Transactions!$O:$O,ROW()-8))</f>
      </c>
    </row>
    <row r="3414" spans="1:7">
      <c r="B3414">
        <f>IF(INDEX(Transactions!$J:$J,ROW()-8)="",TODAY(),INDEX(Transactions!$G:$G,ROW()-8))</f>
      </c>
      <c r="F3414">
        <f>IF(INDEX(Transactions!$J:$J,ROW()-8)="",0,INDEX(Transactions!$O:$O,ROW()-8))</f>
      </c>
    </row>
    <row r="3415" spans="1:7">
      <c r="B3415">
        <f>IF(INDEX(Transactions!$J:$J,ROW()-8)="",TODAY(),INDEX(Transactions!$G:$G,ROW()-8))</f>
      </c>
      <c r="F3415">
        <f>IF(INDEX(Transactions!$J:$J,ROW()-8)="",0,INDEX(Transactions!$O:$O,ROW()-8))</f>
      </c>
    </row>
    <row r="3416" spans="1:7">
      <c r="B3416">
        <f>IF(INDEX(Transactions!$J:$J,ROW()-8)="",TODAY(),INDEX(Transactions!$G:$G,ROW()-8))</f>
      </c>
      <c r="F3416">
        <f>IF(INDEX(Transactions!$J:$J,ROW()-8)="",0,INDEX(Transactions!$O:$O,ROW()-8))</f>
      </c>
    </row>
    <row r="3417" spans="1:7">
      <c r="B3417">
        <f>IF(INDEX(Transactions!$J:$J,ROW()-8)="",TODAY(),INDEX(Transactions!$G:$G,ROW()-8))</f>
      </c>
      <c r="F3417">
        <f>IF(INDEX(Transactions!$J:$J,ROW()-8)="",0,INDEX(Transactions!$O:$O,ROW()-8))</f>
      </c>
    </row>
    <row r="3418" spans="1:7">
      <c r="B3418">
        <f>IF(INDEX(Transactions!$J:$J,ROW()-8)="",TODAY(),INDEX(Transactions!$G:$G,ROW()-8))</f>
      </c>
      <c r="F3418">
        <f>IF(INDEX(Transactions!$J:$J,ROW()-8)="",0,INDEX(Transactions!$O:$O,ROW()-8))</f>
      </c>
    </row>
    <row r="3419" spans="1:7">
      <c r="B3419">
        <f>IF(INDEX(Transactions!$J:$J,ROW()-8)="",TODAY(),INDEX(Transactions!$G:$G,ROW()-8))</f>
      </c>
      <c r="F3419">
        <f>IF(INDEX(Transactions!$J:$J,ROW()-8)="",0,INDEX(Transactions!$O:$O,ROW()-8))</f>
      </c>
    </row>
    <row r="3420" spans="1:7">
      <c r="B3420">
        <f>IF(INDEX(Transactions!$J:$J,ROW()-8)="",TODAY(),INDEX(Transactions!$G:$G,ROW()-8))</f>
      </c>
      <c r="F3420">
        <f>IF(INDEX(Transactions!$J:$J,ROW()-8)="",0,INDEX(Transactions!$O:$O,ROW()-8))</f>
      </c>
    </row>
    <row r="3421" spans="1:7">
      <c r="B3421">
        <f>IF(INDEX(Transactions!$J:$J,ROW()-8)="",TODAY(),INDEX(Transactions!$G:$G,ROW()-8))</f>
      </c>
      <c r="F3421">
        <f>IF(INDEX(Transactions!$J:$J,ROW()-8)="",0,INDEX(Transactions!$O:$O,ROW()-8))</f>
      </c>
    </row>
    <row r="3422" spans="1:7">
      <c r="B3422">
        <f>IF(INDEX(Transactions!$J:$J,ROW()-8)="",TODAY(),INDEX(Transactions!$G:$G,ROW()-8))</f>
      </c>
      <c r="F3422">
        <f>IF(INDEX(Transactions!$J:$J,ROW()-8)="",0,INDEX(Transactions!$O:$O,ROW()-8))</f>
      </c>
    </row>
    <row r="3423" spans="1:7">
      <c r="B3423">
        <f>IF(INDEX(Transactions!$J:$J,ROW()-8)="",TODAY(),INDEX(Transactions!$G:$G,ROW()-8))</f>
      </c>
      <c r="F3423">
        <f>IF(INDEX(Transactions!$J:$J,ROW()-8)="",0,INDEX(Transactions!$O:$O,ROW()-8))</f>
      </c>
    </row>
    <row r="3424" spans="1:7">
      <c r="B3424">
        <f>IF(INDEX(Transactions!$J:$J,ROW()-8)="",TODAY(),INDEX(Transactions!$G:$G,ROW()-8))</f>
      </c>
      <c r="F3424">
        <f>IF(INDEX(Transactions!$J:$J,ROW()-8)="",0,INDEX(Transactions!$O:$O,ROW()-8))</f>
      </c>
    </row>
    <row r="3425" spans="1:7">
      <c r="B3425">
        <f>IF(INDEX(Transactions!$J:$J,ROW()-8)="",TODAY(),INDEX(Transactions!$G:$G,ROW()-8))</f>
      </c>
      <c r="F3425">
        <f>IF(INDEX(Transactions!$J:$J,ROW()-8)="",0,INDEX(Transactions!$O:$O,ROW()-8))</f>
      </c>
    </row>
    <row r="3426" spans="1:7">
      <c r="B3426">
        <f>IF(INDEX(Transactions!$J:$J,ROW()-8)="",TODAY(),INDEX(Transactions!$G:$G,ROW()-8))</f>
      </c>
      <c r="F3426">
        <f>IF(INDEX(Transactions!$J:$J,ROW()-8)="",0,INDEX(Transactions!$O:$O,ROW()-8))</f>
      </c>
    </row>
    <row r="3427" spans="1:7">
      <c r="B3427">
        <f>IF(INDEX(Transactions!$J:$J,ROW()-8)="",TODAY(),INDEX(Transactions!$G:$G,ROW()-8))</f>
      </c>
      <c r="F3427">
        <f>IF(INDEX(Transactions!$J:$J,ROW()-8)="",0,INDEX(Transactions!$O:$O,ROW()-8))</f>
      </c>
    </row>
    <row r="3428" spans="1:7">
      <c r="B3428">
        <f>IF(INDEX(Transactions!$J:$J,ROW()-8)="",TODAY(),INDEX(Transactions!$G:$G,ROW()-8))</f>
      </c>
      <c r="F3428">
        <f>IF(INDEX(Transactions!$J:$J,ROW()-8)="",0,INDEX(Transactions!$O:$O,ROW()-8))</f>
      </c>
    </row>
    <row r="3429" spans="1:7">
      <c r="B3429">
        <f>IF(INDEX(Transactions!$J:$J,ROW()-8)="",TODAY(),INDEX(Transactions!$G:$G,ROW()-8))</f>
      </c>
      <c r="F3429">
        <f>IF(INDEX(Transactions!$J:$J,ROW()-8)="",0,INDEX(Transactions!$O:$O,ROW()-8))</f>
      </c>
    </row>
    <row r="3430" spans="1:7">
      <c r="B3430">
        <f>IF(INDEX(Transactions!$J:$J,ROW()-8)="",TODAY(),INDEX(Transactions!$G:$G,ROW()-8))</f>
      </c>
      <c r="F3430">
        <f>IF(INDEX(Transactions!$J:$J,ROW()-8)="",0,INDEX(Transactions!$O:$O,ROW()-8))</f>
      </c>
    </row>
    <row r="3431" spans="1:7">
      <c r="B3431">
        <f>IF(INDEX(Transactions!$J:$J,ROW()-8)="",TODAY(),INDEX(Transactions!$G:$G,ROW()-8))</f>
      </c>
      <c r="F3431">
        <f>IF(INDEX(Transactions!$J:$J,ROW()-8)="",0,INDEX(Transactions!$O:$O,ROW()-8))</f>
      </c>
    </row>
    <row r="3432" spans="1:7">
      <c r="B3432">
        <f>IF(INDEX(Transactions!$J:$J,ROW()-8)="",TODAY(),INDEX(Transactions!$G:$G,ROW()-8))</f>
      </c>
      <c r="F3432">
        <f>IF(INDEX(Transactions!$J:$J,ROW()-8)="",0,INDEX(Transactions!$O:$O,ROW()-8))</f>
      </c>
    </row>
    <row r="3433" spans="1:7">
      <c r="B3433">
        <f>IF(INDEX(Transactions!$J:$J,ROW()-8)="",TODAY(),INDEX(Transactions!$G:$G,ROW()-8))</f>
      </c>
      <c r="F3433">
        <f>IF(INDEX(Transactions!$J:$J,ROW()-8)="",0,INDEX(Transactions!$O:$O,ROW()-8))</f>
      </c>
    </row>
    <row r="3434" spans="1:7">
      <c r="B3434">
        <f>IF(INDEX(Transactions!$J:$J,ROW()-8)="",TODAY(),INDEX(Transactions!$G:$G,ROW()-8))</f>
      </c>
      <c r="F3434">
        <f>IF(INDEX(Transactions!$J:$J,ROW()-8)="",0,INDEX(Transactions!$O:$O,ROW()-8))</f>
      </c>
    </row>
    <row r="3435" spans="1:7">
      <c r="B3435">
        <f>IF(INDEX(Transactions!$J:$J,ROW()-8)="",TODAY(),INDEX(Transactions!$G:$G,ROW()-8))</f>
      </c>
      <c r="F3435">
        <f>IF(INDEX(Transactions!$J:$J,ROW()-8)="",0,INDEX(Transactions!$O:$O,ROW()-8))</f>
      </c>
    </row>
    <row r="3436" spans="1:7">
      <c r="B3436">
        <f>IF(INDEX(Transactions!$J:$J,ROW()-8)="",TODAY(),INDEX(Transactions!$G:$G,ROW()-8))</f>
      </c>
      <c r="F3436">
        <f>IF(INDEX(Transactions!$J:$J,ROW()-8)="",0,INDEX(Transactions!$O:$O,ROW()-8))</f>
      </c>
    </row>
    <row r="3437" spans="1:7">
      <c r="B3437">
        <f>IF(INDEX(Transactions!$J:$J,ROW()-8)="",TODAY(),INDEX(Transactions!$G:$G,ROW()-8))</f>
      </c>
      <c r="F3437">
        <f>IF(INDEX(Transactions!$J:$J,ROW()-8)="",0,INDEX(Transactions!$O:$O,ROW()-8))</f>
      </c>
    </row>
    <row r="3438" spans="1:7">
      <c r="B3438">
        <f>IF(INDEX(Transactions!$J:$J,ROW()-8)="",TODAY(),INDEX(Transactions!$G:$G,ROW()-8))</f>
      </c>
      <c r="F3438">
        <f>IF(INDEX(Transactions!$J:$J,ROW()-8)="",0,INDEX(Transactions!$O:$O,ROW()-8))</f>
      </c>
    </row>
    <row r="3439" spans="1:7">
      <c r="B3439">
        <f>IF(INDEX(Transactions!$J:$J,ROW()-8)="",TODAY(),INDEX(Transactions!$G:$G,ROW()-8))</f>
      </c>
      <c r="F3439">
        <f>IF(INDEX(Transactions!$J:$J,ROW()-8)="",0,INDEX(Transactions!$O:$O,ROW()-8))</f>
      </c>
    </row>
    <row r="3440" spans="1:7">
      <c r="B3440">
        <f>IF(INDEX(Transactions!$J:$J,ROW()-8)="",TODAY(),INDEX(Transactions!$G:$G,ROW()-8))</f>
      </c>
      <c r="F3440">
        <f>IF(INDEX(Transactions!$J:$J,ROW()-8)="",0,INDEX(Transactions!$O:$O,ROW()-8))</f>
      </c>
    </row>
    <row r="3441" spans="1:7">
      <c r="B3441">
        <f>IF(INDEX(Transactions!$J:$J,ROW()-8)="",TODAY(),INDEX(Transactions!$G:$G,ROW()-8))</f>
      </c>
      <c r="F3441">
        <f>IF(INDEX(Transactions!$J:$J,ROW()-8)="",0,INDEX(Transactions!$O:$O,ROW()-8))</f>
      </c>
    </row>
    <row r="3442" spans="1:7">
      <c r="B3442">
        <f>IF(INDEX(Transactions!$J:$J,ROW()-8)="",TODAY(),INDEX(Transactions!$G:$G,ROW()-8))</f>
      </c>
      <c r="F3442">
        <f>IF(INDEX(Transactions!$J:$J,ROW()-8)="",0,INDEX(Transactions!$O:$O,ROW()-8))</f>
      </c>
    </row>
    <row r="3443" spans="1:7">
      <c r="B3443">
        <f>IF(INDEX(Transactions!$J:$J,ROW()-8)="",TODAY(),INDEX(Transactions!$G:$G,ROW()-8))</f>
      </c>
      <c r="F3443">
        <f>IF(INDEX(Transactions!$J:$J,ROW()-8)="",0,INDEX(Transactions!$O:$O,ROW()-8))</f>
      </c>
    </row>
    <row r="3444" spans="1:7">
      <c r="B3444">
        <f>IF(INDEX(Transactions!$J:$J,ROW()-8)="",TODAY(),INDEX(Transactions!$G:$G,ROW()-8))</f>
      </c>
      <c r="F3444">
        <f>IF(INDEX(Transactions!$J:$J,ROW()-8)="",0,INDEX(Transactions!$O:$O,ROW()-8))</f>
      </c>
    </row>
    <row r="3445" spans="1:7">
      <c r="B3445">
        <f>IF(INDEX(Transactions!$J:$J,ROW()-8)="",TODAY(),INDEX(Transactions!$G:$G,ROW()-8))</f>
      </c>
      <c r="F3445">
        <f>IF(INDEX(Transactions!$J:$J,ROW()-8)="",0,INDEX(Transactions!$O:$O,ROW()-8))</f>
      </c>
    </row>
    <row r="3446" spans="1:7">
      <c r="B3446">
        <f>IF(INDEX(Transactions!$J:$J,ROW()-8)="",TODAY(),INDEX(Transactions!$G:$G,ROW()-8))</f>
      </c>
      <c r="F3446">
        <f>IF(INDEX(Transactions!$J:$J,ROW()-8)="",0,INDEX(Transactions!$O:$O,ROW()-8))</f>
      </c>
    </row>
    <row r="3447" spans="1:7">
      <c r="B3447">
        <f>IF(INDEX(Transactions!$J:$J,ROW()-8)="",TODAY(),INDEX(Transactions!$G:$G,ROW()-8))</f>
      </c>
      <c r="F3447">
        <f>IF(INDEX(Transactions!$J:$J,ROW()-8)="",0,INDEX(Transactions!$O:$O,ROW()-8))</f>
      </c>
    </row>
    <row r="3448" spans="1:7">
      <c r="B3448">
        <f>IF(INDEX(Transactions!$J:$J,ROW()-8)="",TODAY(),INDEX(Transactions!$G:$G,ROW()-8))</f>
      </c>
      <c r="F3448">
        <f>IF(INDEX(Transactions!$J:$J,ROW()-8)="",0,INDEX(Transactions!$O:$O,ROW()-8))</f>
      </c>
    </row>
    <row r="3449" spans="1:7">
      <c r="B3449">
        <f>IF(INDEX(Transactions!$J:$J,ROW()-8)="",TODAY(),INDEX(Transactions!$G:$G,ROW()-8))</f>
      </c>
      <c r="F3449">
        <f>IF(INDEX(Transactions!$J:$J,ROW()-8)="",0,INDEX(Transactions!$O:$O,ROW()-8))</f>
      </c>
    </row>
    <row r="3450" spans="1:7">
      <c r="B3450">
        <f>IF(INDEX(Transactions!$J:$J,ROW()-8)="",TODAY(),INDEX(Transactions!$G:$G,ROW()-8))</f>
      </c>
      <c r="F3450">
        <f>IF(INDEX(Transactions!$J:$J,ROW()-8)="",0,INDEX(Transactions!$O:$O,ROW()-8))</f>
      </c>
    </row>
    <row r="3451" spans="1:7">
      <c r="B3451">
        <f>IF(INDEX(Transactions!$J:$J,ROW()-8)="",TODAY(),INDEX(Transactions!$G:$G,ROW()-8))</f>
      </c>
      <c r="F3451">
        <f>IF(INDEX(Transactions!$J:$J,ROW()-8)="",0,INDEX(Transactions!$O:$O,ROW()-8))</f>
      </c>
    </row>
    <row r="3452" spans="1:7">
      <c r="B3452">
        <f>IF(INDEX(Transactions!$J:$J,ROW()-8)="",TODAY(),INDEX(Transactions!$G:$G,ROW()-8))</f>
      </c>
      <c r="F3452">
        <f>IF(INDEX(Transactions!$J:$J,ROW()-8)="",0,INDEX(Transactions!$O:$O,ROW()-8))</f>
      </c>
    </row>
    <row r="3453" spans="1:7">
      <c r="B3453">
        <f>IF(INDEX(Transactions!$J:$J,ROW()-8)="",TODAY(),INDEX(Transactions!$G:$G,ROW()-8))</f>
      </c>
      <c r="F3453">
        <f>IF(INDEX(Transactions!$J:$J,ROW()-8)="",0,INDEX(Transactions!$O:$O,ROW()-8))</f>
      </c>
    </row>
    <row r="3454" spans="1:7">
      <c r="B3454">
        <f>IF(INDEX(Transactions!$J:$J,ROW()-8)="",TODAY(),INDEX(Transactions!$G:$G,ROW()-8))</f>
      </c>
      <c r="F3454">
        <f>IF(INDEX(Transactions!$J:$J,ROW()-8)="",0,INDEX(Transactions!$O:$O,ROW()-8))</f>
      </c>
    </row>
    <row r="3455" spans="1:7">
      <c r="B3455">
        <f>IF(INDEX(Transactions!$J:$J,ROW()-8)="",TODAY(),INDEX(Transactions!$G:$G,ROW()-8))</f>
      </c>
      <c r="F3455">
        <f>IF(INDEX(Transactions!$J:$J,ROW()-8)="",0,INDEX(Transactions!$O:$O,ROW()-8))</f>
      </c>
    </row>
    <row r="3456" spans="1:7">
      <c r="B3456">
        <f>IF(INDEX(Transactions!$J:$J,ROW()-8)="",TODAY(),INDEX(Transactions!$G:$G,ROW()-8))</f>
      </c>
      <c r="F3456">
        <f>IF(INDEX(Transactions!$J:$J,ROW()-8)="",0,INDEX(Transactions!$O:$O,ROW()-8))</f>
      </c>
    </row>
    <row r="3457" spans="1:7">
      <c r="B3457">
        <f>IF(INDEX(Transactions!$J:$J,ROW()-8)="",TODAY(),INDEX(Transactions!$G:$G,ROW()-8))</f>
      </c>
      <c r="F3457">
        <f>IF(INDEX(Transactions!$J:$J,ROW()-8)="",0,INDEX(Transactions!$O:$O,ROW()-8))</f>
      </c>
    </row>
    <row r="3458" spans="1:7">
      <c r="B3458">
        <f>IF(INDEX(Transactions!$J:$J,ROW()-8)="",TODAY(),INDEX(Transactions!$G:$G,ROW()-8))</f>
      </c>
      <c r="F3458">
        <f>IF(INDEX(Transactions!$J:$J,ROW()-8)="",0,INDEX(Transactions!$O:$O,ROW()-8))</f>
      </c>
    </row>
    <row r="3459" spans="1:7">
      <c r="B3459">
        <f>IF(INDEX(Transactions!$J:$J,ROW()-8)="",TODAY(),INDEX(Transactions!$G:$G,ROW()-8))</f>
      </c>
      <c r="F3459">
        <f>IF(INDEX(Transactions!$J:$J,ROW()-8)="",0,INDEX(Transactions!$O:$O,ROW()-8))</f>
      </c>
    </row>
    <row r="3460" spans="1:7">
      <c r="B3460">
        <f>IF(INDEX(Transactions!$J:$J,ROW()-8)="",TODAY(),INDEX(Transactions!$G:$G,ROW()-8))</f>
      </c>
      <c r="F3460">
        <f>IF(INDEX(Transactions!$J:$J,ROW()-8)="",0,INDEX(Transactions!$O:$O,ROW()-8))</f>
      </c>
    </row>
    <row r="3461" spans="1:7">
      <c r="B3461">
        <f>IF(INDEX(Transactions!$J:$J,ROW()-8)="",TODAY(),INDEX(Transactions!$G:$G,ROW()-8))</f>
      </c>
      <c r="F3461">
        <f>IF(INDEX(Transactions!$J:$J,ROW()-8)="",0,INDEX(Transactions!$O:$O,ROW()-8))</f>
      </c>
    </row>
    <row r="3462" spans="1:7">
      <c r="B3462">
        <f>IF(INDEX(Transactions!$J:$J,ROW()-8)="",TODAY(),INDEX(Transactions!$G:$G,ROW()-8))</f>
      </c>
      <c r="F3462">
        <f>IF(INDEX(Transactions!$J:$J,ROW()-8)="",0,INDEX(Transactions!$O:$O,ROW()-8))</f>
      </c>
    </row>
    <row r="3463" spans="1:7">
      <c r="B3463">
        <f>IF(INDEX(Transactions!$J:$J,ROW()-8)="",TODAY(),INDEX(Transactions!$G:$G,ROW()-8))</f>
      </c>
      <c r="F3463">
        <f>IF(INDEX(Transactions!$J:$J,ROW()-8)="",0,INDEX(Transactions!$O:$O,ROW()-8))</f>
      </c>
    </row>
    <row r="3464" spans="1:7">
      <c r="B3464">
        <f>IF(INDEX(Transactions!$J:$J,ROW()-8)="",TODAY(),INDEX(Transactions!$G:$G,ROW()-8))</f>
      </c>
      <c r="F3464">
        <f>IF(INDEX(Transactions!$J:$J,ROW()-8)="",0,INDEX(Transactions!$O:$O,ROW()-8))</f>
      </c>
    </row>
    <row r="3465" spans="1:7">
      <c r="B3465">
        <f>IF(INDEX(Transactions!$J:$J,ROW()-8)="",TODAY(),INDEX(Transactions!$G:$G,ROW()-8))</f>
      </c>
      <c r="F3465">
        <f>IF(INDEX(Transactions!$J:$J,ROW()-8)="",0,INDEX(Transactions!$O:$O,ROW()-8))</f>
      </c>
    </row>
    <row r="3466" spans="1:7">
      <c r="B3466">
        <f>IF(INDEX(Transactions!$J:$J,ROW()-8)="",TODAY(),INDEX(Transactions!$G:$G,ROW()-8))</f>
      </c>
      <c r="F3466">
        <f>IF(INDEX(Transactions!$J:$J,ROW()-8)="",0,INDEX(Transactions!$O:$O,ROW()-8))</f>
      </c>
    </row>
    <row r="3467" spans="1:7">
      <c r="B3467">
        <f>IF(INDEX(Transactions!$J:$J,ROW()-8)="",TODAY(),INDEX(Transactions!$G:$G,ROW()-8))</f>
      </c>
      <c r="F3467">
        <f>IF(INDEX(Transactions!$J:$J,ROW()-8)="",0,INDEX(Transactions!$O:$O,ROW()-8))</f>
      </c>
    </row>
    <row r="3468" spans="1:7">
      <c r="B3468">
        <f>IF(INDEX(Transactions!$J:$J,ROW()-8)="",TODAY(),INDEX(Transactions!$G:$G,ROW()-8))</f>
      </c>
      <c r="F3468">
        <f>IF(INDEX(Transactions!$J:$J,ROW()-8)="",0,INDEX(Transactions!$O:$O,ROW()-8))</f>
      </c>
    </row>
    <row r="3469" spans="1:7">
      <c r="B3469">
        <f>IF(INDEX(Transactions!$J:$J,ROW()-8)="",TODAY(),INDEX(Transactions!$G:$G,ROW()-8))</f>
      </c>
      <c r="F3469">
        <f>IF(INDEX(Transactions!$J:$J,ROW()-8)="",0,INDEX(Transactions!$O:$O,ROW()-8))</f>
      </c>
    </row>
    <row r="3470" spans="1:7">
      <c r="B3470">
        <f>IF(INDEX(Transactions!$J:$J,ROW()-8)="",TODAY(),INDEX(Transactions!$G:$G,ROW()-8))</f>
      </c>
      <c r="F3470">
        <f>IF(INDEX(Transactions!$J:$J,ROW()-8)="",0,INDEX(Transactions!$O:$O,ROW()-8))</f>
      </c>
    </row>
    <row r="3471" spans="1:7">
      <c r="B3471">
        <f>IF(INDEX(Transactions!$J:$J,ROW()-8)="",TODAY(),INDEX(Transactions!$G:$G,ROW()-8))</f>
      </c>
      <c r="F3471">
        <f>IF(INDEX(Transactions!$J:$J,ROW()-8)="",0,INDEX(Transactions!$O:$O,ROW()-8))</f>
      </c>
    </row>
    <row r="3472" spans="1:7">
      <c r="B3472">
        <f>IF(INDEX(Transactions!$J:$J,ROW()-8)="",TODAY(),INDEX(Transactions!$G:$G,ROW()-8))</f>
      </c>
      <c r="F3472">
        <f>IF(INDEX(Transactions!$J:$J,ROW()-8)="",0,INDEX(Transactions!$O:$O,ROW()-8))</f>
      </c>
    </row>
    <row r="3473" spans="1:7">
      <c r="B3473">
        <f>IF(INDEX(Transactions!$J:$J,ROW()-8)="",TODAY(),INDEX(Transactions!$G:$G,ROW()-8))</f>
      </c>
      <c r="F3473">
        <f>IF(INDEX(Transactions!$J:$J,ROW()-8)="",0,INDEX(Transactions!$O:$O,ROW()-8))</f>
      </c>
    </row>
    <row r="3474" spans="1:7">
      <c r="B3474">
        <f>IF(INDEX(Transactions!$J:$J,ROW()-8)="",TODAY(),INDEX(Transactions!$G:$G,ROW()-8))</f>
      </c>
      <c r="F3474">
        <f>IF(INDEX(Transactions!$J:$J,ROW()-8)="",0,INDEX(Transactions!$O:$O,ROW()-8))</f>
      </c>
    </row>
    <row r="3475" spans="1:7">
      <c r="B3475">
        <f>IF(INDEX(Transactions!$J:$J,ROW()-8)="",TODAY(),INDEX(Transactions!$G:$G,ROW()-8))</f>
      </c>
      <c r="F3475">
        <f>IF(INDEX(Transactions!$J:$J,ROW()-8)="",0,INDEX(Transactions!$O:$O,ROW()-8))</f>
      </c>
    </row>
    <row r="3476" spans="1:7">
      <c r="B3476">
        <f>IF(INDEX(Transactions!$J:$J,ROW()-8)="",TODAY(),INDEX(Transactions!$G:$G,ROW()-8))</f>
      </c>
      <c r="F3476">
        <f>IF(INDEX(Transactions!$J:$J,ROW()-8)="",0,INDEX(Transactions!$O:$O,ROW()-8))</f>
      </c>
    </row>
    <row r="3477" spans="1:7">
      <c r="B3477">
        <f>IF(INDEX(Transactions!$J:$J,ROW()-8)="",TODAY(),INDEX(Transactions!$G:$G,ROW()-8))</f>
      </c>
      <c r="F3477">
        <f>IF(INDEX(Transactions!$J:$J,ROW()-8)="",0,INDEX(Transactions!$O:$O,ROW()-8))</f>
      </c>
    </row>
    <row r="3478" spans="1:7">
      <c r="B3478">
        <f>IF(INDEX(Transactions!$J:$J,ROW()-8)="",TODAY(),INDEX(Transactions!$G:$G,ROW()-8))</f>
      </c>
      <c r="F3478">
        <f>IF(INDEX(Transactions!$J:$J,ROW()-8)="",0,INDEX(Transactions!$O:$O,ROW()-8))</f>
      </c>
    </row>
    <row r="3479" spans="1:7">
      <c r="B3479">
        <f>IF(INDEX(Transactions!$J:$J,ROW()-8)="",TODAY(),INDEX(Transactions!$G:$G,ROW()-8))</f>
      </c>
      <c r="F3479">
        <f>IF(INDEX(Transactions!$J:$J,ROW()-8)="",0,INDEX(Transactions!$O:$O,ROW()-8))</f>
      </c>
    </row>
    <row r="3480" spans="1:7">
      <c r="B3480">
        <f>IF(INDEX(Transactions!$J:$J,ROW()-8)="",TODAY(),INDEX(Transactions!$G:$G,ROW()-8))</f>
      </c>
      <c r="F3480">
        <f>IF(INDEX(Transactions!$J:$J,ROW()-8)="",0,INDEX(Transactions!$O:$O,ROW()-8))</f>
      </c>
    </row>
    <row r="3481" spans="1:7">
      <c r="B3481">
        <f>IF(INDEX(Transactions!$J:$J,ROW()-8)="",TODAY(),INDEX(Transactions!$G:$G,ROW()-8))</f>
      </c>
      <c r="F3481">
        <f>IF(INDEX(Transactions!$J:$J,ROW()-8)="",0,INDEX(Transactions!$O:$O,ROW()-8))</f>
      </c>
    </row>
    <row r="3482" spans="1:7">
      <c r="B3482">
        <f>IF(INDEX(Transactions!$J:$J,ROW()-8)="",TODAY(),INDEX(Transactions!$G:$G,ROW()-8))</f>
      </c>
      <c r="F3482">
        <f>IF(INDEX(Transactions!$J:$J,ROW()-8)="",0,INDEX(Transactions!$O:$O,ROW()-8))</f>
      </c>
    </row>
    <row r="3483" spans="1:7">
      <c r="B3483">
        <f>IF(INDEX(Transactions!$J:$J,ROW()-8)="",TODAY(),INDEX(Transactions!$G:$G,ROW()-8))</f>
      </c>
      <c r="F3483">
        <f>IF(INDEX(Transactions!$J:$J,ROW()-8)="",0,INDEX(Transactions!$O:$O,ROW()-8))</f>
      </c>
    </row>
    <row r="3484" spans="1:7">
      <c r="B3484">
        <f>IF(INDEX(Transactions!$J:$J,ROW()-8)="",TODAY(),INDEX(Transactions!$G:$G,ROW()-8))</f>
      </c>
      <c r="F3484">
        <f>IF(INDEX(Transactions!$J:$J,ROW()-8)="",0,INDEX(Transactions!$O:$O,ROW()-8))</f>
      </c>
    </row>
    <row r="3485" spans="1:7">
      <c r="B3485">
        <f>IF(INDEX(Transactions!$J:$J,ROW()-8)="",TODAY(),INDEX(Transactions!$G:$G,ROW()-8))</f>
      </c>
      <c r="F3485">
        <f>IF(INDEX(Transactions!$J:$J,ROW()-8)="",0,INDEX(Transactions!$O:$O,ROW()-8))</f>
      </c>
    </row>
    <row r="3486" spans="1:7">
      <c r="B3486">
        <f>IF(INDEX(Transactions!$J:$J,ROW()-8)="",TODAY(),INDEX(Transactions!$G:$G,ROW()-8))</f>
      </c>
      <c r="F3486">
        <f>IF(INDEX(Transactions!$J:$J,ROW()-8)="",0,INDEX(Transactions!$O:$O,ROW()-8))</f>
      </c>
    </row>
    <row r="3487" spans="1:7">
      <c r="B3487">
        <f>IF(INDEX(Transactions!$J:$J,ROW()-8)="",TODAY(),INDEX(Transactions!$G:$G,ROW()-8))</f>
      </c>
      <c r="F3487">
        <f>IF(INDEX(Transactions!$J:$J,ROW()-8)="",0,INDEX(Transactions!$O:$O,ROW()-8))</f>
      </c>
    </row>
    <row r="3488" spans="1:7">
      <c r="B3488">
        <f>IF(INDEX(Transactions!$J:$J,ROW()-8)="",TODAY(),INDEX(Transactions!$G:$G,ROW()-8))</f>
      </c>
      <c r="F3488">
        <f>IF(INDEX(Transactions!$J:$J,ROW()-8)="",0,INDEX(Transactions!$O:$O,ROW()-8))</f>
      </c>
    </row>
    <row r="3489" spans="1:7">
      <c r="B3489">
        <f>IF(INDEX(Transactions!$J:$J,ROW()-8)="",TODAY(),INDEX(Transactions!$G:$G,ROW()-8))</f>
      </c>
      <c r="F3489">
        <f>IF(INDEX(Transactions!$J:$J,ROW()-8)="",0,INDEX(Transactions!$O:$O,ROW()-8))</f>
      </c>
    </row>
    <row r="3490" spans="1:7">
      <c r="B3490">
        <f>IF(INDEX(Transactions!$J:$J,ROW()-8)="",TODAY(),INDEX(Transactions!$G:$G,ROW()-8))</f>
      </c>
      <c r="F3490">
        <f>IF(INDEX(Transactions!$J:$J,ROW()-8)="",0,INDEX(Transactions!$O:$O,ROW()-8))</f>
      </c>
    </row>
    <row r="3491" spans="1:7">
      <c r="B3491">
        <f>IF(INDEX(Transactions!$J:$J,ROW()-8)="",TODAY(),INDEX(Transactions!$G:$G,ROW()-8))</f>
      </c>
      <c r="F3491">
        <f>IF(INDEX(Transactions!$J:$J,ROW()-8)="",0,INDEX(Transactions!$O:$O,ROW()-8))</f>
      </c>
    </row>
    <row r="3492" spans="1:7">
      <c r="B3492">
        <f>IF(INDEX(Transactions!$J:$J,ROW()-8)="",TODAY(),INDEX(Transactions!$G:$G,ROW()-8))</f>
      </c>
      <c r="F3492">
        <f>IF(INDEX(Transactions!$J:$J,ROW()-8)="",0,INDEX(Transactions!$O:$O,ROW()-8))</f>
      </c>
    </row>
    <row r="3493" spans="1:7">
      <c r="B3493">
        <f>IF(INDEX(Transactions!$J:$J,ROW()-8)="",TODAY(),INDEX(Transactions!$G:$G,ROW()-8))</f>
      </c>
      <c r="F3493">
        <f>IF(INDEX(Transactions!$J:$J,ROW()-8)="",0,INDEX(Transactions!$O:$O,ROW()-8))</f>
      </c>
    </row>
    <row r="3494" spans="1:7">
      <c r="B3494">
        <f>IF(INDEX(Transactions!$J:$J,ROW()-8)="",TODAY(),INDEX(Transactions!$G:$G,ROW()-8))</f>
      </c>
      <c r="F3494">
        <f>IF(INDEX(Transactions!$J:$J,ROW()-8)="",0,INDEX(Transactions!$O:$O,ROW()-8))</f>
      </c>
    </row>
    <row r="3495" spans="1:7">
      <c r="B3495">
        <f>IF(INDEX(Transactions!$J:$J,ROW()-8)="",TODAY(),INDEX(Transactions!$G:$G,ROW()-8))</f>
      </c>
      <c r="F3495">
        <f>IF(INDEX(Transactions!$J:$J,ROW()-8)="",0,INDEX(Transactions!$O:$O,ROW()-8))</f>
      </c>
    </row>
    <row r="3496" spans="1:7">
      <c r="B3496">
        <f>IF(INDEX(Transactions!$J:$J,ROW()-8)="",TODAY(),INDEX(Transactions!$G:$G,ROW()-8))</f>
      </c>
      <c r="F3496">
        <f>IF(INDEX(Transactions!$J:$J,ROW()-8)="",0,INDEX(Transactions!$O:$O,ROW()-8))</f>
      </c>
    </row>
    <row r="3497" spans="1:7">
      <c r="B3497">
        <f>IF(INDEX(Transactions!$J:$J,ROW()-8)="",TODAY(),INDEX(Transactions!$G:$G,ROW()-8))</f>
      </c>
      <c r="F3497">
        <f>IF(INDEX(Transactions!$J:$J,ROW()-8)="",0,INDEX(Transactions!$O:$O,ROW()-8))</f>
      </c>
    </row>
    <row r="3498" spans="1:7">
      <c r="B3498">
        <f>IF(INDEX(Transactions!$J:$J,ROW()-8)="",TODAY(),INDEX(Transactions!$G:$G,ROW()-8))</f>
      </c>
      <c r="F3498">
        <f>IF(INDEX(Transactions!$J:$J,ROW()-8)="",0,INDEX(Transactions!$O:$O,ROW()-8))</f>
      </c>
    </row>
    <row r="3499" spans="1:7">
      <c r="B3499">
        <f>IF(INDEX(Transactions!$J:$J,ROW()-8)="",TODAY(),INDEX(Transactions!$G:$G,ROW()-8))</f>
      </c>
      <c r="F3499">
        <f>IF(INDEX(Transactions!$J:$J,ROW()-8)="",0,INDEX(Transactions!$O:$O,ROW()-8))</f>
      </c>
    </row>
    <row r="3500" spans="1:7">
      <c r="B3500">
        <f>IF(INDEX(Transactions!$J:$J,ROW()-8)="",TODAY(),INDEX(Transactions!$G:$G,ROW()-8))</f>
      </c>
      <c r="F3500">
        <f>IF(INDEX(Transactions!$J:$J,ROW()-8)="",0,INDEX(Transactions!$O:$O,ROW()-8))</f>
      </c>
    </row>
    <row r="3501" spans="1:7">
      <c r="B3501">
        <f>IF(INDEX(Transactions!$J:$J,ROW()-8)="",TODAY(),INDEX(Transactions!$G:$G,ROW()-8))</f>
      </c>
      <c r="F3501">
        <f>IF(INDEX(Transactions!$J:$J,ROW()-8)="",0,INDEX(Transactions!$O:$O,ROW()-8))</f>
      </c>
    </row>
    <row r="3502" spans="1:7">
      <c r="B3502">
        <f>IF(INDEX(Transactions!$J:$J,ROW()-8)="",TODAY(),INDEX(Transactions!$G:$G,ROW()-8))</f>
      </c>
      <c r="F3502">
        <f>IF(INDEX(Transactions!$J:$J,ROW()-8)="",0,INDEX(Transactions!$O:$O,ROW()-8))</f>
      </c>
    </row>
    <row r="3503" spans="1:7">
      <c r="B3503">
        <f>IF(INDEX(Transactions!$J:$J,ROW()-8)="",TODAY(),INDEX(Transactions!$G:$G,ROW()-8))</f>
      </c>
      <c r="F3503">
        <f>IF(INDEX(Transactions!$J:$J,ROW()-8)="",0,INDEX(Transactions!$O:$O,ROW()-8))</f>
      </c>
    </row>
    <row r="3504" spans="1:7">
      <c r="B3504">
        <f>IF(INDEX(Transactions!$J:$J,ROW()-8)="",TODAY(),INDEX(Transactions!$G:$G,ROW()-8))</f>
      </c>
      <c r="F3504">
        <f>IF(INDEX(Transactions!$J:$J,ROW()-8)="",0,INDEX(Transactions!$O:$O,ROW()-8))</f>
      </c>
    </row>
    <row r="3505" spans="1:7">
      <c r="B3505">
        <f>IF(INDEX(Transactions!$J:$J,ROW()-8)="",TODAY(),INDEX(Transactions!$G:$G,ROW()-8))</f>
      </c>
      <c r="F3505">
        <f>IF(INDEX(Transactions!$J:$J,ROW()-8)="",0,INDEX(Transactions!$O:$O,ROW()-8))</f>
      </c>
    </row>
    <row r="3506" spans="1:7">
      <c r="B3506">
        <f>IF(INDEX(Transactions!$J:$J,ROW()-8)="",TODAY(),INDEX(Transactions!$G:$G,ROW()-8))</f>
      </c>
      <c r="F3506">
        <f>IF(INDEX(Transactions!$J:$J,ROW()-8)="",0,INDEX(Transactions!$O:$O,ROW()-8))</f>
      </c>
    </row>
    <row r="3507" spans="1:7">
      <c r="B3507">
        <f>IF(INDEX(Transactions!$J:$J,ROW()-8)="",TODAY(),INDEX(Transactions!$G:$G,ROW()-8))</f>
      </c>
      <c r="F3507">
        <f>IF(INDEX(Transactions!$J:$J,ROW()-8)="",0,INDEX(Transactions!$O:$O,ROW()-8))</f>
      </c>
    </row>
    <row r="3508" spans="1:7">
      <c r="B3508">
        <f>IF(INDEX(Transactions!$J:$J,ROW()-8)="",TODAY(),INDEX(Transactions!$G:$G,ROW()-8))</f>
      </c>
      <c r="F3508">
        <f>IF(INDEX(Transactions!$J:$J,ROW()-8)="",0,INDEX(Transactions!$O:$O,ROW()-8))</f>
      </c>
    </row>
    <row r="3509" spans="1:7">
      <c r="B3509">
        <f>IF(INDEX(Transactions!$J:$J,ROW()-8)="",TODAY(),INDEX(Transactions!$G:$G,ROW()-8))</f>
      </c>
      <c r="F3509">
        <f>IF(INDEX(Transactions!$J:$J,ROW()-8)="",0,INDEX(Transactions!$O:$O,ROW()-8))</f>
      </c>
    </row>
    <row r="3510" spans="1:7">
      <c r="B3510">
        <f>IF(INDEX(Transactions!$J:$J,ROW()-8)="",TODAY(),INDEX(Transactions!$G:$G,ROW()-8))</f>
      </c>
      <c r="F3510">
        <f>IF(INDEX(Transactions!$J:$J,ROW()-8)="",0,INDEX(Transactions!$O:$O,ROW()-8))</f>
      </c>
    </row>
    <row r="3511" spans="1:7">
      <c r="B3511">
        <f>IF(INDEX(Transactions!$J:$J,ROW()-8)="",TODAY(),INDEX(Transactions!$G:$G,ROW()-8))</f>
      </c>
      <c r="F3511">
        <f>IF(INDEX(Transactions!$J:$J,ROW()-8)="",0,INDEX(Transactions!$O:$O,ROW()-8))</f>
      </c>
    </row>
    <row r="3512" spans="1:7">
      <c r="B3512">
        <f>IF(INDEX(Transactions!$J:$J,ROW()-8)="",TODAY(),INDEX(Transactions!$G:$G,ROW()-8))</f>
      </c>
      <c r="F3512">
        <f>IF(INDEX(Transactions!$J:$J,ROW()-8)="",0,INDEX(Transactions!$O:$O,ROW()-8))</f>
      </c>
    </row>
    <row r="3513" spans="1:7">
      <c r="B3513">
        <f>IF(INDEX(Transactions!$J:$J,ROW()-8)="",TODAY(),INDEX(Transactions!$G:$G,ROW()-8))</f>
      </c>
      <c r="F3513">
        <f>IF(INDEX(Transactions!$J:$J,ROW()-8)="",0,INDEX(Transactions!$O:$O,ROW()-8))</f>
      </c>
    </row>
    <row r="3514" spans="1:7">
      <c r="B3514">
        <f>IF(INDEX(Transactions!$J:$J,ROW()-8)="",TODAY(),INDEX(Transactions!$G:$G,ROW()-8))</f>
      </c>
      <c r="F3514">
        <f>IF(INDEX(Transactions!$J:$J,ROW()-8)="",0,INDEX(Transactions!$O:$O,ROW()-8))</f>
      </c>
    </row>
    <row r="3515" spans="1:7">
      <c r="B3515">
        <f>IF(INDEX(Transactions!$J:$J,ROW()-8)="",TODAY(),INDEX(Transactions!$G:$G,ROW()-8))</f>
      </c>
      <c r="F3515">
        <f>IF(INDEX(Transactions!$J:$J,ROW()-8)="",0,INDEX(Transactions!$O:$O,ROW()-8))</f>
      </c>
    </row>
    <row r="3516" spans="1:7">
      <c r="B3516">
        <f>IF(INDEX(Transactions!$J:$J,ROW()-8)="",TODAY(),INDEX(Transactions!$G:$G,ROW()-8))</f>
      </c>
      <c r="F3516">
        <f>IF(INDEX(Transactions!$J:$J,ROW()-8)="",0,INDEX(Transactions!$O:$O,ROW()-8))</f>
      </c>
    </row>
    <row r="3517" spans="1:7">
      <c r="B3517">
        <f>IF(INDEX(Transactions!$J:$J,ROW()-8)="",TODAY(),INDEX(Transactions!$G:$G,ROW()-8))</f>
      </c>
      <c r="F3517">
        <f>IF(INDEX(Transactions!$J:$J,ROW()-8)="",0,INDEX(Transactions!$O:$O,ROW()-8))</f>
      </c>
    </row>
    <row r="3518" spans="1:7">
      <c r="B3518">
        <f>IF(INDEX(Transactions!$J:$J,ROW()-8)="",TODAY(),INDEX(Transactions!$G:$G,ROW()-8))</f>
      </c>
      <c r="F3518">
        <f>IF(INDEX(Transactions!$J:$J,ROW()-8)="",0,INDEX(Transactions!$O:$O,ROW()-8))</f>
      </c>
    </row>
    <row r="3519" spans="1:7">
      <c r="B3519">
        <f>IF(INDEX(Transactions!$J:$J,ROW()-8)="",TODAY(),INDEX(Transactions!$G:$G,ROW()-8))</f>
      </c>
      <c r="F3519">
        <f>IF(INDEX(Transactions!$J:$J,ROW()-8)="",0,INDEX(Transactions!$O:$O,ROW()-8))</f>
      </c>
    </row>
    <row r="3520" spans="1:7">
      <c r="B3520">
        <f>IF(INDEX(Transactions!$J:$J,ROW()-8)="",TODAY(),INDEX(Transactions!$G:$G,ROW()-8))</f>
      </c>
      <c r="F3520">
        <f>IF(INDEX(Transactions!$J:$J,ROW()-8)="",0,INDEX(Transactions!$O:$O,ROW()-8))</f>
      </c>
    </row>
    <row r="3521" spans="1:7">
      <c r="B3521">
        <f>IF(INDEX(Transactions!$J:$J,ROW()-8)="",TODAY(),INDEX(Transactions!$G:$G,ROW()-8))</f>
      </c>
      <c r="F3521">
        <f>IF(INDEX(Transactions!$J:$J,ROW()-8)="",0,INDEX(Transactions!$O:$O,ROW()-8))</f>
      </c>
    </row>
    <row r="3522" spans="1:7">
      <c r="B3522">
        <f>IF(INDEX(Transactions!$J:$J,ROW()-8)="",TODAY(),INDEX(Transactions!$G:$G,ROW()-8))</f>
      </c>
      <c r="F3522">
        <f>IF(INDEX(Transactions!$J:$J,ROW()-8)="",0,INDEX(Transactions!$O:$O,ROW()-8))</f>
      </c>
    </row>
    <row r="3523" spans="1:7">
      <c r="B3523">
        <f>IF(INDEX(Transactions!$J:$J,ROW()-8)="",TODAY(),INDEX(Transactions!$G:$G,ROW()-8))</f>
      </c>
      <c r="F3523">
        <f>IF(INDEX(Transactions!$J:$J,ROW()-8)="",0,INDEX(Transactions!$O:$O,ROW()-8))</f>
      </c>
    </row>
    <row r="3524" spans="1:7">
      <c r="B3524">
        <f>IF(INDEX(Transactions!$J:$J,ROW()-8)="",TODAY(),INDEX(Transactions!$G:$G,ROW()-8))</f>
      </c>
      <c r="F3524">
        <f>IF(INDEX(Transactions!$J:$J,ROW()-8)="",0,INDEX(Transactions!$O:$O,ROW()-8))</f>
      </c>
    </row>
    <row r="3525" spans="1:7">
      <c r="B3525">
        <f>IF(INDEX(Transactions!$J:$J,ROW()-8)="",TODAY(),INDEX(Transactions!$G:$G,ROW()-8))</f>
      </c>
      <c r="F3525">
        <f>IF(INDEX(Transactions!$J:$J,ROW()-8)="",0,INDEX(Transactions!$O:$O,ROW()-8))</f>
      </c>
    </row>
    <row r="3526" spans="1:7">
      <c r="B3526">
        <f>IF(INDEX(Transactions!$J:$J,ROW()-8)="",TODAY(),INDEX(Transactions!$G:$G,ROW()-8))</f>
      </c>
      <c r="F3526">
        <f>IF(INDEX(Transactions!$J:$J,ROW()-8)="",0,INDEX(Transactions!$O:$O,ROW()-8))</f>
      </c>
    </row>
    <row r="3527" spans="1:7">
      <c r="B3527">
        <f>IF(INDEX(Transactions!$J:$J,ROW()-8)="",TODAY(),INDEX(Transactions!$G:$G,ROW()-8))</f>
      </c>
      <c r="F3527">
        <f>IF(INDEX(Transactions!$J:$J,ROW()-8)="",0,INDEX(Transactions!$O:$O,ROW()-8))</f>
      </c>
    </row>
    <row r="3528" spans="1:7">
      <c r="B3528">
        <f>IF(INDEX(Transactions!$J:$J,ROW()-8)="",TODAY(),INDEX(Transactions!$G:$G,ROW()-8))</f>
      </c>
      <c r="F3528">
        <f>IF(INDEX(Transactions!$J:$J,ROW()-8)="",0,INDEX(Transactions!$O:$O,ROW()-8))</f>
      </c>
    </row>
    <row r="3529" spans="1:7">
      <c r="B3529">
        <f>IF(INDEX(Transactions!$J:$J,ROW()-8)="",TODAY(),INDEX(Transactions!$G:$G,ROW()-8))</f>
      </c>
      <c r="F3529">
        <f>IF(INDEX(Transactions!$J:$J,ROW()-8)="",0,INDEX(Transactions!$O:$O,ROW()-8))</f>
      </c>
    </row>
    <row r="3530" spans="1:7">
      <c r="B3530">
        <f>IF(INDEX(Transactions!$J:$J,ROW()-8)="",TODAY(),INDEX(Transactions!$G:$G,ROW()-8))</f>
      </c>
      <c r="F3530">
        <f>IF(INDEX(Transactions!$J:$J,ROW()-8)="",0,INDEX(Transactions!$O:$O,ROW()-8))</f>
      </c>
    </row>
    <row r="3531" spans="1:7">
      <c r="B3531">
        <f>IF(INDEX(Transactions!$J:$J,ROW()-8)="",TODAY(),INDEX(Transactions!$G:$G,ROW()-8))</f>
      </c>
      <c r="F3531">
        <f>IF(INDEX(Transactions!$J:$J,ROW()-8)="",0,INDEX(Transactions!$O:$O,ROW()-8))</f>
      </c>
    </row>
    <row r="3532" spans="1:7">
      <c r="B3532">
        <f>IF(INDEX(Transactions!$J:$J,ROW()-8)="",TODAY(),INDEX(Transactions!$G:$G,ROW()-8))</f>
      </c>
      <c r="F3532">
        <f>IF(INDEX(Transactions!$J:$J,ROW()-8)="",0,INDEX(Transactions!$O:$O,ROW()-8))</f>
      </c>
    </row>
    <row r="3533" spans="1:7">
      <c r="B3533">
        <f>IF(INDEX(Transactions!$J:$J,ROW()-8)="",TODAY(),INDEX(Transactions!$G:$G,ROW()-8))</f>
      </c>
      <c r="F3533">
        <f>IF(INDEX(Transactions!$J:$J,ROW()-8)="",0,INDEX(Transactions!$O:$O,ROW()-8))</f>
      </c>
    </row>
    <row r="3534" spans="1:7">
      <c r="B3534">
        <f>IF(INDEX(Transactions!$J:$J,ROW()-8)="",TODAY(),INDEX(Transactions!$G:$G,ROW()-8))</f>
      </c>
      <c r="F3534">
        <f>IF(INDEX(Transactions!$J:$J,ROW()-8)="",0,INDEX(Transactions!$O:$O,ROW()-8))</f>
      </c>
    </row>
    <row r="3535" spans="1:7">
      <c r="B3535">
        <f>IF(INDEX(Transactions!$J:$J,ROW()-8)="",TODAY(),INDEX(Transactions!$G:$G,ROW()-8))</f>
      </c>
      <c r="F3535">
        <f>IF(INDEX(Transactions!$J:$J,ROW()-8)="",0,INDEX(Transactions!$O:$O,ROW()-8))</f>
      </c>
    </row>
    <row r="3536" spans="1:7">
      <c r="B3536">
        <f>IF(INDEX(Transactions!$J:$J,ROW()-8)="",TODAY(),INDEX(Transactions!$G:$G,ROW()-8))</f>
      </c>
      <c r="F3536">
        <f>IF(INDEX(Transactions!$J:$J,ROW()-8)="",0,INDEX(Transactions!$O:$O,ROW()-8))</f>
      </c>
    </row>
    <row r="3537" spans="1:7">
      <c r="B3537">
        <f>IF(INDEX(Transactions!$J:$J,ROW()-8)="",TODAY(),INDEX(Transactions!$G:$G,ROW()-8))</f>
      </c>
      <c r="F3537">
        <f>IF(INDEX(Transactions!$J:$J,ROW()-8)="",0,INDEX(Transactions!$O:$O,ROW()-8))</f>
      </c>
    </row>
    <row r="3538" spans="1:7">
      <c r="B3538">
        <f>IF(INDEX(Transactions!$J:$J,ROW()-8)="",TODAY(),INDEX(Transactions!$G:$G,ROW()-8))</f>
      </c>
      <c r="F3538">
        <f>IF(INDEX(Transactions!$J:$J,ROW()-8)="",0,INDEX(Transactions!$O:$O,ROW()-8))</f>
      </c>
    </row>
    <row r="3539" spans="1:7">
      <c r="B3539">
        <f>IF(INDEX(Transactions!$J:$J,ROW()-8)="",TODAY(),INDEX(Transactions!$G:$G,ROW()-8))</f>
      </c>
      <c r="F3539">
        <f>IF(INDEX(Transactions!$J:$J,ROW()-8)="",0,INDEX(Transactions!$O:$O,ROW()-8))</f>
      </c>
    </row>
    <row r="3540" spans="1:7">
      <c r="B3540">
        <f>IF(INDEX(Transactions!$J:$J,ROW()-8)="",TODAY(),INDEX(Transactions!$G:$G,ROW()-8))</f>
      </c>
      <c r="F3540">
        <f>IF(INDEX(Transactions!$J:$J,ROW()-8)="",0,INDEX(Transactions!$O:$O,ROW()-8))</f>
      </c>
    </row>
    <row r="3541" spans="1:7">
      <c r="B3541">
        <f>IF(INDEX(Transactions!$J:$J,ROW()-8)="",TODAY(),INDEX(Transactions!$G:$G,ROW()-8))</f>
      </c>
      <c r="F3541">
        <f>IF(INDEX(Transactions!$J:$J,ROW()-8)="",0,INDEX(Transactions!$O:$O,ROW()-8))</f>
      </c>
    </row>
    <row r="3542" spans="1:7">
      <c r="B3542">
        <f>IF(INDEX(Transactions!$J:$J,ROW()-8)="",TODAY(),INDEX(Transactions!$G:$G,ROW()-8))</f>
      </c>
      <c r="F3542">
        <f>IF(INDEX(Transactions!$J:$J,ROW()-8)="",0,INDEX(Transactions!$O:$O,ROW()-8))</f>
      </c>
    </row>
    <row r="3543" spans="1:7">
      <c r="B3543">
        <f>IF(INDEX(Transactions!$J:$J,ROW()-8)="",TODAY(),INDEX(Transactions!$G:$G,ROW()-8))</f>
      </c>
      <c r="F3543">
        <f>IF(INDEX(Transactions!$J:$J,ROW()-8)="",0,INDEX(Transactions!$O:$O,ROW()-8))</f>
      </c>
    </row>
    <row r="3544" spans="1:7">
      <c r="B3544">
        <f>IF(INDEX(Transactions!$J:$J,ROW()-8)="",TODAY(),INDEX(Transactions!$G:$G,ROW()-8))</f>
      </c>
      <c r="F3544">
        <f>IF(INDEX(Transactions!$J:$J,ROW()-8)="",0,INDEX(Transactions!$O:$O,ROW()-8))</f>
      </c>
    </row>
    <row r="3545" spans="1:7">
      <c r="B3545">
        <f>IF(INDEX(Transactions!$J:$J,ROW()-8)="",TODAY(),INDEX(Transactions!$G:$G,ROW()-8))</f>
      </c>
      <c r="F3545">
        <f>IF(INDEX(Transactions!$J:$J,ROW()-8)="",0,INDEX(Transactions!$O:$O,ROW()-8))</f>
      </c>
    </row>
    <row r="3546" spans="1:7">
      <c r="B3546">
        <f>IF(INDEX(Transactions!$J:$J,ROW()-8)="",TODAY(),INDEX(Transactions!$G:$G,ROW()-8))</f>
      </c>
      <c r="F3546">
        <f>IF(INDEX(Transactions!$J:$J,ROW()-8)="",0,INDEX(Transactions!$O:$O,ROW()-8))</f>
      </c>
    </row>
    <row r="3547" spans="1:7">
      <c r="B3547">
        <f>IF(INDEX(Transactions!$J:$J,ROW()-8)="",TODAY(),INDEX(Transactions!$G:$G,ROW()-8))</f>
      </c>
      <c r="F3547">
        <f>IF(INDEX(Transactions!$J:$J,ROW()-8)="",0,INDEX(Transactions!$O:$O,ROW()-8))</f>
      </c>
    </row>
    <row r="3548" spans="1:7">
      <c r="B3548">
        <f>IF(INDEX(Transactions!$J:$J,ROW()-8)="",TODAY(),INDEX(Transactions!$G:$G,ROW()-8))</f>
      </c>
      <c r="F3548">
        <f>IF(INDEX(Transactions!$J:$J,ROW()-8)="",0,INDEX(Transactions!$O:$O,ROW()-8))</f>
      </c>
    </row>
    <row r="3549" spans="1:7">
      <c r="B3549">
        <f>IF(INDEX(Transactions!$J:$J,ROW()-8)="",TODAY(),INDEX(Transactions!$G:$G,ROW()-8))</f>
      </c>
      <c r="F3549">
        <f>IF(INDEX(Transactions!$J:$J,ROW()-8)="",0,INDEX(Transactions!$O:$O,ROW()-8))</f>
      </c>
    </row>
    <row r="3550" spans="1:7">
      <c r="B3550">
        <f>IF(INDEX(Transactions!$J:$J,ROW()-8)="",TODAY(),INDEX(Transactions!$G:$G,ROW()-8))</f>
      </c>
      <c r="F3550">
        <f>IF(INDEX(Transactions!$J:$J,ROW()-8)="",0,INDEX(Transactions!$O:$O,ROW()-8))</f>
      </c>
    </row>
    <row r="3551" spans="1:7">
      <c r="B3551">
        <f>IF(INDEX(Transactions!$J:$J,ROW()-8)="",TODAY(),INDEX(Transactions!$G:$G,ROW()-8))</f>
      </c>
      <c r="F3551">
        <f>IF(INDEX(Transactions!$J:$J,ROW()-8)="",0,INDEX(Transactions!$O:$O,ROW()-8))</f>
      </c>
    </row>
    <row r="3552" spans="1:7">
      <c r="B3552">
        <f>IF(INDEX(Transactions!$J:$J,ROW()-8)="",TODAY(),INDEX(Transactions!$G:$G,ROW()-8))</f>
      </c>
      <c r="F3552">
        <f>IF(INDEX(Transactions!$J:$J,ROW()-8)="",0,INDEX(Transactions!$O:$O,ROW()-8))</f>
      </c>
    </row>
    <row r="3553" spans="1:7">
      <c r="B3553">
        <f>IF(INDEX(Transactions!$J:$J,ROW()-8)="",TODAY(),INDEX(Transactions!$G:$G,ROW()-8))</f>
      </c>
      <c r="F3553">
        <f>IF(INDEX(Transactions!$J:$J,ROW()-8)="",0,INDEX(Transactions!$O:$O,ROW()-8))</f>
      </c>
    </row>
    <row r="3554" spans="1:7">
      <c r="B3554">
        <f>IF(INDEX(Transactions!$J:$J,ROW()-8)="",TODAY(),INDEX(Transactions!$G:$G,ROW()-8))</f>
      </c>
      <c r="F3554">
        <f>IF(INDEX(Transactions!$J:$J,ROW()-8)="",0,INDEX(Transactions!$O:$O,ROW()-8))</f>
      </c>
    </row>
    <row r="3555" spans="1:7">
      <c r="B3555">
        <f>IF(INDEX(Transactions!$J:$J,ROW()-8)="",TODAY(),INDEX(Transactions!$G:$G,ROW()-8))</f>
      </c>
      <c r="F3555">
        <f>IF(INDEX(Transactions!$J:$J,ROW()-8)="",0,INDEX(Transactions!$O:$O,ROW()-8))</f>
      </c>
    </row>
    <row r="3556" spans="1:7">
      <c r="B3556">
        <f>IF(INDEX(Transactions!$J:$J,ROW()-8)="",TODAY(),INDEX(Transactions!$G:$G,ROW()-8))</f>
      </c>
      <c r="F3556">
        <f>IF(INDEX(Transactions!$J:$J,ROW()-8)="",0,INDEX(Transactions!$O:$O,ROW()-8))</f>
      </c>
    </row>
    <row r="3557" spans="1:7">
      <c r="B3557">
        <f>IF(INDEX(Transactions!$J:$J,ROW()-8)="",TODAY(),INDEX(Transactions!$G:$G,ROW()-8))</f>
      </c>
      <c r="F3557">
        <f>IF(INDEX(Transactions!$J:$J,ROW()-8)="",0,INDEX(Transactions!$O:$O,ROW()-8))</f>
      </c>
    </row>
    <row r="3558" spans="1:7">
      <c r="B3558">
        <f>IF(INDEX(Transactions!$J:$J,ROW()-8)="",TODAY(),INDEX(Transactions!$G:$G,ROW()-8))</f>
      </c>
      <c r="F3558">
        <f>IF(INDEX(Transactions!$J:$J,ROW()-8)="",0,INDEX(Transactions!$O:$O,ROW()-8))</f>
      </c>
    </row>
    <row r="3559" spans="1:7">
      <c r="B3559">
        <f>IF(INDEX(Transactions!$J:$J,ROW()-8)="",TODAY(),INDEX(Transactions!$G:$G,ROW()-8))</f>
      </c>
      <c r="F3559">
        <f>IF(INDEX(Transactions!$J:$J,ROW()-8)="",0,INDEX(Transactions!$O:$O,ROW()-8))</f>
      </c>
    </row>
    <row r="3560" spans="1:7">
      <c r="B3560">
        <f>IF(INDEX(Transactions!$J:$J,ROW()-8)="",TODAY(),INDEX(Transactions!$G:$G,ROW()-8))</f>
      </c>
      <c r="F3560">
        <f>IF(INDEX(Transactions!$J:$J,ROW()-8)="",0,INDEX(Transactions!$O:$O,ROW()-8))</f>
      </c>
    </row>
    <row r="3561" spans="1:7">
      <c r="B3561">
        <f>IF(INDEX(Transactions!$J:$J,ROW()-8)="",TODAY(),INDEX(Transactions!$G:$G,ROW()-8))</f>
      </c>
      <c r="F3561">
        <f>IF(INDEX(Transactions!$J:$J,ROW()-8)="",0,INDEX(Transactions!$O:$O,ROW()-8))</f>
      </c>
    </row>
    <row r="3562" spans="1:7">
      <c r="B3562">
        <f>IF(INDEX(Transactions!$J:$J,ROW()-8)="",TODAY(),INDEX(Transactions!$G:$G,ROW()-8))</f>
      </c>
      <c r="F3562">
        <f>IF(INDEX(Transactions!$J:$J,ROW()-8)="",0,INDEX(Transactions!$O:$O,ROW()-8))</f>
      </c>
    </row>
    <row r="3563" spans="1:7">
      <c r="B3563">
        <f>IF(INDEX(Transactions!$J:$J,ROW()-8)="",TODAY(),INDEX(Transactions!$G:$G,ROW()-8))</f>
      </c>
      <c r="F3563">
        <f>IF(INDEX(Transactions!$J:$J,ROW()-8)="",0,INDEX(Transactions!$O:$O,ROW()-8))</f>
      </c>
    </row>
    <row r="3564" spans="1:7">
      <c r="B3564">
        <f>IF(INDEX(Transactions!$J:$J,ROW()-8)="",TODAY(),INDEX(Transactions!$G:$G,ROW()-8))</f>
      </c>
      <c r="F3564">
        <f>IF(INDEX(Transactions!$J:$J,ROW()-8)="",0,INDEX(Transactions!$O:$O,ROW()-8))</f>
      </c>
    </row>
    <row r="3565" spans="1:7">
      <c r="B3565">
        <f>IF(INDEX(Transactions!$J:$J,ROW()-8)="",TODAY(),INDEX(Transactions!$G:$G,ROW()-8))</f>
      </c>
      <c r="F3565">
        <f>IF(INDEX(Transactions!$J:$J,ROW()-8)="",0,INDEX(Transactions!$O:$O,ROW()-8))</f>
      </c>
    </row>
    <row r="3566" spans="1:7">
      <c r="B3566">
        <f>IF(INDEX(Transactions!$J:$J,ROW()-8)="",TODAY(),INDEX(Transactions!$G:$G,ROW()-8))</f>
      </c>
      <c r="F3566">
        <f>IF(INDEX(Transactions!$J:$J,ROW()-8)="",0,INDEX(Transactions!$O:$O,ROW()-8))</f>
      </c>
    </row>
    <row r="3567" spans="1:7">
      <c r="B3567">
        <f>IF(INDEX(Transactions!$J:$J,ROW()-8)="",TODAY(),INDEX(Transactions!$G:$G,ROW()-8))</f>
      </c>
      <c r="F3567">
        <f>IF(INDEX(Transactions!$J:$J,ROW()-8)="",0,INDEX(Transactions!$O:$O,ROW()-8))</f>
      </c>
    </row>
    <row r="3568" spans="1:7">
      <c r="B3568">
        <f>IF(INDEX(Transactions!$J:$J,ROW()-8)="",TODAY(),INDEX(Transactions!$G:$G,ROW()-8))</f>
      </c>
      <c r="F3568">
        <f>IF(INDEX(Transactions!$J:$J,ROW()-8)="",0,INDEX(Transactions!$O:$O,ROW()-8))</f>
      </c>
    </row>
    <row r="3569" spans="1:7">
      <c r="B3569">
        <f>IF(INDEX(Transactions!$J:$J,ROW()-8)="",TODAY(),INDEX(Transactions!$G:$G,ROW()-8))</f>
      </c>
      <c r="F3569">
        <f>IF(INDEX(Transactions!$J:$J,ROW()-8)="",0,INDEX(Transactions!$O:$O,ROW()-8))</f>
      </c>
    </row>
    <row r="3570" spans="1:7">
      <c r="B3570">
        <f>IF(INDEX(Transactions!$J:$J,ROW()-8)="",TODAY(),INDEX(Transactions!$G:$G,ROW()-8))</f>
      </c>
      <c r="F3570">
        <f>IF(INDEX(Transactions!$J:$J,ROW()-8)="",0,INDEX(Transactions!$O:$O,ROW()-8))</f>
      </c>
    </row>
    <row r="3571" spans="1:7">
      <c r="B3571">
        <f>IF(INDEX(Transactions!$J:$J,ROW()-8)="",TODAY(),INDEX(Transactions!$G:$G,ROW()-8))</f>
      </c>
      <c r="F3571">
        <f>IF(INDEX(Transactions!$J:$J,ROW()-8)="",0,INDEX(Transactions!$O:$O,ROW()-8))</f>
      </c>
    </row>
    <row r="3572" spans="1:7">
      <c r="B3572">
        <f>IF(INDEX(Transactions!$J:$J,ROW()-8)="",TODAY(),INDEX(Transactions!$G:$G,ROW()-8))</f>
      </c>
      <c r="F3572">
        <f>IF(INDEX(Transactions!$J:$J,ROW()-8)="",0,INDEX(Transactions!$O:$O,ROW()-8))</f>
      </c>
    </row>
    <row r="3573" spans="1:7">
      <c r="B3573">
        <f>IF(INDEX(Transactions!$J:$J,ROW()-8)="",TODAY(),INDEX(Transactions!$G:$G,ROW()-8))</f>
      </c>
      <c r="F3573">
        <f>IF(INDEX(Transactions!$J:$J,ROW()-8)="",0,INDEX(Transactions!$O:$O,ROW()-8))</f>
      </c>
    </row>
    <row r="3574" spans="1:7">
      <c r="B3574">
        <f>IF(INDEX(Transactions!$J:$J,ROW()-8)="",TODAY(),INDEX(Transactions!$G:$G,ROW()-8))</f>
      </c>
      <c r="F3574">
        <f>IF(INDEX(Transactions!$J:$J,ROW()-8)="",0,INDEX(Transactions!$O:$O,ROW()-8))</f>
      </c>
    </row>
    <row r="3575" spans="1:7">
      <c r="B3575">
        <f>IF(INDEX(Transactions!$J:$J,ROW()-8)="",TODAY(),INDEX(Transactions!$G:$G,ROW()-8))</f>
      </c>
      <c r="F3575">
        <f>IF(INDEX(Transactions!$J:$J,ROW()-8)="",0,INDEX(Transactions!$O:$O,ROW()-8))</f>
      </c>
    </row>
    <row r="3576" spans="1:7">
      <c r="B3576">
        <f>IF(INDEX(Transactions!$J:$J,ROW()-8)="",TODAY(),INDEX(Transactions!$G:$G,ROW()-8))</f>
      </c>
      <c r="F3576">
        <f>IF(INDEX(Transactions!$J:$J,ROW()-8)="",0,INDEX(Transactions!$O:$O,ROW()-8))</f>
      </c>
    </row>
    <row r="3577" spans="1:7">
      <c r="B3577">
        <f>IF(INDEX(Transactions!$J:$J,ROW()-8)="",TODAY(),INDEX(Transactions!$G:$G,ROW()-8))</f>
      </c>
      <c r="F3577">
        <f>IF(INDEX(Transactions!$J:$J,ROW()-8)="",0,INDEX(Transactions!$O:$O,ROW()-8))</f>
      </c>
    </row>
    <row r="3578" spans="1:7">
      <c r="B3578">
        <f>IF(INDEX(Transactions!$J:$J,ROW()-8)="",TODAY(),INDEX(Transactions!$G:$G,ROW()-8))</f>
      </c>
      <c r="F3578">
        <f>IF(INDEX(Transactions!$J:$J,ROW()-8)="",0,INDEX(Transactions!$O:$O,ROW()-8))</f>
      </c>
    </row>
    <row r="3579" spans="1:7">
      <c r="B3579">
        <f>IF(INDEX(Transactions!$J:$J,ROW()-8)="",TODAY(),INDEX(Transactions!$G:$G,ROW()-8))</f>
      </c>
      <c r="F3579">
        <f>IF(INDEX(Transactions!$J:$J,ROW()-8)="",0,INDEX(Transactions!$O:$O,ROW()-8))</f>
      </c>
    </row>
    <row r="3580" spans="1:7">
      <c r="B3580">
        <f>IF(INDEX(Transactions!$J:$J,ROW()-8)="",TODAY(),INDEX(Transactions!$G:$G,ROW()-8))</f>
      </c>
      <c r="F3580">
        <f>IF(INDEX(Transactions!$J:$J,ROW()-8)="",0,INDEX(Transactions!$O:$O,ROW()-8))</f>
      </c>
    </row>
    <row r="3581" spans="1:7">
      <c r="B3581">
        <f>IF(INDEX(Transactions!$J:$J,ROW()-8)="",TODAY(),INDEX(Transactions!$G:$G,ROW()-8))</f>
      </c>
      <c r="F3581">
        <f>IF(INDEX(Transactions!$J:$J,ROW()-8)="",0,INDEX(Transactions!$O:$O,ROW()-8))</f>
      </c>
    </row>
    <row r="3582" spans="1:7">
      <c r="B3582">
        <f>IF(INDEX(Transactions!$J:$J,ROW()-8)="",TODAY(),INDEX(Transactions!$G:$G,ROW()-8))</f>
      </c>
      <c r="F3582">
        <f>IF(INDEX(Transactions!$J:$J,ROW()-8)="",0,INDEX(Transactions!$O:$O,ROW()-8))</f>
      </c>
    </row>
    <row r="3583" spans="1:7">
      <c r="B3583">
        <f>IF(INDEX(Transactions!$J:$J,ROW()-8)="",TODAY(),INDEX(Transactions!$G:$G,ROW()-8))</f>
      </c>
      <c r="F3583">
        <f>IF(INDEX(Transactions!$J:$J,ROW()-8)="",0,INDEX(Transactions!$O:$O,ROW()-8))</f>
      </c>
    </row>
    <row r="3584" spans="1:7">
      <c r="B3584">
        <f>IF(INDEX(Transactions!$J:$J,ROW()-8)="",TODAY(),INDEX(Transactions!$G:$G,ROW()-8))</f>
      </c>
      <c r="F3584">
        <f>IF(INDEX(Transactions!$J:$J,ROW()-8)="",0,INDEX(Transactions!$O:$O,ROW()-8))</f>
      </c>
    </row>
    <row r="3585" spans="1:7">
      <c r="B3585">
        <f>IF(INDEX(Transactions!$J:$J,ROW()-8)="",TODAY(),INDEX(Transactions!$G:$G,ROW()-8))</f>
      </c>
      <c r="F3585">
        <f>IF(INDEX(Transactions!$J:$J,ROW()-8)="",0,INDEX(Transactions!$O:$O,ROW()-8))</f>
      </c>
    </row>
    <row r="3586" spans="1:7">
      <c r="B3586">
        <f>IF(INDEX(Transactions!$J:$J,ROW()-8)="",TODAY(),INDEX(Transactions!$G:$G,ROW()-8))</f>
      </c>
      <c r="F3586">
        <f>IF(INDEX(Transactions!$J:$J,ROW()-8)="",0,INDEX(Transactions!$O:$O,ROW()-8))</f>
      </c>
    </row>
    <row r="3587" spans="1:7">
      <c r="B3587">
        <f>IF(INDEX(Transactions!$J:$J,ROW()-8)="",TODAY(),INDEX(Transactions!$G:$G,ROW()-8))</f>
      </c>
      <c r="F3587">
        <f>IF(INDEX(Transactions!$J:$J,ROW()-8)="",0,INDEX(Transactions!$O:$O,ROW()-8))</f>
      </c>
    </row>
    <row r="3588" spans="1:7">
      <c r="B3588">
        <f>IF(INDEX(Transactions!$J:$J,ROW()-8)="",TODAY(),INDEX(Transactions!$G:$G,ROW()-8))</f>
      </c>
      <c r="F3588">
        <f>IF(INDEX(Transactions!$J:$J,ROW()-8)="",0,INDEX(Transactions!$O:$O,ROW()-8))</f>
      </c>
    </row>
    <row r="3589" spans="1:7">
      <c r="B3589">
        <f>IF(INDEX(Transactions!$J:$J,ROW()-8)="",TODAY(),INDEX(Transactions!$G:$G,ROW()-8))</f>
      </c>
      <c r="F3589">
        <f>IF(INDEX(Transactions!$J:$J,ROW()-8)="",0,INDEX(Transactions!$O:$O,ROW()-8))</f>
      </c>
    </row>
    <row r="3590" spans="1:7">
      <c r="B3590">
        <f>IF(INDEX(Transactions!$J:$J,ROW()-8)="",TODAY(),INDEX(Transactions!$G:$G,ROW()-8))</f>
      </c>
      <c r="F3590">
        <f>IF(INDEX(Transactions!$J:$J,ROW()-8)="",0,INDEX(Transactions!$O:$O,ROW()-8))</f>
      </c>
    </row>
    <row r="3591" spans="1:7">
      <c r="B3591">
        <f>IF(INDEX(Transactions!$J:$J,ROW()-8)="",TODAY(),INDEX(Transactions!$G:$G,ROW()-8))</f>
      </c>
      <c r="F3591">
        <f>IF(INDEX(Transactions!$J:$J,ROW()-8)="",0,INDEX(Transactions!$O:$O,ROW()-8))</f>
      </c>
    </row>
    <row r="3592" spans="1:7">
      <c r="B3592">
        <f>IF(INDEX(Transactions!$J:$J,ROW()-8)="",TODAY(),INDEX(Transactions!$G:$G,ROW()-8))</f>
      </c>
      <c r="F3592">
        <f>IF(INDEX(Transactions!$J:$J,ROW()-8)="",0,INDEX(Transactions!$O:$O,ROW()-8))</f>
      </c>
    </row>
    <row r="3593" spans="1:7">
      <c r="B3593">
        <f>IF(INDEX(Transactions!$J:$J,ROW()-8)="",TODAY(),INDEX(Transactions!$G:$G,ROW()-8))</f>
      </c>
      <c r="F3593">
        <f>IF(INDEX(Transactions!$J:$J,ROW()-8)="",0,INDEX(Transactions!$O:$O,ROW()-8))</f>
      </c>
    </row>
    <row r="3594" spans="1:7">
      <c r="B3594">
        <f>IF(INDEX(Transactions!$J:$J,ROW()-8)="",TODAY(),INDEX(Transactions!$G:$G,ROW()-8))</f>
      </c>
      <c r="F3594">
        <f>IF(INDEX(Transactions!$J:$J,ROW()-8)="",0,INDEX(Transactions!$O:$O,ROW()-8))</f>
      </c>
    </row>
    <row r="3595" spans="1:7">
      <c r="B3595">
        <f>IF(INDEX(Transactions!$J:$J,ROW()-8)="",TODAY(),INDEX(Transactions!$G:$G,ROW()-8))</f>
      </c>
      <c r="F3595">
        <f>IF(INDEX(Transactions!$J:$J,ROW()-8)="",0,INDEX(Transactions!$O:$O,ROW()-8))</f>
      </c>
    </row>
    <row r="3596" spans="1:7">
      <c r="B3596">
        <f>IF(INDEX(Transactions!$J:$J,ROW()-8)="",TODAY(),INDEX(Transactions!$G:$G,ROW()-8))</f>
      </c>
      <c r="F3596">
        <f>IF(INDEX(Transactions!$J:$J,ROW()-8)="",0,INDEX(Transactions!$O:$O,ROW()-8))</f>
      </c>
    </row>
    <row r="3597" spans="1:7">
      <c r="B3597">
        <f>IF(INDEX(Transactions!$J:$J,ROW()-8)="",TODAY(),INDEX(Transactions!$G:$G,ROW()-8))</f>
      </c>
      <c r="F3597">
        <f>IF(INDEX(Transactions!$J:$J,ROW()-8)="",0,INDEX(Transactions!$O:$O,ROW()-8))</f>
      </c>
    </row>
    <row r="3598" spans="1:7">
      <c r="B3598">
        <f>IF(INDEX(Transactions!$J:$J,ROW()-8)="",TODAY(),INDEX(Transactions!$G:$G,ROW()-8))</f>
      </c>
      <c r="F3598">
        <f>IF(INDEX(Transactions!$J:$J,ROW()-8)="",0,INDEX(Transactions!$O:$O,ROW()-8))</f>
      </c>
    </row>
    <row r="3599" spans="1:7">
      <c r="B3599">
        <f>IF(INDEX(Transactions!$J:$J,ROW()-8)="",TODAY(),INDEX(Transactions!$G:$G,ROW()-8))</f>
      </c>
      <c r="F3599">
        <f>IF(INDEX(Transactions!$J:$J,ROW()-8)="",0,INDEX(Transactions!$O:$O,ROW()-8))</f>
      </c>
    </row>
    <row r="3600" spans="1:7">
      <c r="B3600">
        <f>IF(INDEX(Transactions!$J:$J,ROW()-8)="",TODAY(),INDEX(Transactions!$G:$G,ROW()-8))</f>
      </c>
      <c r="F3600">
        <f>IF(INDEX(Transactions!$J:$J,ROW()-8)="",0,INDEX(Transactions!$O:$O,ROW()-8))</f>
      </c>
    </row>
    <row r="3601" spans="1:7">
      <c r="B3601">
        <f>IF(INDEX(Transactions!$J:$J,ROW()-8)="",TODAY(),INDEX(Transactions!$G:$G,ROW()-8))</f>
      </c>
      <c r="F3601">
        <f>IF(INDEX(Transactions!$J:$J,ROW()-8)="",0,INDEX(Transactions!$O:$O,ROW()-8))</f>
      </c>
    </row>
    <row r="3602" spans="1:7">
      <c r="B3602">
        <f>IF(INDEX(Transactions!$J:$J,ROW()-8)="",TODAY(),INDEX(Transactions!$G:$G,ROW()-8))</f>
      </c>
      <c r="F3602">
        <f>IF(INDEX(Transactions!$J:$J,ROW()-8)="",0,INDEX(Transactions!$O:$O,ROW()-8))</f>
      </c>
    </row>
    <row r="3603" spans="1:7">
      <c r="B3603">
        <f>IF(INDEX(Transactions!$J:$J,ROW()-8)="",TODAY(),INDEX(Transactions!$G:$G,ROW()-8))</f>
      </c>
      <c r="F3603">
        <f>IF(INDEX(Transactions!$J:$J,ROW()-8)="",0,INDEX(Transactions!$O:$O,ROW()-8))</f>
      </c>
    </row>
    <row r="3604" spans="1:7">
      <c r="B3604">
        <f>IF(INDEX(Transactions!$J:$J,ROW()-8)="",TODAY(),INDEX(Transactions!$G:$G,ROW()-8))</f>
      </c>
      <c r="F3604">
        <f>IF(INDEX(Transactions!$J:$J,ROW()-8)="",0,INDEX(Transactions!$O:$O,ROW()-8))</f>
      </c>
    </row>
    <row r="3605" spans="1:7">
      <c r="B3605">
        <f>IF(INDEX(Transactions!$J:$J,ROW()-8)="",TODAY(),INDEX(Transactions!$G:$G,ROW()-8))</f>
      </c>
      <c r="F3605">
        <f>IF(INDEX(Transactions!$J:$J,ROW()-8)="",0,INDEX(Transactions!$O:$O,ROW()-8))</f>
      </c>
    </row>
    <row r="3606" spans="1:7">
      <c r="B3606">
        <f>IF(INDEX(Transactions!$J:$J,ROW()-8)="",TODAY(),INDEX(Transactions!$G:$G,ROW()-8))</f>
      </c>
      <c r="F3606">
        <f>IF(INDEX(Transactions!$J:$J,ROW()-8)="",0,INDEX(Transactions!$O:$O,ROW()-8))</f>
      </c>
    </row>
    <row r="3607" spans="1:7">
      <c r="B3607">
        <f>IF(INDEX(Transactions!$J:$J,ROW()-8)="",TODAY(),INDEX(Transactions!$G:$G,ROW()-8))</f>
      </c>
      <c r="F3607">
        <f>IF(INDEX(Transactions!$J:$J,ROW()-8)="",0,INDEX(Transactions!$O:$O,ROW()-8))</f>
      </c>
    </row>
    <row r="3608" spans="1:7">
      <c r="B3608">
        <f>IF(INDEX(Transactions!$J:$J,ROW()-8)="",TODAY(),INDEX(Transactions!$G:$G,ROW()-8))</f>
      </c>
      <c r="F3608">
        <f>IF(INDEX(Transactions!$J:$J,ROW()-8)="",0,INDEX(Transactions!$O:$O,ROW()-8))</f>
      </c>
    </row>
    <row r="3609" spans="1:7">
      <c r="B3609">
        <f>IF(INDEX(Transactions!$J:$J,ROW()-8)="",TODAY(),INDEX(Transactions!$G:$G,ROW()-8))</f>
      </c>
      <c r="F3609">
        <f>IF(INDEX(Transactions!$J:$J,ROW()-8)="",0,INDEX(Transactions!$O:$O,ROW()-8))</f>
      </c>
    </row>
    <row r="3610" spans="1:7">
      <c r="B3610">
        <f>IF(INDEX(Transactions!$J:$J,ROW()-8)="",TODAY(),INDEX(Transactions!$G:$G,ROW()-8))</f>
      </c>
      <c r="F3610">
        <f>IF(INDEX(Transactions!$J:$J,ROW()-8)="",0,INDEX(Transactions!$O:$O,ROW()-8))</f>
      </c>
    </row>
    <row r="3611" spans="1:7">
      <c r="B3611">
        <f>IF(INDEX(Transactions!$J:$J,ROW()-8)="",TODAY(),INDEX(Transactions!$G:$G,ROW()-8))</f>
      </c>
      <c r="F3611">
        <f>IF(INDEX(Transactions!$J:$J,ROW()-8)="",0,INDEX(Transactions!$O:$O,ROW()-8))</f>
      </c>
    </row>
    <row r="3612" spans="1:7">
      <c r="B3612">
        <f>IF(INDEX(Transactions!$J:$J,ROW()-8)="",TODAY(),INDEX(Transactions!$G:$G,ROW()-8))</f>
      </c>
      <c r="F3612">
        <f>IF(INDEX(Transactions!$J:$J,ROW()-8)="",0,INDEX(Transactions!$O:$O,ROW()-8))</f>
      </c>
    </row>
    <row r="3613" spans="1:7">
      <c r="B3613">
        <f>IF(INDEX(Transactions!$J:$J,ROW()-8)="",TODAY(),INDEX(Transactions!$G:$G,ROW()-8))</f>
      </c>
      <c r="F3613">
        <f>IF(INDEX(Transactions!$J:$J,ROW()-8)="",0,INDEX(Transactions!$O:$O,ROW()-8))</f>
      </c>
    </row>
    <row r="3614" spans="1:7">
      <c r="B3614">
        <f>IF(INDEX(Transactions!$J:$J,ROW()-8)="",TODAY(),INDEX(Transactions!$G:$G,ROW()-8))</f>
      </c>
      <c r="F3614">
        <f>IF(INDEX(Transactions!$J:$J,ROW()-8)="",0,INDEX(Transactions!$O:$O,ROW()-8))</f>
      </c>
    </row>
    <row r="3615" spans="1:7">
      <c r="B3615">
        <f>IF(INDEX(Transactions!$J:$J,ROW()-8)="",TODAY(),INDEX(Transactions!$G:$G,ROW()-8))</f>
      </c>
      <c r="F3615">
        <f>IF(INDEX(Transactions!$J:$J,ROW()-8)="",0,INDEX(Transactions!$O:$O,ROW()-8))</f>
      </c>
    </row>
    <row r="3616" spans="1:7">
      <c r="B3616">
        <f>IF(INDEX(Transactions!$J:$J,ROW()-8)="",TODAY(),INDEX(Transactions!$G:$G,ROW()-8))</f>
      </c>
      <c r="F3616">
        <f>IF(INDEX(Transactions!$J:$J,ROW()-8)="",0,INDEX(Transactions!$O:$O,ROW()-8))</f>
      </c>
    </row>
    <row r="3617" spans="1:7">
      <c r="B3617">
        <f>IF(INDEX(Transactions!$J:$J,ROW()-8)="",TODAY(),INDEX(Transactions!$G:$G,ROW()-8))</f>
      </c>
      <c r="F3617">
        <f>IF(INDEX(Transactions!$J:$J,ROW()-8)="",0,INDEX(Transactions!$O:$O,ROW()-8))</f>
      </c>
    </row>
    <row r="3618" spans="1:7">
      <c r="B3618">
        <f>IF(INDEX(Transactions!$J:$J,ROW()-8)="",TODAY(),INDEX(Transactions!$G:$G,ROW()-8))</f>
      </c>
      <c r="F3618">
        <f>IF(INDEX(Transactions!$J:$J,ROW()-8)="",0,INDEX(Transactions!$O:$O,ROW()-8))</f>
      </c>
    </row>
    <row r="3619" spans="1:7">
      <c r="B3619">
        <f>IF(INDEX(Transactions!$J:$J,ROW()-8)="",TODAY(),INDEX(Transactions!$G:$G,ROW()-8))</f>
      </c>
      <c r="F3619">
        <f>IF(INDEX(Transactions!$J:$J,ROW()-8)="",0,INDEX(Transactions!$O:$O,ROW()-8))</f>
      </c>
    </row>
    <row r="3620" spans="1:7">
      <c r="B3620">
        <f>IF(INDEX(Transactions!$J:$J,ROW()-8)="",TODAY(),INDEX(Transactions!$G:$G,ROW()-8))</f>
      </c>
      <c r="F3620">
        <f>IF(INDEX(Transactions!$J:$J,ROW()-8)="",0,INDEX(Transactions!$O:$O,ROW()-8))</f>
      </c>
    </row>
    <row r="3621" spans="1:7">
      <c r="B3621">
        <f>IF(INDEX(Transactions!$J:$J,ROW()-8)="",TODAY(),INDEX(Transactions!$G:$G,ROW()-8))</f>
      </c>
      <c r="F3621">
        <f>IF(INDEX(Transactions!$J:$J,ROW()-8)="",0,INDEX(Transactions!$O:$O,ROW()-8))</f>
      </c>
    </row>
    <row r="3622" spans="1:7">
      <c r="B3622">
        <f>IF(INDEX(Transactions!$J:$J,ROW()-8)="",TODAY(),INDEX(Transactions!$G:$G,ROW()-8))</f>
      </c>
      <c r="F3622">
        <f>IF(INDEX(Transactions!$J:$J,ROW()-8)="",0,INDEX(Transactions!$O:$O,ROW()-8))</f>
      </c>
    </row>
    <row r="3623" spans="1:7">
      <c r="B3623">
        <f>IF(INDEX(Transactions!$J:$J,ROW()-8)="",TODAY(),INDEX(Transactions!$G:$G,ROW()-8))</f>
      </c>
      <c r="F3623">
        <f>IF(INDEX(Transactions!$J:$J,ROW()-8)="",0,INDEX(Transactions!$O:$O,ROW()-8))</f>
      </c>
    </row>
    <row r="3624" spans="1:7">
      <c r="B3624">
        <f>IF(INDEX(Transactions!$J:$J,ROW()-8)="",TODAY(),INDEX(Transactions!$G:$G,ROW()-8))</f>
      </c>
      <c r="F3624">
        <f>IF(INDEX(Transactions!$J:$J,ROW()-8)="",0,INDEX(Transactions!$O:$O,ROW()-8))</f>
      </c>
    </row>
    <row r="3625" spans="1:7">
      <c r="B3625">
        <f>IF(INDEX(Transactions!$J:$J,ROW()-8)="",TODAY(),INDEX(Transactions!$G:$G,ROW()-8))</f>
      </c>
      <c r="F3625">
        <f>IF(INDEX(Transactions!$J:$J,ROW()-8)="",0,INDEX(Transactions!$O:$O,ROW()-8))</f>
      </c>
    </row>
    <row r="3626" spans="1:7">
      <c r="B3626">
        <f>IF(INDEX(Transactions!$J:$J,ROW()-8)="",TODAY(),INDEX(Transactions!$G:$G,ROW()-8))</f>
      </c>
      <c r="F3626">
        <f>IF(INDEX(Transactions!$J:$J,ROW()-8)="",0,INDEX(Transactions!$O:$O,ROW()-8))</f>
      </c>
    </row>
    <row r="3627" spans="1:7">
      <c r="B3627">
        <f>IF(INDEX(Transactions!$J:$J,ROW()-8)="",TODAY(),INDEX(Transactions!$G:$G,ROW()-8))</f>
      </c>
      <c r="F3627">
        <f>IF(INDEX(Transactions!$J:$J,ROW()-8)="",0,INDEX(Transactions!$O:$O,ROW()-8))</f>
      </c>
    </row>
    <row r="3628" spans="1:7">
      <c r="B3628">
        <f>IF(INDEX(Transactions!$J:$J,ROW()-8)="",TODAY(),INDEX(Transactions!$G:$G,ROW()-8))</f>
      </c>
      <c r="F3628">
        <f>IF(INDEX(Transactions!$J:$J,ROW()-8)="",0,INDEX(Transactions!$O:$O,ROW()-8))</f>
      </c>
    </row>
    <row r="3629" spans="1:7">
      <c r="B3629">
        <f>IF(INDEX(Transactions!$J:$J,ROW()-8)="",TODAY(),INDEX(Transactions!$G:$G,ROW()-8))</f>
      </c>
      <c r="F3629">
        <f>IF(INDEX(Transactions!$J:$J,ROW()-8)="",0,INDEX(Transactions!$O:$O,ROW()-8))</f>
      </c>
    </row>
    <row r="3630" spans="1:7">
      <c r="B3630">
        <f>IF(INDEX(Transactions!$J:$J,ROW()-8)="",TODAY(),INDEX(Transactions!$G:$G,ROW()-8))</f>
      </c>
      <c r="F3630">
        <f>IF(INDEX(Transactions!$J:$J,ROW()-8)="",0,INDEX(Transactions!$O:$O,ROW()-8))</f>
      </c>
    </row>
    <row r="3631" spans="1:7">
      <c r="B3631">
        <f>IF(INDEX(Transactions!$J:$J,ROW()-8)="",TODAY(),INDEX(Transactions!$G:$G,ROW()-8))</f>
      </c>
      <c r="F3631">
        <f>IF(INDEX(Transactions!$J:$J,ROW()-8)="",0,INDEX(Transactions!$O:$O,ROW()-8))</f>
      </c>
    </row>
    <row r="3632" spans="1:7">
      <c r="B3632">
        <f>IF(INDEX(Transactions!$J:$J,ROW()-8)="",TODAY(),INDEX(Transactions!$G:$G,ROW()-8))</f>
      </c>
      <c r="F3632">
        <f>IF(INDEX(Transactions!$J:$J,ROW()-8)="",0,INDEX(Transactions!$O:$O,ROW()-8))</f>
      </c>
    </row>
    <row r="3633" spans="1:7">
      <c r="B3633">
        <f>IF(INDEX(Transactions!$J:$J,ROW()-8)="",TODAY(),INDEX(Transactions!$G:$G,ROW()-8))</f>
      </c>
      <c r="F3633">
        <f>IF(INDEX(Transactions!$J:$J,ROW()-8)="",0,INDEX(Transactions!$O:$O,ROW()-8))</f>
      </c>
    </row>
    <row r="3634" spans="1:7">
      <c r="B3634">
        <f>IF(INDEX(Transactions!$J:$J,ROW()-8)="",TODAY(),INDEX(Transactions!$G:$G,ROW()-8))</f>
      </c>
      <c r="F3634">
        <f>IF(INDEX(Transactions!$J:$J,ROW()-8)="",0,INDEX(Transactions!$O:$O,ROW()-8))</f>
      </c>
    </row>
    <row r="3635" spans="1:7">
      <c r="B3635">
        <f>IF(INDEX(Transactions!$J:$J,ROW()-8)="",TODAY(),INDEX(Transactions!$G:$G,ROW()-8))</f>
      </c>
      <c r="F3635">
        <f>IF(INDEX(Transactions!$J:$J,ROW()-8)="",0,INDEX(Transactions!$O:$O,ROW()-8))</f>
      </c>
    </row>
    <row r="3636" spans="1:7">
      <c r="B3636">
        <f>IF(INDEX(Transactions!$J:$J,ROW()-8)="",TODAY(),INDEX(Transactions!$G:$G,ROW()-8))</f>
      </c>
      <c r="F3636">
        <f>IF(INDEX(Transactions!$J:$J,ROW()-8)="",0,INDEX(Transactions!$O:$O,ROW()-8))</f>
      </c>
    </row>
    <row r="3637" spans="1:7">
      <c r="B3637">
        <f>IF(INDEX(Transactions!$J:$J,ROW()-8)="",TODAY(),INDEX(Transactions!$G:$G,ROW()-8))</f>
      </c>
      <c r="F3637">
        <f>IF(INDEX(Transactions!$J:$J,ROW()-8)="",0,INDEX(Transactions!$O:$O,ROW()-8))</f>
      </c>
    </row>
    <row r="3638" spans="1:7">
      <c r="B3638">
        <f>IF(INDEX(Transactions!$J:$J,ROW()-8)="",TODAY(),INDEX(Transactions!$G:$G,ROW()-8))</f>
      </c>
      <c r="F3638">
        <f>IF(INDEX(Transactions!$J:$J,ROW()-8)="",0,INDEX(Transactions!$O:$O,ROW()-8))</f>
      </c>
    </row>
    <row r="3639" spans="1:7">
      <c r="B3639">
        <f>IF(INDEX(Transactions!$J:$J,ROW()-8)="",TODAY(),INDEX(Transactions!$G:$G,ROW()-8))</f>
      </c>
      <c r="F3639">
        <f>IF(INDEX(Transactions!$J:$J,ROW()-8)="",0,INDEX(Transactions!$O:$O,ROW()-8))</f>
      </c>
    </row>
    <row r="3640" spans="1:7">
      <c r="B3640">
        <f>IF(INDEX(Transactions!$J:$J,ROW()-8)="",TODAY(),INDEX(Transactions!$G:$G,ROW()-8))</f>
      </c>
      <c r="F3640">
        <f>IF(INDEX(Transactions!$J:$J,ROW()-8)="",0,INDEX(Transactions!$O:$O,ROW()-8))</f>
      </c>
    </row>
    <row r="3641" spans="1:7">
      <c r="B3641">
        <f>IF(INDEX(Transactions!$J:$J,ROW()-8)="",TODAY(),INDEX(Transactions!$G:$G,ROW()-8))</f>
      </c>
      <c r="F3641">
        <f>IF(INDEX(Transactions!$J:$J,ROW()-8)="",0,INDEX(Transactions!$O:$O,ROW()-8))</f>
      </c>
    </row>
    <row r="3642" spans="1:7">
      <c r="B3642">
        <f>IF(INDEX(Transactions!$J:$J,ROW()-8)="",TODAY(),INDEX(Transactions!$G:$G,ROW()-8))</f>
      </c>
      <c r="F3642">
        <f>IF(INDEX(Transactions!$J:$J,ROW()-8)="",0,INDEX(Transactions!$O:$O,ROW()-8))</f>
      </c>
    </row>
    <row r="3643" spans="1:7">
      <c r="B3643">
        <f>IF(INDEX(Transactions!$J:$J,ROW()-8)="",TODAY(),INDEX(Transactions!$G:$G,ROW()-8))</f>
      </c>
      <c r="F3643">
        <f>IF(INDEX(Transactions!$J:$J,ROW()-8)="",0,INDEX(Transactions!$O:$O,ROW()-8))</f>
      </c>
    </row>
    <row r="3644" spans="1:7">
      <c r="B3644">
        <f>IF(INDEX(Transactions!$J:$J,ROW()-8)="",TODAY(),INDEX(Transactions!$G:$G,ROW()-8))</f>
      </c>
      <c r="F3644">
        <f>IF(INDEX(Transactions!$J:$J,ROW()-8)="",0,INDEX(Transactions!$O:$O,ROW()-8))</f>
      </c>
    </row>
    <row r="3645" spans="1:7">
      <c r="B3645">
        <f>IF(INDEX(Transactions!$J:$J,ROW()-8)="",TODAY(),INDEX(Transactions!$G:$G,ROW()-8))</f>
      </c>
      <c r="F3645">
        <f>IF(INDEX(Transactions!$J:$J,ROW()-8)="",0,INDEX(Transactions!$O:$O,ROW()-8))</f>
      </c>
    </row>
    <row r="3646" spans="1:7">
      <c r="B3646">
        <f>IF(INDEX(Transactions!$J:$J,ROW()-8)="",TODAY(),INDEX(Transactions!$G:$G,ROW()-8))</f>
      </c>
      <c r="F3646">
        <f>IF(INDEX(Transactions!$J:$J,ROW()-8)="",0,INDEX(Transactions!$O:$O,ROW()-8))</f>
      </c>
    </row>
    <row r="3647" spans="1:7">
      <c r="B3647">
        <f>IF(INDEX(Transactions!$J:$J,ROW()-8)="",TODAY(),INDEX(Transactions!$G:$G,ROW()-8))</f>
      </c>
      <c r="F3647">
        <f>IF(INDEX(Transactions!$J:$J,ROW()-8)="",0,INDEX(Transactions!$O:$O,ROW()-8))</f>
      </c>
    </row>
    <row r="3648" spans="1:7">
      <c r="B3648">
        <f>IF(INDEX(Transactions!$J:$J,ROW()-8)="",TODAY(),INDEX(Transactions!$G:$G,ROW()-8))</f>
      </c>
      <c r="F3648">
        <f>IF(INDEX(Transactions!$J:$J,ROW()-8)="",0,INDEX(Transactions!$O:$O,ROW()-8))</f>
      </c>
    </row>
    <row r="3649" spans="1:7">
      <c r="B3649">
        <f>IF(INDEX(Transactions!$J:$J,ROW()-8)="",TODAY(),INDEX(Transactions!$G:$G,ROW()-8))</f>
      </c>
      <c r="F3649">
        <f>IF(INDEX(Transactions!$J:$J,ROW()-8)="",0,INDEX(Transactions!$O:$O,ROW()-8))</f>
      </c>
    </row>
    <row r="3650" spans="1:7">
      <c r="B3650">
        <f>IF(INDEX(Transactions!$J:$J,ROW()-8)="",TODAY(),INDEX(Transactions!$G:$G,ROW()-8))</f>
      </c>
      <c r="F3650">
        <f>IF(INDEX(Transactions!$J:$J,ROW()-8)="",0,INDEX(Transactions!$O:$O,ROW()-8))</f>
      </c>
    </row>
    <row r="3651" spans="1:7">
      <c r="B3651">
        <f>IF(INDEX(Transactions!$J:$J,ROW()-8)="",TODAY(),INDEX(Transactions!$G:$G,ROW()-8))</f>
      </c>
      <c r="F3651">
        <f>IF(INDEX(Transactions!$J:$J,ROW()-8)="",0,INDEX(Transactions!$O:$O,ROW()-8))</f>
      </c>
    </row>
    <row r="3652" spans="1:7">
      <c r="B3652">
        <f>IF(INDEX(Transactions!$J:$J,ROW()-8)="",TODAY(),INDEX(Transactions!$G:$G,ROW()-8))</f>
      </c>
      <c r="F3652">
        <f>IF(INDEX(Transactions!$J:$J,ROW()-8)="",0,INDEX(Transactions!$O:$O,ROW()-8))</f>
      </c>
    </row>
    <row r="3653" spans="1:7">
      <c r="B3653">
        <f>IF(INDEX(Transactions!$J:$J,ROW()-8)="",TODAY(),INDEX(Transactions!$G:$G,ROW()-8))</f>
      </c>
      <c r="F3653">
        <f>IF(INDEX(Transactions!$J:$J,ROW()-8)="",0,INDEX(Transactions!$O:$O,ROW()-8))</f>
      </c>
    </row>
    <row r="3654" spans="1:7">
      <c r="B3654">
        <f>IF(INDEX(Transactions!$J:$J,ROW()-8)="",TODAY(),INDEX(Transactions!$G:$G,ROW()-8))</f>
      </c>
      <c r="F3654">
        <f>IF(INDEX(Transactions!$J:$J,ROW()-8)="",0,INDEX(Transactions!$O:$O,ROW()-8))</f>
      </c>
    </row>
    <row r="3655" spans="1:7">
      <c r="B3655">
        <f>IF(INDEX(Transactions!$J:$J,ROW()-8)="",TODAY(),INDEX(Transactions!$G:$G,ROW()-8))</f>
      </c>
      <c r="F3655">
        <f>IF(INDEX(Transactions!$J:$J,ROW()-8)="",0,INDEX(Transactions!$O:$O,ROW()-8))</f>
      </c>
    </row>
    <row r="3656" spans="1:7">
      <c r="B3656">
        <f>IF(INDEX(Transactions!$J:$J,ROW()-8)="",TODAY(),INDEX(Transactions!$G:$G,ROW()-8))</f>
      </c>
      <c r="F3656">
        <f>IF(INDEX(Transactions!$J:$J,ROW()-8)="",0,INDEX(Transactions!$O:$O,ROW()-8))</f>
      </c>
    </row>
    <row r="3657" spans="1:7">
      <c r="B3657">
        <f>IF(INDEX(Transactions!$J:$J,ROW()-8)="",TODAY(),INDEX(Transactions!$G:$G,ROW()-8))</f>
      </c>
      <c r="F3657">
        <f>IF(INDEX(Transactions!$J:$J,ROW()-8)="",0,INDEX(Transactions!$O:$O,ROW()-8))</f>
      </c>
    </row>
    <row r="3658" spans="1:7">
      <c r="B3658">
        <f>IF(INDEX(Transactions!$J:$J,ROW()-8)="",TODAY(),INDEX(Transactions!$G:$G,ROW()-8))</f>
      </c>
      <c r="F3658">
        <f>IF(INDEX(Transactions!$J:$J,ROW()-8)="",0,INDEX(Transactions!$O:$O,ROW()-8))</f>
      </c>
    </row>
    <row r="3659" spans="1:7">
      <c r="B3659">
        <f>IF(INDEX(Transactions!$J:$J,ROW()-8)="",TODAY(),INDEX(Transactions!$G:$G,ROW()-8))</f>
      </c>
      <c r="F3659">
        <f>IF(INDEX(Transactions!$J:$J,ROW()-8)="",0,INDEX(Transactions!$O:$O,ROW()-8))</f>
      </c>
    </row>
    <row r="3660" spans="1:7">
      <c r="B3660">
        <f>IF(INDEX(Transactions!$J:$J,ROW()-8)="",TODAY(),INDEX(Transactions!$G:$G,ROW()-8))</f>
      </c>
      <c r="F3660">
        <f>IF(INDEX(Transactions!$J:$J,ROW()-8)="",0,INDEX(Transactions!$O:$O,ROW()-8))</f>
      </c>
    </row>
    <row r="3661" spans="1:7">
      <c r="B3661">
        <f>IF(INDEX(Transactions!$J:$J,ROW()-8)="",TODAY(),INDEX(Transactions!$G:$G,ROW()-8))</f>
      </c>
      <c r="F3661">
        <f>IF(INDEX(Transactions!$J:$J,ROW()-8)="",0,INDEX(Transactions!$O:$O,ROW()-8))</f>
      </c>
    </row>
    <row r="3662" spans="1:7">
      <c r="B3662">
        <f>IF(INDEX(Transactions!$J:$J,ROW()-8)="",TODAY(),INDEX(Transactions!$G:$G,ROW()-8))</f>
      </c>
      <c r="F3662">
        <f>IF(INDEX(Transactions!$J:$J,ROW()-8)="",0,INDEX(Transactions!$O:$O,ROW()-8))</f>
      </c>
    </row>
    <row r="3663" spans="1:7">
      <c r="B3663">
        <f>IF(INDEX(Transactions!$J:$J,ROW()-8)="",TODAY(),INDEX(Transactions!$G:$G,ROW()-8))</f>
      </c>
      <c r="F3663">
        <f>IF(INDEX(Transactions!$J:$J,ROW()-8)="",0,INDEX(Transactions!$O:$O,ROW()-8))</f>
      </c>
    </row>
    <row r="3664" spans="1:7">
      <c r="B3664">
        <f>IF(INDEX(Transactions!$J:$J,ROW()-8)="",TODAY(),INDEX(Transactions!$G:$G,ROW()-8))</f>
      </c>
      <c r="F3664">
        <f>IF(INDEX(Transactions!$J:$J,ROW()-8)="",0,INDEX(Transactions!$O:$O,ROW()-8))</f>
      </c>
    </row>
    <row r="3665" spans="1:7">
      <c r="B3665">
        <f>IF(INDEX(Transactions!$J:$J,ROW()-8)="",TODAY(),INDEX(Transactions!$G:$G,ROW()-8))</f>
      </c>
      <c r="F3665">
        <f>IF(INDEX(Transactions!$J:$J,ROW()-8)="",0,INDEX(Transactions!$O:$O,ROW()-8))</f>
      </c>
    </row>
    <row r="3666" spans="1:7">
      <c r="B3666">
        <f>IF(INDEX(Transactions!$J:$J,ROW()-8)="",TODAY(),INDEX(Transactions!$G:$G,ROW()-8))</f>
      </c>
      <c r="F3666">
        <f>IF(INDEX(Transactions!$J:$J,ROW()-8)="",0,INDEX(Transactions!$O:$O,ROW()-8))</f>
      </c>
    </row>
    <row r="3667" spans="1:7">
      <c r="B3667">
        <f>IF(INDEX(Transactions!$J:$J,ROW()-8)="",TODAY(),INDEX(Transactions!$G:$G,ROW()-8))</f>
      </c>
      <c r="F3667">
        <f>IF(INDEX(Transactions!$J:$J,ROW()-8)="",0,INDEX(Transactions!$O:$O,ROW()-8))</f>
      </c>
    </row>
    <row r="3668" spans="1:7">
      <c r="B3668">
        <f>IF(INDEX(Transactions!$J:$J,ROW()-8)="",TODAY(),INDEX(Transactions!$G:$G,ROW()-8))</f>
      </c>
      <c r="F3668">
        <f>IF(INDEX(Transactions!$J:$J,ROW()-8)="",0,INDEX(Transactions!$O:$O,ROW()-8))</f>
      </c>
    </row>
    <row r="3669" spans="1:7">
      <c r="B3669">
        <f>IF(INDEX(Transactions!$J:$J,ROW()-8)="",TODAY(),INDEX(Transactions!$G:$G,ROW()-8))</f>
      </c>
      <c r="F3669">
        <f>IF(INDEX(Transactions!$J:$J,ROW()-8)="",0,INDEX(Transactions!$O:$O,ROW()-8))</f>
      </c>
    </row>
    <row r="3670" spans="1:7">
      <c r="B3670">
        <f>IF(INDEX(Transactions!$J:$J,ROW()-8)="",TODAY(),INDEX(Transactions!$G:$G,ROW()-8))</f>
      </c>
      <c r="F3670">
        <f>IF(INDEX(Transactions!$J:$J,ROW()-8)="",0,INDEX(Transactions!$O:$O,ROW()-8))</f>
      </c>
    </row>
    <row r="3671" spans="1:7">
      <c r="B3671">
        <f>IF(INDEX(Transactions!$J:$J,ROW()-8)="",TODAY(),INDEX(Transactions!$G:$G,ROW()-8))</f>
      </c>
      <c r="F3671">
        <f>IF(INDEX(Transactions!$J:$J,ROW()-8)="",0,INDEX(Transactions!$O:$O,ROW()-8))</f>
      </c>
    </row>
    <row r="3672" spans="1:7">
      <c r="B3672">
        <f>IF(INDEX(Transactions!$J:$J,ROW()-8)="",TODAY(),INDEX(Transactions!$G:$G,ROW()-8))</f>
      </c>
      <c r="F3672">
        <f>IF(INDEX(Transactions!$J:$J,ROW()-8)="",0,INDEX(Transactions!$O:$O,ROW()-8))</f>
      </c>
    </row>
    <row r="3673" spans="1:7">
      <c r="B3673">
        <f>IF(INDEX(Transactions!$J:$J,ROW()-8)="",TODAY(),INDEX(Transactions!$G:$G,ROW()-8))</f>
      </c>
      <c r="F3673">
        <f>IF(INDEX(Transactions!$J:$J,ROW()-8)="",0,INDEX(Transactions!$O:$O,ROW()-8))</f>
      </c>
    </row>
    <row r="3674" spans="1:7">
      <c r="B3674">
        <f>IF(INDEX(Transactions!$J:$J,ROW()-8)="",TODAY(),INDEX(Transactions!$G:$G,ROW()-8))</f>
      </c>
      <c r="F3674">
        <f>IF(INDEX(Transactions!$J:$J,ROW()-8)="",0,INDEX(Transactions!$O:$O,ROW()-8))</f>
      </c>
    </row>
    <row r="3675" spans="1:7">
      <c r="B3675">
        <f>IF(INDEX(Transactions!$J:$J,ROW()-8)="",TODAY(),INDEX(Transactions!$G:$G,ROW()-8))</f>
      </c>
      <c r="F3675">
        <f>IF(INDEX(Transactions!$J:$J,ROW()-8)="",0,INDEX(Transactions!$O:$O,ROW()-8))</f>
      </c>
    </row>
    <row r="3676" spans="1:7">
      <c r="B3676">
        <f>IF(INDEX(Transactions!$J:$J,ROW()-8)="",TODAY(),INDEX(Transactions!$G:$G,ROW()-8))</f>
      </c>
      <c r="F3676">
        <f>IF(INDEX(Transactions!$J:$J,ROW()-8)="",0,INDEX(Transactions!$O:$O,ROW()-8))</f>
      </c>
    </row>
    <row r="3677" spans="1:7">
      <c r="B3677">
        <f>IF(INDEX(Transactions!$J:$J,ROW()-8)="",TODAY(),INDEX(Transactions!$G:$G,ROW()-8))</f>
      </c>
      <c r="F3677">
        <f>IF(INDEX(Transactions!$J:$J,ROW()-8)="",0,INDEX(Transactions!$O:$O,ROW()-8))</f>
      </c>
    </row>
    <row r="3678" spans="1:7">
      <c r="B3678">
        <f>IF(INDEX(Transactions!$J:$J,ROW()-8)="",TODAY(),INDEX(Transactions!$G:$G,ROW()-8))</f>
      </c>
      <c r="F3678">
        <f>IF(INDEX(Transactions!$J:$J,ROW()-8)="",0,INDEX(Transactions!$O:$O,ROW()-8))</f>
      </c>
    </row>
    <row r="3679" spans="1:7">
      <c r="B3679">
        <f>IF(INDEX(Transactions!$J:$J,ROW()-8)="",TODAY(),INDEX(Transactions!$G:$G,ROW()-8))</f>
      </c>
      <c r="F3679">
        <f>IF(INDEX(Transactions!$J:$J,ROW()-8)="",0,INDEX(Transactions!$O:$O,ROW()-8))</f>
      </c>
    </row>
    <row r="3680" spans="1:7">
      <c r="B3680">
        <f>IF(INDEX(Transactions!$J:$J,ROW()-8)="",TODAY(),INDEX(Transactions!$G:$G,ROW()-8))</f>
      </c>
      <c r="F3680">
        <f>IF(INDEX(Transactions!$J:$J,ROW()-8)="",0,INDEX(Transactions!$O:$O,ROW()-8))</f>
      </c>
    </row>
    <row r="3681" spans="1:7">
      <c r="B3681">
        <f>IF(INDEX(Transactions!$J:$J,ROW()-8)="",TODAY(),INDEX(Transactions!$G:$G,ROW()-8))</f>
      </c>
      <c r="F3681">
        <f>IF(INDEX(Transactions!$J:$J,ROW()-8)="",0,INDEX(Transactions!$O:$O,ROW()-8))</f>
      </c>
    </row>
    <row r="3682" spans="1:7">
      <c r="B3682">
        <f>IF(INDEX(Transactions!$J:$J,ROW()-8)="",TODAY(),INDEX(Transactions!$G:$G,ROW()-8))</f>
      </c>
      <c r="F3682">
        <f>IF(INDEX(Transactions!$J:$J,ROW()-8)="",0,INDEX(Transactions!$O:$O,ROW()-8))</f>
      </c>
    </row>
    <row r="3683" spans="1:7">
      <c r="B3683">
        <f>IF(INDEX(Transactions!$J:$J,ROW()-8)="",TODAY(),INDEX(Transactions!$G:$G,ROW()-8))</f>
      </c>
      <c r="F3683">
        <f>IF(INDEX(Transactions!$J:$J,ROW()-8)="",0,INDEX(Transactions!$O:$O,ROW()-8))</f>
      </c>
    </row>
    <row r="3684" spans="1:7">
      <c r="B3684">
        <f>IF(INDEX(Transactions!$J:$J,ROW()-8)="",TODAY(),INDEX(Transactions!$G:$G,ROW()-8))</f>
      </c>
      <c r="F3684">
        <f>IF(INDEX(Transactions!$J:$J,ROW()-8)="",0,INDEX(Transactions!$O:$O,ROW()-8))</f>
      </c>
    </row>
    <row r="3685" spans="1:7">
      <c r="B3685">
        <f>IF(INDEX(Transactions!$J:$J,ROW()-8)="",TODAY(),INDEX(Transactions!$G:$G,ROW()-8))</f>
      </c>
      <c r="F3685">
        <f>IF(INDEX(Transactions!$J:$J,ROW()-8)="",0,INDEX(Transactions!$O:$O,ROW()-8))</f>
      </c>
    </row>
    <row r="3686" spans="1:7">
      <c r="B3686">
        <f>IF(INDEX(Transactions!$J:$J,ROW()-8)="",TODAY(),INDEX(Transactions!$G:$G,ROW()-8))</f>
      </c>
      <c r="F3686">
        <f>IF(INDEX(Transactions!$J:$J,ROW()-8)="",0,INDEX(Transactions!$O:$O,ROW()-8))</f>
      </c>
    </row>
    <row r="3687" spans="1:7">
      <c r="B3687">
        <f>IF(INDEX(Transactions!$J:$J,ROW()-8)="",TODAY(),INDEX(Transactions!$G:$G,ROW()-8))</f>
      </c>
      <c r="F3687">
        <f>IF(INDEX(Transactions!$J:$J,ROW()-8)="",0,INDEX(Transactions!$O:$O,ROW()-8))</f>
      </c>
    </row>
    <row r="3688" spans="1:7">
      <c r="B3688">
        <f>IF(INDEX(Transactions!$J:$J,ROW()-8)="",TODAY(),INDEX(Transactions!$G:$G,ROW()-8))</f>
      </c>
      <c r="F3688">
        <f>IF(INDEX(Transactions!$J:$J,ROW()-8)="",0,INDEX(Transactions!$O:$O,ROW()-8))</f>
      </c>
    </row>
    <row r="3689" spans="1:7">
      <c r="B3689">
        <f>IF(INDEX(Transactions!$J:$J,ROW()-8)="",TODAY(),INDEX(Transactions!$G:$G,ROW()-8))</f>
      </c>
      <c r="F3689">
        <f>IF(INDEX(Transactions!$J:$J,ROW()-8)="",0,INDEX(Transactions!$O:$O,ROW()-8))</f>
      </c>
    </row>
    <row r="3690" spans="1:7">
      <c r="B3690">
        <f>IF(INDEX(Transactions!$J:$J,ROW()-8)="",TODAY(),INDEX(Transactions!$G:$G,ROW()-8))</f>
      </c>
      <c r="F3690">
        <f>IF(INDEX(Transactions!$J:$J,ROW()-8)="",0,INDEX(Transactions!$O:$O,ROW()-8))</f>
      </c>
    </row>
    <row r="3691" spans="1:7">
      <c r="B3691">
        <f>IF(INDEX(Transactions!$J:$J,ROW()-8)="",TODAY(),INDEX(Transactions!$G:$G,ROW()-8))</f>
      </c>
      <c r="F3691">
        <f>IF(INDEX(Transactions!$J:$J,ROW()-8)="",0,INDEX(Transactions!$O:$O,ROW()-8))</f>
      </c>
    </row>
    <row r="3692" spans="1:7">
      <c r="B3692">
        <f>IF(INDEX(Transactions!$J:$J,ROW()-8)="",TODAY(),INDEX(Transactions!$G:$G,ROW()-8))</f>
      </c>
      <c r="F3692">
        <f>IF(INDEX(Transactions!$J:$J,ROW()-8)="",0,INDEX(Transactions!$O:$O,ROW()-8))</f>
      </c>
    </row>
    <row r="3693" spans="1:7">
      <c r="B3693">
        <f>IF(INDEX(Transactions!$J:$J,ROW()-8)="",TODAY(),INDEX(Transactions!$G:$G,ROW()-8))</f>
      </c>
      <c r="F3693">
        <f>IF(INDEX(Transactions!$J:$J,ROW()-8)="",0,INDEX(Transactions!$O:$O,ROW()-8))</f>
      </c>
    </row>
    <row r="3694" spans="1:7">
      <c r="B3694">
        <f>IF(INDEX(Transactions!$J:$J,ROW()-8)="",TODAY(),INDEX(Transactions!$G:$G,ROW()-8))</f>
      </c>
      <c r="F3694">
        <f>IF(INDEX(Transactions!$J:$J,ROW()-8)="",0,INDEX(Transactions!$O:$O,ROW()-8))</f>
      </c>
    </row>
    <row r="3695" spans="1:7">
      <c r="B3695">
        <f>IF(INDEX(Transactions!$J:$J,ROW()-8)="",TODAY(),INDEX(Transactions!$G:$G,ROW()-8))</f>
      </c>
      <c r="F3695">
        <f>IF(INDEX(Transactions!$J:$J,ROW()-8)="",0,INDEX(Transactions!$O:$O,ROW()-8))</f>
      </c>
    </row>
    <row r="3696" spans="1:7">
      <c r="B3696">
        <f>IF(INDEX(Transactions!$J:$J,ROW()-8)="",TODAY(),INDEX(Transactions!$G:$G,ROW()-8))</f>
      </c>
      <c r="F3696">
        <f>IF(INDEX(Transactions!$J:$J,ROW()-8)="",0,INDEX(Transactions!$O:$O,ROW()-8))</f>
      </c>
    </row>
    <row r="3697" spans="1:7">
      <c r="B3697">
        <f>IF(INDEX(Transactions!$J:$J,ROW()-8)="",TODAY(),INDEX(Transactions!$G:$G,ROW()-8))</f>
      </c>
      <c r="F3697">
        <f>IF(INDEX(Transactions!$J:$J,ROW()-8)="",0,INDEX(Transactions!$O:$O,ROW()-8))</f>
      </c>
    </row>
    <row r="3698" spans="1:7">
      <c r="B3698">
        <f>IF(INDEX(Transactions!$J:$J,ROW()-8)="",TODAY(),INDEX(Transactions!$G:$G,ROW()-8))</f>
      </c>
      <c r="F3698">
        <f>IF(INDEX(Transactions!$J:$J,ROW()-8)="",0,INDEX(Transactions!$O:$O,ROW()-8))</f>
      </c>
    </row>
    <row r="3699" spans="1:7">
      <c r="B3699">
        <f>IF(INDEX(Transactions!$J:$J,ROW()-8)="",TODAY(),INDEX(Transactions!$G:$G,ROW()-8))</f>
      </c>
      <c r="F3699">
        <f>IF(INDEX(Transactions!$J:$J,ROW()-8)="",0,INDEX(Transactions!$O:$O,ROW()-8))</f>
      </c>
    </row>
    <row r="3700" spans="1:7">
      <c r="B3700">
        <f>IF(INDEX(Transactions!$J:$J,ROW()-8)="",TODAY(),INDEX(Transactions!$G:$G,ROW()-8))</f>
      </c>
      <c r="F3700">
        <f>IF(INDEX(Transactions!$J:$J,ROW()-8)="",0,INDEX(Transactions!$O:$O,ROW()-8))</f>
      </c>
    </row>
    <row r="3701" spans="1:7">
      <c r="B3701">
        <f>IF(INDEX(Transactions!$J:$J,ROW()-8)="",TODAY(),INDEX(Transactions!$G:$G,ROW()-8))</f>
      </c>
      <c r="F3701">
        <f>IF(INDEX(Transactions!$J:$J,ROW()-8)="",0,INDEX(Transactions!$O:$O,ROW()-8))</f>
      </c>
    </row>
    <row r="3702" spans="1:7">
      <c r="B3702">
        <f>IF(INDEX(Transactions!$J:$J,ROW()-8)="",TODAY(),INDEX(Transactions!$G:$G,ROW()-8))</f>
      </c>
      <c r="F3702">
        <f>IF(INDEX(Transactions!$J:$J,ROW()-8)="",0,INDEX(Transactions!$O:$O,ROW()-8))</f>
      </c>
    </row>
    <row r="3703" spans="1:7">
      <c r="B3703">
        <f>IF(INDEX(Transactions!$J:$J,ROW()-8)="",TODAY(),INDEX(Transactions!$G:$G,ROW()-8))</f>
      </c>
      <c r="F3703">
        <f>IF(INDEX(Transactions!$J:$J,ROW()-8)="",0,INDEX(Transactions!$O:$O,ROW()-8))</f>
      </c>
    </row>
    <row r="3704" spans="1:7">
      <c r="B3704">
        <f>IF(INDEX(Transactions!$J:$J,ROW()-8)="",TODAY(),INDEX(Transactions!$G:$G,ROW()-8))</f>
      </c>
      <c r="F3704">
        <f>IF(INDEX(Transactions!$J:$J,ROW()-8)="",0,INDEX(Transactions!$O:$O,ROW()-8))</f>
      </c>
    </row>
    <row r="3705" spans="1:7">
      <c r="B3705">
        <f>IF(INDEX(Transactions!$J:$J,ROW()-8)="",TODAY(),INDEX(Transactions!$G:$G,ROW()-8))</f>
      </c>
      <c r="F3705">
        <f>IF(INDEX(Transactions!$J:$J,ROW()-8)="",0,INDEX(Transactions!$O:$O,ROW()-8))</f>
      </c>
    </row>
    <row r="3706" spans="1:7">
      <c r="B3706">
        <f>IF(INDEX(Transactions!$J:$J,ROW()-8)="",TODAY(),INDEX(Transactions!$G:$G,ROW()-8))</f>
      </c>
      <c r="F3706">
        <f>IF(INDEX(Transactions!$J:$J,ROW()-8)="",0,INDEX(Transactions!$O:$O,ROW()-8))</f>
      </c>
    </row>
    <row r="3707" spans="1:7">
      <c r="B3707">
        <f>IF(INDEX(Transactions!$J:$J,ROW()-8)="",TODAY(),INDEX(Transactions!$G:$G,ROW()-8))</f>
      </c>
      <c r="F3707">
        <f>IF(INDEX(Transactions!$J:$J,ROW()-8)="",0,INDEX(Transactions!$O:$O,ROW()-8))</f>
      </c>
    </row>
    <row r="3708" spans="1:7">
      <c r="B3708">
        <f>IF(INDEX(Transactions!$J:$J,ROW()-8)="",TODAY(),INDEX(Transactions!$G:$G,ROW()-8))</f>
      </c>
      <c r="F3708">
        <f>IF(INDEX(Transactions!$J:$J,ROW()-8)="",0,INDEX(Transactions!$O:$O,ROW()-8))</f>
      </c>
    </row>
    <row r="3709" spans="1:7">
      <c r="B3709">
        <f>IF(INDEX(Transactions!$J:$J,ROW()-8)="",TODAY(),INDEX(Transactions!$G:$G,ROW()-8))</f>
      </c>
      <c r="F3709">
        <f>IF(INDEX(Transactions!$J:$J,ROW()-8)="",0,INDEX(Transactions!$O:$O,ROW()-8))</f>
      </c>
    </row>
    <row r="3710" spans="1:7">
      <c r="B3710">
        <f>IF(INDEX(Transactions!$J:$J,ROW()-8)="",TODAY(),INDEX(Transactions!$G:$G,ROW()-8))</f>
      </c>
      <c r="F3710">
        <f>IF(INDEX(Transactions!$J:$J,ROW()-8)="",0,INDEX(Transactions!$O:$O,ROW()-8))</f>
      </c>
    </row>
    <row r="3711" spans="1:7">
      <c r="B3711">
        <f>IF(INDEX(Transactions!$J:$J,ROW()-8)="",TODAY(),INDEX(Transactions!$G:$G,ROW()-8))</f>
      </c>
      <c r="F3711">
        <f>IF(INDEX(Transactions!$J:$J,ROW()-8)="",0,INDEX(Transactions!$O:$O,ROW()-8))</f>
      </c>
    </row>
    <row r="3712" spans="1:7">
      <c r="B3712">
        <f>IF(INDEX(Transactions!$J:$J,ROW()-8)="",TODAY(),INDEX(Transactions!$G:$G,ROW()-8))</f>
      </c>
      <c r="F3712">
        <f>IF(INDEX(Transactions!$J:$J,ROW()-8)="",0,INDEX(Transactions!$O:$O,ROW()-8))</f>
      </c>
    </row>
    <row r="3713" spans="1:7">
      <c r="B3713">
        <f>IF(INDEX(Transactions!$J:$J,ROW()-8)="",TODAY(),INDEX(Transactions!$G:$G,ROW()-8))</f>
      </c>
      <c r="F3713">
        <f>IF(INDEX(Transactions!$J:$J,ROW()-8)="",0,INDEX(Transactions!$O:$O,ROW()-8))</f>
      </c>
    </row>
    <row r="3714" spans="1:7">
      <c r="B3714">
        <f>IF(INDEX(Transactions!$J:$J,ROW()-8)="",TODAY(),INDEX(Transactions!$G:$G,ROW()-8))</f>
      </c>
      <c r="F3714">
        <f>IF(INDEX(Transactions!$J:$J,ROW()-8)="",0,INDEX(Transactions!$O:$O,ROW()-8))</f>
      </c>
    </row>
    <row r="3715" spans="1:7">
      <c r="B3715">
        <f>IF(INDEX(Transactions!$J:$J,ROW()-8)="",TODAY(),INDEX(Transactions!$G:$G,ROW()-8))</f>
      </c>
      <c r="F3715">
        <f>IF(INDEX(Transactions!$J:$J,ROW()-8)="",0,INDEX(Transactions!$O:$O,ROW()-8))</f>
      </c>
    </row>
    <row r="3716" spans="1:7">
      <c r="B3716">
        <f>IF(INDEX(Transactions!$J:$J,ROW()-8)="",TODAY(),INDEX(Transactions!$G:$G,ROW()-8))</f>
      </c>
      <c r="F3716">
        <f>IF(INDEX(Transactions!$J:$J,ROW()-8)="",0,INDEX(Transactions!$O:$O,ROW()-8))</f>
      </c>
    </row>
    <row r="3717" spans="1:7">
      <c r="B3717">
        <f>IF(INDEX(Transactions!$J:$J,ROW()-8)="",TODAY(),INDEX(Transactions!$G:$G,ROW()-8))</f>
      </c>
      <c r="F3717">
        <f>IF(INDEX(Transactions!$J:$J,ROW()-8)="",0,INDEX(Transactions!$O:$O,ROW()-8))</f>
      </c>
    </row>
    <row r="3718" spans="1:7">
      <c r="B3718">
        <f>IF(INDEX(Transactions!$J:$J,ROW()-8)="",TODAY(),INDEX(Transactions!$G:$G,ROW()-8))</f>
      </c>
      <c r="F3718">
        <f>IF(INDEX(Transactions!$J:$J,ROW()-8)="",0,INDEX(Transactions!$O:$O,ROW()-8))</f>
      </c>
    </row>
    <row r="3719" spans="1:7">
      <c r="B3719">
        <f>IF(INDEX(Transactions!$J:$J,ROW()-8)="",TODAY(),INDEX(Transactions!$G:$G,ROW()-8))</f>
      </c>
      <c r="F3719">
        <f>IF(INDEX(Transactions!$J:$J,ROW()-8)="",0,INDEX(Transactions!$O:$O,ROW()-8))</f>
      </c>
    </row>
    <row r="3720" spans="1:7">
      <c r="B3720">
        <f>IF(INDEX(Transactions!$J:$J,ROW()-8)="",TODAY(),INDEX(Transactions!$G:$G,ROW()-8))</f>
      </c>
      <c r="F3720">
        <f>IF(INDEX(Transactions!$J:$J,ROW()-8)="",0,INDEX(Transactions!$O:$O,ROW()-8))</f>
      </c>
    </row>
    <row r="3721" spans="1:7">
      <c r="B3721">
        <f>IF(INDEX(Transactions!$J:$J,ROW()-8)="",TODAY(),INDEX(Transactions!$G:$G,ROW()-8))</f>
      </c>
      <c r="F3721">
        <f>IF(INDEX(Transactions!$J:$J,ROW()-8)="",0,INDEX(Transactions!$O:$O,ROW()-8))</f>
      </c>
    </row>
    <row r="3722" spans="1:7">
      <c r="B3722">
        <f>IF(INDEX(Transactions!$J:$J,ROW()-8)="",TODAY(),INDEX(Transactions!$G:$G,ROW()-8))</f>
      </c>
      <c r="F3722">
        <f>IF(INDEX(Transactions!$J:$J,ROW()-8)="",0,INDEX(Transactions!$O:$O,ROW()-8))</f>
      </c>
    </row>
    <row r="3723" spans="1:7">
      <c r="B3723">
        <f>IF(INDEX(Transactions!$J:$J,ROW()-8)="",TODAY(),INDEX(Transactions!$G:$G,ROW()-8))</f>
      </c>
      <c r="F3723">
        <f>IF(INDEX(Transactions!$J:$J,ROW()-8)="",0,INDEX(Transactions!$O:$O,ROW()-8))</f>
      </c>
    </row>
    <row r="3724" spans="1:7">
      <c r="B3724">
        <f>IF(INDEX(Transactions!$J:$J,ROW()-8)="",TODAY(),INDEX(Transactions!$G:$G,ROW()-8))</f>
      </c>
      <c r="F3724">
        <f>IF(INDEX(Transactions!$J:$J,ROW()-8)="",0,INDEX(Transactions!$O:$O,ROW()-8))</f>
      </c>
    </row>
    <row r="3725" spans="1:7">
      <c r="B3725">
        <f>IF(INDEX(Transactions!$J:$J,ROW()-8)="",TODAY(),INDEX(Transactions!$G:$G,ROW()-8))</f>
      </c>
      <c r="F3725">
        <f>IF(INDEX(Transactions!$J:$J,ROW()-8)="",0,INDEX(Transactions!$O:$O,ROW()-8))</f>
      </c>
    </row>
    <row r="3726" spans="1:7">
      <c r="B3726">
        <f>IF(INDEX(Transactions!$J:$J,ROW()-8)="",TODAY(),INDEX(Transactions!$G:$G,ROW()-8))</f>
      </c>
      <c r="F3726">
        <f>IF(INDEX(Transactions!$J:$J,ROW()-8)="",0,INDEX(Transactions!$O:$O,ROW()-8))</f>
      </c>
    </row>
    <row r="3727" spans="1:7">
      <c r="B3727">
        <f>IF(INDEX(Transactions!$J:$J,ROW()-8)="",TODAY(),INDEX(Transactions!$G:$G,ROW()-8))</f>
      </c>
      <c r="F3727">
        <f>IF(INDEX(Transactions!$J:$J,ROW()-8)="",0,INDEX(Transactions!$O:$O,ROW()-8))</f>
      </c>
    </row>
    <row r="3728" spans="1:7">
      <c r="B3728">
        <f>IF(INDEX(Transactions!$J:$J,ROW()-8)="",TODAY(),INDEX(Transactions!$G:$G,ROW()-8))</f>
      </c>
      <c r="F3728">
        <f>IF(INDEX(Transactions!$J:$J,ROW()-8)="",0,INDEX(Transactions!$O:$O,ROW()-8))</f>
      </c>
    </row>
    <row r="3729" spans="1:7">
      <c r="B3729">
        <f>IF(INDEX(Transactions!$J:$J,ROW()-8)="",TODAY(),INDEX(Transactions!$G:$G,ROW()-8))</f>
      </c>
      <c r="F3729">
        <f>IF(INDEX(Transactions!$J:$J,ROW()-8)="",0,INDEX(Transactions!$O:$O,ROW()-8))</f>
      </c>
    </row>
    <row r="3730" spans="1:7">
      <c r="B3730">
        <f>IF(INDEX(Transactions!$J:$J,ROW()-8)="",TODAY(),INDEX(Transactions!$G:$G,ROW()-8))</f>
      </c>
      <c r="F3730">
        <f>IF(INDEX(Transactions!$J:$J,ROW()-8)="",0,INDEX(Transactions!$O:$O,ROW()-8))</f>
      </c>
    </row>
    <row r="3731" spans="1:7">
      <c r="B3731">
        <f>IF(INDEX(Transactions!$J:$J,ROW()-8)="",TODAY(),INDEX(Transactions!$G:$G,ROW()-8))</f>
      </c>
      <c r="F3731">
        <f>IF(INDEX(Transactions!$J:$J,ROW()-8)="",0,INDEX(Transactions!$O:$O,ROW()-8))</f>
      </c>
    </row>
    <row r="3732" spans="1:7">
      <c r="B3732">
        <f>IF(INDEX(Transactions!$J:$J,ROW()-8)="",TODAY(),INDEX(Transactions!$G:$G,ROW()-8))</f>
      </c>
      <c r="F3732">
        <f>IF(INDEX(Transactions!$J:$J,ROW()-8)="",0,INDEX(Transactions!$O:$O,ROW()-8))</f>
      </c>
    </row>
    <row r="3733" spans="1:7">
      <c r="B3733">
        <f>IF(INDEX(Transactions!$J:$J,ROW()-8)="",TODAY(),INDEX(Transactions!$G:$G,ROW()-8))</f>
      </c>
      <c r="F3733">
        <f>IF(INDEX(Transactions!$J:$J,ROW()-8)="",0,INDEX(Transactions!$O:$O,ROW()-8))</f>
      </c>
    </row>
    <row r="3734" spans="1:7">
      <c r="B3734">
        <f>IF(INDEX(Transactions!$J:$J,ROW()-8)="",TODAY(),INDEX(Transactions!$G:$G,ROW()-8))</f>
      </c>
      <c r="F3734">
        <f>IF(INDEX(Transactions!$J:$J,ROW()-8)="",0,INDEX(Transactions!$O:$O,ROW()-8))</f>
      </c>
    </row>
    <row r="3735" spans="1:7">
      <c r="B3735">
        <f>IF(INDEX(Transactions!$J:$J,ROW()-8)="",TODAY(),INDEX(Transactions!$G:$G,ROW()-8))</f>
      </c>
      <c r="F3735">
        <f>IF(INDEX(Transactions!$J:$J,ROW()-8)="",0,INDEX(Transactions!$O:$O,ROW()-8))</f>
      </c>
    </row>
    <row r="3736" spans="1:7">
      <c r="B3736">
        <f>IF(INDEX(Transactions!$J:$J,ROW()-8)="",TODAY(),INDEX(Transactions!$G:$G,ROW()-8))</f>
      </c>
      <c r="F3736">
        <f>IF(INDEX(Transactions!$J:$J,ROW()-8)="",0,INDEX(Transactions!$O:$O,ROW()-8))</f>
      </c>
    </row>
    <row r="3737" spans="1:7">
      <c r="B3737">
        <f>IF(INDEX(Transactions!$J:$J,ROW()-8)="",TODAY(),INDEX(Transactions!$G:$G,ROW()-8))</f>
      </c>
      <c r="F3737">
        <f>IF(INDEX(Transactions!$J:$J,ROW()-8)="",0,INDEX(Transactions!$O:$O,ROW()-8))</f>
      </c>
    </row>
    <row r="3738" spans="1:7">
      <c r="B3738">
        <f>IF(INDEX(Transactions!$J:$J,ROW()-8)="",TODAY(),INDEX(Transactions!$G:$G,ROW()-8))</f>
      </c>
      <c r="F3738">
        <f>IF(INDEX(Transactions!$J:$J,ROW()-8)="",0,INDEX(Transactions!$O:$O,ROW()-8))</f>
      </c>
    </row>
    <row r="3739" spans="1:7">
      <c r="B3739">
        <f>IF(INDEX(Transactions!$J:$J,ROW()-8)="",TODAY(),INDEX(Transactions!$G:$G,ROW()-8))</f>
      </c>
      <c r="F3739">
        <f>IF(INDEX(Transactions!$J:$J,ROW()-8)="",0,INDEX(Transactions!$O:$O,ROW()-8))</f>
      </c>
    </row>
    <row r="3740" spans="1:7">
      <c r="B3740">
        <f>IF(INDEX(Transactions!$J:$J,ROW()-8)="",TODAY(),INDEX(Transactions!$G:$G,ROW()-8))</f>
      </c>
      <c r="F3740">
        <f>IF(INDEX(Transactions!$J:$J,ROW()-8)="",0,INDEX(Transactions!$O:$O,ROW()-8))</f>
      </c>
    </row>
    <row r="3741" spans="1:7">
      <c r="B3741">
        <f>IF(INDEX(Transactions!$J:$J,ROW()-8)="",TODAY(),INDEX(Transactions!$G:$G,ROW()-8))</f>
      </c>
      <c r="F3741">
        <f>IF(INDEX(Transactions!$J:$J,ROW()-8)="",0,INDEX(Transactions!$O:$O,ROW()-8))</f>
      </c>
    </row>
    <row r="3742" spans="1:7">
      <c r="B3742">
        <f>IF(INDEX(Transactions!$J:$J,ROW()-8)="",TODAY(),INDEX(Transactions!$G:$G,ROW()-8))</f>
      </c>
      <c r="F3742">
        <f>IF(INDEX(Transactions!$J:$J,ROW()-8)="",0,INDEX(Transactions!$O:$O,ROW()-8))</f>
      </c>
    </row>
    <row r="3743" spans="1:7">
      <c r="B3743">
        <f>IF(INDEX(Transactions!$J:$J,ROW()-8)="",TODAY(),INDEX(Transactions!$G:$G,ROW()-8))</f>
      </c>
      <c r="F3743">
        <f>IF(INDEX(Transactions!$J:$J,ROW()-8)="",0,INDEX(Transactions!$O:$O,ROW()-8))</f>
      </c>
    </row>
    <row r="3744" spans="1:7">
      <c r="B3744">
        <f>IF(INDEX(Transactions!$J:$J,ROW()-8)="",TODAY(),INDEX(Transactions!$G:$G,ROW()-8))</f>
      </c>
      <c r="F3744">
        <f>IF(INDEX(Transactions!$J:$J,ROW()-8)="",0,INDEX(Transactions!$O:$O,ROW()-8))</f>
      </c>
    </row>
    <row r="3745" spans="1:7">
      <c r="B3745">
        <f>IF(INDEX(Transactions!$J:$J,ROW()-8)="",TODAY(),INDEX(Transactions!$G:$G,ROW()-8))</f>
      </c>
      <c r="F3745">
        <f>IF(INDEX(Transactions!$J:$J,ROW()-8)="",0,INDEX(Transactions!$O:$O,ROW()-8))</f>
      </c>
    </row>
    <row r="3746" spans="1:7">
      <c r="B3746">
        <f>IF(INDEX(Transactions!$J:$J,ROW()-8)="",TODAY(),INDEX(Transactions!$G:$G,ROW()-8))</f>
      </c>
      <c r="F3746">
        <f>IF(INDEX(Transactions!$J:$J,ROW()-8)="",0,INDEX(Transactions!$O:$O,ROW()-8))</f>
      </c>
    </row>
    <row r="3747" spans="1:7">
      <c r="B3747">
        <f>IF(INDEX(Transactions!$J:$J,ROW()-8)="",TODAY(),INDEX(Transactions!$G:$G,ROW()-8))</f>
      </c>
      <c r="F3747">
        <f>IF(INDEX(Transactions!$J:$J,ROW()-8)="",0,INDEX(Transactions!$O:$O,ROW()-8))</f>
      </c>
    </row>
    <row r="3748" spans="1:7">
      <c r="B3748">
        <f>IF(INDEX(Transactions!$J:$J,ROW()-8)="",TODAY(),INDEX(Transactions!$G:$G,ROW()-8))</f>
      </c>
      <c r="F3748">
        <f>IF(INDEX(Transactions!$J:$J,ROW()-8)="",0,INDEX(Transactions!$O:$O,ROW()-8))</f>
      </c>
    </row>
    <row r="3749" spans="1:7">
      <c r="B3749">
        <f>IF(INDEX(Transactions!$J:$J,ROW()-8)="",TODAY(),INDEX(Transactions!$G:$G,ROW()-8))</f>
      </c>
      <c r="F3749">
        <f>IF(INDEX(Transactions!$J:$J,ROW()-8)="",0,INDEX(Transactions!$O:$O,ROW()-8))</f>
      </c>
    </row>
    <row r="3750" spans="1:7">
      <c r="B3750">
        <f>IF(INDEX(Transactions!$J:$J,ROW()-8)="",TODAY(),INDEX(Transactions!$G:$G,ROW()-8))</f>
      </c>
      <c r="F3750">
        <f>IF(INDEX(Transactions!$J:$J,ROW()-8)="",0,INDEX(Transactions!$O:$O,ROW()-8))</f>
      </c>
    </row>
    <row r="3751" spans="1:7">
      <c r="B3751">
        <f>IF(INDEX(Transactions!$J:$J,ROW()-8)="",TODAY(),INDEX(Transactions!$G:$G,ROW()-8))</f>
      </c>
      <c r="F3751">
        <f>IF(INDEX(Transactions!$J:$J,ROW()-8)="",0,INDEX(Transactions!$O:$O,ROW()-8))</f>
      </c>
    </row>
    <row r="3752" spans="1:7">
      <c r="B3752">
        <f>IF(INDEX(Transactions!$J:$J,ROW()-8)="",TODAY(),INDEX(Transactions!$G:$G,ROW()-8))</f>
      </c>
      <c r="F3752">
        <f>IF(INDEX(Transactions!$J:$J,ROW()-8)="",0,INDEX(Transactions!$O:$O,ROW()-8))</f>
      </c>
    </row>
    <row r="3753" spans="1:7">
      <c r="B3753">
        <f>IF(INDEX(Transactions!$J:$J,ROW()-8)="",TODAY(),INDEX(Transactions!$G:$G,ROW()-8))</f>
      </c>
      <c r="F3753">
        <f>IF(INDEX(Transactions!$J:$J,ROW()-8)="",0,INDEX(Transactions!$O:$O,ROW()-8))</f>
      </c>
    </row>
    <row r="3754" spans="1:7">
      <c r="B3754">
        <f>IF(INDEX(Transactions!$J:$J,ROW()-8)="",TODAY(),INDEX(Transactions!$G:$G,ROW()-8))</f>
      </c>
      <c r="F3754">
        <f>IF(INDEX(Transactions!$J:$J,ROW()-8)="",0,INDEX(Transactions!$O:$O,ROW()-8))</f>
      </c>
    </row>
    <row r="3755" spans="1:7">
      <c r="B3755">
        <f>IF(INDEX(Transactions!$J:$J,ROW()-8)="",TODAY(),INDEX(Transactions!$G:$G,ROW()-8))</f>
      </c>
      <c r="F3755">
        <f>IF(INDEX(Transactions!$J:$J,ROW()-8)="",0,INDEX(Transactions!$O:$O,ROW()-8))</f>
      </c>
    </row>
    <row r="3756" spans="1:7">
      <c r="B3756">
        <f>IF(INDEX(Transactions!$J:$J,ROW()-8)="",TODAY(),INDEX(Transactions!$G:$G,ROW()-8))</f>
      </c>
      <c r="F3756">
        <f>IF(INDEX(Transactions!$J:$J,ROW()-8)="",0,INDEX(Transactions!$O:$O,ROW()-8))</f>
      </c>
    </row>
    <row r="3757" spans="1:7">
      <c r="B3757">
        <f>IF(INDEX(Transactions!$J:$J,ROW()-8)="",TODAY(),INDEX(Transactions!$G:$G,ROW()-8))</f>
      </c>
      <c r="F3757">
        <f>IF(INDEX(Transactions!$J:$J,ROW()-8)="",0,INDEX(Transactions!$O:$O,ROW()-8))</f>
      </c>
    </row>
    <row r="3758" spans="1:7">
      <c r="B3758">
        <f>IF(INDEX(Transactions!$J:$J,ROW()-8)="",TODAY(),INDEX(Transactions!$G:$G,ROW()-8))</f>
      </c>
      <c r="F3758">
        <f>IF(INDEX(Transactions!$J:$J,ROW()-8)="",0,INDEX(Transactions!$O:$O,ROW()-8))</f>
      </c>
    </row>
    <row r="3759" spans="1:7">
      <c r="B3759">
        <f>IF(INDEX(Transactions!$J:$J,ROW()-8)="",TODAY(),INDEX(Transactions!$G:$G,ROW()-8))</f>
      </c>
      <c r="F3759">
        <f>IF(INDEX(Transactions!$J:$J,ROW()-8)="",0,INDEX(Transactions!$O:$O,ROW()-8))</f>
      </c>
    </row>
    <row r="3760" spans="1:7">
      <c r="B3760">
        <f>IF(INDEX(Transactions!$J:$J,ROW()-8)="",TODAY(),INDEX(Transactions!$G:$G,ROW()-8))</f>
      </c>
      <c r="F3760">
        <f>IF(INDEX(Transactions!$J:$J,ROW()-8)="",0,INDEX(Transactions!$O:$O,ROW()-8))</f>
      </c>
    </row>
    <row r="3761" spans="1:7">
      <c r="B3761">
        <f>IF(INDEX(Transactions!$J:$J,ROW()-8)="",TODAY(),INDEX(Transactions!$G:$G,ROW()-8))</f>
      </c>
      <c r="F3761">
        <f>IF(INDEX(Transactions!$J:$J,ROW()-8)="",0,INDEX(Transactions!$O:$O,ROW()-8))</f>
      </c>
    </row>
    <row r="3762" spans="1:7">
      <c r="B3762">
        <f>IF(INDEX(Transactions!$J:$J,ROW()-8)="",TODAY(),INDEX(Transactions!$G:$G,ROW()-8))</f>
      </c>
      <c r="F3762">
        <f>IF(INDEX(Transactions!$J:$J,ROW()-8)="",0,INDEX(Transactions!$O:$O,ROW()-8))</f>
      </c>
    </row>
    <row r="3763" spans="1:7">
      <c r="B3763">
        <f>IF(INDEX(Transactions!$J:$J,ROW()-8)="",TODAY(),INDEX(Transactions!$G:$G,ROW()-8))</f>
      </c>
      <c r="F3763">
        <f>IF(INDEX(Transactions!$J:$J,ROW()-8)="",0,INDEX(Transactions!$O:$O,ROW()-8))</f>
      </c>
    </row>
    <row r="3764" spans="1:7">
      <c r="B3764">
        <f>IF(INDEX(Transactions!$J:$J,ROW()-8)="",TODAY(),INDEX(Transactions!$G:$G,ROW()-8))</f>
      </c>
      <c r="F3764">
        <f>IF(INDEX(Transactions!$J:$J,ROW()-8)="",0,INDEX(Transactions!$O:$O,ROW()-8))</f>
      </c>
    </row>
    <row r="3765" spans="1:7">
      <c r="B3765">
        <f>IF(INDEX(Transactions!$J:$J,ROW()-8)="",TODAY(),INDEX(Transactions!$G:$G,ROW()-8))</f>
      </c>
      <c r="F3765">
        <f>IF(INDEX(Transactions!$J:$J,ROW()-8)="",0,INDEX(Transactions!$O:$O,ROW()-8))</f>
      </c>
    </row>
    <row r="3766" spans="1:7">
      <c r="B3766">
        <f>IF(INDEX(Transactions!$J:$J,ROW()-8)="",TODAY(),INDEX(Transactions!$G:$G,ROW()-8))</f>
      </c>
      <c r="F3766">
        <f>IF(INDEX(Transactions!$J:$J,ROW()-8)="",0,INDEX(Transactions!$O:$O,ROW()-8))</f>
      </c>
    </row>
    <row r="3767" spans="1:7">
      <c r="B3767">
        <f>IF(INDEX(Transactions!$J:$J,ROW()-8)="",TODAY(),INDEX(Transactions!$G:$G,ROW()-8))</f>
      </c>
      <c r="F3767">
        <f>IF(INDEX(Transactions!$J:$J,ROW()-8)="",0,INDEX(Transactions!$O:$O,ROW()-8))</f>
      </c>
    </row>
    <row r="3768" spans="1:7">
      <c r="B3768">
        <f>IF(INDEX(Transactions!$J:$J,ROW()-8)="",TODAY(),INDEX(Transactions!$G:$G,ROW()-8))</f>
      </c>
      <c r="F3768">
        <f>IF(INDEX(Transactions!$J:$J,ROW()-8)="",0,INDEX(Transactions!$O:$O,ROW()-8))</f>
      </c>
    </row>
    <row r="3769" spans="1:7">
      <c r="B3769">
        <f>IF(INDEX(Transactions!$J:$J,ROW()-8)="",TODAY(),INDEX(Transactions!$G:$G,ROW()-8))</f>
      </c>
      <c r="F3769">
        <f>IF(INDEX(Transactions!$J:$J,ROW()-8)="",0,INDEX(Transactions!$O:$O,ROW()-8))</f>
      </c>
    </row>
    <row r="3770" spans="1:7">
      <c r="B3770">
        <f>IF(INDEX(Transactions!$J:$J,ROW()-8)="",TODAY(),INDEX(Transactions!$G:$G,ROW()-8))</f>
      </c>
      <c r="F3770">
        <f>IF(INDEX(Transactions!$J:$J,ROW()-8)="",0,INDEX(Transactions!$O:$O,ROW()-8))</f>
      </c>
    </row>
    <row r="3771" spans="1:7">
      <c r="B3771">
        <f>IF(INDEX(Transactions!$J:$J,ROW()-8)="",TODAY(),INDEX(Transactions!$G:$G,ROW()-8))</f>
      </c>
      <c r="F3771">
        <f>IF(INDEX(Transactions!$J:$J,ROW()-8)="",0,INDEX(Transactions!$O:$O,ROW()-8))</f>
      </c>
    </row>
    <row r="3772" spans="1:7">
      <c r="B3772">
        <f>IF(INDEX(Transactions!$J:$J,ROW()-8)="",TODAY(),INDEX(Transactions!$G:$G,ROW()-8))</f>
      </c>
      <c r="F3772">
        <f>IF(INDEX(Transactions!$J:$J,ROW()-8)="",0,INDEX(Transactions!$O:$O,ROW()-8))</f>
      </c>
    </row>
    <row r="3773" spans="1:7">
      <c r="B3773">
        <f>IF(INDEX(Transactions!$J:$J,ROW()-8)="",TODAY(),INDEX(Transactions!$G:$G,ROW()-8))</f>
      </c>
      <c r="F3773">
        <f>IF(INDEX(Transactions!$J:$J,ROW()-8)="",0,INDEX(Transactions!$O:$O,ROW()-8))</f>
      </c>
    </row>
    <row r="3774" spans="1:7">
      <c r="B3774">
        <f>IF(INDEX(Transactions!$J:$J,ROW()-8)="",TODAY(),INDEX(Transactions!$G:$G,ROW()-8))</f>
      </c>
      <c r="F3774">
        <f>IF(INDEX(Transactions!$J:$J,ROW()-8)="",0,INDEX(Transactions!$O:$O,ROW()-8))</f>
      </c>
    </row>
    <row r="3775" spans="1:7">
      <c r="B3775">
        <f>IF(INDEX(Transactions!$J:$J,ROW()-8)="",TODAY(),INDEX(Transactions!$G:$G,ROW()-8))</f>
      </c>
      <c r="F3775">
        <f>IF(INDEX(Transactions!$J:$J,ROW()-8)="",0,INDEX(Transactions!$O:$O,ROW()-8))</f>
      </c>
    </row>
    <row r="3776" spans="1:7">
      <c r="B3776">
        <f>IF(INDEX(Transactions!$J:$J,ROW()-8)="",TODAY(),INDEX(Transactions!$G:$G,ROW()-8))</f>
      </c>
      <c r="F3776">
        <f>IF(INDEX(Transactions!$J:$J,ROW()-8)="",0,INDEX(Transactions!$O:$O,ROW()-8))</f>
      </c>
    </row>
    <row r="3777" spans="1:7">
      <c r="B3777">
        <f>IF(INDEX(Transactions!$J:$J,ROW()-8)="",TODAY(),INDEX(Transactions!$G:$G,ROW()-8))</f>
      </c>
      <c r="F3777">
        <f>IF(INDEX(Transactions!$J:$J,ROW()-8)="",0,INDEX(Transactions!$O:$O,ROW()-8))</f>
      </c>
    </row>
    <row r="3778" spans="1:7">
      <c r="B3778">
        <f>IF(INDEX(Transactions!$J:$J,ROW()-8)="",TODAY(),INDEX(Transactions!$G:$G,ROW()-8))</f>
      </c>
      <c r="F3778">
        <f>IF(INDEX(Transactions!$J:$J,ROW()-8)="",0,INDEX(Transactions!$O:$O,ROW()-8))</f>
      </c>
    </row>
    <row r="3779" spans="1:7">
      <c r="B3779">
        <f>IF(INDEX(Transactions!$J:$J,ROW()-8)="",TODAY(),INDEX(Transactions!$G:$G,ROW()-8))</f>
      </c>
      <c r="F3779">
        <f>IF(INDEX(Transactions!$J:$J,ROW()-8)="",0,INDEX(Transactions!$O:$O,ROW()-8))</f>
      </c>
    </row>
    <row r="3780" spans="1:7">
      <c r="B3780">
        <f>IF(INDEX(Transactions!$J:$J,ROW()-8)="",TODAY(),INDEX(Transactions!$G:$G,ROW()-8))</f>
      </c>
      <c r="F3780">
        <f>IF(INDEX(Transactions!$J:$J,ROW()-8)="",0,INDEX(Transactions!$O:$O,ROW()-8))</f>
      </c>
    </row>
    <row r="3781" spans="1:7">
      <c r="B3781">
        <f>IF(INDEX(Transactions!$J:$J,ROW()-8)="",TODAY(),INDEX(Transactions!$G:$G,ROW()-8))</f>
      </c>
      <c r="F3781">
        <f>IF(INDEX(Transactions!$J:$J,ROW()-8)="",0,INDEX(Transactions!$O:$O,ROW()-8))</f>
      </c>
    </row>
    <row r="3782" spans="1:7">
      <c r="B3782">
        <f>IF(INDEX(Transactions!$J:$J,ROW()-8)="",TODAY(),INDEX(Transactions!$G:$G,ROW()-8))</f>
      </c>
      <c r="F3782">
        <f>IF(INDEX(Transactions!$J:$J,ROW()-8)="",0,INDEX(Transactions!$O:$O,ROW()-8))</f>
      </c>
    </row>
    <row r="3783" spans="1:7">
      <c r="B3783">
        <f>IF(INDEX(Transactions!$J:$J,ROW()-8)="",TODAY(),INDEX(Transactions!$G:$G,ROW()-8))</f>
      </c>
      <c r="F3783">
        <f>IF(INDEX(Transactions!$J:$J,ROW()-8)="",0,INDEX(Transactions!$O:$O,ROW()-8))</f>
      </c>
    </row>
    <row r="3784" spans="1:7">
      <c r="B3784">
        <f>IF(INDEX(Transactions!$J:$J,ROW()-8)="",TODAY(),INDEX(Transactions!$G:$G,ROW()-8))</f>
      </c>
      <c r="F3784">
        <f>IF(INDEX(Transactions!$J:$J,ROW()-8)="",0,INDEX(Transactions!$O:$O,ROW()-8))</f>
      </c>
    </row>
    <row r="3785" spans="1:7">
      <c r="B3785">
        <f>IF(INDEX(Transactions!$J:$J,ROW()-8)="",TODAY(),INDEX(Transactions!$G:$G,ROW()-8))</f>
      </c>
      <c r="F3785">
        <f>IF(INDEX(Transactions!$J:$J,ROW()-8)="",0,INDEX(Transactions!$O:$O,ROW()-8))</f>
      </c>
    </row>
    <row r="3786" spans="1:7">
      <c r="B3786">
        <f>IF(INDEX(Transactions!$J:$J,ROW()-8)="",TODAY(),INDEX(Transactions!$G:$G,ROW()-8))</f>
      </c>
      <c r="F3786">
        <f>IF(INDEX(Transactions!$J:$J,ROW()-8)="",0,INDEX(Transactions!$O:$O,ROW()-8))</f>
      </c>
    </row>
    <row r="3787" spans="1:7">
      <c r="B3787">
        <f>IF(INDEX(Transactions!$J:$J,ROW()-8)="",TODAY(),INDEX(Transactions!$G:$G,ROW()-8))</f>
      </c>
      <c r="F3787">
        <f>IF(INDEX(Transactions!$J:$J,ROW()-8)="",0,INDEX(Transactions!$O:$O,ROW()-8))</f>
      </c>
    </row>
    <row r="3788" spans="1:7">
      <c r="B3788">
        <f>IF(INDEX(Transactions!$J:$J,ROW()-8)="",TODAY(),INDEX(Transactions!$G:$G,ROW()-8))</f>
      </c>
      <c r="F3788">
        <f>IF(INDEX(Transactions!$J:$J,ROW()-8)="",0,INDEX(Transactions!$O:$O,ROW()-8))</f>
      </c>
    </row>
    <row r="3789" spans="1:7">
      <c r="B3789">
        <f>IF(INDEX(Transactions!$J:$J,ROW()-8)="",TODAY(),INDEX(Transactions!$G:$G,ROW()-8))</f>
      </c>
      <c r="F3789">
        <f>IF(INDEX(Transactions!$J:$J,ROW()-8)="",0,INDEX(Transactions!$O:$O,ROW()-8))</f>
      </c>
    </row>
    <row r="3790" spans="1:7">
      <c r="B3790">
        <f>IF(INDEX(Transactions!$J:$J,ROW()-8)="",TODAY(),INDEX(Transactions!$G:$G,ROW()-8))</f>
      </c>
      <c r="F3790">
        <f>IF(INDEX(Transactions!$J:$J,ROW()-8)="",0,INDEX(Transactions!$O:$O,ROW()-8))</f>
      </c>
    </row>
    <row r="3791" spans="1:7">
      <c r="B3791">
        <f>IF(INDEX(Transactions!$J:$J,ROW()-8)="",TODAY(),INDEX(Transactions!$G:$G,ROW()-8))</f>
      </c>
      <c r="F3791">
        <f>IF(INDEX(Transactions!$J:$J,ROW()-8)="",0,INDEX(Transactions!$O:$O,ROW()-8))</f>
      </c>
    </row>
    <row r="3792" spans="1:7">
      <c r="B3792">
        <f>IF(INDEX(Transactions!$J:$J,ROW()-8)="",TODAY(),INDEX(Transactions!$G:$G,ROW()-8))</f>
      </c>
      <c r="F3792">
        <f>IF(INDEX(Transactions!$J:$J,ROW()-8)="",0,INDEX(Transactions!$O:$O,ROW()-8))</f>
      </c>
    </row>
    <row r="3793" spans="1:7">
      <c r="B3793">
        <f>IF(INDEX(Transactions!$J:$J,ROW()-8)="",TODAY(),INDEX(Transactions!$G:$G,ROW()-8))</f>
      </c>
      <c r="F3793">
        <f>IF(INDEX(Transactions!$J:$J,ROW()-8)="",0,INDEX(Transactions!$O:$O,ROW()-8))</f>
      </c>
    </row>
    <row r="3794" spans="1:7">
      <c r="B3794">
        <f>IF(INDEX(Transactions!$J:$J,ROW()-8)="",TODAY(),INDEX(Transactions!$G:$G,ROW()-8))</f>
      </c>
      <c r="F3794">
        <f>IF(INDEX(Transactions!$J:$J,ROW()-8)="",0,INDEX(Transactions!$O:$O,ROW()-8))</f>
      </c>
    </row>
    <row r="3795" spans="1:7">
      <c r="B3795">
        <f>IF(INDEX(Transactions!$J:$J,ROW()-8)="",TODAY(),INDEX(Transactions!$G:$G,ROW()-8))</f>
      </c>
      <c r="F3795">
        <f>IF(INDEX(Transactions!$J:$J,ROW()-8)="",0,INDEX(Transactions!$O:$O,ROW()-8))</f>
      </c>
    </row>
    <row r="3796" spans="1:7">
      <c r="B3796">
        <f>IF(INDEX(Transactions!$J:$J,ROW()-8)="",TODAY(),INDEX(Transactions!$G:$G,ROW()-8))</f>
      </c>
      <c r="F3796">
        <f>IF(INDEX(Transactions!$J:$J,ROW()-8)="",0,INDEX(Transactions!$O:$O,ROW()-8))</f>
      </c>
    </row>
    <row r="3797" spans="1:7">
      <c r="B3797">
        <f>IF(INDEX(Transactions!$J:$J,ROW()-8)="",TODAY(),INDEX(Transactions!$G:$G,ROW()-8))</f>
      </c>
      <c r="F3797">
        <f>IF(INDEX(Transactions!$J:$J,ROW()-8)="",0,INDEX(Transactions!$O:$O,ROW()-8))</f>
      </c>
    </row>
    <row r="3798" spans="1:7">
      <c r="B3798">
        <f>IF(INDEX(Transactions!$J:$J,ROW()-8)="",TODAY(),INDEX(Transactions!$G:$G,ROW()-8))</f>
      </c>
      <c r="F3798">
        <f>IF(INDEX(Transactions!$J:$J,ROW()-8)="",0,INDEX(Transactions!$O:$O,ROW()-8))</f>
      </c>
    </row>
    <row r="3799" spans="1:7">
      <c r="B3799">
        <f>IF(INDEX(Transactions!$J:$J,ROW()-8)="",TODAY(),INDEX(Transactions!$G:$G,ROW()-8))</f>
      </c>
      <c r="F3799">
        <f>IF(INDEX(Transactions!$J:$J,ROW()-8)="",0,INDEX(Transactions!$O:$O,ROW()-8))</f>
      </c>
    </row>
    <row r="3800" spans="1:7">
      <c r="B3800">
        <f>IF(INDEX(Transactions!$J:$J,ROW()-8)="",TODAY(),INDEX(Transactions!$G:$G,ROW()-8))</f>
      </c>
      <c r="F3800">
        <f>IF(INDEX(Transactions!$J:$J,ROW()-8)="",0,INDEX(Transactions!$O:$O,ROW()-8))</f>
      </c>
    </row>
    <row r="3801" spans="1:7">
      <c r="B3801">
        <f>IF(INDEX(Transactions!$J:$J,ROW()-8)="",TODAY(),INDEX(Transactions!$G:$G,ROW()-8))</f>
      </c>
      <c r="F3801">
        <f>IF(INDEX(Transactions!$J:$J,ROW()-8)="",0,INDEX(Transactions!$O:$O,ROW()-8))</f>
      </c>
    </row>
    <row r="3802" spans="1:7">
      <c r="B3802">
        <f>IF(INDEX(Transactions!$J:$J,ROW()-8)="",TODAY(),INDEX(Transactions!$G:$G,ROW()-8))</f>
      </c>
      <c r="F3802">
        <f>IF(INDEX(Transactions!$J:$J,ROW()-8)="",0,INDEX(Transactions!$O:$O,ROW()-8))</f>
      </c>
    </row>
    <row r="3803" spans="1:7">
      <c r="B3803">
        <f>IF(INDEX(Transactions!$J:$J,ROW()-8)="",TODAY(),INDEX(Transactions!$G:$G,ROW()-8))</f>
      </c>
      <c r="F3803">
        <f>IF(INDEX(Transactions!$J:$J,ROW()-8)="",0,INDEX(Transactions!$O:$O,ROW()-8))</f>
      </c>
    </row>
    <row r="3804" spans="1:7">
      <c r="B3804">
        <f>IF(INDEX(Transactions!$J:$J,ROW()-8)="",TODAY(),INDEX(Transactions!$G:$G,ROW()-8))</f>
      </c>
      <c r="F3804">
        <f>IF(INDEX(Transactions!$J:$J,ROW()-8)="",0,INDEX(Transactions!$O:$O,ROW()-8))</f>
      </c>
    </row>
    <row r="3805" spans="1:7">
      <c r="B3805">
        <f>IF(INDEX(Transactions!$J:$J,ROW()-8)="",TODAY(),INDEX(Transactions!$G:$G,ROW()-8))</f>
      </c>
      <c r="F3805">
        <f>IF(INDEX(Transactions!$J:$J,ROW()-8)="",0,INDEX(Transactions!$O:$O,ROW()-8))</f>
      </c>
    </row>
    <row r="3806" spans="1:7">
      <c r="B3806">
        <f>IF(INDEX(Transactions!$J:$J,ROW()-8)="",TODAY(),INDEX(Transactions!$G:$G,ROW()-8))</f>
      </c>
      <c r="F3806">
        <f>IF(INDEX(Transactions!$J:$J,ROW()-8)="",0,INDEX(Transactions!$O:$O,ROW()-8))</f>
      </c>
    </row>
    <row r="3807" spans="1:7">
      <c r="B3807">
        <f>IF(INDEX(Transactions!$J:$J,ROW()-8)="",TODAY(),INDEX(Transactions!$G:$G,ROW()-8))</f>
      </c>
      <c r="F3807">
        <f>IF(INDEX(Transactions!$J:$J,ROW()-8)="",0,INDEX(Transactions!$O:$O,ROW()-8))</f>
      </c>
    </row>
    <row r="3808" spans="1:7">
      <c r="B3808">
        <f>IF(INDEX(Transactions!$J:$J,ROW()-8)="",TODAY(),INDEX(Transactions!$G:$G,ROW()-8))</f>
      </c>
      <c r="F3808">
        <f>IF(INDEX(Transactions!$J:$J,ROW()-8)="",0,INDEX(Transactions!$O:$O,ROW()-8))</f>
      </c>
    </row>
    <row r="3809" spans="1:7">
      <c r="B3809">
        <f>IF(INDEX(Transactions!$J:$J,ROW()-8)="",TODAY(),INDEX(Transactions!$G:$G,ROW()-8))</f>
      </c>
      <c r="F3809">
        <f>IF(INDEX(Transactions!$J:$J,ROW()-8)="",0,INDEX(Transactions!$O:$O,ROW()-8))</f>
      </c>
    </row>
    <row r="3810" spans="1:7">
      <c r="B3810">
        <f>IF(INDEX(Transactions!$J:$J,ROW()-8)="",TODAY(),INDEX(Transactions!$G:$G,ROW()-8))</f>
      </c>
      <c r="F3810">
        <f>IF(INDEX(Transactions!$J:$J,ROW()-8)="",0,INDEX(Transactions!$O:$O,ROW()-8))</f>
      </c>
    </row>
    <row r="3811" spans="1:7">
      <c r="B3811">
        <f>IF(INDEX(Transactions!$J:$J,ROW()-8)="",TODAY(),INDEX(Transactions!$G:$G,ROW()-8))</f>
      </c>
      <c r="F3811">
        <f>IF(INDEX(Transactions!$J:$J,ROW()-8)="",0,INDEX(Transactions!$O:$O,ROW()-8))</f>
      </c>
    </row>
    <row r="3812" spans="1:7">
      <c r="B3812">
        <f>IF(INDEX(Transactions!$J:$J,ROW()-8)="",TODAY(),INDEX(Transactions!$G:$G,ROW()-8))</f>
      </c>
      <c r="F3812">
        <f>IF(INDEX(Transactions!$J:$J,ROW()-8)="",0,INDEX(Transactions!$O:$O,ROW()-8))</f>
      </c>
    </row>
    <row r="3813" spans="1:7">
      <c r="B3813">
        <f>IF(INDEX(Transactions!$J:$J,ROW()-8)="",TODAY(),INDEX(Transactions!$G:$G,ROW()-8))</f>
      </c>
      <c r="F3813">
        <f>IF(INDEX(Transactions!$J:$J,ROW()-8)="",0,INDEX(Transactions!$O:$O,ROW()-8))</f>
      </c>
    </row>
    <row r="3814" spans="1:7">
      <c r="B3814">
        <f>IF(INDEX(Transactions!$J:$J,ROW()-8)="",TODAY(),INDEX(Transactions!$G:$G,ROW()-8))</f>
      </c>
      <c r="F3814">
        <f>IF(INDEX(Transactions!$J:$J,ROW()-8)="",0,INDEX(Transactions!$O:$O,ROW()-8))</f>
      </c>
    </row>
    <row r="3815" spans="1:7">
      <c r="B3815">
        <f>IF(INDEX(Transactions!$J:$J,ROW()-8)="",TODAY(),INDEX(Transactions!$G:$G,ROW()-8))</f>
      </c>
      <c r="F3815">
        <f>IF(INDEX(Transactions!$J:$J,ROW()-8)="",0,INDEX(Transactions!$O:$O,ROW()-8))</f>
      </c>
    </row>
    <row r="3816" spans="1:7">
      <c r="B3816">
        <f>IF(INDEX(Transactions!$J:$J,ROW()-8)="",TODAY(),INDEX(Transactions!$G:$G,ROW()-8))</f>
      </c>
      <c r="F3816">
        <f>IF(INDEX(Transactions!$J:$J,ROW()-8)="",0,INDEX(Transactions!$O:$O,ROW()-8))</f>
      </c>
    </row>
    <row r="3817" spans="1:7">
      <c r="B3817">
        <f>IF(INDEX(Transactions!$J:$J,ROW()-8)="",TODAY(),INDEX(Transactions!$G:$G,ROW()-8))</f>
      </c>
      <c r="F3817">
        <f>IF(INDEX(Transactions!$J:$J,ROW()-8)="",0,INDEX(Transactions!$O:$O,ROW()-8))</f>
      </c>
    </row>
    <row r="3818" spans="1:7">
      <c r="B3818">
        <f>IF(INDEX(Transactions!$J:$J,ROW()-8)="",TODAY(),INDEX(Transactions!$G:$G,ROW()-8))</f>
      </c>
      <c r="F3818">
        <f>IF(INDEX(Transactions!$J:$J,ROW()-8)="",0,INDEX(Transactions!$O:$O,ROW()-8))</f>
      </c>
    </row>
    <row r="3819" spans="1:7">
      <c r="B3819">
        <f>IF(INDEX(Transactions!$J:$J,ROW()-8)="",TODAY(),INDEX(Transactions!$G:$G,ROW()-8))</f>
      </c>
      <c r="F3819">
        <f>IF(INDEX(Transactions!$J:$J,ROW()-8)="",0,INDEX(Transactions!$O:$O,ROW()-8))</f>
      </c>
    </row>
    <row r="3820" spans="1:7">
      <c r="B3820">
        <f>IF(INDEX(Transactions!$J:$J,ROW()-8)="",TODAY(),INDEX(Transactions!$G:$G,ROW()-8))</f>
      </c>
      <c r="F3820">
        <f>IF(INDEX(Transactions!$J:$J,ROW()-8)="",0,INDEX(Transactions!$O:$O,ROW()-8))</f>
      </c>
    </row>
    <row r="3821" spans="1:7">
      <c r="B3821">
        <f>IF(INDEX(Transactions!$J:$J,ROW()-8)="",TODAY(),INDEX(Transactions!$G:$G,ROW()-8))</f>
      </c>
      <c r="F3821">
        <f>IF(INDEX(Transactions!$J:$J,ROW()-8)="",0,INDEX(Transactions!$O:$O,ROW()-8))</f>
      </c>
    </row>
    <row r="3822" spans="1:7">
      <c r="B3822">
        <f>IF(INDEX(Transactions!$J:$J,ROW()-8)="",TODAY(),INDEX(Transactions!$G:$G,ROW()-8))</f>
      </c>
      <c r="F3822">
        <f>IF(INDEX(Transactions!$J:$J,ROW()-8)="",0,INDEX(Transactions!$O:$O,ROW()-8))</f>
      </c>
    </row>
    <row r="3823" spans="1:7">
      <c r="B3823">
        <f>IF(INDEX(Transactions!$J:$J,ROW()-8)="",TODAY(),INDEX(Transactions!$G:$G,ROW()-8))</f>
      </c>
      <c r="F3823">
        <f>IF(INDEX(Transactions!$J:$J,ROW()-8)="",0,INDEX(Transactions!$O:$O,ROW()-8))</f>
      </c>
    </row>
    <row r="3824" spans="1:7">
      <c r="B3824">
        <f>IF(INDEX(Transactions!$J:$J,ROW()-8)="",TODAY(),INDEX(Transactions!$G:$G,ROW()-8))</f>
      </c>
      <c r="F3824">
        <f>IF(INDEX(Transactions!$J:$J,ROW()-8)="",0,INDEX(Transactions!$O:$O,ROW()-8))</f>
      </c>
    </row>
    <row r="3825" spans="1:7">
      <c r="B3825">
        <f>IF(INDEX(Transactions!$J:$J,ROW()-8)="",TODAY(),INDEX(Transactions!$G:$G,ROW()-8))</f>
      </c>
      <c r="F3825">
        <f>IF(INDEX(Transactions!$J:$J,ROW()-8)="",0,INDEX(Transactions!$O:$O,ROW()-8))</f>
      </c>
    </row>
    <row r="3826" spans="1:7">
      <c r="B3826">
        <f>IF(INDEX(Transactions!$J:$J,ROW()-8)="",TODAY(),INDEX(Transactions!$G:$G,ROW()-8))</f>
      </c>
      <c r="F3826">
        <f>IF(INDEX(Transactions!$J:$J,ROW()-8)="",0,INDEX(Transactions!$O:$O,ROW()-8))</f>
      </c>
    </row>
    <row r="3827" spans="1:7">
      <c r="B3827">
        <f>IF(INDEX(Transactions!$J:$J,ROW()-8)="",TODAY(),INDEX(Transactions!$G:$G,ROW()-8))</f>
      </c>
      <c r="F3827">
        <f>IF(INDEX(Transactions!$J:$J,ROW()-8)="",0,INDEX(Transactions!$O:$O,ROW()-8))</f>
      </c>
    </row>
    <row r="3828" spans="1:7">
      <c r="B3828">
        <f>IF(INDEX(Transactions!$J:$J,ROW()-8)="",TODAY(),INDEX(Transactions!$G:$G,ROW()-8))</f>
      </c>
      <c r="F3828">
        <f>IF(INDEX(Transactions!$J:$J,ROW()-8)="",0,INDEX(Transactions!$O:$O,ROW()-8))</f>
      </c>
    </row>
    <row r="3829" spans="1:7">
      <c r="B3829">
        <f>IF(INDEX(Transactions!$J:$J,ROW()-8)="",TODAY(),INDEX(Transactions!$G:$G,ROW()-8))</f>
      </c>
      <c r="F3829">
        <f>IF(INDEX(Transactions!$J:$J,ROW()-8)="",0,INDEX(Transactions!$O:$O,ROW()-8))</f>
      </c>
    </row>
    <row r="3830" spans="1:7">
      <c r="B3830">
        <f>IF(INDEX(Transactions!$J:$J,ROW()-8)="",TODAY(),INDEX(Transactions!$G:$G,ROW()-8))</f>
      </c>
      <c r="F3830">
        <f>IF(INDEX(Transactions!$J:$J,ROW()-8)="",0,INDEX(Transactions!$O:$O,ROW()-8))</f>
      </c>
    </row>
    <row r="3831" spans="1:7">
      <c r="B3831">
        <f>IF(INDEX(Transactions!$J:$J,ROW()-8)="",TODAY(),INDEX(Transactions!$G:$G,ROW()-8))</f>
      </c>
      <c r="F3831">
        <f>IF(INDEX(Transactions!$J:$J,ROW()-8)="",0,INDEX(Transactions!$O:$O,ROW()-8))</f>
      </c>
    </row>
    <row r="3832" spans="1:7">
      <c r="B3832">
        <f>IF(INDEX(Transactions!$J:$J,ROW()-8)="",TODAY(),INDEX(Transactions!$G:$G,ROW()-8))</f>
      </c>
      <c r="F3832">
        <f>IF(INDEX(Transactions!$J:$J,ROW()-8)="",0,INDEX(Transactions!$O:$O,ROW()-8))</f>
      </c>
    </row>
    <row r="3833" spans="1:7">
      <c r="B3833">
        <f>IF(INDEX(Transactions!$J:$J,ROW()-8)="",TODAY(),INDEX(Transactions!$G:$G,ROW()-8))</f>
      </c>
      <c r="F3833">
        <f>IF(INDEX(Transactions!$J:$J,ROW()-8)="",0,INDEX(Transactions!$O:$O,ROW()-8))</f>
      </c>
    </row>
    <row r="3834" spans="1:7">
      <c r="B3834">
        <f>IF(INDEX(Transactions!$J:$J,ROW()-8)="",TODAY(),INDEX(Transactions!$G:$G,ROW()-8))</f>
      </c>
      <c r="F3834">
        <f>IF(INDEX(Transactions!$J:$J,ROW()-8)="",0,INDEX(Transactions!$O:$O,ROW()-8))</f>
      </c>
    </row>
    <row r="3835" spans="1:7">
      <c r="B3835">
        <f>IF(INDEX(Transactions!$J:$J,ROW()-8)="",TODAY(),INDEX(Transactions!$G:$G,ROW()-8))</f>
      </c>
      <c r="F3835">
        <f>IF(INDEX(Transactions!$J:$J,ROW()-8)="",0,INDEX(Transactions!$O:$O,ROW()-8))</f>
      </c>
    </row>
    <row r="3836" spans="1:7">
      <c r="B3836">
        <f>IF(INDEX(Transactions!$J:$J,ROW()-8)="",TODAY(),INDEX(Transactions!$G:$G,ROW()-8))</f>
      </c>
      <c r="F3836">
        <f>IF(INDEX(Transactions!$J:$J,ROW()-8)="",0,INDEX(Transactions!$O:$O,ROW()-8))</f>
      </c>
    </row>
    <row r="3837" spans="1:7">
      <c r="B3837">
        <f>IF(INDEX(Transactions!$J:$J,ROW()-8)="",TODAY(),INDEX(Transactions!$G:$G,ROW()-8))</f>
      </c>
      <c r="F3837">
        <f>IF(INDEX(Transactions!$J:$J,ROW()-8)="",0,INDEX(Transactions!$O:$O,ROW()-8))</f>
      </c>
    </row>
    <row r="3838" spans="1:7">
      <c r="B3838">
        <f>IF(INDEX(Transactions!$J:$J,ROW()-8)="",TODAY(),INDEX(Transactions!$G:$G,ROW()-8))</f>
      </c>
      <c r="F3838">
        <f>IF(INDEX(Transactions!$J:$J,ROW()-8)="",0,INDEX(Transactions!$O:$O,ROW()-8))</f>
      </c>
    </row>
    <row r="3839" spans="1:7">
      <c r="B3839">
        <f>IF(INDEX(Transactions!$J:$J,ROW()-8)="",TODAY(),INDEX(Transactions!$G:$G,ROW()-8))</f>
      </c>
      <c r="F3839">
        <f>IF(INDEX(Transactions!$J:$J,ROW()-8)="",0,INDEX(Transactions!$O:$O,ROW()-8))</f>
      </c>
    </row>
    <row r="3840" spans="1:7">
      <c r="B3840">
        <f>IF(INDEX(Transactions!$J:$J,ROW()-8)="",TODAY(),INDEX(Transactions!$G:$G,ROW()-8))</f>
      </c>
      <c r="F3840">
        <f>IF(INDEX(Transactions!$J:$J,ROW()-8)="",0,INDEX(Transactions!$O:$O,ROW()-8))</f>
      </c>
    </row>
    <row r="3841" spans="1:7">
      <c r="B3841">
        <f>IF(INDEX(Transactions!$J:$J,ROW()-8)="",TODAY(),INDEX(Transactions!$G:$G,ROW()-8))</f>
      </c>
      <c r="F3841">
        <f>IF(INDEX(Transactions!$J:$J,ROW()-8)="",0,INDEX(Transactions!$O:$O,ROW()-8))</f>
      </c>
    </row>
    <row r="3842" spans="1:7">
      <c r="B3842">
        <f>IF(INDEX(Transactions!$J:$J,ROW()-8)="",TODAY(),INDEX(Transactions!$G:$G,ROW()-8))</f>
      </c>
      <c r="F3842">
        <f>IF(INDEX(Transactions!$J:$J,ROW()-8)="",0,INDEX(Transactions!$O:$O,ROW()-8))</f>
      </c>
    </row>
    <row r="3843" spans="1:7">
      <c r="B3843">
        <f>IF(INDEX(Transactions!$J:$J,ROW()-8)="",TODAY(),INDEX(Transactions!$G:$G,ROW()-8))</f>
      </c>
      <c r="F3843">
        <f>IF(INDEX(Transactions!$J:$J,ROW()-8)="",0,INDEX(Transactions!$O:$O,ROW()-8))</f>
      </c>
    </row>
    <row r="3844" spans="1:7">
      <c r="B3844">
        <f>IF(INDEX(Transactions!$J:$J,ROW()-8)="",TODAY(),INDEX(Transactions!$G:$G,ROW()-8))</f>
      </c>
      <c r="F3844">
        <f>IF(INDEX(Transactions!$J:$J,ROW()-8)="",0,INDEX(Transactions!$O:$O,ROW()-8))</f>
      </c>
    </row>
    <row r="3845" spans="1:7">
      <c r="B3845">
        <f>IF(INDEX(Transactions!$J:$J,ROW()-8)="",TODAY(),INDEX(Transactions!$G:$G,ROW()-8))</f>
      </c>
      <c r="F3845">
        <f>IF(INDEX(Transactions!$J:$J,ROW()-8)="",0,INDEX(Transactions!$O:$O,ROW()-8))</f>
      </c>
    </row>
    <row r="3846" spans="1:7">
      <c r="B3846">
        <f>IF(INDEX(Transactions!$J:$J,ROW()-8)="",TODAY(),INDEX(Transactions!$G:$G,ROW()-8))</f>
      </c>
      <c r="F3846">
        <f>IF(INDEX(Transactions!$J:$J,ROW()-8)="",0,INDEX(Transactions!$O:$O,ROW()-8))</f>
      </c>
    </row>
    <row r="3847" spans="1:7">
      <c r="B3847">
        <f>IF(INDEX(Transactions!$J:$J,ROW()-8)="",TODAY(),INDEX(Transactions!$G:$G,ROW()-8))</f>
      </c>
      <c r="F3847">
        <f>IF(INDEX(Transactions!$J:$J,ROW()-8)="",0,INDEX(Transactions!$O:$O,ROW()-8))</f>
      </c>
    </row>
    <row r="3848" spans="1:7">
      <c r="B3848">
        <f>IF(INDEX(Transactions!$J:$J,ROW()-8)="",TODAY(),INDEX(Transactions!$G:$G,ROW()-8))</f>
      </c>
      <c r="F3848">
        <f>IF(INDEX(Transactions!$J:$J,ROW()-8)="",0,INDEX(Transactions!$O:$O,ROW()-8))</f>
      </c>
    </row>
    <row r="3849" spans="1:7">
      <c r="B3849">
        <f>IF(INDEX(Transactions!$J:$J,ROW()-8)="",TODAY(),INDEX(Transactions!$G:$G,ROW()-8))</f>
      </c>
      <c r="F3849">
        <f>IF(INDEX(Transactions!$J:$J,ROW()-8)="",0,INDEX(Transactions!$O:$O,ROW()-8))</f>
      </c>
    </row>
    <row r="3850" spans="1:7">
      <c r="B3850">
        <f>IF(INDEX(Transactions!$J:$J,ROW()-8)="",TODAY(),INDEX(Transactions!$G:$G,ROW()-8))</f>
      </c>
      <c r="F3850">
        <f>IF(INDEX(Transactions!$J:$J,ROW()-8)="",0,INDEX(Transactions!$O:$O,ROW()-8))</f>
      </c>
    </row>
    <row r="3851" spans="1:7">
      <c r="B3851">
        <f>IF(INDEX(Transactions!$J:$J,ROW()-8)="",TODAY(),INDEX(Transactions!$G:$G,ROW()-8))</f>
      </c>
      <c r="F3851">
        <f>IF(INDEX(Transactions!$J:$J,ROW()-8)="",0,INDEX(Transactions!$O:$O,ROW()-8))</f>
      </c>
    </row>
    <row r="3852" spans="1:7">
      <c r="B3852">
        <f>IF(INDEX(Transactions!$J:$J,ROW()-8)="",TODAY(),INDEX(Transactions!$G:$G,ROW()-8))</f>
      </c>
      <c r="F3852">
        <f>IF(INDEX(Transactions!$J:$J,ROW()-8)="",0,INDEX(Transactions!$O:$O,ROW()-8))</f>
      </c>
    </row>
    <row r="3853" spans="1:7">
      <c r="B3853">
        <f>IF(INDEX(Transactions!$J:$J,ROW()-8)="",TODAY(),INDEX(Transactions!$G:$G,ROW()-8))</f>
      </c>
      <c r="F3853">
        <f>IF(INDEX(Transactions!$J:$J,ROW()-8)="",0,INDEX(Transactions!$O:$O,ROW()-8))</f>
      </c>
    </row>
    <row r="3854" spans="1:7">
      <c r="B3854">
        <f>IF(INDEX(Transactions!$J:$J,ROW()-8)="",TODAY(),INDEX(Transactions!$G:$G,ROW()-8))</f>
      </c>
      <c r="F3854">
        <f>IF(INDEX(Transactions!$J:$J,ROW()-8)="",0,INDEX(Transactions!$O:$O,ROW()-8))</f>
      </c>
    </row>
    <row r="3855" spans="1:7">
      <c r="B3855">
        <f>IF(INDEX(Transactions!$J:$J,ROW()-8)="",TODAY(),INDEX(Transactions!$G:$G,ROW()-8))</f>
      </c>
      <c r="F3855">
        <f>IF(INDEX(Transactions!$J:$J,ROW()-8)="",0,INDEX(Transactions!$O:$O,ROW()-8))</f>
      </c>
    </row>
    <row r="3856" spans="1:7">
      <c r="B3856">
        <f>IF(INDEX(Transactions!$J:$J,ROW()-8)="",TODAY(),INDEX(Transactions!$G:$G,ROW()-8))</f>
      </c>
      <c r="F3856">
        <f>IF(INDEX(Transactions!$J:$J,ROW()-8)="",0,INDEX(Transactions!$O:$O,ROW()-8))</f>
      </c>
    </row>
    <row r="3857" spans="1:7">
      <c r="B3857">
        <f>IF(INDEX(Transactions!$J:$J,ROW()-8)="",TODAY(),INDEX(Transactions!$G:$G,ROW()-8))</f>
      </c>
      <c r="F3857">
        <f>IF(INDEX(Transactions!$J:$J,ROW()-8)="",0,INDEX(Transactions!$O:$O,ROW()-8))</f>
      </c>
    </row>
    <row r="3858" spans="1:7">
      <c r="B3858">
        <f>IF(INDEX(Transactions!$J:$J,ROW()-8)="",TODAY(),INDEX(Transactions!$G:$G,ROW()-8))</f>
      </c>
      <c r="F3858">
        <f>IF(INDEX(Transactions!$J:$J,ROW()-8)="",0,INDEX(Transactions!$O:$O,ROW()-8))</f>
      </c>
    </row>
    <row r="3859" spans="1:7">
      <c r="B3859">
        <f>IF(INDEX(Transactions!$J:$J,ROW()-8)="",TODAY(),INDEX(Transactions!$G:$G,ROW()-8))</f>
      </c>
      <c r="F3859">
        <f>IF(INDEX(Transactions!$J:$J,ROW()-8)="",0,INDEX(Transactions!$O:$O,ROW()-8))</f>
      </c>
    </row>
    <row r="3860" spans="1:7">
      <c r="B3860">
        <f>IF(INDEX(Transactions!$J:$J,ROW()-8)="",TODAY(),INDEX(Transactions!$G:$G,ROW()-8))</f>
      </c>
      <c r="F3860">
        <f>IF(INDEX(Transactions!$J:$J,ROW()-8)="",0,INDEX(Transactions!$O:$O,ROW()-8))</f>
      </c>
    </row>
    <row r="3861" spans="1:7">
      <c r="B3861">
        <f>IF(INDEX(Transactions!$J:$J,ROW()-8)="",TODAY(),INDEX(Transactions!$G:$G,ROW()-8))</f>
      </c>
      <c r="F3861">
        <f>IF(INDEX(Transactions!$J:$J,ROW()-8)="",0,INDEX(Transactions!$O:$O,ROW()-8))</f>
      </c>
    </row>
    <row r="3862" spans="1:7">
      <c r="B3862">
        <f>IF(INDEX(Transactions!$J:$J,ROW()-8)="",TODAY(),INDEX(Transactions!$G:$G,ROW()-8))</f>
      </c>
      <c r="F3862">
        <f>IF(INDEX(Transactions!$J:$J,ROW()-8)="",0,INDEX(Transactions!$O:$O,ROW()-8))</f>
      </c>
    </row>
    <row r="3863" spans="1:7">
      <c r="B3863">
        <f>IF(INDEX(Transactions!$J:$J,ROW()-8)="",TODAY(),INDEX(Transactions!$G:$G,ROW()-8))</f>
      </c>
      <c r="F3863">
        <f>IF(INDEX(Transactions!$J:$J,ROW()-8)="",0,INDEX(Transactions!$O:$O,ROW()-8))</f>
      </c>
    </row>
    <row r="3864" spans="1:7">
      <c r="B3864">
        <f>IF(INDEX(Transactions!$J:$J,ROW()-8)="",TODAY(),INDEX(Transactions!$G:$G,ROW()-8))</f>
      </c>
      <c r="F3864">
        <f>IF(INDEX(Transactions!$J:$J,ROW()-8)="",0,INDEX(Transactions!$O:$O,ROW()-8))</f>
      </c>
    </row>
    <row r="3865" spans="1:7">
      <c r="B3865">
        <f>IF(INDEX(Transactions!$J:$J,ROW()-8)="",TODAY(),INDEX(Transactions!$G:$G,ROW()-8))</f>
      </c>
      <c r="F3865">
        <f>IF(INDEX(Transactions!$J:$J,ROW()-8)="",0,INDEX(Transactions!$O:$O,ROW()-8))</f>
      </c>
    </row>
    <row r="3866" spans="1:7">
      <c r="B3866">
        <f>IF(INDEX(Transactions!$J:$J,ROW()-8)="",TODAY(),INDEX(Transactions!$G:$G,ROW()-8))</f>
      </c>
      <c r="F3866">
        <f>IF(INDEX(Transactions!$J:$J,ROW()-8)="",0,INDEX(Transactions!$O:$O,ROW()-8))</f>
      </c>
    </row>
    <row r="3867" spans="1:7">
      <c r="B3867">
        <f>IF(INDEX(Transactions!$J:$J,ROW()-8)="",TODAY(),INDEX(Transactions!$G:$G,ROW()-8))</f>
      </c>
      <c r="F3867">
        <f>IF(INDEX(Transactions!$J:$J,ROW()-8)="",0,INDEX(Transactions!$O:$O,ROW()-8))</f>
      </c>
    </row>
    <row r="3868" spans="1:7">
      <c r="B3868">
        <f>IF(INDEX(Transactions!$J:$J,ROW()-8)="",TODAY(),INDEX(Transactions!$G:$G,ROW()-8))</f>
      </c>
      <c r="F3868">
        <f>IF(INDEX(Transactions!$J:$J,ROW()-8)="",0,INDEX(Transactions!$O:$O,ROW()-8))</f>
      </c>
    </row>
    <row r="3869" spans="1:7">
      <c r="B3869">
        <f>IF(INDEX(Transactions!$J:$J,ROW()-8)="",TODAY(),INDEX(Transactions!$G:$G,ROW()-8))</f>
      </c>
      <c r="F3869">
        <f>IF(INDEX(Transactions!$J:$J,ROW()-8)="",0,INDEX(Transactions!$O:$O,ROW()-8))</f>
      </c>
    </row>
    <row r="3870" spans="1:7">
      <c r="B3870">
        <f>IF(INDEX(Transactions!$J:$J,ROW()-8)="",TODAY(),INDEX(Transactions!$G:$G,ROW()-8))</f>
      </c>
      <c r="F3870">
        <f>IF(INDEX(Transactions!$J:$J,ROW()-8)="",0,INDEX(Transactions!$O:$O,ROW()-8))</f>
      </c>
    </row>
    <row r="3871" spans="1:7">
      <c r="B3871">
        <f>IF(INDEX(Transactions!$J:$J,ROW()-8)="",TODAY(),INDEX(Transactions!$G:$G,ROW()-8))</f>
      </c>
      <c r="F3871">
        <f>IF(INDEX(Transactions!$J:$J,ROW()-8)="",0,INDEX(Transactions!$O:$O,ROW()-8))</f>
      </c>
    </row>
    <row r="3872" spans="1:7">
      <c r="B3872">
        <f>IF(INDEX(Transactions!$J:$J,ROW()-8)="",TODAY(),INDEX(Transactions!$G:$G,ROW()-8))</f>
      </c>
      <c r="F3872">
        <f>IF(INDEX(Transactions!$J:$J,ROW()-8)="",0,INDEX(Transactions!$O:$O,ROW()-8))</f>
      </c>
    </row>
    <row r="3873" spans="1:7">
      <c r="B3873">
        <f>IF(INDEX(Transactions!$J:$J,ROW()-8)="",TODAY(),INDEX(Transactions!$G:$G,ROW()-8))</f>
      </c>
      <c r="F3873">
        <f>IF(INDEX(Transactions!$J:$J,ROW()-8)="",0,INDEX(Transactions!$O:$O,ROW()-8))</f>
      </c>
    </row>
    <row r="3874" spans="1:7">
      <c r="B3874">
        <f>IF(INDEX(Transactions!$J:$J,ROW()-8)="",TODAY(),INDEX(Transactions!$G:$G,ROW()-8))</f>
      </c>
      <c r="F3874">
        <f>IF(INDEX(Transactions!$J:$J,ROW()-8)="",0,INDEX(Transactions!$O:$O,ROW()-8))</f>
      </c>
    </row>
    <row r="3875" spans="1:7">
      <c r="B3875">
        <f>IF(INDEX(Transactions!$J:$J,ROW()-8)="",TODAY(),INDEX(Transactions!$G:$G,ROW()-8))</f>
      </c>
      <c r="F3875">
        <f>IF(INDEX(Transactions!$J:$J,ROW()-8)="",0,INDEX(Transactions!$O:$O,ROW()-8))</f>
      </c>
    </row>
    <row r="3876" spans="1:7">
      <c r="B3876">
        <f>IF(INDEX(Transactions!$J:$J,ROW()-8)="",TODAY(),INDEX(Transactions!$G:$G,ROW()-8))</f>
      </c>
      <c r="F3876">
        <f>IF(INDEX(Transactions!$J:$J,ROW()-8)="",0,INDEX(Transactions!$O:$O,ROW()-8))</f>
      </c>
    </row>
    <row r="3877" spans="1:7">
      <c r="B3877">
        <f>IF(INDEX(Transactions!$J:$J,ROW()-8)="",TODAY(),INDEX(Transactions!$G:$G,ROW()-8))</f>
      </c>
      <c r="F3877">
        <f>IF(INDEX(Transactions!$J:$J,ROW()-8)="",0,INDEX(Transactions!$O:$O,ROW()-8))</f>
      </c>
    </row>
    <row r="3878" spans="1:7">
      <c r="B3878">
        <f>IF(INDEX(Transactions!$J:$J,ROW()-8)="",TODAY(),INDEX(Transactions!$G:$G,ROW()-8))</f>
      </c>
      <c r="F3878">
        <f>IF(INDEX(Transactions!$J:$J,ROW()-8)="",0,INDEX(Transactions!$O:$O,ROW()-8))</f>
      </c>
    </row>
    <row r="3879" spans="1:7">
      <c r="B3879">
        <f>IF(INDEX(Transactions!$J:$J,ROW()-8)="",TODAY(),INDEX(Transactions!$G:$G,ROW()-8))</f>
      </c>
      <c r="F3879">
        <f>IF(INDEX(Transactions!$J:$J,ROW()-8)="",0,INDEX(Transactions!$O:$O,ROW()-8))</f>
      </c>
    </row>
    <row r="3880" spans="1:7">
      <c r="B3880">
        <f>IF(INDEX(Transactions!$J:$J,ROW()-8)="",TODAY(),INDEX(Transactions!$G:$G,ROW()-8))</f>
      </c>
      <c r="F3880">
        <f>IF(INDEX(Transactions!$J:$J,ROW()-8)="",0,INDEX(Transactions!$O:$O,ROW()-8))</f>
      </c>
    </row>
    <row r="3881" spans="1:7">
      <c r="B3881">
        <f>IF(INDEX(Transactions!$J:$J,ROW()-8)="",TODAY(),INDEX(Transactions!$G:$G,ROW()-8))</f>
      </c>
      <c r="F3881">
        <f>IF(INDEX(Transactions!$J:$J,ROW()-8)="",0,INDEX(Transactions!$O:$O,ROW()-8))</f>
      </c>
    </row>
    <row r="3882" spans="1:7">
      <c r="B3882">
        <f>IF(INDEX(Transactions!$J:$J,ROW()-8)="",TODAY(),INDEX(Transactions!$G:$G,ROW()-8))</f>
      </c>
      <c r="F3882">
        <f>IF(INDEX(Transactions!$J:$J,ROW()-8)="",0,INDEX(Transactions!$O:$O,ROW()-8))</f>
      </c>
    </row>
    <row r="3883" spans="1:7">
      <c r="B3883">
        <f>IF(INDEX(Transactions!$J:$J,ROW()-8)="",TODAY(),INDEX(Transactions!$G:$G,ROW()-8))</f>
      </c>
      <c r="F3883">
        <f>IF(INDEX(Transactions!$J:$J,ROW()-8)="",0,INDEX(Transactions!$O:$O,ROW()-8))</f>
      </c>
    </row>
    <row r="3884" spans="1:7">
      <c r="B3884">
        <f>IF(INDEX(Transactions!$J:$J,ROW()-8)="",TODAY(),INDEX(Transactions!$G:$G,ROW()-8))</f>
      </c>
      <c r="F3884">
        <f>IF(INDEX(Transactions!$J:$J,ROW()-8)="",0,INDEX(Transactions!$O:$O,ROW()-8))</f>
      </c>
    </row>
    <row r="3885" spans="1:7">
      <c r="B3885">
        <f>IF(INDEX(Transactions!$J:$J,ROW()-8)="",TODAY(),INDEX(Transactions!$G:$G,ROW()-8))</f>
      </c>
      <c r="F3885">
        <f>IF(INDEX(Transactions!$J:$J,ROW()-8)="",0,INDEX(Transactions!$O:$O,ROW()-8))</f>
      </c>
    </row>
    <row r="3886" spans="1:7">
      <c r="B3886">
        <f>IF(INDEX(Transactions!$J:$J,ROW()-8)="",TODAY(),INDEX(Transactions!$G:$G,ROW()-8))</f>
      </c>
      <c r="F3886">
        <f>IF(INDEX(Transactions!$J:$J,ROW()-8)="",0,INDEX(Transactions!$O:$O,ROW()-8))</f>
      </c>
    </row>
    <row r="3887" spans="1:7">
      <c r="B3887">
        <f>IF(INDEX(Transactions!$J:$J,ROW()-8)="",TODAY(),INDEX(Transactions!$G:$G,ROW()-8))</f>
      </c>
      <c r="F3887">
        <f>IF(INDEX(Transactions!$J:$J,ROW()-8)="",0,INDEX(Transactions!$O:$O,ROW()-8))</f>
      </c>
    </row>
    <row r="3888" spans="1:7">
      <c r="B3888">
        <f>IF(INDEX(Transactions!$J:$J,ROW()-8)="",TODAY(),INDEX(Transactions!$G:$G,ROW()-8))</f>
      </c>
      <c r="F3888">
        <f>IF(INDEX(Transactions!$J:$J,ROW()-8)="",0,INDEX(Transactions!$O:$O,ROW()-8))</f>
      </c>
    </row>
    <row r="3889" spans="1:7">
      <c r="B3889">
        <f>IF(INDEX(Transactions!$J:$J,ROW()-8)="",TODAY(),INDEX(Transactions!$G:$G,ROW()-8))</f>
      </c>
      <c r="F3889">
        <f>IF(INDEX(Transactions!$J:$J,ROW()-8)="",0,INDEX(Transactions!$O:$O,ROW()-8))</f>
      </c>
    </row>
    <row r="3890" spans="1:7">
      <c r="B3890">
        <f>IF(INDEX(Transactions!$J:$J,ROW()-8)="",TODAY(),INDEX(Transactions!$G:$G,ROW()-8))</f>
      </c>
      <c r="F3890">
        <f>IF(INDEX(Transactions!$J:$J,ROW()-8)="",0,INDEX(Transactions!$O:$O,ROW()-8))</f>
      </c>
    </row>
    <row r="3891" spans="1:7">
      <c r="B3891">
        <f>IF(INDEX(Transactions!$J:$J,ROW()-8)="",TODAY(),INDEX(Transactions!$G:$G,ROW()-8))</f>
      </c>
      <c r="F3891">
        <f>IF(INDEX(Transactions!$J:$J,ROW()-8)="",0,INDEX(Transactions!$O:$O,ROW()-8))</f>
      </c>
    </row>
    <row r="3892" spans="1:7">
      <c r="B3892">
        <f>IF(INDEX(Transactions!$J:$J,ROW()-8)="",TODAY(),INDEX(Transactions!$G:$G,ROW()-8))</f>
      </c>
      <c r="F3892">
        <f>IF(INDEX(Transactions!$J:$J,ROW()-8)="",0,INDEX(Transactions!$O:$O,ROW()-8))</f>
      </c>
    </row>
    <row r="3893" spans="1:7">
      <c r="B3893">
        <f>IF(INDEX(Transactions!$J:$J,ROW()-8)="",TODAY(),INDEX(Transactions!$G:$G,ROW()-8))</f>
      </c>
      <c r="F3893">
        <f>IF(INDEX(Transactions!$J:$J,ROW()-8)="",0,INDEX(Transactions!$O:$O,ROW()-8))</f>
      </c>
    </row>
    <row r="3894" spans="1:7">
      <c r="B3894">
        <f>IF(INDEX(Transactions!$J:$J,ROW()-8)="",TODAY(),INDEX(Transactions!$G:$G,ROW()-8))</f>
      </c>
      <c r="F3894">
        <f>IF(INDEX(Transactions!$J:$J,ROW()-8)="",0,INDEX(Transactions!$O:$O,ROW()-8))</f>
      </c>
    </row>
    <row r="3895" spans="1:7">
      <c r="B3895">
        <f>IF(INDEX(Transactions!$J:$J,ROW()-8)="",TODAY(),INDEX(Transactions!$G:$G,ROW()-8))</f>
      </c>
      <c r="F3895">
        <f>IF(INDEX(Transactions!$J:$J,ROW()-8)="",0,INDEX(Transactions!$O:$O,ROW()-8))</f>
      </c>
    </row>
    <row r="3896" spans="1:7">
      <c r="B3896">
        <f>IF(INDEX(Transactions!$J:$J,ROW()-8)="",TODAY(),INDEX(Transactions!$G:$G,ROW()-8))</f>
      </c>
      <c r="F3896">
        <f>IF(INDEX(Transactions!$J:$J,ROW()-8)="",0,INDEX(Transactions!$O:$O,ROW()-8))</f>
      </c>
    </row>
    <row r="3897" spans="1:7">
      <c r="B3897">
        <f>IF(INDEX(Transactions!$J:$J,ROW()-8)="",TODAY(),INDEX(Transactions!$G:$G,ROW()-8))</f>
      </c>
      <c r="F3897">
        <f>IF(INDEX(Transactions!$J:$J,ROW()-8)="",0,INDEX(Transactions!$O:$O,ROW()-8))</f>
      </c>
    </row>
    <row r="3898" spans="1:7">
      <c r="B3898">
        <f>IF(INDEX(Transactions!$J:$J,ROW()-8)="",TODAY(),INDEX(Transactions!$G:$G,ROW()-8))</f>
      </c>
      <c r="F3898">
        <f>IF(INDEX(Transactions!$J:$J,ROW()-8)="",0,INDEX(Transactions!$O:$O,ROW()-8))</f>
      </c>
    </row>
    <row r="3899" spans="1:7">
      <c r="B3899">
        <f>IF(INDEX(Transactions!$J:$J,ROW()-8)="",TODAY(),INDEX(Transactions!$G:$G,ROW()-8))</f>
      </c>
      <c r="F3899">
        <f>IF(INDEX(Transactions!$J:$J,ROW()-8)="",0,INDEX(Transactions!$O:$O,ROW()-8))</f>
      </c>
    </row>
    <row r="3900" spans="1:7">
      <c r="B3900">
        <f>IF(INDEX(Transactions!$J:$J,ROW()-8)="",TODAY(),INDEX(Transactions!$G:$G,ROW()-8))</f>
      </c>
      <c r="F3900">
        <f>IF(INDEX(Transactions!$J:$J,ROW()-8)="",0,INDEX(Transactions!$O:$O,ROW()-8))</f>
      </c>
    </row>
    <row r="3901" spans="1:7">
      <c r="B3901">
        <f>IF(INDEX(Transactions!$J:$J,ROW()-8)="",TODAY(),INDEX(Transactions!$G:$G,ROW()-8))</f>
      </c>
      <c r="F3901">
        <f>IF(INDEX(Transactions!$J:$J,ROW()-8)="",0,INDEX(Transactions!$O:$O,ROW()-8))</f>
      </c>
    </row>
    <row r="3902" spans="1:7">
      <c r="B3902">
        <f>IF(INDEX(Transactions!$J:$J,ROW()-8)="",TODAY(),INDEX(Transactions!$G:$G,ROW()-8))</f>
      </c>
      <c r="F3902">
        <f>IF(INDEX(Transactions!$J:$J,ROW()-8)="",0,INDEX(Transactions!$O:$O,ROW()-8))</f>
      </c>
    </row>
    <row r="3903" spans="1:7">
      <c r="B3903">
        <f>IF(INDEX(Transactions!$J:$J,ROW()-8)="",TODAY(),INDEX(Transactions!$G:$G,ROW()-8))</f>
      </c>
      <c r="F3903">
        <f>IF(INDEX(Transactions!$J:$J,ROW()-8)="",0,INDEX(Transactions!$O:$O,ROW()-8))</f>
      </c>
    </row>
    <row r="3904" spans="1:7">
      <c r="B3904">
        <f>IF(INDEX(Transactions!$J:$J,ROW()-8)="",TODAY(),INDEX(Transactions!$G:$G,ROW()-8))</f>
      </c>
      <c r="F3904">
        <f>IF(INDEX(Transactions!$J:$J,ROW()-8)="",0,INDEX(Transactions!$O:$O,ROW()-8))</f>
      </c>
    </row>
    <row r="3905" spans="1:7">
      <c r="B3905">
        <f>IF(INDEX(Transactions!$J:$J,ROW()-8)="",TODAY(),INDEX(Transactions!$G:$G,ROW()-8))</f>
      </c>
      <c r="F3905">
        <f>IF(INDEX(Transactions!$J:$J,ROW()-8)="",0,INDEX(Transactions!$O:$O,ROW()-8))</f>
      </c>
    </row>
    <row r="3906" spans="1:7">
      <c r="B3906">
        <f>IF(INDEX(Transactions!$J:$J,ROW()-8)="",TODAY(),INDEX(Transactions!$G:$G,ROW()-8))</f>
      </c>
      <c r="F3906">
        <f>IF(INDEX(Transactions!$J:$J,ROW()-8)="",0,INDEX(Transactions!$O:$O,ROW()-8))</f>
      </c>
    </row>
    <row r="3907" spans="1:7">
      <c r="B3907">
        <f>IF(INDEX(Transactions!$J:$J,ROW()-8)="",TODAY(),INDEX(Transactions!$G:$G,ROW()-8))</f>
      </c>
      <c r="F3907">
        <f>IF(INDEX(Transactions!$J:$J,ROW()-8)="",0,INDEX(Transactions!$O:$O,ROW()-8))</f>
      </c>
    </row>
    <row r="3908" spans="1:7">
      <c r="B3908">
        <f>IF(INDEX(Transactions!$J:$J,ROW()-8)="",TODAY(),INDEX(Transactions!$G:$G,ROW()-8))</f>
      </c>
      <c r="F3908">
        <f>IF(INDEX(Transactions!$J:$J,ROW()-8)="",0,INDEX(Transactions!$O:$O,ROW()-8))</f>
      </c>
    </row>
    <row r="3909" spans="1:7">
      <c r="B3909">
        <f>IF(INDEX(Transactions!$J:$J,ROW()-8)="",TODAY(),INDEX(Transactions!$G:$G,ROW()-8))</f>
      </c>
      <c r="F3909">
        <f>IF(INDEX(Transactions!$J:$J,ROW()-8)="",0,INDEX(Transactions!$O:$O,ROW()-8))</f>
      </c>
    </row>
    <row r="3910" spans="1:7">
      <c r="B3910">
        <f>IF(INDEX(Transactions!$J:$J,ROW()-8)="",TODAY(),INDEX(Transactions!$G:$G,ROW()-8))</f>
      </c>
      <c r="F3910">
        <f>IF(INDEX(Transactions!$J:$J,ROW()-8)="",0,INDEX(Transactions!$O:$O,ROW()-8))</f>
      </c>
    </row>
    <row r="3911" spans="1:7">
      <c r="B3911">
        <f>IF(INDEX(Transactions!$J:$J,ROW()-8)="",TODAY(),INDEX(Transactions!$G:$G,ROW()-8))</f>
      </c>
      <c r="F3911">
        <f>IF(INDEX(Transactions!$J:$J,ROW()-8)="",0,INDEX(Transactions!$O:$O,ROW()-8))</f>
      </c>
    </row>
    <row r="3912" spans="1:7">
      <c r="B3912">
        <f>IF(INDEX(Transactions!$J:$J,ROW()-8)="",TODAY(),INDEX(Transactions!$G:$G,ROW()-8))</f>
      </c>
      <c r="F3912">
        <f>IF(INDEX(Transactions!$J:$J,ROW()-8)="",0,INDEX(Transactions!$O:$O,ROW()-8))</f>
      </c>
    </row>
    <row r="3913" spans="1:7">
      <c r="B3913">
        <f>IF(INDEX(Transactions!$J:$J,ROW()-8)="",TODAY(),INDEX(Transactions!$G:$G,ROW()-8))</f>
      </c>
      <c r="F3913">
        <f>IF(INDEX(Transactions!$J:$J,ROW()-8)="",0,INDEX(Transactions!$O:$O,ROW()-8))</f>
      </c>
    </row>
    <row r="3914" spans="1:7">
      <c r="B3914">
        <f>IF(INDEX(Transactions!$J:$J,ROW()-8)="",TODAY(),INDEX(Transactions!$G:$G,ROW()-8))</f>
      </c>
      <c r="F3914">
        <f>IF(INDEX(Transactions!$J:$J,ROW()-8)="",0,INDEX(Transactions!$O:$O,ROW()-8))</f>
      </c>
    </row>
    <row r="3915" spans="1:7">
      <c r="B3915">
        <f>IF(INDEX(Transactions!$J:$J,ROW()-8)="",TODAY(),INDEX(Transactions!$G:$G,ROW()-8))</f>
      </c>
      <c r="F3915">
        <f>IF(INDEX(Transactions!$J:$J,ROW()-8)="",0,INDEX(Transactions!$O:$O,ROW()-8))</f>
      </c>
    </row>
    <row r="3916" spans="1:7">
      <c r="B3916">
        <f>IF(INDEX(Transactions!$J:$J,ROW()-8)="",TODAY(),INDEX(Transactions!$G:$G,ROW()-8))</f>
      </c>
      <c r="F3916">
        <f>IF(INDEX(Transactions!$J:$J,ROW()-8)="",0,INDEX(Transactions!$O:$O,ROW()-8))</f>
      </c>
    </row>
    <row r="3917" spans="1:7">
      <c r="B3917">
        <f>IF(INDEX(Transactions!$J:$J,ROW()-8)="",TODAY(),INDEX(Transactions!$G:$G,ROW()-8))</f>
      </c>
      <c r="F3917">
        <f>IF(INDEX(Transactions!$J:$J,ROW()-8)="",0,INDEX(Transactions!$O:$O,ROW()-8))</f>
      </c>
    </row>
    <row r="3918" spans="1:7">
      <c r="B3918">
        <f>IF(INDEX(Transactions!$J:$J,ROW()-8)="",TODAY(),INDEX(Transactions!$G:$G,ROW()-8))</f>
      </c>
      <c r="F3918">
        <f>IF(INDEX(Transactions!$J:$J,ROW()-8)="",0,INDEX(Transactions!$O:$O,ROW()-8))</f>
      </c>
    </row>
    <row r="3919" spans="1:7">
      <c r="B3919">
        <f>IF(INDEX(Transactions!$J:$J,ROW()-8)="",TODAY(),INDEX(Transactions!$G:$G,ROW()-8))</f>
      </c>
      <c r="F3919">
        <f>IF(INDEX(Transactions!$J:$J,ROW()-8)="",0,INDEX(Transactions!$O:$O,ROW()-8))</f>
      </c>
    </row>
    <row r="3920" spans="1:7">
      <c r="B3920">
        <f>IF(INDEX(Transactions!$J:$J,ROW()-8)="",TODAY(),INDEX(Transactions!$G:$G,ROW()-8))</f>
      </c>
      <c r="F3920">
        <f>IF(INDEX(Transactions!$J:$J,ROW()-8)="",0,INDEX(Transactions!$O:$O,ROW()-8))</f>
      </c>
    </row>
    <row r="3921" spans="1:7">
      <c r="B3921">
        <f>IF(INDEX(Transactions!$J:$J,ROW()-8)="",TODAY(),INDEX(Transactions!$G:$G,ROW()-8))</f>
      </c>
      <c r="F3921">
        <f>IF(INDEX(Transactions!$J:$J,ROW()-8)="",0,INDEX(Transactions!$O:$O,ROW()-8))</f>
      </c>
    </row>
    <row r="3922" spans="1:7">
      <c r="B3922">
        <f>IF(INDEX(Transactions!$J:$J,ROW()-8)="",TODAY(),INDEX(Transactions!$G:$G,ROW()-8))</f>
      </c>
      <c r="F3922">
        <f>IF(INDEX(Transactions!$J:$J,ROW()-8)="",0,INDEX(Transactions!$O:$O,ROW()-8))</f>
      </c>
    </row>
    <row r="3923" spans="1:7">
      <c r="B3923">
        <f>IF(INDEX(Transactions!$J:$J,ROW()-8)="",TODAY(),INDEX(Transactions!$G:$G,ROW()-8))</f>
      </c>
      <c r="F3923">
        <f>IF(INDEX(Transactions!$J:$J,ROW()-8)="",0,INDEX(Transactions!$O:$O,ROW()-8))</f>
      </c>
    </row>
    <row r="3924" spans="1:7">
      <c r="B3924">
        <f>IF(INDEX(Transactions!$J:$J,ROW()-8)="",TODAY(),INDEX(Transactions!$G:$G,ROW()-8))</f>
      </c>
      <c r="F3924">
        <f>IF(INDEX(Transactions!$J:$J,ROW()-8)="",0,INDEX(Transactions!$O:$O,ROW()-8))</f>
      </c>
    </row>
    <row r="3925" spans="1:7">
      <c r="B3925">
        <f>IF(INDEX(Transactions!$J:$J,ROW()-8)="",TODAY(),INDEX(Transactions!$G:$G,ROW()-8))</f>
      </c>
      <c r="F3925">
        <f>IF(INDEX(Transactions!$J:$J,ROW()-8)="",0,INDEX(Transactions!$O:$O,ROW()-8))</f>
      </c>
    </row>
    <row r="3926" spans="1:7">
      <c r="B3926">
        <f>IF(INDEX(Transactions!$J:$J,ROW()-8)="",TODAY(),INDEX(Transactions!$G:$G,ROW()-8))</f>
      </c>
      <c r="F3926">
        <f>IF(INDEX(Transactions!$J:$J,ROW()-8)="",0,INDEX(Transactions!$O:$O,ROW()-8))</f>
      </c>
    </row>
    <row r="3927" spans="1:7">
      <c r="B3927">
        <f>IF(INDEX(Transactions!$J:$J,ROW()-8)="",TODAY(),INDEX(Transactions!$G:$G,ROW()-8))</f>
      </c>
      <c r="F3927">
        <f>IF(INDEX(Transactions!$J:$J,ROW()-8)="",0,INDEX(Transactions!$O:$O,ROW()-8))</f>
      </c>
    </row>
    <row r="3928" spans="1:7">
      <c r="B3928">
        <f>IF(INDEX(Transactions!$J:$J,ROW()-8)="",TODAY(),INDEX(Transactions!$G:$G,ROW()-8))</f>
      </c>
      <c r="F3928">
        <f>IF(INDEX(Transactions!$J:$J,ROW()-8)="",0,INDEX(Transactions!$O:$O,ROW()-8))</f>
      </c>
    </row>
    <row r="3929" spans="1:7">
      <c r="B3929">
        <f>IF(INDEX(Transactions!$J:$J,ROW()-8)="",TODAY(),INDEX(Transactions!$G:$G,ROW()-8))</f>
      </c>
      <c r="F3929">
        <f>IF(INDEX(Transactions!$J:$J,ROW()-8)="",0,INDEX(Transactions!$O:$O,ROW()-8))</f>
      </c>
    </row>
    <row r="3930" spans="1:7">
      <c r="B3930">
        <f>IF(INDEX(Transactions!$J:$J,ROW()-8)="",TODAY(),INDEX(Transactions!$G:$G,ROW()-8))</f>
      </c>
      <c r="F3930">
        <f>IF(INDEX(Transactions!$J:$J,ROW()-8)="",0,INDEX(Transactions!$O:$O,ROW()-8))</f>
      </c>
    </row>
    <row r="3931" spans="1:7">
      <c r="B3931">
        <f>IF(INDEX(Transactions!$J:$J,ROW()-8)="",TODAY(),INDEX(Transactions!$G:$G,ROW()-8))</f>
      </c>
      <c r="F3931">
        <f>IF(INDEX(Transactions!$J:$J,ROW()-8)="",0,INDEX(Transactions!$O:$O,ROW()-8))</f>
      </c>
    </row>
    <row r="3932" spans="1:7">
      <c r="B3932">
        <f>IF(INDEX(Transactions!$J:$J,ROW()-8)="",TODAY(),INDEX(Transactions!$G:$G,ROW()-8))</f>
      </c>
      <c r="F3932">
        <f>IF(INDEX(Transactions!$J:$J,ROW()-8)="",0,INDEX(Transactions!$O:$O,ROW()-8))</f>
      </c>
    </row>
    <row r="3933" spans="1:7">
      <c r="B3933">
        <f>IF(INDEX(Transactions!$J:$J,ROW()-8)="",TODAY(),INDEX(Transactions!$G:$G,ROW()-8))</f>
      </c>
      <c r="F3933">
        <f>IF(INDEX(Transactions!$J:$J,ROW()-8)="",0,INDEX(Transactions!$O:$O,ROW()-8))</f>
      </c>
    </row>
    <row r="3934" spans="1:7">
      <c r="B3934">
        <f>IF(INDEX(Transactions!$J:$J,ROW()-8)="",TODAY(),INDEX(Transactions!$G:$G,ROW()-8))</f>
      </c>
      <c r="F3934">
        <f>IF(INDEX(Transactions!$J:$J,ROW()-8)="",0,INDEX(Transactions!$O:$O,ROW()-8))</f>
      </c>
    </row>
    <row r="3935" spans="1:7">
      <c r="B3935">
        <f>IF(INDEX(Transactions!$J:$J,ROW()-8)="",TODAY(),INDEX(Transactions!$G:$G,ROW()-8))</f>
      </c>
      <c r="F3935">
        <f>IF(INDEX(Transactions!$J:$J,ROW()-8)="",0,INDEX(Transactions!$O:$O,ROW()-8))</f>
      </c>
    </row>
    <row r="3936" spans="1:7">
      <c r="B3936">
        <f>IF(INDEX(Transactions!$J:$J,ROW()-8)="",TODAY(),INDEX(Transactions!$G:$G,ROW()-8))</f>
      </c>
      <c r="F3936">
        <f>IF(INDEX(Transactions!$J:$J,ROW()-8)="",0,INDEX(Transactions!$O:$O,ROW()-8))</f>
      </c>
    </row>
    <row r="3937" spans="1:7">
      <c r="B3937">
        <f>IF(INDEX(Transactions!$J:$J,ROW()-8)="",TODAY(),INDEX(Transactions!$G:$G,ROW()-8))</f>
      </c>
      <c r="F3937">
        <f>IF(INDEX(Transactions!$J:$J,ROW()-8)="",0,INDEX(Transactions!$O:$O,ROW()-8))</f>
      </c>
    </row>
    <row r="3938" spans="1:7">
      <c r="B3938">
        <f>IF(INDEX(Transactions!$J:$J,ROW()-8)="",TODAY(),INDEX(Transactions!$G:$G,ROW()-8))</f>
      </c>
      <c r="F3938">
        <f>IF(INDEX(Transactions!$J:$J,ROW()-8)="",0,INDEX(Transactions!$O:$O,ROW()-8))</f>
      </c>
    </row>
    <row r="3939" spans="1:7">
      <c r="B3939">
        <f>IF(INDEX(Transactions!$J:$J,ROW()-8)="",TODAY(),INDEX(Transactions!$G:$G,ROW()-8))</f>
      </c>
      <c r="F3939">
        <f>IF(INDEX(Transactions!$J:$J,ROW()-8)="",0,INDEX(Transactions!$O:$O,ROW()-8))</f>
      </c>
    </row>
    <row r="3940" spans="1:7">
      <c r="B3940">
        <f>IF(INDEX(Transactions!$J:$J,ROW()-8)="",TODAY(),INDEX(Transactions!$G:$G,ROW()-8))</f>
      </c>
      <c r="F3940">
        <f>IF(INDEX(Transactions!$J:$J,ROW()-8)="",0,INDEX(Transactions!$O:$O,ROW()-8))</f>
      </c>
    </row>
    <row r="3941" spans="1:7">
      <c r="B3941">
        <f>IF(INDEX(Transactions!$J:$J,ROW()-8)="",TODAY(),INDEX(Transactions!$G:$G,ROW()-8))</f>
      </c>
      <c r="F3941">
        <f>IF(INDEX(Transactions!$J:$J,ROW()-8)="",0,INDEX(Transactions!$O:$O,ROW()-8))</f>
      </c>
    </row>
    <row r="3942" spans="1:7">
      <c r="B3942">
        <f>IF(INDEX(Transactions!$J:$J,ROW()-8)="",TODAY(),INDEX(Transactions!$G:$G,ROW()-8))</f>
      </c>
      <c r="F3942">
        <f>IF(INDEX(Transactions!$J:$J,ROW()-8)="",0,INDEX(Transactions!$O:$O,ROW()-8))</f>
      </c>
    </row>
    <row r="3943" spans="1:7">
      <c r="B3943">
        <f>IF(INDEX(Transactions!$J:$J,ROW()-8)="",TODAY(),INDEX(Transactions!$G:$G,ROW()-8))</f>
      </c>
      <c r="F3943">
        <f>IF(INDEX(Transactions!$J:$J,ROW()-8)="",0,INDEX(Transactions!$O:$O,ROW()-8))</f>
      </c>
    </row>
    <row r="3944" spans="1:7">
      <c r="B3944">
        <f>IF(INDEX(Transactions!$J:$J,ROW()-8)="",TODAY(),INDEX(Transactions!$G:$G,ROW()-8))</f>
      </c>
      <c r="F3944">
        <f>IF(INDEX(Transactions!$J:$J,ROW()-8)="",0,INDEX(Transactions!$O:$O,ROW()-8))</f>
      </c>
    </row>
    <row r="3945" spans="1:7">
      <c r="B3945">
        <f>IF(INDEX(Transactions!$J:$J,ROW()-8)="",TODAY(),INDEX(Transactions!$G:$G,ROW()-8))</f>
      </c>
      <c r="F3945">
        <f>IF(INDEX(Transactions!$J:$J,ROW()-8)="",0,INDEX(Transactions!$O:$O,ROW()-8))</f>
      </c>
    </row>
    <row r="3946" spans="1:7">
      <c r="B3946">
        <f>IF(INDEX(Transactions!$J:$J,ROW()-8)="",TODAY(),INDEX(Transactions!$G:$G,ROW()-8))</f>
      </c>
      <c r="F3946">
        <f>IF(INDEX(Transactions!$J:$J,ROW()-8)="",0,INDEX(Transactions!$O:$O,ROW()-8))</f>
      </c>
    </row>
    <row r="3947" spans="1:7">
      <c r="B3947">
        <f>IF(INDEX(Transactions!$J:$J,ROW()-8)="",TODAY(),INDEX(Transactions!$G:$G,ROW()-8))</f>
      </c>
      <c r="F3947">
        <f>IF(INDEX(Transactions!$J:$J,ROW()-8)="",0,INDEX(Transactions!$O:$O,ROW()-8))</f>
      </c>
    </row>
    <row r="3948" spans="1:7">
      <c r="B3948">
        <f>IF(INDEX(Transactions!$J:$J,ROW()-8)="",TODAY(),INDEX(Transactions!$G:$G,ROW()-8))</f>
      </c>
      <c r="F3948">
        <f>IF(INDEX(Transactions!$J:$J,ROW()-8)="",0,INDEX(Transactions!$O:$O,ROW()-8))</f>
      </c>
    </row>
    <row r="3949" spans="1:7">
      <c r="B3949">
        <f>IF(INDEX(Transactions!$J:$J,ROW()-8)="",TODAY(),INDEX(Transactions!$G:$G,ROW()-8))</f>
      </c>
      <c r="F3949">
        <f>IF(INDEX(Transactions!$J:$J,ROW()-8)="",0,INDEX(Transactions!$O:$O,ROW()-8))</f>
      </c>
    </row>
    <row r="3950" spans="1:7">
      <c r="B3950">
        <f>IF(INDEX(Transactions!$J:$J,ROW()-8)="",TODAY(),INDEX(Transactions!$G:$G,ROW()-8))</f>
      </c>
      <c r="F3950">
        <f>IF(INDEX(Transactions!$J:$J,ROW()-8)="",0,INDEX(Transactions!$O:$O,ROW()-8))</f>
      </c>
    </row>
    <row r="3951" spans="1:7">
      <c r="B3951">
        <f>IF(INDEX(Transactions!$J:$J,ROW()-8)="",TODAY(),INDEX(Transactions!$G:$G,ROW()-8))</f>
      </c>
      <c r="F3951">
        <f>IF(INDEX(Transactions!$J:$J,ROW()-8)="",0,INDEX(Transactions!$O:$O,ROW()-8))</f>
      </c>
    </row>
    <row r="3952" spans="1:7">
      <c r="B3952">
        <f>IF(INDEX(Transactions!$J:$J,ROW()-8)="",TODAY(),INDEX(Transactions!$G:$G,ROW()-8))</f>
      </c>
      <c r="F3952">
        <f>IF(INDEX(Transactions!$J:$J,ROW()-8)="",0,INDEX(Transactions!$O:$O,ROW()-8))</f>
      </c>
    </row>
    <row r="3953" spans="1:7">
      <c r="B3953">
        <f>IF(INDEX(Transactions!$J:$J,ROW()-8)="",TODAY(),INDEX(Transactions!$G:$G,ROW()-8))</f>
      </c>
      <c r="F3953">
        <f>IF(INDEX(Transactions!$J:$J,ROW()-8)="",0,INDEX(Transactions!$O:$O,ROW()-8))</f>
      </c>
    </row>
    <row r="3954" spans="1:7">
      <c r="B3954">
        <f>IF(INDEX(Transactions!$J:$J,ROW()-8)="",TODAY(),INDEX(Transactions!$G:$G,ROW()-8))</f>
      </c>
      <c r="F3954">
        <f>IF(INDEX(Transactions!$J:$J,ROW()-8)="",0,INDEX(Transactions!$O:$O,ROW()-8))</f>
      </c>
    </row>
    <row r="3955" spans="1:7">
      <c r="B3955">
        <f>IF(INDEX(Transactions!$J:$J,ROW()-8)="",TODAY(),INDEX(Transactions!$G:$G,ROW()-8))</f>
      </c>
      <c r="F3955">
        <f>IF(INDEX(Transactions!$J:$J,ROW()-8)="",0,INDEX(Transactions!$O:$O,ROW()-8))</f>
      </c>
    </row>
    <row r="3956" spans="1:7">
      <c r="B3956">
        <f>IF(INDEX(Transactions!$J:$J,ROW()-8)="",TODAY(),INDEX(Transactions!$G:$G,ROW()-8))</f>
      </c>
      <c r="F3956">
        <f>IF(INDEX(Transactions!$J:$J,ROW()-8)="",0,INDEX(Transactions!$O:$O,ROW()-8))</f>
      </c>
    </row>
    <row r="3957" spans="1:7">
      <c r="B3957">
        <f>IF(INDEX(Transactions!$J:$J,ROW()-8)="",TODAY(),INDEX(Transactions!$G:$G,ROW()-8))</f>
      </c>
      <c r="F3957">
        <f>IF(INDEX(Transactions!$J:$J,ROW()-8)="",0,INDEX(Transactions!$O:$O,ROW()-8))</f>
      </c>
    </row>
    <row r="3958" spans="1:7">
      <c r="B3958">
        <f>IF(INDEX(Transactions!$J:$J,ROW()-8)="",TODAY(),INDEX(Transactions!$G:$G,ROW()-8))</f>
      </c>
      <c r="F3958">
        <f>IF(INDEX(Transactions!$J:$J,ROW()-8)="",0,INDEX(Transactions!$O:$O,ROW()-8))</f>
      </c>
    </row>
    <row r="3959" spans="1:7">
      <c r="B3959">
        <f>IF(INDEX(Transactions!$J:$J,ROW()-8)="",TODAY(),INDEX(Transactions!$G:$G,ROW()-8))</f>
      </c>
      <c r="F3959">
        <f>IF(INDEX(Transactions!$J:$J,ROW()-8)="",0,INDEX(Transactions!$O:$O,ROW()-8))</f>
      </c>
    </row>
    <row r="3960" spans="1:7">
      <c r="B3960">
        <f>IF(INDEX(Transactions!$J:$J,ROW()-8)="",TODAY(),INDEX(Transactions!$G:$G,ROW()-8))</f>
      </c>
      <c r="F3960">
        <f>IF(INDEX(Transactions!$J:$J,ROW()-8)="",0,INDEX(Transactions!$O:$O,ROW()-8))</f>
      </c>
    </row>
    <row r="3961" spans="1:7">
      <c r="B3961">
        <f>IF(INDEX(Transactions!$J:$J,ROW()-8)="",TODAY(),INDEX(Transactions!$G:$G,ROW()-8))</f>
      </c>
      <c r="F3961">
        <f>IF(INDEX(Transactions!$J:$J,ROW()-8)="",0,INDEX(Transactions!$O:$O,ROW()-8))</f>
      </c>
    </row>
    <row r="3962" spans="1:7">
      <c r="B3962">
        <f>IF(INDEX(Transactions!$J:$J,ROW()-8)="",TODAY(),INDEX(Transactions!$G:$G,ROW()-8))</f>
      </c>
      <c r="F3962">
        <f>IF(INDEX(Transactions!$J:$J,ROW()-8)="",0,INDEX(Transactions!$O:$O,ROW()-8))</f>
      </c>
    </row>
    <row r="3963" spans="1:7">
      <c r="B3963">
        <f>IF(INDEX(Transactions!$J:$J,ROW()-8)="",TODAY(),INDEX(Transactions!$G:$G,ROW()-8))</f>
      </c>
      <c r="F3963">
        <f>IF(INDEX(Transactions!$J:$J,ROW()-8)="",0,INDEX(Transactions!$O:$O,ROW()-8))</f>
      </c>
    </row>
    <row r="3964" spans="1:7">
      <c r="B3964">
        <f>IF(INDEX(Transactions!$J:$J,ROW()-8)="",TODAY(),INDEX(Transactions!$G:$G,ROW()-8))</f>
      </c>
      <c r="F3964">
        <f>IF(INDEX(Transactions!$J:$J,ROW()-8)="",0,INDEX(Transactions!$O:$O,ROW()-8))</f>
      </c>
    </row>
    <row r="3965" spans="1:7">
      <c r="B3965">
        <f>IF(INDEX(Transactions!$J:$J,ROW()-8)="",TODAY(),INDEX(Transactions!$G:$G,ROW()-8))</f>
      </c>
      <c r="F3965">
        <f>IF(INDEX(Transactions!$J:$J,ROW()-8)="",0,INDEX(Transactions!$O:$O,ROW()-8))</f>
      </c>
    </row>
    <row r="3966" spans="1:7">
      <c r="B3966">
        <f>IF(INDEX(Transactions!$J:$J,ROW()-8)="",TODAY(),INDEX(Transactions!$G:$G,ROW()-8))</f>
      </c>
      <c r="F3966">
        <f>IF(INDEX(Transactions!$J:$J,ROW()-8)="",0,INDEX(Transactions!$O:$O,ROW()-8))</f>
      </c>
    </row>
    <row r="3967" spans="1:7">
      <c r="B3967">
        <f>IF(INDEX(Transactions!$J:$J,ROW()-8)="",TODAY(),INDEX(Transactions!$G:$G,ROW()-8))</f>
      </c>
      <c r="F3967">
        <f>IF(INDEX(Transactions!$J:$J,ROW()-8)="",0,INDEX(Transactions!$O:$O,ROW()-8))</f>
      </c>
    </row>
    <row r="3968" spans="1:7">
      <c r="B3968">
        <f>IF(INDEX(Transactions!$J:$J,ROW()-8)="",TODAY(),INDEX(Transactions!$G:$G,ROW()-8))</f>
      </c>
      <c r="F3968">
        <f>IF(INDEX(Transactions!$J:$J,ROW()-8)="",0,INDEX(Transactions!$O:$O,ROW()-8))</f>
      </c>
    </row>
    <row r="3969" spans="1:7">
      <c r="B3969">
        <f>IF(INDEX(Transactions!$J:$J,ROW()-8)="",TODAY(),INDEX(Transactions!$G:$G,ROW()-8))</f>
      </c>
      <c r="F3969">
        <f>IF(INDEX(Transactions!$J:$J,ROW()-8)="",0,INDEX(Transactions!$O:$O,ROW()-8))</f>
      </c>
    </row>
    <row r="3970" spans="1:7">
      <c r="B3970">
        <f>IF(INDEX(Transactions!$J:$J,ROW()-8)="",TODAY(),INDEX(Transactions!$G:$G,ROW()-8))</f>
      </c>
      <c r="F3970">
        <f>IF(INDEX(Transactions!$J:$J,ROW()-8)="",0,INDEX(Transactions!$O:$O,ROW()-8))</f>
      </c>
    </row>
    <row r="3971" spans="1:7">
      <c r="B3971">
        <f>IF(INDEX(Transactions!$J:$J,ROW()-8)="",TODAY(),INDEX(Transactions!$G:$G,ROW()-8))</f>
      </c>
      <c r="F3971">
        <f>IF(INDEX(Transactions!$J:$J,ROW()-8)="",0,INDEX(Transactions!$O:$O,ROW()-8))</f>
      </c>
    </row>
    <row r="3972" spans="1:7">
      <c r="B3972">
        <f>IF(INDEX(Transactions!$J:$J,ROW()-8)="",TODAY(),INDEX(Transactions!$G:$G,ROW()-8))</f>
      </c>
      <c r="F3972">
        <f>IF(INDEX(Transactions!$J:$J,ROW()-8)="",0,INDEX(Transactions!$O:$O,ROW()-8))</f>
      </c>
    </row>
    <row r="3973" spans="1:7">
      <c r="B3973">
        <f>IF(INDEX(Transactions!$J:$J,ROW()-8)="",TODAY(),INDEX(Transactions!$G:$G,ROW()-8))</f>
      </c>
      <c r="F3973">
        <f>IF(INDEX(Transactions!$J:$J,ROW()-8)="",0,INDEX(Transactions!$O:$O,ROW()-8))</f>
      </c>
    </row>
    <row r="3974" spans="1:7">
      <c r="B3974">
        <f>IF(INDEX(Transactions!$J:$J,ROW()-8)="",TODAY(),INDEX(Transactions!$G:$G,ROW()-8))</f>
      </c>
      <c r="F3974">
        <f>IF(INDEX(Transactions!$J:$J,ROW()-8)="",0,INDEX(Transactions!$O:$O,ROW()-8))</f>
      </c>
    </row>
    <row r="3975" spans="1:7">
      <c r="B3975">
        <f>IF(INDEX(Transactions!$J:$J,ROW()-8)="",TODAY(),INDEX(Transactions!$G:$G,ROW()-8))</f>
      </c>
      <c r="F3975">
        <f>IF(INDEX(Transactions!$J:$J,ROW()-8)="",0,INDEX(Transactions!$O:$O,ROW()-8))</f>
      </c>
    </row>
    <row r="3976" spans="1:7">
      <c r="B3976">
        <f>IF(INDEX(Transactions!$J:$J,ROW()-8)="",TODAY(),INDEX(Transactions!$G:$G,ROW()-8))</f>
      </c>
      <c r="F3976">
        <f>IF(INDEX(Transactions!$J:$J,ROW()-8)="",0,INDEX(Transactions!$O:$O,ROW()-8))</f>
      </c>
    </row>
    <row r="3977" spans="1:7">
      <c r="B3977">
        <f>IF(INDEX(Transactions!$J:$J,ROW()-8)="",TODAY(),INDEX(Transactions!$G:$G,ROW()-8))</f>
      </c>
      <c r="F3977">
        <f>IF(INDEX(Transactions!$J:$J,ROW()-8)="",0,INDEX(Transactions!$O:$O,ROW()-8))</f>
      </c>
    </row>
    <row r="3978" spans="1:7">
      <c r="B3978">
        <f>IF(INDEX(Transactions!$J:$J,ROW()-8)="",TODAY(),INDEX(Transactions!$G:$G,ROW()-8))</f>
      </c>
      <c r="F3978">
        <f>IF(INDEX(Transactions!$J:$J,ROW()-8)="",0,INDEX(Transactions!$O:$O,ROW()-8))</f>
      </c>
    </row>
    <row r="3979" spans="1:7">
      <c r="B3979">
        <f>IF(INDEX(Transactions!$J:$J,ROW()-8)="",TODAY(),INDEX(Transactions!$G:$G,ROW()-8))</f>
      </c>
      <c r="F3979">
        <f>IF(INDEX(Transactions!$J:$J,ROW()-8)="",0,INDEX(Transactions!$O:$O,ROW()-8))</f>
      </c>
    </row>
    <row r="3980" spans="1:7">
      <c r="B3980">
        <f>IF(INDEX(Transactions!$J:$J,ROW()-8)="",TODAY(),INDEX(Transactions!$G:$G,ROW()-8))</f>
      </c>
      <c r="F3980">
        <f>IF(INDEX(Transactions!$J:$J,ROW()-8)="",0,INDEX(Transactions!$O:$O,ROW()-8))</f>
      </c>
    </row>
    <row r="3981" spans="1:7">
      <c r="B3981">
        <f>IF(INDEX(Transactions!$J:$J,ROW()-8)="",TODAY(),INDEX(Transactions!$G:$G,ROW()-8))</f>
      </c>
      <c r="F3981">
        <f>IF(INDEX(Transactions!$J:$J,ROW()-8)="",0,INDEX(Transactions!$O:$O,ROW()-8))</f>
      </c>
    </row>
    <row r="3982" spans="1:7">
      <c r="B3982">
        <f>IF(INDEX(Transactions!$J:$J,ROW()-8)="",TODAY(),INDEX(Transactions!$G:$G,ROW()-8))</f>
      </c>
      <c r="F3982">
        <f>IF(INDEX(Transactions!$J:$J,ROW()-8)="",0,INDEX(Transactions!$O:$O,ROW()-8))</f>
      </c>
    </row>
    <row r="3983" spans="1:7">
      <c r="B3983">
        <f>IF(INDEX(Transactions!$J:$J,ROW()-8)="",TODAY(),INDEX(Transactions!$G:$G,ROW()-8))</f>
      </c>
      <c r="F3983">
        <f>IF(INDEX(Transactions!$J:$J,ROW()-8)="",0,INDEX(Transactions!$O:$O,ROW()-8))</f>
      </c>
    </row>
    <row r="3984" spans="1:7">
      <c r="B3984">
        <f>IF(INDEX(Transactions!$J:$J,ROW()-8)="",TODAY(),INDEX(Transactions!$G:$G,ROW()-8))</f>
      </c>
      <c r="F3984">
        <f>IF(INDEX(Transactions!$J:$J,ROW()-8)="",0,INDEX(Transactions!$O:$O,ROW()-8))</f>
      </c>
    </row>
    <row r="3985" spans="1:7">
      <c r="B3985">
        <f>IF(INDEX(Transactions!$J:$J,ROW()-8)="",TODAY(),INDEX(Transactions!$G:$G,ROW()-8))</f>
      </c>
      <c r="F3985">
        <f>IF(INDEX(Transactions!$J:$J,ROW()-8)="",0,INDEX(Transactions!$O:$O,ROW()-8))</f>
      </c>
    </row>
    <row r="3986" spans="1:7">
      <c r="B3986">
        <f>IF(INDEX(Transactions!$J:$J,ROW()-8)="",TODAY(),INDEX(Transactions!$G:$G,ROW()-8))</f>
      </c>
      <c r="F3986">
        <f>IF(INDEX(Transactions!$J:$J,ROW()-8)="",0,INDEX(Transactions!$O:$O,ROW()-8))</f>
      </c>
    </row>
    <row r="3987" spans="1:7">
      <c r="B3987">
        <f>IF(INDEX(Transactions!$J:$J,ROW()-8)="",TODAY(),INDEX(Transactions!$G:$G,ROW()-8))</f>
      </c>
      <c r="F3987">
        <f>IF(INDEX(Transactions!$J:$J,ROW()-8)="",0,INDEX(Transactions!$O:$O,ROW()-8))</f>
      </c>
    </row>
    <row r="3988" spans="1:7">
      <c r="B3988">
        <f>IF(INDEX(Transactions!$J:$J,ROW()-8)="",TODAY(),INDEX(Transactions!$G:$G,ROW()-8))</f>
      </c>
      <c r="F3988">
        <f>IF(INDEX(Transactions!$J:$J,ROW()-8)="",0,INDEX(Transactions!$O:$O,ROW()-8))</f>
      </c>
    </row>
    <row r="3989" spans="1:7">
      <c r="B3989">
        <f>IF(INDEX(Transactions!$J:$J,ROW()-8)="",TODAY(),INDEX(Transactions!$G:$G,ROW()-8))</f>
      </c>
      <c r="F3989">
        <f>IF(INDEX(Transactions!$J:$J,ROW()-8)="",0,INDEX(Transactions!$O:$O,ROW()-8))</f>
      </c>
    </row>
    <row r="3990" spans="1:7">
      <c r="B3990">
        <f>IF(INDEX(Transactions!$J:$J,ROW()-8)="",TODAY(),INDEX(Transactions!$G:$G,ROW()-8))</f>
      </c>
      <c r="F3990">
        <f>IF(INDEX(Transactions!$J:$J,ROW()-8)="",0,INDEX(Transactions!$O:$O,ROW()-8))</f>
      </c>
    </row>
    <row r="3991" spans="1:7">
      <c r="B3991">
        <f>IF(INDEX(Transactions!$J:$J,ROW()-8)="",TODAY(),INDEX(Transactions!$G:$G,ROW()-8))</f>
      </c>
      <c r="F3991">
        <f>IF(INDEX(Transactions!$J:$J,ROW()-8)="",0,INDEX(Transactions!$O:$O,ROW()-8))</f>
      </c>
    </row>
    <row r="3992" spans="1:7">
      <c r="B3992">
        <f>IF(INDEX(Transactions!$J:$J,ROW()-8)="",TODAY(),INDEX(Transactions!$G:$G,ROW()-8))</f>
      </c>
      <c r="F3992">
        <f>IF(INDEX(Transactions!$J:$J,ROW()-8)="",0,INDEX(Transactions!$O:$O,ROW()-8))</f>
      </c>
    </row>
    <row r="3993" spans="1:7">
      <c r="B3993">
        <f>IF(INDEX(Transactions!$J:$J,ROW()-8)="",TODAY(),INDEX(Transactions!$G:$G,ROW()-8))</f>
      </c>
      <c r="F3993">
        <f>IF(INDEX(Transactions!$J:$J,ROW()-8)="",0,INDEX(Transactions!$O:$O,ROW()-8))</f>
      </c>
    </row>
    <row r="3994" spans="1:7">
      <c r="B3994">
        <f>IF(INDEX(Transactions!$J:$J,ROW()-8)="",TODAY(),INDEX(Transactions!$G:$G,ROW()-8))</f>
      </c>
      <c r="F3994">
        <f>IF(INDEX(Transactions!$J:$J,ROW()-8)="",0,INDEX(Transactions!$O:$O,ROW()-8))</f>
      </c>
    </row>
    <row r="3995" spans="1:7">
      <c r="B3995">
        <f>IF(INDEX(Transactions!$J:$J,ROW()-8)="",TODAY(),INDEX(Transactions!$G:$G,ROW()-8))</f>
      </c>
      <c r="F3995">
        <f>IF(INDEX(Transactions!$J:$J,ROW()-8)="",0,INDEX(Transactions!$O:$O,ROW()-8))</f>
      </c>
    </row>
    <row r="3996" spans="1:7">
      <c r="B3996">
        <f>IF(INDEX(Transactions!$J:$J,ROW()-8)="",TODAY(),INDEX(Transactions!$G:$G,ROW()-8))</f>
      </c>
      <c r="F3996">
        <f>IF(INDEX(Transactions!$J:$J,ROW()-8)="",0,INDEX(Transactions!$O:$O,ROW()-8))</f>
      </c>
    </row>
    <row r="3997" spans="1:7">
      <c r="B3997">
        <f>IF(INDEX(Transactions!$J:$J,ROW()-8)="",TODAY(),INDEX(Transactions!$G:$G,ROW()-8))</f>
      </c>
      <c r="F3997">
        <f>IF(INDEX(Transactions!$J:$J,ROW()-8)="",0,INDEX(Transactions!$O:$O,ROW()-8))</f>
      </c>
    </row>
    <row r="3998" spans="1:7">
      <c r="B3998">
        <f>IF(INDEX(Transactions!$J:$J,ROW()-8)="",TODAY(),INDEX(Transactions!$G:$G,ROW()-8))</f>
      </c>
      <c r="F3998">
        <f>IF(INDEX(Transactions!$J:$J,ROW()-8)="",0,INDEX(Transactions!$O:$O,ROW()-8))</f>
      </c>
    </row>
    <row r="3999" spans="1:7">
      <c r="B3999">
        <f>IF(INDEX(Transactions!$J:$J,ROW()-8)="",TODAY(),INDEX(Transactions!$G:$G,ROW()-8))</f>
      </c>
      <c r="F3999">
        <f>IF(INDEX(Transactions!$J:$J,ROW()-8)="",0,INDEX(Transactions!$O:$O,ROW()-8))</f>
      </c>
    </row>
    <row r="4000" spans="1:7">
      <c r="B4000">
        <f>IF(INDEX(Transactions!$J:$J,ROW()-8)="",TODAY(),INDEX(Transactions!$G:$G,ROW()-8))</f>
      </c>
      <c r="F4000">
        <f>IF(INDEX(Transactions!$J:$J,ROW()-8)="",0,INDEX(Transactions!$O:$O,ROW()-8))</f>
      </c>
    </row>
    <row r="4001" spans="1:7">
      <c r="B4001">
        <f>IF(INDEX(Transactions!$J:$J,ROW()-8)="",TODAY(),INDEX(Transactions!$G:$G,ROW()-8))</f>
      </c>
      <c r="F4001">
        <f>IF(INDEX(Transactions!$J:$J,ROW()-8)="",0,INDEX(Transactions!$O:$O,ROW()-8))</f>
      </c>
    </row>
    <row r="4002" spans="1:7">
      <c r="B4002">
        <f>IF(INDEX(Transactions!$J:$J,ROW()-8)="",TODAY(),INDEX(Transactions!$G:$G,ROW()-8))</f>
      </c>
      <c r="F4002">
        <f>IF(INDEX(Transactions!$J:$J,ROW()-8)="",0,INDEX(Transactions!$O:$O,ROW()-8))</f>
      </c>
    </row>
    <row r="4003" spans="1:7">
      <c r="B4003">
        <f>IF(INDEX(Transactions!$J:$J,ROW()-8)="",TODAY(),INDEX(Transactions!$G:$G,ROW()-8))</f>
      </c>
      <c r="F4003">
        <f>IF(INDEX(Transactions!$J:$J,ROW()-8)="",0,INDEX(Transactions!$O:$O,ROW()-8))</f>
      </c>
    </row>
    <row r="4004" spans="1:7">
      <c r="B4004">
        <f>IF(INDEX(Transactions!$J:$J,ROW()-8)="",TODAY(),INDEX(Transactions!$G:$G,ROW()-8))</f>
      </c>
      <c r="F4004">
        <f>IF(INDEX(Transactions!$J:$J,ROW()-8)="",0,INDEX(Transactions!$O:$O,ROW()-8))</f>
      </c>
    </row>
    <row r="4005" spans="1:7">
      <c r="B4005">
        <f>IF(INDEX(Transactions!$J:$J,ROW()-8)="",TODAY(),INDEX(Transactions!$G:$G,ROW()-8))</f>
      </c>
      <c r="F4005">
        <f>IF(INDEX(Transactions!$J:$J,ROW()-8)="",0,INDEX(Transactions!$O:$O,ROW()-8))</f>
      </c>
    </row>
    <row r="4006" spans="1:7">
      <c r="B4006">
        <f>IF(INDEX(Transactions!$J:$J,ROW()-8)="",TODAY(),INDEX(Transactions!$G:$G,ROW()-8))</f>
      </c>
      <c r="F4006">
        <f>IF(INDEX(Transactions!$J:$J,ROW()-8)="",0,INDEX(Transactions!$O:$O,ROW()-8))</f>
      </c>
    </row>
    <row r="4007" spans="1:7">
      <c r="B4007">
        <f>IF(INDEX(Transactions!$J:$J,ROW()-8)="",TODAY(),INDEX(Transactions!$G:$G,ROW()-8))</f>
      </c>
      <c r="F4007">
        <f>IF(INDEX(Transactions!$J:$J,ROW()-8)="",0,INDEX(Transactions!$O:$O,ROW()-8))</f>
      </c>
    </row>
    <row r="4008" spans="1:7">
      <c r="B4008">
        <f>IF(INDEX(Transactions!$J:$J,ROW()-8)="",TODAY(),INDEX(Transactions!$G:$G,ROW()-8))</f>
      </c>
      <c r="F4008">
        <f>IF(INDEX(Transactions!$J:$J,ROW()-8)="",0,INDEX(Transactions!$O:$O,ROW()-8))</f>
      </c>
    </row>
    <row r="4009" spans="1:7">
      <c r="B4009">
        <f>IF(INDEX(Transactions!$J:$J,ROW()-8)="",TODAY(),INDEX(Transactions!$G:$G,ROW()-8))</f>
      </c>
      <c r="F4009">
        <f>IF(INDEX(Transactions!$J:$J,ROW()-8)="",0,INDEX(Transactions!$O:$O,ROW()-8))</f>
      </c>
    </row>
    <row r="4010" spans="1:7">
      <c r="B4010">
        <f>IF(INDEX(Transactions!$J:$J,ROW()-8)="",TODAY(),INDEX(Transactions!$G:$G,ROW()-8))</f>
      </c>
      <c r="F4010">
        <f>IF(INDEX(Transactions!$J:$J,ROW()-8)="",0,INDEX(Transactions!$O:$O,ROW()-8))</f>
      </c>
    </row>
    <row r="4011" spans="1:7">
      <c r="B4011">
        <f>IF(INDEX(Transactions!$J:$J,ROW()-8)="",TODAY(),INDEX(Transactions!$G:$G,ROW()-8))</f>
      </c>
      <c r="F4011">
        <f>IF(INDEX(Transactions!$J:$J,ROW()-8)="",0,INDEX(Transactions!$O:$O,ROW()-8))</f>
      </c>
    </row>
    <row r="4012" spans="1:7">
      <c r="B4012">
        <f>IF(INDEX(Transactions!$J:$J,ROW()-8)="",TODAY(),INDEX(Transactions!$G:$G,ROW()-8))</f>
      </c>
      <c r="F4012">
        <f>IF(INDEX(Transactions!$J:$J,ROW()-8)="",0,INDEX(Transactions!$O:$O,ROW()-8))</f>
      </c>
    </row>
    <row r="4013" spans="1:7">
      <c r="B4013">
        <f>IF(INDEX(Transactions!$J:$J,ROW()-8)="",TODAY(),INDEX(Transactions!$G:$G,ROW()-8))</f>
      </c>
      <c r="F4013">
        <f>IF(INDEX(Transactions!$J:$J,ROW()-8)="",0,INDEX(Transactions!$O:$O,ROW()-8))</f>
      </c>
    </row>
    <row r="4014" spans="1:7">
      <c r="B4014">
        <f>IF(INDEX(Transactions!$J:$J,ROW()-8)="",TODAY(),INDEX(Transactions!$G:$G,ROW()-8))</f>
      </c>
      <c r="F4014">
        <f>IF(INDEX(Transactions!$J:$J,ROW()-8)="",0,INDEX(Transactions!$O:$O,ROW()-8))</f>
      </c>
    </row>
    <row r="4015" spans="1:7">
      <c r="B4015">
        <f>IF(INDEX(Transactions!$J:$J,ROW()-8)="",TODAY(),INDEX(Transactions!$G:$G,ROW()-8))</f>
      </c>
      <c r="F4015">
        <f>IF(INDEX(Transactions!$J:$J,ROW()-8)="",0,INDEX(Transactions!$O:$O,ROW()-8))</f>
      </c>
    </row>
    <row r="4016" spans="1:7">
      <c r="B4016">
        <f>IF(INDEX(Transactions!$J:$J,ROW()-8)="",TODAY(),INDEX(Transactions!$G:$G,ROW()-8))</f>
      </c>
      <c r="F4016">
        <f>IF(INDEX(Transactions!$J:$J,ROW()-8)="",0,INDEX(Transactions!$O:$O,ROW()-8))</f>
      </c>
    </row>
    <row r="4017" spans="1:7">
      <c r="B4017">
        <f>IF(INDEX(Transactions!$J:$J,ROW()-8)="",TODAY(),INDEX(Transactions!$G:$G,ROW()-8))</f>
      </c>
      <c r="F4017">
        <f>IF(INDEX(Transactions!$J:$J,ROW()-8)="",0,INDEX(Transactions!$O:$O,ROW()-8))</f>
      </c>
    </row>
    <row r="4018" spans="1:7">
      <c r="B4018">
        <f>IF(INDEX(Transactions!$J:$J,ROW()-8)="",TODAY(),INDEX(Transactions!$G:$G,ROW()-8))</f>
      </c>
      <c r="F4018">
        <f>IF(INDEX(Transactions!$J:$J,ROW()-8)="",0,INDEX(Transactions!$O:$O,ROW()-8))</f>
      </c>
    </row>
    <row r="4019" spans="1:7">
      <c r="B4019">
        <f>IF(INDEX(Transactions!$J:$J,ROW()-8)="",TODAY(),INDEX(Transactions!$G:$G,ROW()-8))</f>
      </c>
      <c r="F4019">
        <f>IF(INDEX(Transactions!$J:$J,ROW()-8)="",0,INDEX(Transactions!$O:$O,ROW()-8))</f>
      </c>
    </row>
    <row r="4020" spans="1:7">
      <c r="B4020">
        <f>IF(INDEX(Transactions!$J:$J,ROW()-8)="",TODAY(),INDEX(Transactions!$G:$G,ROW()-8))</f>
      </c>
      <c r="F4020">
        <f>IF(INDEX(Transactions!$J:$J,ROW()-8)="",0,INDEX(Transactions!$O:$O,ROW()-8))</f>
      </c>
    </row>
    <row r="4021" spans="1:7">
      <c r="B4021">
        <f>IF(INDEX(Transactions!$J:$J,ROW()-8)="",TODAY(),INDEX(Transactions!$G:$G,ROW()-8))</f>
      </c>
      <c r="F4021">
        <f>IF(INDEX(Transactions!$J:$J,ROW()-8)="",0,INDEX(Transactions!$O:$O,ROW()-8))</f>
      </c>
    </row>
    <row r="4022" spans="1:7">
      <c r="B4022">
        <f>IF(INDEX(Transactions!$J:$J,ROW()-8)="",TODAY(),INDEX(Transactions!$G:$G,ROW()-8))</f>
      </c>
      <c r="F4022">
        <f>IF(INDEX(Transactions!$J:$J,ROW()-8)="",0,INDEX(Transactions!$O:$O,ROW()-8))</f>
      </c>
    </row>
    <row r="4023" spans="1:7">
      <c r="B4023">
        <f>IF(INDEX(Transactions!$J:$J,ROW()-8)="",TODAY(),INDEX(Transactions!$G:$G,ROW()-8))</f>
      </c>
      <c r="F4023">
        <f>IF(INDEX(Transactions!$J:$J,ROW()-8)="",0,INDEX(Transactions!$O:$O,ROW()-8))</f>
      </c>
    </row>
    <row r="4024" spans="1:7">
      <c r="B4024">
        <f>IF(INDEX(Transactions!$J:$J,ROW()-8)="",TODAY(),INDEX(Transactions!$G:$G,ROW()-8))</f>
      </c>
      <c r="F4024">
        <f>IF(INDEX(Transactions!$J:$J,ROW()-8)="",0,INDEX(Transactions!$O:$O,ROW()-8))</f>
      </c>
    </row>
    <row r="4025" spans="1:7">
      <c r="B4025">
        <f>IF(INDEX(Transactions!$J:$J,ROW()-8)="",TODAY(),INDEX(Transactions!$G:$G,ROW()-8))</f>
      </c>
      <c r="F4025">
        <f>IF(INDEX(Transactions!$J:$J,ROW()-8)="",0,INDEX(Transactions!$O:$O,ROW()-8))</f>
      </c>
    </row>
    <row r="4026" spans="1:7">
      <c r="B4026">
        <f>IF(INDEX(Transactions!$J:$J,ROW()-8)="",TODAY(),INDEX(Transactions!$G:$G,ROW()-8))</f>
      </c>
      <c r="F4026">
        <f>IF(INDEX(Transactions!$J:$J,ROW()-8)="",0,INDEX(Transactions!$O:$O,ROW()-8))</f>
      </c>
    </row>
    <row r="4027" spans="1:7">
      <c r="B4027">
        <f>IF(INDEX(Transactions!$J:$J,ROW()-8)="",TODAY(),INDEX(Transactions!$G:$G,ROW()-8))</f>
      </c>
      <c r="F4027">
        <f>IF(INDEX(Transactions!$J:$J,ROW()-8)="",0,INDEX(Transactions!$O:$O,ROW()-8))</f>
      </c>
    </row>
    <row r="4028" spans="1:7">
      <c r="B4028">
        <f>IF(INDEX(Transactions!$J:$J,ROW()-8)="",TODAY(),INDEX(Transactions!$G:$G,ROW()-8))</f>
      </c>
      <c r="F4028">
        <f>IF(INDEX(Transactions!$J:$J,ROW()-8)="",0,INDEX(Transactions!$O:$O,ROW()-8))</f>
      </c>
    </row>
    <row r="4029" spans="1:7">
      <c r="B4029">
        <f>IF(INDEX(Transactions!$J:$J,ROW()-8)="",TODAY(),INDEX(Transactions!$G:$G,ROW()-8))</f>
      </c>
      <c r="F4029">
        <f>IF(INDEX(Transactions!$J:$J,ROW()-8)="",0,INDEX(Transactions!$O:$O,ROW()-8))</f>
      </c>
    </row>
    <row r="4030" spans="1:7">
      <c r="B4030">
        <f>IF(INDEX(Transactions!$J:$J,ROW()-8)="",TODAY(),INDEX(Transactions!$G:$G,ROW()-8))</f>
      </c>
      <c r="F4030">
        <f>IF(INDEX(Transactions!$J:$J,ROW()-8)="",0,INDEX(Transactions!$O:$O,ROW()-8))</f>
      </c>
    </row>
    <row r="4031" spans="1:7">
      <c r="B4031">
        <f>IF(INDEX(Transactions!$J:$J,ROW()-8)="",TODAY(),INDEX(Transactions!$G:$G,ROW()-8))</f>
      </c>
      <c r="F4031">
        <f>IF(INDEX(Transactions!$J:$J,ROW()-8)="",0,INDEX(Transactions!$O:$O,ROW()-8))</f>
      </c>
    </row>
    <row r="4032" spans="1:7">
      <c r="B4032">
        <f>IF(INDEX(Transactions!$J:$J,ROW()-8)="",TODAY(),INDEX(Transactions!$G:$G,ROW()-8))</f>
      </c>
      <c r="F4032">
        <f>IF(INDEX(Transactions!$J:$J,ROW()-8)="",0,INDEX(Transactions!$O:$O,ROW()-8))</f>
      </c>
    </row>
    <row r="4033" spans="1:7">
      <c r="B4033">
        <f>IF(INDEX(Transactions!$J:$J,ROW()-8)="",TODAY(),INDEX(Transactions!$G:$G,ROW()-8))</f>
      </c>
      <c r="F4033">
        <f>IF(INDEX(Transactions!$J:$J,ROW()-8)="",0,INDEX(Transactions!$O:$O,ROW()-8))</f>
      </c>
    </row>
    <row r="4034" spans="1:7">
      <c r="B4034">
        <f>IF(INDEX(Transactions!$J:$J,ROW()-8)="",TODAY(),INDEX(Transactions!$G:$G,ROW()-8))</f>
      </c>
      <c r="F4034">
        <f>IF(INDEX(Transactions!$J:$J,ROW()-8)="",0,INDEX(Transactions!$O:$O,ROW()-8))</f>
      </c>
    </row>
    <row r="4035" spans="1:7">
      <c r="B4035">
        <f>IF(INDEX(Transactions!$J:$J,ROW()-8)="",TODAY(),INDEX(Transactions!$G:$G,ROW()-8))</f>
      </c>
      <c r="F4035">
        <f>IF(INDEX(Transactions!$J:$J,ROW()-8)="",0,INDEX(Transactions!$O:$O,ROW()-8))</f>
      </c>
    </row>
    <row r="4036" spans="1:7">
      <c r="B4036">
        <f>IF(INDEX(Transactions!$J:$J,ROW()-8)="",TODAY(),INDEX(Transactions!$G:$G,ROW()-8))</f>
      </c>
      <c r="F4036">
        <f>IF(INDEX(Transactions!$J:$J,ROW()-8)="",0,INDEX(Transactions!$O:$O,ROW()-8))</f>
      </c>
    </row>
    <row r="4037" spans="1:7">
      <c r="B4037">
        <f>IF(INDEX(Transactions!$J:$J,ROW()-8)="",TODAY(),INDEX(Transactions!$G:$G,ROW()-8))</f>
      </c>
      <c r="F4037">
        <f>IF(INDEX(Transactions!$J:$J,ROW()-8)="",0,INDEX(Transactions!$O:$O,ROW()-8))</f>
      </c>
    </row>
    <row r="4038" spans="1:7">
      <c r="B4038">
        <f>IF(INDEX(Transactions!$J:$J,ROW()-8)="",TODAY(),INDEX(Transactions!$G:$G,ROW()-8))</f>
      </c>
      <c r="F4038">
        <f>IF(INDEX(Transactions!$J:$J,ROW()-8)="",0,INDEX(Transactions!$O:$O,ROW()-8))</f>
      </c>
    </row>
    <row r="4039" spans="1:7">
      <c r="B4039">
        <f>IF(INDEX(Transactions!$J:$J,ROW()-8)="",TODAY(),INDEX(Transactions!$G:$G,ROW()-8))</f>
      </c>
      <c r="F4039">
        <f>IF(INDEX(Transactions!$J:$J,ROW()-8)="",0,INDEX(Transactions!$O:$O,ROW()-8))</f>
      </c>
    </row>
    <row r="4040" spans="1:7">
      <c r="B4040">
        <f>IF(INDEX(Transactions!$J:$J,ROW()-8)="",TODAY(),INDEX(Transactions!$G:$G,ROW()-8))</f>
      </c>
      <c r="F4040">
        <f>IF(INDEX(Transactions!$J:$J,ROW()-8)="",0,INDEX(Transactions!$O:$O,ROW()-8))</f>
      </c>
    </row>
    <row r="4041" spans="1:7">
      <c r="B4041">
        <f>IF(INDEX(Transactions!$J:$J,ROW()-8)="",TODAY(),INDEX(Transactions!$G:$G,ROW()-8))</f>
      </c>
      <c r="F4041">
        <f>IF(INDEX(Transactions!$J:$J,ROW()-8)="",0,INDEX(Transactions!$O:$O,ROW()-8))</f>
      </c>
    </row>
    <row r="4042" spans="1:7">
      <c r="B4042">
        <f>IF(INDEX(Transactions!$J:$J,ROW()-8)="",TODAY(),INDEX(Transactions!$G:$G,ROW()-8))</f>
      </c>
      <c r="F4042">
        <f>IF(INDEX(Transactions!$J:$J,ROW()-8)="",0,INDEX(Transactions!$O:$O,ROW()-8))</f>
      </c>
    </row>
    <row r="4043" spans="1:7">
      <c r="B4043">
        <f>IF(INDEX(Transactions!$J:$J,ROW()-8)="",TODAY(),INDEX(Transactions!$G:$G,ROW()-8))</f>
      </c>
      <c r="F4043">
        <f>IF(INDEX(Transactions!$J:$J,ROW()-8)="",0,INDEX(Transactions!$O:$O,ROW()-8))</f>
      </c>
    </row>
    <row r="4044" spans="1:7">
      <c r="B4044">
        <f>IF(INDEX(Transactions!$J:$J,ROW()-8)="",TODAY(),INDEX(Transactions!$G:$G,ROW()-8))</f>
      </c>
      <c r="F4044">
        <f>IF(INDEX(Transactions!$J:$J,ROW()-8)="",0,INDEX(Transactions!$O:$O,ROW()-8))</f>
      </c>
    </row>
    <row r="4045" spans="1:7">
      <c r="B4045">
        <f>IF(INDEX(Transactions!$J:$J,ROW()-8)="",TODAY(),INDEX(Transactions!$G:$G,ROW()-8))</f>
      </c>
      <c r="F4045">
        <f>IF(INDEX(Transactions!$J:$J,ROW()-8)="",0,INDEX(Transactions!$O:$O,ROW()-8))</f>
      </c>
    </row>
    <row r="4046" spans="1:7">
      <c r="B4046">
        <f>IF(INDEX(Transactions!$J:$J,ROW()-8)="",TODAY(),INDEX(Transactions!$G:$G,ROW()-8))</f>
      </c>
      <c r="F4046">
        <f>IF(INDEX(Transactions!$J:$J,ROW()-8)="",0,INDEX(Transactions!$O:$O,ROW()-8))</f>
      </c>
    </row>
    <row r="4047" spans="1:7">
      <c r="B4047">
        <f>IF(INDEX(Transactions!$J:$J,ROW()-8)="",TODAY(),INDEX(Transactions!$G:$G,ROW()-8))</f>
      </c>
      <c r="F4047">
        <f>IF(INDEX(Transactions!$J:$J,ROW()-8)="",0,INDEX(Transactions!$O:$O,ROW()-8))</f>
      </c>
    </row>
    <row r="4048" spans="1:7">
      <c r="B4048">
        <f>IF(INDEX(Transactions!$J:$J,ROW()-8)="",TODAY(),INDEX(Transactions!$G:$G,ROW()-8))</f>
      </c>
      <c r="F4048">
        <f>IF(INDEX(Transactions!$J:$J,ROW()-8)="",0,INDEX(Transactions!$O:$O,ROW()-8))</f>
      </c>
    </row>
    <row r="4049" spans="1:7">
      <c r="B4049">
        <f>IF(INDEX(Transactions!$J:$J,ROW()-8)="",TODAY(),INDEX(Transactions!$G:$G,ROW()-8))</f>
      </c>
      <c r="F4049">
        <f>IF(INDEX(Transactions!$J:$J,ROW()-8)="",0,INDEX(Transactions!$O:$O,ROW()-8))</f>
      </c>
    </row>
    <row r="4050" spans="1:7">
      <c r="B4050">
        <f>IF(INDEX(Transactions!$J:$J,ROW()-8)="",TODAY(),INDEX(Transactions!$G:$G,ROW()-8))</f>
      </c>
      <c r="F4050">
        <f>IF(INDEX(Transactions!$J:$J,ROW()-8)="",0,INDEX(Transactions!$O:$O,ROW()-8))</f>
      </c>
    </row>
    <row r="4051" spans="1:7">
      <c r="B4051">
        <f>IF(INDEX(Transactions!$J:$J,ROW()-8)="",TODAY(),INDEX(Transactions!$G:$G,ROW()-8))</f>
      </c>
      <c r="F4051">
        <f>IF(INDEX(Transactions!$J:$J,ROW()-8)="",0,INDEX(Transactions!$O:$O,ROW()-8))</f>
      </c>
    </row>
    <row r="4052" spans="1:7">
      <c r="B4052">
        <f>IF(INDEX(Transactions!$J:$J,ROW()-8)="",TODAY(),INDEX(Transactions!$G:$G,ROW()-8))</f>
      </c>
      <c r="F4052">
        <f>IF(INDEX(Transactions!$J:$J,ROW()-8)="",0,INDEX(Transactions!$O:$O,ROW()-8))</f>
      </c>
    </row>
    <row r="4053" spans="1:7">
      <c r="B4053">
        <f>IF(INDEX(Transactions!$J:$J,ROW()-8)="",TODAY(),INDEX(Transactions!$G:$G,ROW()-8))</f>
      </c>
      <c r="F4053">
        <f>IF(INDEX(Transactions!$J:$J,ROW()-8)="",0,INDEX(Transactions!$O:$O,ROW()-8))</f>
      </c>
    </row>
    <row r="4054" spans="1:7">
      <c r="B4054">
        <f>IF(INDEX(Transactions!$J:$J,ROW()-8)="",TODAY(),INDEX(Transactions!$G:$G,ROW()-8))</f>
      </c>
      <c r="F4054">
        <f>IF(INDEX(Transactions!$J:$J,ROW()-8)="",0,INDEX(Transactions!$O:$O,ROW()-8))</f>
      </c>
    </row>
    <row r="4055" spans="1:7">
      <c r="B4055">
        <f>IF(INDEX(Transactions!$J:$J,ROW()-8)="",TODAY(),INDEX(Transactions!$G:$G,ROW()-8))</f>
      </c>
      <c r="F4055">
        <f>IF(INDEX(Transactions!$J:$J,ROW()-8)="",0,INDEX(Transactions!$O:$O,ROW()-8))</f>
      </c>
    </row>
    <row r="4056" spans="1:7">
      <c r="B4056">
        <f>IF(INDEX(Transactions!$J:$J,ROW()-8)="",TODAY(),INDEX(Transactions!$G:$G,ROW()-8))</f>
      </c>
      <c r="F4056">
        <f>IF(INDEX(Transactions!$J:$J,ROW()-8)="",0,INDEX(Transactions!$O:$O,ROW()-8))</f>
      </c>
    </row>
    <row r="4057" spans="1:7">
      <c r="B4057">
        <f>IF(INDEX(Transactions!$J:$J,ROW()-8)="",TODAY(),INDEX(Transactions!$G:$G,ROW()-8))</f>
      </c>
      <c r="F4057">
        <f>IF(INDEX(Transactions!$J:$J,ROW()-8)="",0,INDEX(Transactions!$O:$O,ROW()-8))</f>
      </c>
    </row>
    <row r="4058" spans="1:7">
      <c r="B4058">
        <f>IF(INDEX(Transactions!$J:$J,ROW()-8)="",TODAY(),INDEX(Transactions!$G:$G,ROW()-8))</f>
      </c>
      <c r="F4058">
        <f>IF(INDEX(Transactions!$J:$J,ROW()-8)="",0,INDEX(Transactions!$O:$O,ROW()-8))</f>
      </c>
    </row>
    <row r="4059" spans="1:7">
      <c r="B4059">
        <f>IF(INDEX(Transactions!$J:$J,ROW()-8)="",TODAY(),INDEX(Transactions!$G:$G,ROW()-8))</f>
      </c>
      <c r="F4059">
        <f>IF(INDEX(Transactions!$J:$J,ROW()-8)="",0,INDEX(Transactions!$O:$O,ROW()-8))</f>
      </c>
    </row>
    <row r="4060" spans="1:7">
      <c r="B4060">
        <f>IF(INDEX(Transactions!$J:$J,ROW()-8)="",TODAY(),INDEX(Transactions!$G:$G,ROW()-8))</f>
      </c>
      <c r="F4060">
        <f>IF(INDEX(Transactions!$J:$J,ROW()-8)="",0,INDEX(Transactions!$O:$O,ROW()-8))</f>
      </c>
    </row>
    <row r="4061" spans="1:7">
      <c r="B4061">
        <f>IF(INDEX(Transactions!$J:$J,ROW()-8)="",TODAY(),INDEX(Transactions!$G:$G,ROW()-8))</f>
      </c>
      <c r="F4061">
        <f>IF(INDEX(Transactions!$J:$J,ROW()-8)="",0,INDEX(Transactions!$O:$O,ROW()-8))</f>
      </c>
    </row>
    <row r="4062" spans="1:7">
      <c r="B4062">
        <f>IF(INDEX(Transactions!$J:$J,ROW()-8)="",TODAY(),INDEX(Transactions!$G:$G,ROW()-8))</f>
      </c>
      <c r="F4062">
        <f>IF(INDEX(Transactions!$J:$J,ROW()-8)="",0,INDEX(Transactions!$O:$O,ROW()-8))</f>
      </c>
    </row>
    <row r="4063" spans="1:7">
      <c r="B4063">
        <f>IF(INDEX(Transactions!$J:$J,ROW()-8)="",TODAY(),INDEX(Transactions!$G:$G,ROW()-8))</f>
      </c>
      <c r="F4063">
        <f>IF(INDEX(Transactions!$J:$J,ROW()-8)="",0,INDEX(Transactions!$O:$O,ROW()-8))</f>
      </c>
    </row>
    <row r="4064" spans="1:7">
      <c r="B4064">
        <f>IF(INDEX(Transactions!$J:$J,ROW()-8)="",TODAY(),INDEX(Transactions!$G:$G,ROW()-8))</f>
      </c>
      <c r="F4064">
        <f>IF(INDEX(Transactions!$J:$J,ROW()-8)="",0,INDEX(Transactions!$O:$O,ROW()-8))</f>
      </c>
    </row>
    <row r="4065" spans="1:7">
      <c r="B4065">
        <f>IF(INDEX(Transactions!$J:$J,ROW()-8)="",TODAY(),INDEX(Transactions!$G:$G,ROW()-8))</f>
      </c>
      <c r="F4065">
        <f>IF(INDEX(Transactions!$J:$J,ROW()-8)="",0,INDEX(Transactions!$O:$O,ROW()-8))</f>
      </c>
    </row>
    <row r="4066" spans="1:7">
      <c r="B4066">
        <f>IF(INDEX(Transactions!$J:$J,ROW()-8)="",TODAY(),INDEX(Transactions!$G:$G,ROW()-8))</f>
      </c>
      <c r="F4066">
        <f>IF(INDEX(Transactions!$J:$J,ROW()-8)="",0,INDEX(Transactions!$O:$O,ROW()-8))</f>
      </c>
    </row>
    <row r="4067" spans="1:7">
      <c r="B4067">
        <f>IF(INDEX(Transactions!$J:$J,ROW()-8)="",TODAY(),INDEX(Transactions!$G:$G,ROW()-8))</f>
      </c>
      <c r="F4067">
        <f>IF(INDEX(Transactions!$J:$J,ROW()-8)="",0,INDEX(Transactions!$O:$O,ROW()-8))</f>
      </c>
    </row>
    <row r="4068" spans="1:7">
      <c r="B4068">
        <f>IF(INDEX(Transactions!$J:$J,ROW()-8)="",TODAY(),INDEX(Transactions!$G:$G,ROW()-8))</f>
      </c>
      <c r="F4068">
        <f>IF(INDEX(Transactions!$J:$J,ROW()-8)="",0,INDEX(Transactions!$O:$O,ROW()-8))</f>
      </c>
    </row>
    <row r="4069" spans="1:7">
      <c r="B4069">
        <f>IF(INDEX(Transactions!$J:$J,ROW()-8)="",TODAY(),INDEX(Transactions!$G:$G,ROW()-8))</f>
      </c>
      <c r="F4069">
        <f>IF(INDEX(Transactions!$J:$J,ROW()-8)="",0,INDEX(Transactions!$O:$O,ROW()-8))</f>
      </c>
    </row>
    <row r="4070" spans="1:7">
      <c r="B4070">
        <f>IF(INDEX(Transactions!$J:$J,ROW()-8)="",TODAY(),INDEX(Transactions!$G:$G,ROW()-8))</f>
      </c>
      <c r="F4070">
        <f>IF(INDEX(Transactions!$J:$J,ROW()-8)="",0,INDEX(Transactions!$O:$O,ROW()-8))</f>
      </c>
    </row>
    <row r="4071" spans="1:7">
      <c r="B4071">
        <f>IF(INDEX(Transactions!$J:$J,ROW()-8)="",TODAY(),INDEX(Transactions!$G:$G,ROW()-8))</f>
      </c>
      <c r="F4071">
        <f>IF(INDEX(Transactions!$J:$J,ROW()-8)="",0,INDEX(Transactions!$O:$O,ROW()-8))</f>
      </c>
    </row>
    <row r="4072" spans="1:7">
      <c r="B4072">
        <f>IF(INDEX(Transactions!$J:$J,ROW()-8)="",TODAY(),INDEX(Transactions!$G:$G,ROW()-8))</f>
      </c>
      <c r="F4072">
        <f>IF(INDEX(Transactions!$J:$J,ROW()-8)="",0,INDEX(Transactions!$O:$O,ROW()-8))</f>
      </c>
    </row>
    <row r="4073" spans="1:7">
      <c r="B4073">
        <f>IF(INDEX(Transactions!$J:$J,ROW()-8)="",TODAY(),INDEX(Transactions!$G:$G,ROW()-8))</f>
      </c>
      <c r="F4073">
        <f>IF(INDEX(Transactions!$J:$J,ROW()-8)="",0,INDEX(Transactions!$O:$O,ROW()-8))</f>
      </c>
    </row>
    <row r="4074" spans="1:7">
      <c r="B4074">
        <f>IF(INDEX(Transactions!$J:$J,ROW()-8)="",TODAY(),INDEX(Transactions!$G:$G,ROW()-8))</f>
      </c>
      <c r="F4074">
        <f>IF(INDEX(Transactions!$J:$J,ROW()-8)="",0,INDEX(Transactions!$O:$O,ROW()-8))</f>
      </c>
    </row>
    <row r="4075" spans="1:7">
      <c r="B4075">
        <f>IF(INDEX(Transactions!$J:$J,ROW()-8)="",TODAY(),INDEX(Transactions!$G:$G,ROW()-8))</f>
      </c>
      <c r="F4075">
        <f>IF(INDEX(Transactions!$J:$J,ROW()-8)="",0,INDEX(Transactions!$O:$O,ROW()-8))</f>
      </c>
    </row>
    <row r="4076" spans="1:7">
      <c r="B4076">
        <f>IF(INDEX(Transactions!$J:$J,ROW()-8)="",TODAY(),INDEX(Transactions!$G:$G,ROW()-8))</f>
      </c>
      <c r="F4076">
        <f>IF(INDEX(Transactions!$J:$J,ROW()-8)="",0,INDEX(Transactions!$O:$O,ROW()-8))</f>
      </c>
    </row>
    <row r="4077" spans="1:7">
      <c r="B4077">
        <f>IF(INDEX(Transactions!$J:$J,ROW()-8)="",TODAY(),INDEX(Transactions!$G:$G,ROW()-8))</f>
      </c>
      <c r="F4077">
        <f>IF(INDEX(Transactions!$J:$J,ROW()-8)="",0,INDEX(Transactions!$O:$O,ROW()-8))</f>
      </c>
    </row>
    <row r="4078" spans="1:7">
      <c r="B4078">
        <f>IF(INDEX(Transactions!$J:$J,ROW()-8)="",TODAY(),INDEX(Transactions!$G:$G,ROW()-8))</f>
      </c>
      <c r="F4078">
        <f>IF(INDEX(Transactions!$J:$J,ROW()-8)="",0,INDEX(Transactions!$O:$O,ROW()-8))</f>
      </c>
    </row>
    <row r="4079" spans="1:7">
      <c r="B4079">
        <f>IF(INDEX(Transactions!$J:$J,ROW()-8)="",TODAY(),INDEX(Transactions!$G:$G,ROW()-8))</f>
      </c>
      <c r="F4079">
        <f>IF(INDEX(Transactions!$J:$J,ROW()-8)="",0,INDEX(Transactions!$O:$O,ROW()-8))</f>
      </c>
    </row>
    <row r="4080" spans="1:7">
      <c r="B4080">
        <f>IF(INDEX(Transactions!$J:$J,ROW()-8)="",TODAY(),INDEX(Transactions!$G:$G,ROW()-8))</f>
      </c>
      <c r="F4080">
        <f>IF(INDEX(Transactions!$J:$J,ROW()-8)="",0,INDEX(Transactions!$O:$O,ROW()-8))</f>
      </c>
    </row>
    <row r="4081" spans="1:7">
      <c r="B4081">
        <f>IF(INDEX(Transactions!$J:$J,ROW()-8)="",TODAY(),INDEX(Transactions!$G:$G,ROW()-8))</f>
      </c>
      <c r="F4081">
        <f>IF(INDEX(Transactions!$J:$J,ROW()-8)="",0,INDEX(Transactions!$O:$O,ROW()-8))</f>
      </c>
    </row>
    <row r="4082" spans="1:7">
      <c r="B4082">
        <f>IF(INDEX(Transactions!$J:$J,ROW()-8)="",TODAY(),INDEX(Transactions!$G:$G,ROW()-8))</f>
      </c>
      <c r="F4082">
        <f>IF(INDEX(Transactions!$J:$J,ROW()-8)="",0,INDEX(Transactions!$O:$O,ROW()-8))</f>
      </c>
    </row>
    <row r="4083" spans="1:7">
      <c r="B4083">
        <f>IF(INDEX(Transactions!$J:$J,ROW()-8)="",TODAY(),INDEX(Transactions!$G:$G,ROW()-8))</f>
      </c>
      <c r="F4083">
        <f>IF(INDEX(Transactions!$J:$J,ROW()-8)="",0,INDEX(Transactions!$O:$O,ROW()-8))</f>
      </c>
    </row>
    <row r="4084" spans="1:7">
      <c r="B4084">
        <f>IF(INDEX(Transactions!$J:$J,ROW()-8)="",TODAY(),INDEX(Transactions!$G:$G,ROW()-8))</f>
      </c>
      <c r="F4084">
        <f>IF(INDEX(Transactions!$J:$J,ROW()-8)="",0,INDEX(Transactions!$O:$O,ROW()-8))</f>
      </c>
    </row>
    <row r="4085" spans="1:7">
      <c r="B4085">
        <f>IF(INDEX(Transactions!$J:$J,ROW()-8)="",TODAY(),INDEX(Transactions!$G:$G,ROW()-8))</f>
      </c>
      <c r="F4085">
        <f>IF(INDEX(Transactions!$J:$J,ROW()-8)="",0,INDEX(Transactions!$O:$O,ROW()-8))</f>
      </c>
    </row>
    <row r="4086" spans="1:7">
      <c r="B4086">
        <f>IF(INDEX(Transactions!$J:$J,ROW()-8)="",TODAY(),INDEX(Transactions!$G:$G,ROW()-8))</f>
      </c>
      <c r="F4086">
        <f>IF(INDEX(Transactions!$J:$J,ROW()-8)="",0,INDEX(Transactions!$O:$O,ROW()-8))</f>
      </c>
    </row>
    <row r="4087" spans="1:7">
      <c r="B4087">
        <f>IF(INDEX(Transactions!$J:$J,ROW()-8)="",TODAY(),INDEX(Transactions!$G:$G,ROW()-8))</f>
      </c>
      <c r="F4087">
        <f>IF(INDEX(Transactions!$J:$J,ROW()-8)="",0,INDEX(Transactions!$O:$O,ROW()-8))</f>
      </c>
    </row>
    <row r="4088" spans="1:7">
      <c r="B4088">
        <f>IF(INDEX(Transactions!$J:$J,ROW()-8)="",TODAY(),INDEX(Transactions!$G:$G,ROW()-8))</f>
      </c>
      <c r="F4088">
        <f>IF(INDEX(Transactions!$J:$J,ROW()-8)="",0,INDEX(Transactions!$O:$O,ROW()-8))</f>
      </c>
    </row>
    <row r="4089" spans="1:7">
      <c r="B4089">
        <f>IF(INDEX(Transactions!$J:$J,ROW()-8)="",TODAY(),INDEX(Transactions!$G:$G,ROW()-8))</f>
      </c>
      <c r="F4089">
        <f>IF(INDEX(Transactions!$J:$J,ROW()-8)="",0,INDEX(Transactions!$O:$O,ROW()-8))</f>
      </c>
    </row>
    <row r="4090" spans="1:7">
      <c r="B4090">
        <f>IF(INDEX(Transactions!$J:$J,ROW()-8)="",TODAY(),INDEX(Transactions!$G:$G,ROW()-8))</f>
      </c>
      <c r="F4090">
        <f>IF(INDEX(Transactions!$J:$J,ROW()-8)="",0,INDEX(Transactions!$O:$O,ROW()-8))</f>
      </c>
    </row>
    <row r="4091" spans="1:7">
      <c r="B4091">
        <f>IF(INDEX(Transactions!$J:$J,ROW()-8)="",TODAY(),INDEX(Transactions!$G:$G,ROW()-8))</f>
      </c>
      <c r="F4091">
        <f>IF(INDEX(Transactions!$J:$J,ROW()-8)="",0,INDEX(Transactions!$O:$O,ROW()-8))</f>
      </c>
    </row>
    <row r="4092" spans="1:7">
      <c r="B4092">
        <f>IF(INDEX(Transactions!$J:$J,ROW()-8)="",TODAY(),INDEX(Transactions!$G:$G,ROW()-8))</f>
      </c>
      <c r="F4092">
        <f>IF(INDEX(Transactions!$J:$J,ROW()-8)="",0,INDEX(Transactions!$O:$O,ROW()-8))</f>
      </c>
    </row>
    <row r="4093" spans="1:7">
      <c r="B4093">
        <f>IF(INDEX(Transactions!$J:$J,ROW()-8)="",TODAY(),INDEX(Transactions!$G:$G,ROW()-8))</f>
      </c>
      <c r="F4093">
        <f>IF(INDEX(Transactions!$J:$J,ROW()-8)="",0,INDEX(Transactions!$O:$O,ROW()-8))</f>
      </c>
    </row>
    <row r="4094" spans="1:7">
      <c r="B4094">
        <f>IF(INDEX(Transactions!$J:$J,ROW()-8)="",TODAY(),INDEX(Transactions!$G:$G,ROW()-8))</f>
      </c>
      <c r="F4094">
        <f>IF(INDEX(Transactions!$J:$J,ROW()-8)="",0,INDEX(Transactions!$O:$O,ROW()-8))</f>
      </c>
    </row>
    <row r="4095" spans="1:7">
      <c r="B4095">
        <f>IF(INDEX(Transactions!$J:$J,ROW()-8)="",TODAY(),INDEX(Transactions!$G:$G,ROW()-8))</f>
      </c>
      <c r="F4095">
        <f>IF(INDEX(Transactions!$J:$J,ROW()-8)="",0,INDEX(Transactions!$O:$O,ROW()-8))</f>
      </c>
    </row>
    <row r="4096" spans="1:7">
      <c r="B4096">
        <f>IF(INDEX(Transactions!$J:$J,ROW()-8)="",TODAY(),INDEX(Transactions!$G:$G,ROW()-8))</f>
      </c>
      <c r="F4096">
        <f>IF(INDEX(Transactions!$J:$J,ROW()-8)="",0,INDEX(Transactions!$O:$O,ROW()-8))</f>
      </c>
    </row>
    <row r="4097" spans="1:7">
      <c r="B4097">
        <f>IF(INDEX(Transactions!$J:$J,ROW()-8)="",TODAY(),INDEX(Transactions!$G:$G,ROW()-8))</f>
      </c>
      <c r="F4097">
        <f>IF(INDEX(Transactions!$J:$J,ROW()-8)="",0,INDEX(Transactions!$O:$O,ROW()-8))</f>
      </c>
    </row>
    <row r="4098" spans="1:7">
      <c r="B4098">
        <f>IF(INDEX(Transactions!$J:$J,ROW()-8)="",TODAY(),INDEX(Transactions!$G:$G,ROW()-8))</f>
      </c>
      <c r="F4098">
        <f>IF(INDEX(Transactions!$J:$J,ROW()-8)="",0,INDEX(Transactions!$O:$O,ROW()-8))</f>
      </c>
    </row>
    <row r="4099" spans="1:7">
      <c r="B4099">
        <f>IF(INDEX(Transactions!$J:$J,ROW()-8)="",TODAY(),INDEX(Transactions!$G:$G,ROW()-8))</f>
      </c>
      <c r="F4099">
        <f>IF(INDEX(Transactions!$J:$J,ROW()-8)="",0,INDEX(Transactions!$O:$O,ROW()-8))</f>
      </c>
    </row>
    <row r="4100" spans="1:7">
      <c r="B4100">
        <f>IF(INDEX(Transactions!$J:$J,ROW()-8)="",TODAY(),INDEX(Transactions!$G:$G,ROW()-8))</f>
      </c>
      <c r="F4100">
        <f>IF(INDEX(Transactions!$J:$J,ROW()-8)="",0,INDEX(Transactions!$O:$O,ROW()-8))</f>
      </c>
    </row>
    <row r="4101" spans="1:7">
      <c r="B4101">
        <f>IF(INDEX(Transactions!$J:$J,ROW()-8)="",TODAY(),INDEX(Transactions!$G:$G,ROW()-8))</f>
      </c>
      <c r="F4101">
        <f>IF(INDEX(Transactions!$J:$J,ROW()-8)="",0,INDEX(Transactions!$O:$O,ROW()-8))</f>
      </c>
    </row>
    <row r="4102" spans="1:7">
      <c r="B4102">
        <f>IF(INDEX(Transactions!$J:$J,ROW()-8)="",TODAY(),INDEX(Transactions!$G:$G,ROW()-8))</f>
      </c>
      <c r="F4102">
        <f>IF(INDEX(Transactions!$J:$J,ROW()-8)="",0,INDEX(Transactions!$O:$O,ROW()-8))</f>
      </c>
    </row>
    <row r="4103" spans="1:7">
      <c r="B4103">
        <f>IF(INDEX(Transactions!$J:$J,ROW()-8)="",TODAY(),INDEX(Transactions!$G:$G,ROW()-8))</f>
      </c>
      <c r="F4103">
        <f>IF(INDEX(Transactions!$J:$J,ROW()-8)="",0,INDEX(Transactions!$O:$O,ROW()-8))</f>
      </c>
    </row>
    <row r="4104" spans="1:7">
      <c r="B4104">
        <f>IF(INDEX(Transactions!$J:$J,ROW()-8)="",TODAY(),INDEX(Transactions!$G:$G,ROW()-8))</f>
      </c>
      <c r="F4104">
        <f>IF(INDEX(Transactions!$J:$J,ROW()-8)="",0,INDEX(Transactions!$O:$O,ROW()-8))</f>
      </c>
    </row>
    <row r="4105" spans="1:7">
      <c r="B4105">
        <f>IF(INDEX(Transactions!$J:$J,ROW()-8)="",TODAY(),INDEX(Transactions!$G:$G,ROW()-8))</f>
      </c>
      <c r="F4105">
        <f>IF(INDEX(Transactions!$J:$J,ROW()-8)="",0,INDEX(Transactions!$O:$O,ROW()-8))</f>
      </c>
    </row>
    <row r="4106" spans="1:7">
      <c r="B4106">
        <f>IF(INDEX(Transactions!$J:$J,ROW()-8)="",TODAY(),INDEX(Transactions!$G:$G,ROW()-8))</f>
      </c>
      <c r="F4106">
        <f>IF(INDEX(Transactions!$J:$J,ROW()-8)="",0,INDEX(Transactions!$O:$O,ROW()-8))</f>
      </c>
    </row>
    <row r="4107" spans="1:7">
      <c r="B4107">
        <f>IF(INDEX(Transactions!$J:$J,ROW()-8)="",TODAY(),INDEX(Transactions!$G:$G,ROW()-8))</f>
      </c>
      <c r="F4107">
        <f>IF(INDEX(Transactions!$J:$J,ROW()-8)="",0,INDEX(Transactions!$O:$O,ROW()-8))</f>
      </c>
    </row>
    <row r="4108" spans="1:7">
      <c r="B4108">
        <f>IF(INDEX(Transactions!$J:$J,ROW()-8)="",TODAY(),INDEX(Transactions!$G:$G,ROW()-8))</f>
      </c>
      <c r="F4108">
        <f>IF(INDEX(Transactions!$J:$J,ROW()-8)="",0,INDEX(Transactions!$O:$O,ROW()-8))</f>
      </c>
    </row>
    <row r="4109" spans="1:7">
      <c r="B4109">
        <f>IF(INDEX(Transactions!$J:$J,ROW()-8)="",TODAY(),INDEX(Transactions!$G:$G,ROW()-8))</f>
      </c>
      <c r="F4109">
        <f>IF(INDEX(Transactions!$J:$J,ROW()-8)="",0,INDEX(Transactions!$O:$O,ROW()-8))</f>
      </c>
    </row>
    <row r="4110" spans="1:7">
      <c r="B4110">
        <f>IF(INDEX(Transactions!$J:$J,ROW()-8)="",TODAY(),INDEX(Transactions!$G:$G,ROW()-8))</f>
      </c>
      <c r="F4110">
        <f>IF(INDEX(Transactions!$J:$J,ROW()-8)="",0,INDEX(Transactions!$O:$O,ROW()-8))</f>
      </c>
    </row>
    <row r="4111" spans="1:7">
      <c r="B4111">
        <f>IF(INDEX(Transactions!$J:$J,ROW()-8)="",TODAY(),INDEX(Transactions!$G:$G,ROW()-8))</f>
      </c>
      <c r="F4111">
        <f>IF(INDEX(Transactions!$J:$J,ROW()-8)="",0,INDEX(Transactions!$O:$O,ROW()-8))</f>
      </c>
    </row>
    <row r="4112" spans="1:7">
      <c r="B4112">
        <f>IF(INDEX(Transactions!$J:$J,ROW()-8)="",TODAY(),INDEX(Transactions!$G:$G,ROW()-8))</f>
      </c>
      <c r="F4112">
        <f>IF(INDEX(Transactions!$J:$J,ROW()-8)="",0,INDEX(Transactions!$O:$O,ROW()-8))</f>
      </c>
    </row>
    <row r="4113" spans="1:7">
      <c r="B4113">
        <f>IF(INDEX(Transactions!$J:$J,ROW()-8)="",TODAY(),INDEX(Transactions!$G:$G,ROW()-8))</f>
      </c>
      <c r="F4113">
        <f>IF(INDEX(Transactions!$J:$J,ROW()-8)="",0,INDEX(Transactions!$O:$O,ROW()-8))</f>
      </c>
    </row>
    <row r="4114" spans="1:7">
      <c r="B4114">
        <f>IF(INDEX(Transactions!$J:$J,ROW()-8)="",TODAY(),INDEX(Transactions!$G:$G,ROW()-8))</f>
      </c>
      <c r="F4114">
        <f>IF(INDEX(Transactions!$J:$J,ROW()-8)="",0,INDEX(Transactions!$O:$O,ROW()-8))</f>
      </c>
    </row>
    <row r="4115" spans="1:7">
      <c r="B4115">
        <f>IF(INDEX(Transactions!$J:$J,ROW()-8)="",TODAY(),INDEX(Transactions!$G:$G,ROW()-8))</f>
      </c>
      <c r="F4115">
        <f>IF(INDEX(Transactions!$J:$J,ROW()-8)="",0,INDEX(Transactions!$O:$O,ROW()-8))</f>
      </c>
    </row>
    <row r="4116" spans="1:7">
      <c r="B4116">
        <f>IF(INDEX(Transactions!$J:$J,ROW()-8)="",TODAY(),INDEX(Transactions!$G:$G,ROW()-8))</f>
      </c>
      <c r="F4116">
        <f>IF(INDEX(Transactions!$J:$J,ROW()-8)="",0,INDEX(Transactions!$O:$O,ROW()-8))</f>
      </c>
    </row>
    <row r="4117" spans="1:7">
      <c r="B4117">
        <f>IF(INDEX(Transactions!$J:$J,ROW()-8)="",TODAY(),INDEX(Transactions!$G:$G,ROW()-8))</f>
      </c>
      <c r="F4117">
        <f>IF(INDEX(Transactions!$J:$J,ROW()-8)="",0,INDEX(Transactions!$O:$O,ROW()-8))</f>
      </c>
    </row>
    <row r="4118" spans="1:7">
      <c r="B4118">
        <f>IF(INDEX(Transactions!$J:$J,ROW()-8)="",TODAY(),INDEX(Transactions!$G:$G,ROW()-8))</f>
      </c>
      <c r="F4118">
        <f>IF(INDEX(Transactions!$J:$J,ROW()-8)="",0,INDEX(Transactions!$O:$O,ROW()-8))</f>
      </c>
    </row>
    <row r="4119" spans="1:7">
      <c r="B4119">
        <f>IF(INDEX(Transactions!$J:$J,ROW()-8)="",TODAY(),INDEX(Transactions!$G:$G,ROW()-8))</f>
      </c>
      <c r="F4119">
        <f>IF(INDEX(Transactions!$J:$J,ROW()-8)="",0,INDEX(Transactions!$O:$O,ROW()-8))</f>
      </c>
    </row>
    <row r="4120" spans="1:7">
      <c r="B4120">
        <f>IF(INDEX(Transactions!$J:$J,ROW()-8)="",TODAY(),INDEX(Transactions!$G:$G,ROW()-8))</f>
      </c>
      <c r="F4120">
        <f>IF(INDEX(Transactions!$J:$J,ROW()-8)="",0,INDEX(Transactions!$O:$O,ROW()-8))</f>
      </c>
    </row>
    <row r="4121" spans="1:7">
      <c r="B4121">
        <f>IF(INDEX(Transactions!$J:$J,ROW()-8)="",TODAY(),INDEX(Transactions!$G:$G,ROW()-8))</f>
      </c>
      <c r="F4121">
        <f>IF(INDEX(Transactions!$J:$J,ROW()-8)="",0,INDEX(Transactions!$O:$O,ROW()-8))</f>
      </c>
    </row>
    <row r="4122" spans="1:7">
      <c r="B4122">
        <f>IF(INDEX(Transactions!$J:$J,ROW()-8)="",TODAY(),INDEX(Transactions!$G:$G,ROW()-8))</f>
      </c>
      <c r="F4122">
        <f>IF(INDEX(Transactions!$J:$J,ROW()-8)="",0,INDEX(Transactions!$O:$O,ROW()-8))</f>
      </c>
    </row>
    <row r="4123" spans="1:7">
      <c r="B4123">
        <f>IF(INDEX(Transactions!$J:$J,ROW()-8)="",TODAY(),INDEX(Transactions!$G:$G,ROW()-8))</f>
      </c>
      <c r="F4123">
        <f>IF(INDEX(Transactions!$J:$J,ROW()-8)="",0,INDEX(Transactions!$O:$O,ROW()-8))</f>
      </c>
    </row>
    <row r="4124" spans="1:7">
      <c r="B4124">
        <f>IF(INDEX(Transactions!$J:$J,ROW()-8)="",TODAY(),INDEX(Transactions!$G:$G,ROW()-8))</f>
      </c>
      <c r="F4124">
        <f>IF(INDEX(Transactions!$J:$J,ROW()-8)="",0,INDEX(Transactions!$O:$O,ROW()-8))</f>
      </c>
    </row>
    <row r="4125" spans="1:7">
      <c r="B4125">
        <f>IF(INDEX(Transactions!$J:$J,ROW()-8)="",TODAY(),INDEX(Transactions!$G:$G,ROW()-8))</f>
      </c>
      <c r="F4125">
        <f>IF(INDEX(Transactions!$J:$J,ROW()-8)="",0,INDEX(Transactions!$O:$O,ROW()-8))</f>
      </c>
    </row>
    <row r="4126" spans="1:7">
      <c r="B4126">
        <f>IF(INDEX(Transactions!$J:$J,ROW()-8)="",TODAY(),INDEX(Transactions!$G:$G,ROW()-8))</f>
      </c>
      <c r="F4126">
        <f>IF(INDEX(Transactions!$J:$J,ROW()-8)="",0,INDEX(Transactions!$O:$O,ROW()-8))</f>
      </c>
    </row>
    <row r="4127" spans="1:7">
      <c r="B4127">
        <f>IF(INDEX(Transactions!$J:$J,ROW()-8)="",TODAY(),INDEX(Transactions!$G:$G,ROW()-8))</f>
      </c>
      <c r="F4127">
        <f>IF(INDEX(Transactions!$J:$J,ROW()-8)="",0,INDEX(Transactions!$O:$O,ROW()-8))</f>
      </c>
    </row>
    <row r="4128" spans="1:7">
      <c r="B4128">
        <f>IF(INDEX(Transactions!$J:$J,ROW()-8)="",TODAY(),INDEX(Transactions!$G:$G,ROW()-8))</f>
      </c>
      <c r="F4128">
        <f>IF(INDEX(Transactions!$J:$J,ROW()-8)="",0,INDEX(Transactions!$O:$O,ROW()-8))</f>
      </c>
    </row>
    <row r="4129" spans="1:7">
      <c r="B4129">
        <f>IF(INDEX(Transactions!$J:$J,ROW()-8)="",TODAY(),INDEX(Transactions!$G:$G,ROW()-8))</f>
      </c>
      <c r="F4129">
        <f>IF(INDEX(Transactions!$J:$J,ROW()-8)="",0,INDEX(Transactions!$O:$O,ROW()-8))</f>
      </c>
    </row>
    <row r="4130" spans="1:7">
      <c r="B4130">
        <f>IF(INDEX(Transactions!$J:$J,ROW()-8)="",TODAY(),INDEX(Transactions!$G:$G,ROW()-8))</f>
      </c>
      <c r="F4130">
        <f>IF(INDEX(Transactions!$J:$J,ROW()-8)="",0,INDEX(Transactions!$O:$O,ROW()-8))</f>
      </c>
    </row>
    <row r="4131" spans="1:7">
      <c r="B4131">
        <f>IF(INDEX(Transactions!$J:$J,ROW()-8)="",TODAY(),INDEX(Transactions!$G:$G,ROW()-8))</f>
      </c>
      <c r="F4131">
        <f>IF(INDEX(Transactions!$J:$J,ROW()-8)="",0,INDEX(Transactions!$O:$O,ROW()-8))</f>
      </c>
    </row>
    <row r="4132" spans="1:7">
      <c r="B4132">
        <f>IF(INDEX(Transactions!$J:$J,ROW()-8)="",TODAY(),INDEX(Transactions!$G:$G,ROW()-8))</f>
      </c>
      <c r="F4132">
        <f>IF(INDEX(Transactions!$J:$J,ROW()-8)="",0,INDEX(Transactions!$O:$O,ROW()-8))</f>
      </c>
    </row>
    <row r="4133" spans="1:7">
      <c r="B4133">
        <f>IF(INDEX(Transactions!$J:$J,ROW()-8)="",TODAY(),INDEX(Transactions!$G:$G,ROW()-8))</f>
      </c>
      <c r="F4133">
        <f>IF(INDEX(Transactions!$J:$J,ROW()-8)="",0,INDEX(Transactions!$O:$O,ROW()-8))</f>
      </c>
    </row>
    <row r="4134" spans="1:7">
      <c r="B4134">
        <f>IF(INDEX(Transactions!$J:$J,ROW()-8)="",TODAY(),INDEX(Transactions!$G:$G,ROW()-8))</f>
      </c>
      <c r="F4134">
        <f>IF(INDEX(Transactions!$J:$J,ROW()-8)="",0,INDEX(Transactions!$O:$O,ROW()-8))</f>
      </c>
    </row>
    <row r="4135" spans="1:7">
      <c r="B4135">
        <f>IF(INDEX(Transactions!$J:$J,ROW()-8)="",TODAY(),INDEX(Transactions!$G:$G,ROW()-8))</f>
      </c>
      <c r="F4135">
        <f>IF(INDEX(Transactions!$J:$J,ROW()-8)="",0,INDEX(Transactions!$O:$O,ROW()-8))</f>
      </c>
    </row>
    <row r="4136" spans="1:7">
      <c r="B4136">
        <f>IF(INDEX(Transactions!$J:$J,ROW()-8)="",TODAY(),INDEX(Transactions!$G:$G,ROW()-8))</f>
      </c>
      <c r="F4136">
        <f>IF(INDEX(Transactions!$J:$J,ROW()-8)="",0,INDEX(Transactions!$O:$O,ROW()-8))</f>
      </c>
    </row>
    <row r="4137" spans="1:7">
      <c r="B4137">
        <f>IF(INDEX(Transactions!$J:$J,ROW()-8)="",TODAY(),INDEX(Transactions!$G:$G,ROW()-8))</f>
      </c>
      <c r="F4137">
        <f>IF(INDEX(Transactions!$J:$J,ROW()-8)="",0,INDEX(Transactions!$O:$O,ROW()-8))</f>
      </c>
    </row>
    <row r="4138" spans="1:7">
      <c r="B4138">
        <f>IF(INDEX(Transactions!$J:$J,ROW()-8)="",TODAY(),INDEX(Transactions!$G:$G,ROW()-8))</f>
      </c>
      <c r="F4138">
        <f>IF(INDEX(Transactions!$J:$J,ROW()-8)="",0,INDEX(Transactions!$O:$O,ROW()-8))</f>
      </c>
    </row>
    <row r="4139" spans="1:7">
      <c r="B4139">
        <f>IF(INDEX(Transactions!$J:$J,ROW()-8)="",TODAY(),INDEX(Transactions!$G:$G,ROW()-8))</f>
      </c>
      <c r="F4139">
        <f>IF(INDEX(Transactions!$J:$J,ROW()-8)="",0,INDEX(Transactions!$O:$O,ROW()-8))</f>
      </c>
    </row>
    <row r="4140" spans="1:7">
      <c r="B4140">
        <f>IF(INDEX(Transactions!$J:$J,ROW()-8)="",TODAY(),INDEX(Transactions!$G:$G,ROW()-8))</f>
      </c>
      <c r="F4140">
        <f>IF(INDEX(Transactions!$J:$J,ROW()-8)="",0,INDEX(Transactions!$O:$O,ROW()-8))</f>
      </c>
    </row>
    <row r="4141" spans="1:7">
      <c r="B4141">
        <f>IF(INDEX(Transactions!$J:$J,ROW()-8)="",TODAY(),INDEX(Transactions!$G:$G,ROW()-8))</f>
      </c>
      <c r="F4141">
        <f>IF(INDEX(Transactions!$J:$J,ROW()-8)="",0,INDEX(Transactions!$O:$O,ROW()-8))</f>
      </c>
    </row>
    <row r="4142" spans="1:7">
      <c r="B4142">
        <f>IF(INDEX(Transactions!$J:$J,ROW()-8)="",TODAY(),INDEX(Transactions!$G:$G,ROW()-8))</f>
      </c>
      <c r="F4142">
        <f>IF(INDEX(Transactions!$J:$J,ROW()-8)="",0,INDEX(Transactions!$O:$O,ROW()-8))</f>
      </c>
    </row>
    <row r="4143" spans="1:7">
      <c r="B4143">
        <f>IF(INDEX(Transactions!$J:$J,ROW()-8)="",TODAY(),INDEX(Transactions!$G:$G,ROW()-8))</f>
      </c>
      <c r="F4143">
        <f>IF(INDEX(Transactions!$J:$J,ROW()-8)="",0,INDEX(Transactions!$O:$O,ROW()-8))</f>
      </c>
    </row>
    <row r="4144" spans="1:7">
      <c r="B4144">
        <f>IF(INDEX(Transactions!$J:$J,ROW()-8)="",TODAY(),INDEX(Transactions!$G:$G,ROW()-8))</f>
      </c>
      <c r="F4144">
        <f>IF(INDEX(Transactions!$J:$J,ROW()-8)="",0,INDEX(Transactions!$O:$O,ROW()-8))</f>
      </c>
    </row>
    <row r="4145" spans="1:7">
      <c r="B4145">
        <f>IF(INDEX(Transactions!$J:$J,ROW()-8)="",TODAY(),INDEX(Transactions!$G:$G,ROW()-8))</f>
      </c>
      <c r="F4145">
        <f>IF(INDEX(Transactions!$J:$J,ROW()-8)="",0,INDEX(Transactions!$O:$O,ROW()-8))</f>
      </c>
    </row>
    <row r="4146" spans="1:7">
      <c r="B4146">
        <f>IF(INDEX(Transactions!$J:$J,ROW()-8)="",TODAY(),INDEX(Transactions!$G:$G,ROW()-8))</f>
      </c>
      <c r="F4146">
        <f>IF(INDEX(Transactions!$J:$J,ROW()-8)="",0,INDEX(Transactions!$O:$O,ROW()-8))</f>
      </c>
    </row>
    <row r="4147" spans="1:7">
      <c r="B4147">
        <f>IF(INDEX(Transactions!$J:$J,ROW()-8)="",TODAY(),INDEX(Transactions!$G:$G,ROW()-8))</f>
      </c>
      <c r="F4147">
        <f>IF(INDEX(Transactions!$J:$J,ROW()-8)="",0,INDEX(Transactions!$O:$O,ROW()-8))</f>
      </c>
    </row>
    <row r="4148" spans="1:7">
      <c r="B4148">
        <f>IF(INDEX(Transactions!$J:$J,ROW()-8)="",TODAY(),INDEX(Transactions!$G:$G,ROW()-8))</f>
      </c>
      <c r="F4148">
        <f>IF(INDEX(Transactions!$J:$J,ROW()-8)="",0,INDEX(Transactions!$O:$O,ROW()-8))</f>
      </c>
    </row>
    <row r="4149" spans="1:7">
      <c r="B4149">
        <f>IF(INDEX(Transactions!$J:$J,ROW()-8)="",TODAY(),INDEX(Transactions!$G:$G,ROW()-8))</f>
      </c>
      <c r="F4149">
        <f>IF(INDEX(Transactions!$J:$J,ROW()-8)="",0,INDEX(Transactions!$O:$O,ROW()-8))</f>
      </c>
    </row>
    <row r="4150" spans="1:7">
      <c r="B4150">
        <f>IF(INDEX(Transactions!$J:$J,ROW()-8)="",TODAY(),INDEX(Transactions!$G:$G,ROW()-8))</f>
      </c>
      <c r="F4150">
        <f>IF(INDEX(Transactions!$J:$J,ROW()-8)="",0,INDEX(Transactions!$O:$O,ROW()-8))</f>
      </c>
    </row>
    <row r="4151" spans="1:7">
      <c r="B4151">
        <f>IF(INDEX(Transactions!$J:$J,ROW()-8)="",TODAY(),INDEX(Transactions!$G:$G,ROW()-8))</f>
      </c>
      <c r="F4151">
        <f>IF(INDEX(Transactions!$J:$J,ROW()-8)="",0,INDEX(Transactions!$O:$O,ROW()-8))</f>
      </c>
    </row>
    <row r="4152" spans="1:7">
      <c r="B4152">
        <f>IF(INDEX(Transactions!$J:$J,ROW()-8)="",TODAY(),INDEX(Transactions!$G:$G,ROW()-8))</f>
      </c>
      <c r="F4152">
        <f>IF(INDEX(Transactions!$J:$J,ROW()-8)="",0,INDEX(Transactions!$O:$O,ROW()-8))</f>
      </c>
    </row>
    <row r="4153" spans="1:7">
      <c r="B4153">
        <f>IF(INDEX(Transactions!$J:$J,ROW()-8)="",TODAY(),INDEX(Transactions!$G:$G,ROW()-8))</f>
      </c>
      <c r="F4153">
        <f>IF(INDEX(Transactions!$J:$J,ROW()-8)="",0,INDEX(Transactions!$O:$O,ROW()-8))</f>
      </c>
    </row>
    <row r="4154" spans="1:7">
      <c r="B4154">
        <f>IF(INDEX(Transactions!$J:$J,ROW()-8)="",TODAY(),INDEX(Transactions!$G:$G,ROW()-8))</f>
      </c>
      <c r="F4154">
        <f>IF(INDEX(Transactions!$J:$J,ROW()-8)="",0,INDEX(Transactions!$O:$O,ROW()-8))</f>
      </c>
    </row>
    <row r="4155" spans="1:7">
      <c r="B4155">
        <f>IF(INDEX(Transactions!$J:$J,ROW()-8)="",TODAY(),INDEX(Transactions!$G:$G,ROW()-8))</f>
      </c>
      <c r="F4155">
        <f>IF(INDEX(Transactions!$J:$J,ROW()-8)="",0,INDEX(Transactions!$O:$O,ROW()-8))</f>
      </c>
    </row>
    <row r="4156" spans="1:7">
      <c r="B4156">
        <f>IF(INDEX(Transactions!$J:$J,ROW()-8)="",TODAY(),INDEX(Transactions!$G:$G,ROW()-8))</f>
      </c>
      <c r="F4156">
        <f>IF(INDEX(Transactions!$J:$J,ROW()-8)="",0,INDEX(Transactions!$O:$O,ROW()-8))</f>
      </c>
    </row>
    <row r="4157" spans="1:7">
      <c r="B4157">
        <f>IF(INDEX(Transactions!$J:$J,ROW()-8)="",TODAY(),INDEX(Transactions!$G:$G,ROW()-8))</f>
      </c>
      <c r="F4157">
        <f>IF(INDEX(Transactions!$J:$J,ROW()-8)="",0,INDEX(Transactions!$O:$O,ROW()-8))</f>
      </c>
    </row>
    <row r="4158" spans="1:7">
      <c r="B4158">
        <f>IF(INDEX(Transactions!$J:$J,ROW()-8)="",TODAY(),INDEX(Transactions!$G:$G,ROW()-8))</f>
      </c>
      <c r="F4158">
        <f>IF(INDEX(Transactions!$J:$J,ROW()-8)="",0,INDEX(Transactions!$O:$O,ROW()-8))</f>
      </c>
    </row>
    <row r="4159" spans="1:7">
      <c r="B4159">
        <f>IF(INDEX(Transactions!$J:$J,ROW()-8)="",TODAY(),INDEX(Transactions!$G:$G,ROW()-8))</f>
      </c>
      <c r="F4159">
        <f>IF(INDEX(Transactions!$J:$J,ROW()-8)="",0,INDEX(Transactions!$O:$O,ROW()-8))</f>
      </c>
    </row>
    <row r="4160" spans="1:7">
      <c r="B4160">
        <f>IF(INDEX(Transactions!$J:$J,ROW()-8)="",TODAY(),INDEX(Transactions!$G:$G,ROW()-8))</f>
      </c>
      <c r="F4160">
        <f>IF(INDEX(Transactions!$J:$J,ROW()-8)="",0,INDEX(Transactions!$O:$O,ROW()-8))</f>
      </c>
    </row>
    <row r="4161" spans="1:7">
      <c r="B4161">
        <f>IF(INDEX(Transactions!$J:$J,ROW()-8)="",TODAY(),INDEX(Transactions!$G:$G,ROW()-8))</f>
      </c>
      <c r="F4161">
        <f>IF(INDEX(Transactions!$J:$J,ROW()-8)="",0,INDEX(Transactions!$O:$O,ROW()-8))</f>
      </c>
    </row>
    <row r="4162" spans="1:7">
      <c r="B4162">
        <f>IF(INDEX(Transactions!$J:$J,ROW()-8)="",TODAY(),INDEX(Transactions!$G:$G,ROW()-8))</f>
      </c>
      <c r="F4162">
        <f>IF(INDEX(Transactions!$J:$J,ROW()-8)="",0,INDEX(Transactions!$O:$O,ROW()-8))</f>
      </c>
    </row>
    <row r="4163" spans="1:7">
      <c r="B4163">
        <f>IF(INDEX(Transactions!$J:$J,ROW()-8)="",TODAY(),INDEX(Transactions!$G:$G,ROW()-8))</f>
      </c>
      <c r="F4163">
        <f>IF(INDEX(Transactions!$J:$J,ROW()-8)="",0,INDEX(Transactions!$O:$O,ROW()-8))</f>
      </c>
    </row>
    <row r="4164" spans="1:7">
      <c r="B4164">
        <f>IF(INDEX(Transactions!$J:$J,ROW()-8)="",TODAY(),INDEX(Transactions!$G:$G,ROW()-8))</f>
      </c>
      <c r="F4164">
        <f>IF(INDEX(Transactions!$J:$J,ROW()-8)="",0,INDEX(Transactions!$O:$O,ROW()-8))</f>
      </c>
    </row>
    <row r="4165" spans="1:7">
      <c r="B4165">
        <f>IF(INDEX(Transactions!$J:$J,ROW()-8)="",TODAY(),INDEX(Transactions!$G:$G,ROW()-8))</f>
      </c>
      <c r="F4165">
        <f>IF(INDEX(Transactions!$J:$J,ROW()-8)="",0,INDEX(Transactions!$O:$O,ROW()-8))</f>
      </c>
    </row>
    <row r="4166" spans="1:7">
      <c r="B4166">
        <f>IF(INDEX(Transactions!$J:$J,ROW()-8)="",TODAY(),INDEX(Transactions!$G:$G,ROW()-8))</f>
      </c>
      <c r="F4166">
        <f>IF(INDEX(Transactions!$J:$J,ROW()-8)="",0,INDEX(Transactions!$O:$O,ROW()-8))</f>
      </c>
    </row>
    <row r="4167" spans="1:7">
      <c r="B4167">
        <f>IF(INDEX(Transactions!$J:$J,ROW()-8)="",TODAY(),INDEX(Transactions!$G:$G,ROW()-8))</f>
      </c>
      <c r="F4167">
        <f>IF(INDEX(Transactions!$J:$J,ROW()-8)="",0,INDEX(Transactions!$O:$O,ROW()-8))</f>
      </c>
    </row>
    <row r="4168" spans="1:7">
      <c r="B4168">
        <f>IF(INDEX(Transactions!$J:$J,ROW()-8)="",TODAY(),INDEX(Transactions!$G:$G,ROW()-8))</f>
      </c>
      <c r="F4168">
        <f>IF(INDEX(Transactions!$J:$J,ROW()-8)="",0,INDEX(Transactions!$O:$O,ROW()-8))</f>
      </c>
    </row>
    <row r="4169" spans="1:7">
      <c r="B4169">
        <f>IF(INDEX(Transactions!$J:$J,ROW()-8)="",TODAY(),INDEX(Transactions!$G:$G,ROW()-8))</f>
      </c>
      <c r="F4169">
        <f>IF(INDEX(Transactions!$J:$J,ROW()-8)="",0,INDEX(Transactions!$O:$O,ROW()-8))</f>
      </c>
    </row>
    <row r="4170" spans="1:7">
      <c r="B4170">
        <f>IF(INDEX(Transactions!$J:$J,ROW()-8)="",TODAY(),INDEX(Transactions!$G:$G,ROW()-8))</f>
      </c>
      <c r="F4170">
        <f>IF(INDEX(Transactions!$J:$J,ROW()-8)="",0,INDEX(Transactions!$O:$O,ROW()-8))</f>
      </c>
    </row>
    <row r="4171" spans="1:7">
      <c r="B4171">
        <f>IF(INDEX(Transactions!$J:$J,ROW()-8)="",TODAY(),INDEX(Transactions!$G:$G,ROW()-8))</f>
      </c>
      <c r="F4171">
        <f>IF(INDEX(Transactions!$J:$J,ROW()-8)="",0,INDEX(Transactions!$O:$O,ROW()-8))</f>
      </c>
    </row>
    <row r="4172" spans="1:7">
      <c r="B4172">
        <f>IF(INDEX(Transactions!$J:$J,ROW()-8)="",TODAY(),INDEX(Transactions!$G:$G,ROW()-8))</f>
      </c>
      <c r="F4172">
        <f>IF(INDEX(Transactions!$J:$J,ROW()-8)="",0,INDEX(Transactions!$O:$O,ROW()-8))</f>
      </c>
    </row>
    <row r="4173" spans="1:7">
      <c r="B4173">
        <f>IF(INDEX(Transactions!$J:$J,ROW()-8)="",TODAY(),INDEX(Transactions!$G:$G,ROW()-8))</f>
      </c>
      <c r="F4173">
        <f>IF(INDEX(Transactions!$J:$J,ROW()-8)="",0,INDEX(Transactions!$O:$O,ROW()-8))</f>
      </c>
    </row>
    <row r="4174" spans="1:7">
      <c r="B4174">
        <f>IF(INDEX(Transactions!$J:$J,ROW()-8)="",TODAY(),INDEX(Transactions!$G:$G,ROW()-8))</f>
      </c>
      <c r="F4174">
        <f>IF(INDEX(Transactions!$J:$J,ROW()-8)="",0,INDEX(Transactions!$O:$O,ROW()-8))</f>
      </c>
    </row>
    <row r="4175" spans="1:7">
      <c r="B4175">
        <f>IF(INDEX(Transactions!$J:$J,ROW()-8)="",TODAY(),INDEX(Transactions!$G:$G,ROW()-8))</f>
      </c>
      <c r="F4175">
        <f>IF(INDEX(Transactions!$J:$J,ROW()-8)="",0,INDEX(Transactions!$O:$O,ROW()-8))</f>
      </c>
    </row>
    <row r="4176" spans="1:7">
      <c r="B4176">
        <f>IF(INDEX(Transactions!$J:$J,ROW()-8)="",TODAY(),INDEX(Transactions!$G:$G,ROW()-8))</f>
      </c>
      <c r="F4176">
        <f>IF(INDEX(Transactions!$J:$J,ROW()-8)="",0,INDEX(Transactions!$O:$O,ROW()-8))</f>
      </c>
    </row>
    <row r="4177" spans="1:7">
      <c r="B4177">
        <f>IF(INDEX(Transactions!$J:$J,ROW()-8)="",TODAY(),INDEX(Transactions!$G:$G,ROW()-8))</f>
      </c>
      <c r="F4177">
        <f>IF(INDEX(Transactions!$J:$J,ROW()-8)="",0,INDEX(Transactions!$O:$O,ROW()-8))</f>
      </c>
    </row>
    <row r="4178" spans="1:7">
      <c r="B4178">
        <f>IF(INDEX(Transactions!$J:$J,ROW()-8)="",TODAY(),INDEX(Transactions!$G:$G,ROW()-8))</f>
      </c>
      <c r="F4178">
        <f>IF(INDEX(Transactions!$J:$J,ROW()-8)="",0,INDEX(Transactions!$O:$O,ROW()-8))</f>
      </c>
    </row>
    <row r="4179" spans="1:7">
      <c r="B4179">
        <f>IF(INDEX(Transactions!$J:$J,ROW()-8)="",TODAY(),INDEX(Transactions!$G:$G,ROW()-8))</f>
      </c>
      <c r="F4179">
        <f>IF(INDEX(Transactions!$J:$J,ROW()-8)="",0,INDEX(Transactions!$O:$O,ROW()-8))</f>
      </c>
    </row>
    <row r="4180" spans="1:7">
      <c r="B4180">
        <f>IF(INDEX(Transactions!$J:$J,ROW()-8)="",TODAY(),INDEX(Transactions!$G:$G,ROW()-8))</f>
      </c>
      <c r="F4180">
        <f>IF(INDEX(Transactions!$J:$J,ROW()-8)="",0,INDEX(Transactions!$O:$O,ROW()-8))</f>
      </c>
    </row>
    <row r="4181" spans="1:7">
      <c r="B4181">
        <f>IF(INDEX(Transactions!$J:$J,ROW()-8)="",TODAY(),INDEX(Transactions!$G:$G,ROW()-8))</f>
      </c>
      <c r="F4181">
        <f>IF(INDEX(Transactions!$J:$J,ROW()-8)="",0,INDEX(Transactions!$O:$O,ROW()-8))</f>
      </c>
    </row>
    <row r="4182" spans="1:7">
      <c r="B4182">
        <f>IF(INDEX(Transactions!$J:$J,ROW()-8)="",TODAY(),INDEX(Transactions!$G:$G,ROW()-8))</f>
      </c>
      <c r="F4182">
        <f>IF(INDEX(Transactions!$J:$J,ROW()-8)="",0,INDEX(Transactions!$O:$O,ROW()-8))</f>
      </c>
    </row>
    <row r="4183" spans="1:7">
      <c r="B4183">
        <f>IF(INDEX(Transactions!$J:$J,ROW()-8)="",TODAY(),INDEX(Transactions!$G:$G,ROW()-8))</f>
      </c>
      <c r="F4183">
        <f>IF(INDEX(Transactions!$J:$J,ROW()-8)="",0,INDEX(Transactions!$O:$O,ROW()-8))</f>
      </c>
    </row>
    <row r="4184" spans="1:7">
      <c r="B4184">
        <f>IF(INDEX(Transactions!$J:$J,ROW()-8)="",TODAY(),INDEX(Transactions!$G:$G,ROW()-8))</f>
      </c>
      <c r="F4184">
        <f>IF(INDEX(Transactions!$J:$J,ROW()-8)="",0,INDEX(Transactions!$O:$O,ROW()-8))</f>
      </c>
    </row>
    <row r="4185" spans="1:7">
      <c r="B4185">
        <f>IF(INDEX(Transactions!$J:$J,ROW()-8)="",TODAY(),INDEX(Transactions!$G:$G,ROW()-8))</f>
      </c>
      <c r="F4185">
        <f>IF(INDEX(Transactions!$J:$J,ROW()-8)="",0,INDEX(Transactions!$O:$O,ROW()-8))</f>
      </c>
    </row>
    <row r="4186" spans="1:7">
      <c r="B4186">
        <f>IF(INDEX(Transactions!$J:$J,ROW()-8)="",TODAY(),INDEX(Transactions!$G:$G,ROW()-8))</f>
      </c>
      <c r="F4186">
        <f>IF(INDEX(Transactions!$J:$J,ROW()-8)="",0,INDEX(Transactions!$O:$O,ROW()-8))</f>
      </c>
    </row>
    <row r="4187" spans="1:7">
      <c r="B4187">
        <f>IF(INDEX(Transactions!$J:$J,ROW()-8)="",TODAY(),INDEX(Transactions!$G:$G,ROW()-8))</f>
      </c>
      <c r="F4187">
        <f>IF(INDEX(Transactions!$J:$J,ROW()-8)="",0,INDEX(Transactions!$O:$O,ROW()-8))</f>
      </c>
    </row>
    <row r="4188" spans="1:7">
      <c r="B4188">
        <f>IF(INDEX(Transactions!$J:$J,ROW()-8)="",TODAY(),INDEX(Transactions!$G:$G,ROW()-8))</f>
      </c>
      <c r="F4188">
        <f>IF(INDEX(Transactions!$J:$J,ROW()-8)="",0,INDEX(Transactions!$O:$O,ROW()-8))</f>
      </c>
    </row>
    <row r="4189" spans="1:7">
      <c r="B4189">
        <f>IF(INDEX(Transactions!$J:$J,ROW()-8)="",TODAY(),INDEX(Transactions!$G:$G,ROW()-8))</f>
      </c>
      <c r="F4189">
        <f>IF(INDEX(Transactions!$J:$J,ROW()-8)="",0,INDEX(Transactions!$O:$O,ROW()-8))</f>
      </c>
    </row>
    <row r="4190" spans="1:7">
      <c r="B4190">
        <f>IF(INDEX(Transactions!$J:$J,ROW()-8)="",TODAY(),INDEX(Transactions!$G:$G,ROW()-8))</f>
      </c>
      <c r="F4190">
        <f>IF(INDEX(Transactions!$J:$J,ROW()-8)="",0,INDEX(Transactions!$O:$O,ROW()-8))</f>
      </c>
    </row>
    <row r="4191" spans="1:7">
      <c r="B4191">
        <f>IF(INDEX(Transactions!$J:$J,ROW()-8)="",TODAY(),INDEX(Transactions!$G:$G,ROW()-8))</f>
      </c>
      <c r="F4191">
        <f>IF(INDEX(Transactions!$J:$J,ROW()-8)="",0,INDEX(Transactions!$O:$O,ROW()-8))</f>
      </c>
    </row>
    <row r="4192" spans="1:7">
      <c r="B4192">
        <f>IF(INDEX(Transactions!$J:$J,ROW()-8)="",TODAY(),INDEX(Transactions!$G:$G,ROW()-8))</f>
      </c>
      <c r="F4192">
        <f>IF(INDEX(Transactions!$J:$J,ROW()-8)="",0,INDEX(Transactions!$O:$O,ROW()-8))</f>
      </c>
    </row>
    <row r="4193" spans="1:7">
      <c r="B4193">
        <f>IF(INDEX(Transactions!$J:$J,ROW()-8)="",TODAY(),INDEX(Transactions!$G:$G,ROW()-8))</f>
      </c>
      <c r="F4193">
        <f>IF(INDEX(Transactions!$J:$J,ROW()-8)="",0,INDEX(Transactions!$O:$O,ROW()-8))</f>
      </c>
    </row>
    <row r="4194" spans="1:7">
      <c r="B4194">
        <f>IF(INDEX(Transactions!$J:$J,ROW()-8)="",TODAY(),INDEX(Transactions!$G:$G,ROW()-8))</f>
      </c>
      <c r="F4194">
        <f>IF(INDEX(Transactions!$J:$J,ROW()-8)="",0,INDEX(Transactions!$O:$O,ROW()-8))</f>
      </c>
    </row>
    <row r="4195" spans="1:7">
      <c r="B4195">
        <f>IF(INDEX(Transactions!$J:$J,ROW()-8)="",TODAY(),INDEX(Transactions!$G:$G,ROW()-8))</f>
      </c>
      <c r="F4195">
        <f>IF(INDEX(Transactions!$J:$J,ROW()-8)="",0,INDEX(Transactions!$O:$O,ROW()-8))</f>
      </c>
    </row>
    <row r="4196" spans="1:7">
      <c r="B4196">
        <f>IF(INDEX(Transactions!$J:$J,ROW()-8)="",TODAY(),INDEX(Transactions!$G:$G,ROW()-8))</f>
      </c>
      <c r="F4196">
        <f>IF(INDEX(Transactions!$J:$J,ROW()-8)="",0,INDEX(Transactions!$O:$O,ROW()-8))</f>
      </c>
    </row>
    <row r="4197" spans="1:7">
      <c r="B4197">
        <f>IF(INDEX(Transactions!$J:$J,ROW()-8)="",TODAY(),INDEX(Transactions!$G:$G,ROW()-8))</f>
      </c>
      <c r="F4197">
        <f>IF(INDEX(Transactions!$J:$J,ROW()-8)="",0,INDEX(Transactions!$O:$O,ROW()-8))</f>
      </c>
    </row>
    <row r="4198" spans="1:7">
      <c r="B4198">
        <f>IF(INDEX(Transactions!$J:$J,ROW()-8)="",TODAY(),INDEX(Transactions!$G:$G,ROW()-8))</f>
      </c>
      <c r="F4198">
        <f>IF(INDEX(Transactions!$J:$J,ROW()-8)="",0,INDEX(Transactions!$O:$O,ROW()-8))</f>
      </c>
    </row>
    <row r="4199" spans="1:7">
      <c r="B4199">
        <f>IF(INDEX(Transactions!$J:$J,ROW()-8)="",TODAY(),INDEX(Transactions!$G:$G,ROW()-8))</f>
      </c>
      <c r="F4199">
        <f>IF(INDEX(Transactions!$J:$J,ROW()-8)="",0,INDEX(Transactions!$O:$O,ROW()-8))</f>
      </c>
    </row>
    <row r="4200" spans="1:7">
      <c r="B4200">
        <f>IF(INDEX(Transactions!$J:$J,ROW()-8)="",TODAY(),INDEX(Transactions!$G:$G,ROW()-8))</f>
      </c>
      <c r="F4200">
        <f>IF(INDEX(Transactions!$J:$J,ROW()-8)="",0,INDEX(Transactions!$O:$O,ROW()-8))</f>
      </c>
    </row>
    <row r="4201" spans="1:7">
      <c r="B4201">
        <f>IF(INDEX(Transactions!$J:$J,ROW()-8)="",TODAY(),INDEX(Transactions!$G:$G,ROW()-8))</f>
      </c>
      <c r="F4201">
        <f>IF(INDEX(Transactions!$J:$J,ROW()-8)="",0,INDEX(Transactions!$O:$O,ROW()-8))</f>
      </c>
    </row>
    <row r="4202" spans="1:7">
      <c r="B4202">
        <f>IF(INDEX(Transactions!$J:$J,ROW()-8)="",TODAY(),INDEX(Transactions!$G:$G,ROW()-8))</f>
      </c>
      <c r="F4202">
        <f>IF(INDEX(Transactions!$J:$J,ROW()-8)="",0,INDEX(Transactions!$O:$O,ROW()-8))</f>
      </c>
    </row>
    <row r="4203" spans="1:7">
      <c r="B4203">
        <f>IF(INDEX(Transactions!$J:$J,ROW()-8)="",TODAY(),INDEX(Transactions!$G:$G,ROW()-8))</f>
      </c>
      <c r="F4203">
        <f>IF(INDEX(Transactions!$J:$J,ROW()-8)="",0,INDEX(Transactions!$O:$O,ROW()-8))</f>
      </c>
    </row>
    <row r="4204" spans="1:7">
      <c r="B4204">
        <f>IF(INDEX(Transactions!$J:$J,ROW()-8)="",TODAY(),INDEX(Transactions!$G:$G,ROW()-8))</f>
      </c>
      <c r="F4204">
        <f>IF(INDEX(Transactions!$J:$J,ROW()-8)="",0,INDEX(Transactions!$O:$O,ROW()-8))</f>
      </c>
    </row>
    <row r="4205" spans="1:7">
      <c r="B4205">
        <f>IF(INDEX(Transactions!$J:$J,ROW()-8)="",TODAY(),INDEX(Transactions!$G:$G,ROW()-8))</f>
      </c>
      <c r="F4205">
        <f>IF(INDEX(Transactions!$J:$J,ROW()-8)="",0,INDEX(Transactions!$O:$O,ROW()-8))</f>
      </c>
    </row>
    <row r="4206" spans="1:7">
      <c r="B4206">
        <f>IF(INDEX(Transactions!$J:$J,ROW()-8)="",TODAY(),INDEX(Transactions!$G:$G,ROW()-8))</f>
      </c>
      <c r="F4206">
        <f>IF(INDEX(Transactions!$J:$J,ROW()-8)="",0,INDEX(Transactions!$O:$O,ROW()-8))</f>
      </c>
    </row>
    <row r="4207" spans="1:7">
      <c r="B4207">
        <f>IF(INDEX(Transactions!$J:$J,ROW()-8)="",TODAY(),INDEX(Transactions!$G:$G,ROW()-8))</f>
      </c>
      <c r="F4207">
        <f>IF(INDEX(Transactions!$J:$J,ROW()-8)="",0,INDEX(Transactions!$O:$O,ROW()-8))</f>
      </c>
    </row>
    <row r="4208" spans="1:7">
      <c r="B4208">
        <f>IF(INDEX(Transactions!$J:$J,ROW()-8)="",TODAY(),INDEX(Transactions!$G:$G,ROW()-8))</f>
      </c>
      <c r="F4208">
        <f>IF(INDEX(Transactions!$J:$J,ROW()-8)="",0,INDEX(Transactions!$O:$O,ROW()-8))</f>
      </c>
    </row>
    <row r="4209" spans="1:7">
      <c r="B4209">
        <f>IF(INDEX(Transactions!$J:$J,ROW()-8)="",TODAY(),INDEX(Transactions!$G:$G,ROW()-8))</f>
      </c>
      <c r="F4209">
        <f>IF(INDEX(Transactions!$J:$J,ROW()-8)="",0,INDEX(Transactions!$O:$O,ROW()-8))</f>
      </c>
    </row>
    <row r="4210" spans="1:7">
      <c r="B4210">
        <f>IF(INDEX(Transactions!$J:$J,ROW()-8)="",TODAY(),INDEX(Transactions!$G:$G,ROW()-8))</f>
      </c>
      <c r="F4210">
        <f>IF(INDEX(Transactions!$J:$J,ROW()-8)="",0,INDEX(Transactions!$O:$O,ROW()-8))</f>
      </c>
    </row>
    <row r="4211" spans="1:7">
      <c r="B4211">
        <f>IF(INDEX(Transactions!$J:$J,ROW()-8)="",TODAY(),INDEX(Transactions!$G:$G,ROW()-8))</f>
      </c>
      <c r="F4211">
        <f>IF(INDEX(Transactions!$J:$J,ROW()-8)="",0,INDEX(Transactions!$O:$O,ROW()-8))</f>
      </c>
    </row>
    <row r="4212" spans="1:7">
      <c r="B4212">
        <f>IF(INDEX(Transactions!$J:$J,ROW()-8)="",TODAY(),INDEX(Transactions!$G:$G,ROW()-8))</f>
      </c>
      <c r="F4212">
        <f>IF(INDEX(Transactions!$J:$J,ROW()-8)="",0,INDEX(Transactions!$O:$O,ROW()-8))</f>
      </c>
    </row>
    <row r="4213" spans="1:7">
      <c r="B4213">
        <f>IF(INDEX(Transactions!$J:$J,ROW()-8)="",TODAY(),INDEX(Transactions!$G:$G,ROW()-8))</f>
      </c>
      <c r="F4213">
        <f>IF(INDEX(Transactions!$J:$J,ROW()-8)="",0,INDEX(Transactions!$O:$O,ROW()-8))</f>
      </c>
    </row>
    <row r="4214" spans="1:7">
      <c r="B4214">
        <f>IF(INDEX(Transactions!$J:$J,ROW()-8)="",TODAY(),INDEX(Transactions!$G:$G,ROW()-8))</f>
      </c>
      <c r="F4214">
        <f>IF(INDEX(Transactions!$J:$J,ROW()-8)="",0,INDEX(Transactions!$O:$O,ROW()-8))</f>
      </c>
    </row>
    <row r="4215" spans="1:7">
      <c r="B4215">
        <f>IF(INDEX(Transactions!$J:$J,ROW()-8)="",TODAY(),INDEX(Transactions!$G:$G,ROW()-8))</f>
      </c>
      <c r="F4215">
        <f>IF(INDEX(Transactions!$J:$J,ROW()-8)="",0,INDEX(Transactions!$O:$O,ROW()-8))</f>
      </c>
    </row>
    <row r="4216" spans="1:7">
      <c r="B4216">
        <f>IF(INDEX(Transactions!$J:$J,ROW()-8)="",TODAY(),INDEX(Transactions!$G:$G,ROW()-8))</f>
      </c>
      <c r="F4216">
        <f>IF(INDEX(Transactions!$J:$J,ROW()-8)="",0,INDEX(Transactions!$O:$O,ROW()-8))</f>
      </c>
    </row>
    <row r="4217" spans="1:7">
      <c r="B4217">
        <f>IF(INDEX(Transactions!$J:$J,ROW()-8)="",TODAY(),INDEX(Transactions!$G:$G,ROW()-8))</f>
      </c>
      <c r="F4217">
        <f>IF(INDEX(Transactions!$J:$J,ROW()-8)="",0,INDEX(Transactions!$O:$O,ROW()-8))</f>
      </c>
    </row>
    <row r="4218" spans="1:7">
      <c r="B4218">
        <f>IF(INDEX(Transactions!$J:$J,ROW()-8)="",TODAY(),INDEX(Transactions!$G:$G,ROW()-8))</f>
      </c>
      <c r="F4218">
        <f>IF(INDEX(Transactions!$J:$J,ROW()-8)="",0,INDEX(Transactions!$O:$O,ROW()-8))</f>
      </c>
    </row>
    <row r="4219" spans="1:7">
      <c r="B4219">
        <f>IF(INDEX(Transactions!$J:$J,ROW()-8)="",TODAY(),INDEX(Transactions!$G:$G,ROW()-8))</f>
      </c>
      <c r="F4219">
        <f>IF(INDEX(Transactions!$J:$J,ROW()-8)="",0,INDEX(Transactions!$O:$O,ROW()-8))</f>
      </c>
    </row>
    <row r="4220" spans="1:7">
      <c r="B4220">
        <f>IF(INDEX(Transactions!$J:$J,ROW()-8)="",TODAY(),INDEX(Transactions!$G:$G,ROW()-8))</f>
      </c>
      <c r="F4220">
        <f>IF(INDEX(Transactions!$J:$J,ROW()-8)="",0,INDEX(Transactions!$O:$O,ROW()-8))</f>
      </c>
    </row>
    <row r="4221" spans="1:7">
      <c r="B4221">
        <f>IF(INDEX(Transactions!$J:$J,ROW()-8)="",TODAY(),INDEX(Transactions!$G:$G,ROW()-8))</f>
      </c>
      <c r="F4221">
        <f>IF(INDEX(Transactions!$J:$J,ROW()-8)="",0,INDEX(Transactions!$O:$O,ROW()-8))</f>
      </c>
    </row>
    <row r="4222" spans="1:7">
      <c r="B4222">
        <f>IF(INDEX(Transactions!$J:$J,ROW()-8)="",TODAY(),INDEX(Transactions!$G:$G,ROW()-8))</f>
      </c>
      <c r="F4222">
        <f>IF(INDEX(Transactions!$J:$J,ROW()-8)="",0,INDEX(Transactions!$O:$O,ROW()-8))</f>
      </c>
    </row>
    <row r="4223" spans="1:7">
      <c r="B4223">
        <f>IF(INDEX(Transactions!$J:$J,ROW()-8)="",TODAY(),INDEX(Transactions!$G:$G,ROW()-8))</f>
      </c>
      <c r="F4223">
        <f>IF(INDEX(Transactions!$J:$J,ROW()-8)="",0,INDEX(Transactions!$O:$O,ROW()-8))</f>
      </c>
    </row>
    <row r="4224" spans="1:7">
      <c r="B4224">
        <f>IF(INDEX(Transactions!$J:$J,ROW()-8)="",TODAY(),INDEX(Transactions!$G:$G,ROW()-8))</f>
      </c>
      <c r="F4224">
        <f>IF(INDEX(Transactions!$J:$J,ROW()-8)="",0,INDEX(Transactions!$O:$O,ROW()-8))</f>
      </c>
    </row>
    <row r="4225" spans="1:7">
      <c r="B4225">
        <f>IF(INDEX(Transactions!$J:$J,ROW()-8)="",TODAY(),INDEX(Transactions!$G:$G,ROW()-8))</f>
      </c>
      <c r="F4225">
        <f>IF(INDEX(Transactions!$J:$J,ROW()-8)="",0,INDEX(Transactions!$O:$O,ROW()-8))</f>
      </c>
    </row>
    <row r="4226" spans="1:7">
      <c r="B4226">
        <f>IF(INDEX(Transactions!$J:$J,ROW()-8)="",TODAY(),INDEX(Transactions!$G:$G,ROW()-8))</f>
      </c>
      <c r="F4226">
        <f>IF(INDEX(Transactions!$J:$J,ROW()-8)="",0,INDEX(Transactions!$O:$O,ROW()-8))</f>
      </c>
    </row>
    <row r="4227" spans="1:7">
      <c r="B4227">
        <f>IF(INDEX(Transactions!$J:$J,ROW()-8)="",TODAY(),INDEX(Transactions!$G:$G,ROW()-8))</f>
      </c>
      <c r="F4227">
        <f>IF(INDEX(Transactions!$J:$J,ROW()-8)="",0,INDEX(Transactions!$O:$O,ROW()-8))</f>
      </c>
    </row>
    <row r="4228" spans="1:7">
      <c r="B4228">
        <f>IF(INDEX(Transactions!$J:$J,ROW()-8)="",TODAY(),INDEX(Transactions!$G:$G,ROW()-8))</f>
      </c>
      <c r="F4228">
        <f>IF(INDEX(Transactions!$J:$J,ROW()-8)="",0,INDEX(Transactions!$O:$O,ROW()-8))</f>
      </c>
    </row>
    <row r="4229" spans="1:7">
      <c r="B4229">
        <f>IF(INDEX(Transactions!$J:$J,ROW()-8)="",TODAY(),INDEX(Transactions!$G:$G,ROW()-8))</f>
      </c>
      <c r="F4229">
        <f>IF(INDEX(Transactions!$J:$J,ROW()-8)="",0,INDEX(Transactions!$O:$O,ROW()-8))</f>
      </c>
    </row>
    <row r="4230" spans="1:7">
      <c r="B4230">
        <f>IF(INDEX(Transactions!$J:$J,ROW()-8)="",TODAY(),INDEX(Transactions!$G:$G,ROW()-8))</f>
      </c>
      <c r="F4230">
        <f>IF(INDEX(Transactions!$J:$J,ROW()-8)="",0,INDEX(Transactions!$O:$O,ROW()-8))</f>
      </c>
    </row>
    <row r="4231" spans="1:7">
      <c r="B4231">
        <f>IF(INDEX(Transactions!$J:$J,ROW()-8)="",TODAY(),INDEX(Transactions!$G:$G,ROW()-8))</f>
      </c>
      <c r="F4231">
        <f>IF(INDEX(Transactions!$J:$J,ROW()-8)="",0,INDEX(Transactions!$O:$O,ROW()-8))</f>
      </c>
    </row>
    <row r="4232" spans="1:7">
      <c r="B4232">
        <f>IF(INDEX(Transactions!$J:$J,ROW()-8)="",TODAY(),INDEX(Transactions!$G:$G,ROW()-8))</f>
      </c>
      <c r="F4232">
        <f>IF(INDEX(Transactions!$J:$J,ROW()-8)="",0,INDEX(Transactions!$O:$O,ROW()-8))</f>
      </c>
    </row>
    <row r="4233" spans="1:7">
      <c r="B4233">
        <f>IF(INDEX(Transactions!$J:$J,ROW()-8)="",TODAY(),INDEX(Transactions!$G:$G,ROW()-8))</f>
      </c>
      <c r="F4233">
        <f>IF(INDEX(Transactions!$J:$J,ROW()-8)="",0,INDEX(Transactions!$O:$O,ROW()-8))</f>
      </c>
    </row>
    <row r="4234" spans="1:7">
      <c r="B4234">
        <f>IF(INDEX(Transactions!$J:$J,ROW()-8)="",TODAY(),INDEX(Transactions!$G:$G,ROW()-8))</f>
      </c>
      <c r="F4234">
        <f>IF(INDEX(Transactions!$J:$J,ROW()-8)="",0,INDEX(Transactions!$O:$O,ROW()-8))</f>
      </c>
    </row>
    <row r="4235" spans="1:7">
      <c r="B4235">
        <f>IF(INDEX(Transactions!$J:$J,ROW()-8)="",TODAY(),INDEX(Transactions!$G:$G,ROW()-8))</f>
      </c>
      <c r="F4235">
        <f>IF(INDEX(Transactions!$J:$J,ROW()-8)="",0,INDEX(Transactions!$O:$O,ROW()-8))</f>
      </c>
    </row>
    <row r="4236" spans="1:7">
      <c r="B4236">
        <f>IF(INDEX(Transactions!$J:$J,ROW()-8)="",TODAY(),INDEX(Transactions!$G:$G,ROW()-8))</f>
      </c>
      <c r="F4236">
        <f>IF(INDEX(Transactions!$J:$J,ROW()-8)="",0,INDEX(Transactions!$O:$O,ROW()-8))</f>
      </c>
    </row>
    <row r="4237" spans="1:7">
      <c r="B4237">
        <f>IF(INDEX(Transactions!$J:$J,ROW()-8)="",TODAY(),INDEX(Transactions!$G:$G,ROW()-8))</f>
      </c>
      <c r="F4237">
        <f>IF(INDEX(Transactions!$J:$J,ROW()-8)="",0,INDEX(Transactions!$O:$O,ROW()-8))</f>
      </c>
    </row>
    <row r="4238" spans="1:7">
      <c r="B4238">
        <f>IF(INDEX(Transactions!$J:$J,ROW()-8)="",TODAY(),INDEX(Transactions!$G:$G,ROW()-8))</f>
      </c>
      <c r="F4238">
        <f>IF(INDEX(Transactions!$J:$J,ROW()-8)="",0,INDEX(Transactions!$O:$O,ROW()-8))</f>
      </c>
    </row>
    <row r="4239" spans="1:7">
      <c r="B4239">
        <f>IF(INDEX(Transactions!$J:$J,ROW()-8)="",TODAY(),INDEX(Transactions!$G:$G,ROW()-8))</f>
      </c>
      <c r="F4239">
        <f>IF(INDEX(Transactions!$J:$J,ROW()-8)="",0,INDEX(Transactions!$O:$O,ROW()-8))</f>
      </c>
    </row>
    <row r="4240" spans="1:7">
      <c r="B4240">
        <f>IF(INDEX(Transactions!$J:$J,ROW()-8)="",TODAY(),INDEX(Transactions!$G:$G,ROW()-8))</f>
      </c>
      <c r="F4240">
        <f>IF(INDEX(Transactions!$J:$J,ROW()-8)="",0,INDEX(Transactions!$O:$O,ROW()-8))</f>
      </c>
    </row>
    <row r="4241" spans="1:7">
      <c r="B4241">
        <f>IF(INDEX(Transactions!$J:$J,ROW()-8)="",TODAY(),INDEX(Transactions!$G:$G,ROW()-8))</f>
      </c>
      <c r="F4241">
        <f>IF(INDEX(Transactions!$J:$J,ROW()-8)="",0,INDEX(Transactions!$O:$O,ROW()-8))</f>
      </c>
    </row>
    <row r="4242" spans="1:7">
      <c r="B4242">
        <f>IF(INDEX(Transactions!$J:$J,ROW()-8)="",TODAY(),INDEX(Transactions!$G:$G,ROW()-8))</f>
      </c>
      <c r="F4242">
        <f>IF(INDEX(Transactions!$J:$J,ROW()-8)="",0,INDEX(Transactions!$O:$O,ROW()-8))</f>
      </c>
    </row>
    <row r="4243" spans="1:7">
      <c r="B4243">
        <f>IF(INDEX(Transactions!$J:$J,ROW()-8)="",TODAY(),INDEX(Transactions!$G:$G,ROW()-8))</f>
      </c>
      <c r="F4243">
        <f>IF(INDEX(Transactions!$J:$J,ROW()-8)="",0,INDEX(Transactions!$O:$O,ROW()-8))</f>
      </c>
    </row>
    <row r="4244" spans="1:7">
      <c r="B4244">
        <f>IF(INDEX(Transactions!$J:$J,ROW()-8)="",TODAY(),INDEX(Transactions!$G:$G,ROW()-8))</f>
      </c>
      <c r="F4244">
        <f>IF(INDEX(Transactions!$J:$J,ROW()-8)="",0,INDEX(Transactions!$O:$O,ROW()-8))</f>
      </c>
    </row>
    <row r="4245" spans="1:7">
      <c r="B4245">
        <f>IF(INDEX(Transactions!$J:$J,ROW()-8)="",TODAY(),INDEX(Transactions!$G:$G,ROW()-8))</f>
      </c>
      <c r="F4245">
        <f>IF(INDEX(Transactions!$J:$J,ROW()-8)="",0,INDEX(Transactions!$O:$O,ROW()-8))</f>
      </c>
    </row>
    <row r="4246" spans="1:7">
      <c r="B4246">
        <f>IF(INDEX(Transactions!$J:$J,ROW()-8)="",TODAY(),INDEX(Transactions!$G:$G,ROW()-8))</f>
      </c>
      <c r="F4246">
        <f>IF(INDEX(Transactions!$J:$J,ROW()-8)="",0,INDEX(Transactions!$O:$O,ROW()-8))</f>
      </c>
    </row>
    <row r="4247" spans="1:7">
      <c r="B4247">
        <f>IF(INDEX(Transactions!$J:$J,ROW()-8)="",TODAY(),INDEX(Transactions!$G:$G,ROW()-8))</f>
      </c>
      <c r="F4247">
        <f>IF(INDEX(Transactions!$J:$J,ROW()-8)="",0,INDEX(Transactions!$O:$O,ROW()-8))</f>
      </c>
    </row>
    <row r="4248" spans="1:7">
      <c r="B4248">
        <f>IF(INDEX(Transactions!$J:$J,ROW()-8)="",TODAY(),INDEX(Transactions!$G:$G,ROW()-8))</f>
      </c>
      <c r="F4248">
        <f>IF(INDEX(Transactions!$J:$J,ROW()-8)="",0,INDEX(Transactions!$O:$O,ROW()-8))</f>
      </c>
    </row>
    <row r="4249" spans="1:7">
      <c r="B4249">
        <f>IF(INDEX(Transactions!$J:$J,ROW()-8)="",TODAY(),INDEX(Transactions!$G:$G,ROW()-8))</f>
      </c>
      <c r="F4249">
        <f>IF(INDEX(Transactions!$J:$J,ROW()-8)="",0,INDEX(Transactions!$O:$O,ROW()-8))</f>
      </c>
    </row>
    <row r="4250" spans="1:7">
      <c r="B4250">
        <f>IF(INDEX(Transactions!$J:$J,ROW()-8)="",TODAY(),INDEX(Transactions!$G:$G,ROW()-8))</f>
      </c>
      <c r="F4250">
        <f>IF(INDEX(Transactions!$J:$J,ROW()-8)="",0,INDEX(Transactions!$O:$O,ROW()-8))</f>
      </c>
    </row>
    <row r="4251" spans="1:7">
      <c r="B4251">
        <f>IF(INDEX(Transactions!$J:$J,ROW()-8)="",TODAY(),INDEX(Transactions!$G:$G,ROW()-8))</f>
      </c>
      <c r="F4251">
        <f>IF(INDEX(Transactions!$J:$J,ROW()-8)="",0,INDEX(Transactions!$O:$O,ROW()-8))</f>
      </c>
    </row>
    <row r="4252" spans="1:7">
      <c r="B4252">
        <f>IF(INDEX(Transactions!$J:$J,ROW()-8)="",TODAY(),INDEX(Transactions!$G:$G,ROW()-8))</f>
      </c>
      <c r="F4252">
        <f>IF(INDEX(Transactions!$J:$J,ROW()-8)="",0,INDEX(Transactions!$O:$O,ROW()-8))</f>
      </c>
    </row>
    <row r="4253" spans="1:7">
      <c r="B4253">
        <f>IF(INDEX(Transactions!$J:$J,ROW()-8)="",TODAY(),INDEX(Transactions!$G:$G,ROW()-8))</f>
      </c>
      <c r="F4253">
        <f>IF(INDEX(Transactions!$J:$J,ROW()-8)="",0,INDEX(Transactions!$O:$O,ROW()-8))</f>
      </c>
    </row>
    <row r="4254" spans="1:7">
      <c r="B4254">
        <f>IF(INDEX(Transactions!$J:$J,ROW()-8)="",TODAY(),INDEX(Transactions!$G:$G,ROW()-8))</f>
      </c>
      <c r="F4254">
        <f>IF(INDEX(Transactions!$J:$J,ROW()-8)="",0,INDEX(Transactions!$O:$O,ROW()-8))</f>
      </c>
    </row>
    <row r="4255" spans="1:7">
      <c r="B4255">
        <f>IF(INDEX(Transactions!$J:$J,ROW()-8)="",TODAY(),INDEX(Transactions!$G:$G,ROW()-8))</f>
      </c>
      <c r="F4255">
        <f>IF(INDEX(Transactions!$J:$J,ROW()-8)="",0,INDEX(Transactions!$O:$O,ROW()-8))</f>
      </c>
    </row>
    <row r="4256" spans="1:7">
      <c r="B4256">
        <f>IF(INDEX(Transactions!$J:$J,ROW()-8)="",TODAY(),INDEX(Transactions!$G:$G,ROW()-8))</f>
      </c>
      <c r="F4256">
        <f>IF(INDEX(Transactions!$J:$J,ROW()-8)="",0,INDEX(Transactions!$O:$O,ROW()-8))</f>
      </c>
    </row>
    <row r="4257" spans="1:7">
      <c r="B4257">
        <f>IF(INDEX(Transactions!$J:$J,ROW()-8)="",TODAY(),INDEX(Transactions!$G:$G,ROW()-8))</f>
      </c>
      <c r="F4257">
        <f>IF(INDEX(Transactions!$J:$J,ROW()-8)="",0,INDEX(Transactions!$O:$O,ROW()-8))</f>
      </c>
    </row>
    <row r="4258" spans="1:7">
      <c r="B4258">
        <f>IF(INDEX(Transactions!$J:$J,ROW()-8)="",TODAY(),INDEX(Transactions!$G:$G,ROW()-8))</f>
      </c>
      <c r="F4258">
        <f>IF(INDEX(Transactions!$J:$J,ROW()-8)="",0,INDEX(Transactions!$O:$O,ROW()-8))</f>
      </c>
    </row>
    <row r="4259" spans="1:7">
      <c r="B4259">
        <f>IF(INDEX(Transactions!$J:$J,ROW()-8)="",TODAY(),INDEX(Transactions!$G:$G,ROW()-8))</f>
      </c>
      <c r="F4259">
        <f>IF(INDEX(Transactions!$J:$J,ROW()-8)="",0,INDEX(Transactions!$O:$O,ROW()-8))</f>
      </c>
    </row>
    <row r="4260" spans="1:7">
      <c r="B4260">
        <f>IF(INDEX(Transactions!$J:$J,ROW()-8)="",TODAY(),INDEX(Transactions!$G:$G,ROW()-8))</f>
      </c>
      <c r="F4260">
        <f>IF(INDEX(Transactions!$J:$J,ROW()-8)="",0,INDEX(Transactions!$O:$O,ROW()-8))</f>
      </c>
    </row>
    <row r="4261" spans="1:7">
      <c r="B4261">
        <f>IF(INDEX(Transactions!$J:$J,ROW()-8)="",TODAY(),INDEX(Transactions!$G:$G,ROW()-8))</f>
      </c>
      <c r="F4261">
        <f>IF(INDEX(Transactions!$J:$J,ROW()-8)="",0,INDEX(Transactions!$O:$O,ROW()-8))</f>
      </c>
    </row>
    <row r="4262" spans="1:7">
      <c r="B4262">
        <f>IF(INDEX(Transactions!$J:$J,ROW()-8)="",TODAY(),INDEX(Transactions!$G:$G,ROW()-8))</f>
      </c>
      <c r="F4262">
        <f>IF(INDEX(Transactions!$J:$J,ROW()-8)="",0,INDEX(Transactions!$O:$O,ROW()-8))</f>
      </c>
    </row>
    <row r="4263" spans="1:7">
      <c r="B4263">
        <f>IF(INDEX(Transactions!$J:$J,ROW()-8)="",TODAY(),INDEX(Transactions!$G:$G,ROW()-8))</f>
      </c>
      <c r="F4263">
        <f>IF(INDEX(Transactions!$J:$J,ROW()-8)="",0,INDEX(Transactions!$O:$O,ROW()-8))</f>
      </c>
    </row>
    <row r="4264" spans="1:7">
      <c r="B4264">
        <f>IF(INDEX(Transactions!$J:$J,ROW()-8)="",TODAY(),INDEX(Transactions!$G:$G,ROW()-8))</f>
      </c>
      <c r="F4264">
        <f>IF(INDEX(Transactions!$J:$J,ROW()-8)="",0,INDEX(Transactions!$O:$O,ROW()-8))</f>
      </c>
    </row>
    <row r="4265" spans="1:7">
      <c r="B4265">
        <f>IF(INDEX(Transactions!$J:$J,ROW()-8)="",TODAY(),INDEX(Transactions!$G:$G,ROW()-8))</f>
      </c>
      <c r="F4265">
        <f>IF(INDEX(Transactions!$J:$J,ROW()-8)="",0,INDEX(Transactions!$O:$O,ROW()-8))</f>
      </c>
    </row>
    <row r="4266" spans="1:7">
      <c r="B4266">
        <f>IF(INDEX(Transactions!$J:$J,ROW()-8)="",TODAY(),INDEX(Transactions!$G:$G,ROW()-8))</f>
      </c>
      <c r="F4266">
        <f>IF(INDEX(Transactions!$J:$J,ROW()-8)="",0,INDEX(Transactions!$O:$O,ROW()-8))</f>
      </c>
    </row>
    <row r="4267" spans="1:7">
      <c r="B4267">
        <f>IF(INDEX(Transactions!$J:$J,ROW()-8)="",TODAY(),INDEX(Transactions!$G:$G,ROW()-8))</f>
      </c>
      <c r="F4267">
        <f>IF(INDEX(Transactions!$J:$J,ROW()-8)="",0,INDEX(Transactions!$O:$O,ROW()-8))</f>
      </c>
    </row>
    <row r="4268" spans="1:7">
      <c r="B4268">
        <f>IF(INDEX(Transactions!$J:$J,ROW()-8)="",TODAY(),INDEX(Transactions!$G:$G,ROW()-8))</f>
      </c>
      <c r="F4268">
        <f>IF(INDEX(Transactions!$J:$J,ROW()-8)="",0,INDEX(Transactions!$O:$O,ROW()-8))</f>
      </c>
    </row>
    <row r="4269" spans="1:7">
      <c r="B4269">
        <f>IF(INDEX(Transactions!$J:$J,ROW()-8)="",TODAY(),INDEX(Transactions!$G:$G,ROW()-8))</f>
      </c>
      <c r="F4269">
        <f>IF(INDEX(Transactions!$J:$J,ROW()-8)="",0,INDEX(Transactions!$O:$O,ROW()-8))</f>
      </c>
    </row>
    <row r="4270" spans="1:7">
      <c r="B4270">
        <f>IF(INDEX(Transactions!$J:$J,ROW()-8)="",TODAY(),INDEX(Transactions!$G:$G,ROW()-8))</f>
      </c>
      <c r="F4270">
        <f>IF(INDEX(Transactions!$J:$J,ROW()-8)="",0,INDEX(Transactions!$O:$O,ROW()-8))</f>
      </c>
    </row>
    <row r="4271" spans="1:7">
      <c r="B4271">
        <f>IF(INDEX(Transactions!$J:$J,ROW()-8)="",TODAY(),INDEX(Transactions!$G:$G,ROW()-8))</f>
      </c>
      <c r="F4271">
        <f>IF(INDEX(Transactions!$J:$J,ROW()-8)="",0,INDEX(Transactions!$O:$O,ROW()-8))</f>
      </c>
    </row>
    <row r="4272" spans="1:7">
      <c r="B4272">
        <f>IF(INDEX(Transactions!$J:$J,ROW()-8)="",TODAY(),INDEX(Transactions!$G:$G,ROW()-8))</f>
      </c>
      <c r="F4272">
        <f>IF(INDEX(Transactions!$J:$J,ROW()-8)="",0,INDEX(Transactions!$O:$O,ROW()-8))</f>
      </c>
    </row>
    <row r="4273" spans="1:7">
      <c r="B4273">
        <f>IF(INDEX(Transactions!$J:$J,ROW()-8)="",TODAY(),INDEX(Transactions!$G:$G,ROW()-8))</f>
      </c>
      <c r="F4273">
        <f>IF(INDEX(Transactions!$J:$J,ROW()-8)="",0,INDEX(Transactions!$O:$O,ROW()-8))</f>
      </c>
    </row>
    <row r="4274" spans="1:7">
      <c r="B4274">
        <f>IF(INDEX(Transactions!$J:$J,ROW()-8)="",TODAY(),INDEX(Transactions!$G:$G,ROW()-8))</f>
      </c>
      <c r="F4274">
        <f>IF(INDEX(Transactions!$J:$J,ROW()-8)="",0,INDEX(Transactions!$O:$O,ROW()-8))</f>
      </c>
    </row>
    <row r="4275" spans="1:7">
      <c r="B4275">
        <f>IF(INDEX(Transactions!$J:$J,ROW()-8)="",TODAY(),INDEX(Transactions!$G:$G,ROW()-8))</f>
      </c>
      <c r="F4275">
        <f>IF(INDEX(Transactions!$J:$J,ROW()-8)="",0,INDEX(Transactions!$O:$O,ROW()-8))</f>
      </c>
    </row>
    <row r="4276" spans="1:7">
      <c r="B4276">
        <f>IF(INDEX(Transactions!$J:$J,ROW()-8)="",TODAY(),INDEX(Transactions!$G:$G,ROW()-8))</f>
      </c>
      <c r="F4276">
        <f>IF(INDEX(Transactions!$J:$J,ROW()-8)="",0,INDEX(Transactions!$O:$O,ROW()-8))</f>
      </c>
    </row>
    <row r="4277" spans="1:7">
      <c r="B4277">
        <f>IF(INDEX(Transactions!$J:$J,ROW()-8)="",TODAY(),INDEX(Transactions!$G:$G,ROW()-8))</f>
      </c>
      <c r="F4277">
        <f>IF(INDEX(Transactions!$J:$J,ROW()-8)="",0,INDEX(Transactions!$O:$O,ROW()-8))</f>
      </c>
    </row>
    <row r="4278" spans="1:7">
      <c r="B4278">
        <f>IF(INDEX(Transactions!$J:$J,ROW()-8)="",TODAY(),INDEX(Transactions!$G:$G,ROW()-8))</f>
      </c>
      <c r="F4278">
        <f>IF(INDEX(Transactions!$J:$J,ROW()-8)="",0,INDEX(Transactions!$O:$O,ROW()-8))</f>
      </c>
    </row>
    <row r="4279" spans="1:7">
      <c r="B4279">
        <f>IF(INDEX(Transactions!$J:$J,ROW()-8)="",TODAY(),INDEX(Transactions!$G:$G,ROW()-8))</f>
      </c>
      <c r="F4279">
        <f>IF(INDEX(Transactions!$J:$J,ROW()-8)="",0,INDEX(Transactions!$O:$O,ROW()-8))</f>
      </c>
    </row>
    <row r="4280" spans="1:7">
      <c r="B4280">
        <f>IF(INDEX(Transactions!$J:$J,ROW()-8)="",TODAY(),INDEX(Transactions!$G:$G,ROW()-8))</f>
      </c>
      <c r="F4280">
        <f>IF(INDEX(Transactions!$J:$J,ROW()-8)="",0,INDEX(Transactions!$O:$O,ROW()-8))</f>
      </c>
    </row>
    <row r="4281" spans="1:7">
      <c r="B4281">
        <f>IF(INDEX(Transactions!$J:$J,ROW()-8)="",TODAY(),INDEX(Transactions!$G:$G,ROW()-8))</f>
      </c>
      <c r="F4281">
        <f>IF(INDEX(Transactions!$J:$J,ROW()-8)="",0,INDEX(Transactions!$O:$O,ROW()-8))</f>
      </c>
    </row>
    <row r="4282" spans="1:7">
      <c r="B4282">
        <f>IF(INDEX(Transactions!$J:$J,ROW()-8)="",TODAY(),INDEX(Transactions!$G:$G,ROW()-8))</f>
      </c>
      <c r="F4282">
        <f>IF(INDEX(Transactions!$J:$J,ROW()-8)="",0,INDEX(Transactions!$O:$O,ROW()-8))</f>
      </c>
    </row>
    <row r="4283" spans="1:7">
      <c r="B4283">
        <f>IF(INDEX(Transactions!$J:$J,ROW()-8)="",TODAY(),INDEX(Transactions!$G:$G,ROW()-8))</f>
      </c>
      <c r="F4283">
        <f>IF(INDEX(Transactions!$J:$J,ROW()-8)="",0,INDEX(Transactions!$O:$O,ROW()-8))</f>
      </c>
    </row>
    <row r="4284" spans="1:7">
      <c r="B4284">
        <f>IF(INDEX(Transactions!$J:$J,ROW()-8)="",TODAY(),INDEX(Transactions!$G:$G,ROW()-8))</f>
      </c>
      <c r="F4284">
        <f>IF(INDEX(Transactions!$J:$J,ROW()-8)="",0,INDEX(Transactions!$O:$O,ROW()-8))</f>
      </c>
    </row>
    <row r="4285" spans="1:7">
      <c r="B4285">
        <f>IF(INDEX(Transactions!$J:$J,ROW()-8)="",TODAY(),INDEX(Transactions!$G:$G,ROW()-8))</f>
      </c>
      <c r="F4285">
        <f>IF(INDEX(Transactions!$J:$J,ROW()-8)="",0,INDEX(Transactions!$O:$O,ROW()-8))</f>
      </c>
    </row>
    <row r="4286" spans="1:7">
      <c r="B4286">
        <f>IF(INDEX(Transactions!$J:$J,ROW()-8)="",TODAY(),INDEX(Transactions!$G:$G,ROW()-8))</f>
      </c>
      <c r="F4286">
        <f>IF(INDEX(Transactions!$J:$J,ROW()-8)="",0,INDEX(Transactions!$O:$O,ROW()-8))</f>
      </c>
    </row>
    <row r="4287" spans="1:7">
      <c r="B4287">
        <f>IF(INDEX(Transactions!$J:$J,ROW()-8)="",TODAY(),INDEX(Transactions!$G:$G,ROW()-8))</f>
      </c>
      <c r="F4287">
        <f>IF(INDEX(Transactions!$J:$J,ROW()-8)="",0,INDEX(Transactions!$O:$O,ROW()-8))</f>
      </c>
    </row>
    <row r="4288" spans="1:7">
      <c r="B4288">
        <f>IF(INDEX(Transactions!$J:$J,ROW()-8)="",TODAY(),INDEX(Transactions!$G:$G,ROW()-8))</f>
      </c>
      <c r="F4288">
        <f>IF(INDEX(Transactions!$J:$J,ROW()-8)="",0,INDEX(Transactions!$O:$O,ROW()-8))</f>
      </c>
    </row>
    <row r="4289" spans="1:7">
      <c r="B4289">
        <f>IF(INDEX(Transactions!$J:$J,ROW()-8)="",TODAY(),INDEX(Transactions!$G:$G,ROW()-8))</f>
      </c>
      <c r="F4289">
        <f>IF(INDEX(Transactions!$J:$J,ROW()-8)="",0,INDEX(Transactions!$O:$O,ROW()-8))</f>
      </c>
    </row>
    <row r="4290" spans="1:7">
      <c r="B4290">
        <f>IF(INDEX(Transactions!$J:$J,ROW()-8)="",TODAY(),INDEX(Transactions!$G:$G,ROW()-8))</f>
      </c>
      <c r="F4290">
        <f>IF(INDEX(Transactions!$J:$J,ROW()-8)="",0,INDEX(Transactions!$O:$O,ROW()-8))</f>
      </c>
    </row>
    <row r="4291" spans="1:7">
      <c r="B4291">
        <f>IF(INDEX(Transactions!$J:$J,ROW()-8)="",TODAY(),INDEX(Transactions!$G:$G,ROW()-8))</f>
      </c>
      <c r="F4291">
        <f>IF(INDEX(Transactions!$J:$J,ROW()-8)="",0,INDEX(Transactions!$O:$O,ROW()-8))</f>
      </c>
    </row>
    <row r="4292" spans="1:7">
      <c r="B4292">
        <f>IF(INDEX(Transactions!$J:$J,ROW()-8)="",TODAY(),INDEX(Transactions!$G:$G,ROW()-8))</f>
      </c>
      <c r="F4292">
        <f>IF(INDEX(Transactions!$J:$J,ROW()-8)="",0,INDEX(Transactions!$O:$O,ROW()-8))</f>
      </c>
    </row>
    <row r="4293" spans="1:7">
      <c r="B4293">
        <f>IF(INDEX(Transactions!$J:$J,ROW()-8)="",TODAY(),INDEX(Transactions!$G:$G,ROW()-8))</f>
      </c>
      <c r="F4293">
        <f>IF(INDEX(Transactions!$J:$J,ROW()-8)="",0,INDEX(Transactions!$O:$O,ROW()-8))</f>
      </c>
    </row>
    <row r="4294" spans="1:7">
      <c r="B4294">
        <f>IF(INDEX(Transactions!$J:$J,ROW()-8)="",TODAY(),INDEX(Transactions!$G:$G,ROW()-8))</f>
      </c>
      <c r="F4294">
        <f>IF(INDEX(Transactions!$J:$J,ROW()-8)="",0,INDEX(Transactions!$O:$O,ROW()-8))</f>
      </c>
    </row>
    <row r="4295" spans="1:7">
      <c r="B4295">
        <f>IF(INDEX(Transactions!$J:$J,ROW()-8)="",TODAY(),INDEX(Transactions!$G:$G,ROW()-8))</f>
      </c>
      <c r="F4295">
        <f>IF(INDEX(Transactions!$J:$J,ROW()-8)="",0,INDEX(Transactions!$O:$O,ROW()-8))</f>
      </c>
    </row>
    <row r="4296" spans="1:7">
      <c r="B4296">
        <f>IF(INDEX(Transactions!$J:$J,ROW()-8)="",TODAY(),INDEX(Transactions!$G:$G,ROW()-8))</f>
      </c>
      <c r="F4296">
        <f>IF(INDEX(Transactions!$J:$J,ROW()-8)="",0,INDEX(Transactions!$O:$O,ROW()-8))</f>
      </c>
    </row>
    <row r="4297" spans="1:7">
      <c r="B4297">
        <f>IF(INDEX(Transactions!$J:$J,ROW()-8)="",TODAY(),INDEX(Transactions!$G:$G,ROW()-8))</f>
      </c>
      <c r="F4297">
        <f>IF(INDEX(Transactions!$J:$J,ROW()-8)="",0,INDEX(Transactions!$O:$O,ROW()-8))</f>
      </c>
    </row>
    <row r="4298" spans="1:7">
      <c r="B4298">
        <f>IF(INDEX(Transactions!$J:$J,ROW()-8)="",TODAY(),INDEX(Transactions!$G:$G,ROW()-8))</f>
      </c>
      <c r="F4298">
        <f>IF(INDEX(Transactions!$J:$J,ROW()-8)="",0,INDEX(Transactions!$O:$O,ROW()-8))</f>
      </c>
    </row>
    <row r="4299" spans="1:7">
      <c r="B4299">
        <f>IF(INDEX(Transactions!$J:$J,ROW()-8)="",TODAY(),INDEX(Transactions!$G:$G,ROW()-8))</f>
      </c>
      <c r="F4299">
        <f>IF(INDEX(Transactions!$J:$J,ROW()-8)="",0,INDEX(Transactions!$O:$O,ROW()-8))</f>
      </c>
    </row>
    <row r="4300" spans="1:7">
      <c r="B4300">
        <f>IF(INDEX(Transactions!$J:$J,ROW()-8)="",TODAY(),INDEX(Transactions!$G:$G,ROW()-8))</f>
      </c>
      <c r="F4300">
        <f>IF(INDEX(Transactions!$J:$J,ROW()-8)="",0,INDEX(Transactions!$O:$O,ROW()-8))</f>
      </c>
    </row>
    <row r="4301" spans="1:7">
      <c r="B4301">
        <f>IF(INDEX(Transactions!$J:$J,ROW()-8)="",TODAY(),INDEX(Transactions!$G:$G,ROW()-8))</f>
      </c>
      <c r="F4301">
        <f>IF(INDEX(Transactions!$J:$J,ROW()-8)="",0,INDEX(Transactions!$O:$O,ROW()-8))</f>
      </c>
    </row>
    <row r="4302" spans="1:7">
      <c r="B4302">
        <f>IF(INDEX(Transactions!$J:$J,ROW()-8)="",TODAY(),INDEX(Transactions!$G:$G,ROW()-8))</f>
      </c>
      <c r="F4302">
        <f>IF(INDEX(Transactions!$J:$J,ROW()-8)="",0,INDEX(Transactions!$O:$O,ROW()-8))</f>
      </c>
    </row>
    <row r="4303" spans="1:7">
      <c r="B4303">
        <f>IF(INDEX(Transactions!$J:$J,ROW()-8)="",TODAY(),INDEX(Transactions!$G:$G,ROW()-8))</f>
      </c>
      <c r="F4303">
        <f>IF(INDEX(Transactions!$J:$J,ROW()-8)="",0,INDEX(Transactions!$O:$O,ROW()-8))</f>
      </c>
    </row>
    <row r="4304" spans="1:7">
      <c r="B4304">
        <f>IF(INDEX(Transactions!$J:$J,ROW()-8)="",TODAY(),INDEX(Transactions!$G:$G,ROW()-8))</f>
      </c>
      <c r="F4304">
        <f>IF(INDEX(Transactions!$J:$J,ROW()-8)="",0,INDEX(Transactions!$O:$O,ROW()-8))</f>
      </c>
    </row>
    <row r="4305" spans="1:7">
      <c r="B4305">
        <f>IF(INDEX(Transactions!$J:$J,ROW()-8)="",TODAY(),INDEX(Transactions!$G:$G,ROW()-8))</f>
      </c>
      <c r="F4305">
        <f>IF(INDEX(Transactions!$J:$J,ROW()-8)="",0,INDEX(Transactions!$O:$O,ROW()-8))</f>
      </c>
    </row>
    <row r="4306" spans="1:7">
      <c r="B4306">
        <f>IF(INDEX(Transactions!$J:$J,ROW()-8)="",TODAY(),INDEX(Transactions!$G:$G,ROW()-8))</f>
      </c>
      <c r="F4306">
        <f>IF(INDEX(Transactions!$J:$J,ROW()-8)="",0,INDEX(Transactions!$O:$O,ROW()-8))</f>
      </c>
    </row>
    <row r="4307" spans="1:7">
      <c r="B4307">
        <f>IF(INDEX(Transactions!$J:$J,ROW()-8)="",TODAY(),INDEX(Transactions!$G:$G,ROW()-8))</f>
      </c>
      <c r="F4307">
        <f>IF(INDEX(Transactions!$J:$J,ROW()-8)="",0,INDEX(Transactions!$O:$O,ROW()-8))</f>
      </c>
    </row>
    <row r="4308" spans="1:7">
      <c r="B4308">
        <f>IF(INDEX(Transactions!$J:$J,ROW()-8)="",TODAY(),INDEX(Transactions!$G:$G,ROW()-8))</f>
      </c>
      <c r="F4308">
        <f>IF(INDEX(Transactions!$J:$J,ROW()-8)="",0,INDEX(Transactions!$O:$O,ROW()-8))</f>
      </c>
    </row>
    <row r="4309" spans="1:7">
      <c r="B4309">
        <f>IF(INDEX(Transactions!$J:$J,ROW()-8)="",TODAY(),INDEX(Transactions!$G:$G,ROW()-8))</f>
      </c>
      <c r="F4309">
        <f>IF(INDEX(Transactions!$J:$J,ROW()-8)="",0,INDEX(Transactions!$O:$O,ROW()-8))</f>
      </c>
    </row>
    <row r="4310" spans="1:7">
      <c r="B4310">
        <f>IF(INDEX(Transactions!$J:$J,ROW()-8)="",TODAY(),INDEX(Transactions!$G:$G,ROW()-8))</f>
      </c>
      <c r="F4310">
        <f>IF(INDEX(Transactions!$J:$J,ROW()-8)="",0,INDEX(Transactions!$O:$O,ROW()-8))</f>
      </c>
    </row>
    <row r="4311" spans="1:7">
      <c r="B4311">
        <f>IF(INDEX(Transactions!$J:$J,ROW()-8)="",TODAY(),INDEX(Transactions!$G:$G,ROW()-8))</f>
      </c>
      <c r="F4311">
        <f>IF(INDEX(Transactions!$J:$J,ROW()-8)="",0,INDEX(Transactions!$O:$O,ROW()-8))</f>
      </c>
    </row>
    <row r="4312" spans="1:7">
      <c r="B4312">
        <f>IF(INDEX(Transactions!$J:$J,ROW()-8)="",TODAY(),INDEX(Transactions!$G:$G,ROW()-8))</f>
      </c>
      <c r="F4312">
        <f>IF(INDEX(Transactions!$J:$J,ROW()-8)="",0,INDEX(Transactions!$O:$O,ROW()-8))</f>
      </c>
    </row>
    <row r="4313" spans="1:7">
      <c r="B4313">
        <f>IF(INDEX(Transactions!$J:$J,ROW()-8)="",TODAY(),INDEX(Transactions!$G:$G,ROW()-8))</f>
      </c>
      <c r="F4313">
        <f>IF(INDEX(Transactions!$J:$J,ROW()-8)="",0,INDEX(Transactions!$O:$O,ROW()-8))</f>
      </c>
    </row>
    <row r="4314" spans="1:7">
      <c r="B4314">
        <f>IF(INDEX(Transactions!$J:$J,ROW()-8)="",TODAY(),INDEX(Transactions!$G:$G,ROW()-8))</f>
      </c>
      <c r="F4314">
        <f>IF(INDEX(Transactions!$J:$J,ROW()-8)="",0,INDEX(Transactions!$O:$O,ROW()-8))</f>
      </c>
    </row>
    <row r="4315" spans="1:7">
      <c r="B4315">
        <f>IF(INDEX(Transactions!$J:$J,ROW()-8)="",TODAY(),INDEX(Transactions!$G:$G,ROW()-8))</f>
      </c>
      <c r="F4315">
        <f>IF(INDEX(Transactions!$J:$J,ROW()-8)="",0,INDEX(Transactions!$O:$O,ROW()-8))</f>
      </c>
    </row>
    <row r="4316" spans="1:7">
      <c r="B4316">
        <f>IF(INDEX(Transactions!$J:$J,ROW()-8)="",TODAY(),INDEX(Transactions!$G:$G,ROW()-8))</f>
      </c>
      <c r="F4316">
        <f>IF(INDEX(Transactions!$J:$J,ROW()-8)="",0,INDEX(Transactions!$O:$O,ROW()-8))</f>
      </c>
    </row>
    <row r="4317" spans="1:7">
      <c r="B4317">
        <f>IF(INDEX(Transactions!$J:$J,ROW()-8)="",TODAY(),INDEX(Transactions!$G:$G,ROW()-8))</f>
      </c>
      <c r="F4317">
        <f>IF(INDEX(Transactions!$J:$J,ROW()-8)="",0,INDEX(Transactions!$O:$O,ROW()-8))</f>
      </c>
    </row>
    <row r="4318" spans="1:7">
      <c r="B4318">
        <f>IF(INDEX(Transactions!$J:$J,ROW()-8)="",TODAY(),INDEX(Transactions!$G:$G,ROW()-8))</f>
      </c>
      <c r="F4318">
        <f>IF(INDEX(Transactions!$J:$J,ROW()-8)="",0,INDEX(Transactions!$O:$O,ROW()-8))</f>
      </c>
    </row>
    <row r="4319" spans="1:7">
      <c r="B4319">
        <f>IF(INDEX(Transactions!$J:$J,ROW()-8)="",TODAY(),INDEX(Transactions!$G:$G,ROW()-8))</f>
      </c>
      <c r="F4319">
        <f>IF(INDEX(Transactions!$J:$J,ROW()-8)="",0,INDEX(Transactions!$O:$O,ROW()-8))</f>
      </c>
    </row>
    <row r="4320" spans="1:7">
      <c r="B4320">
        <f>IF(INDEX(Transactions!$J:$J,ROW()-8)="",TODAY(),INDEX(Transactions!$G:$G,ROW()-8))</f>
      </c>
      <c r="F4320">
        <f>IF(INDEX(Transactions!$J:$J,ROW()-8)="",0,INDEX(Transactions!$O:$O,ROW()-8))</f>
      </c>
    </row>
    <row r="4321" spans="1:7">
      <c r="B4321">
        <f>IF(INDEX(Transactions!$J:$J,ROW()-8)="",TODAY(),INDEX(Transactions!$G:$G,ROW()-8))</f>
      </c>
      <c r="F4321">
        <f>IF(INDEX(Transactions!$J:$J,ROW()-8)="",0,INDEX(Transactions!$O:$O,ROW()-8))</f>
      </c>
    </row>
    <row r="4322" spans="1:7">
      <c r="B4322">
        <f>IF(INDEX(Transactions!$J:$J,ROW()-8)="",TODAY(),INDEX(Transactions!$G:$G,ROW()-8))</f>
      </c>
      <c r="F4322">
        <f>IF(INDEX(Transactions!$J:$J,ROW()-8)="",0,INDEX(Transactions!$O:$O,ROW()-8))</f>
      </c>
    </row>
    <row r="4323" spans="1:7">
      <c r="B4323">
        <f>IF(INDEX(Transactions!$J:$J,ROW()-8)="",TODAY(),INDEX(Transactions!$G:$G,ROW()-8))</f>
      </c>
      <c r="F4323">
        <f>IF(INDEX(Transactions!$J:$J,ROW()-8)="",0,INDEX(Transactions!$O:$O,ROW()-8))</f>
      </c>
    </row>
    <row r="4324" spans="1:7">
      <c r="B4324">
        <f>IF(INDEX(Transactions!$J:$J,ROW()-8)="",TODAY(),INDEX(Transactions!$G:$G,ROW()-8))</f>
      </c>
      <c r="F4324">
        <f>IF(INDEX(Transactions!$J:$J,ROW()-8)="",0,INDEX(Transactions!$O:$O,ROW()-8))</f>
      </c>
    </row>
    <row r="4325" spans="1:7">
      <c r="B4325">
        <f>IF(INDEX(Transactions!$J:$J,ROW()-8)="",TODAY(),INDEX(Transactions!$G:$G,ROW()-8))</f>
      </c>
      <c r="F4325">
        <f>IF(INDEX(Transactions!$J:$J,ROW()-8)="",0,INDEX(Transactions!$O:$O,ROW()-8))</f>
      </c>
    </row>
    <row r="4326" spans="1:7">
      <c r="B4326">
        <f>IF(INDEX(Transactions!$J:$J,ROW()-8)="",TODAY(),INDEX(Transactions!$G:$G,ROW()-8))</f>
      </c>
      <c r="F4326">
        <f>IF(INDEX(Transactions!$J:$J,ROW()-8)="",0,INDEX(Transactions!$O:$O,ROW()-8))</f>
      </c>
    </row>
    <row r="4327" spans="1:7">
      <c r="B4327">
        <f>IF(INDEX(Transactions!$J:$J,ROW()-8)="",TODAY(),INDEX(Transactions!$G:$G,ROW()-8))</f>
      </c>
      <c r="F4327">
        <f>IF(INDEX(Transactions!$J:$J,ROW()-8)="",0,INDEX(Transactions!$O:$O,ROW()-8))</f>
      </c>
    </row>
    <row r="4328" spans="1:7">
      <c r="B4328">
        <f>IF(INDEX(Transactions!$J:$J,ROW()-8)="",TODAY(),INDEX(Transactions!$G:$G,ROW()-8))</f>
      </c>
      <c r="F4328">
        <f>IF(INDEX(Transactions!$J:$J,ROW()-8)="",0,INDEX(Transactions!$O:$O,ROW()-8))</f>
      </c>
    </row>
    <row r="4329" spans="1:7">
      <c r="B4329">
        <f>IF(INDEX(Transactions!$J:$J,ROW()-8)="",TODAY(),INDEX(Transactions!$G:$G,ROW()-8))</f>
      </c>
      <c r="F4329">
        <f>IF(INDEX(Transactions!$J:$J,ROW()-8)="",0,INDEX(Transactions!$O:$O,ROW()-8))</f>
      </c>
    </row>
    <row r="4330" spans="1:7">
      <c r="B4330">
        <f>IF(INDEX(Transactions!$J:$J,ROW()-8)="",TODAY(),INDEX(Transactions!$G:$G,ROW()-8))</f>
      </c>
      <c r="F4330">
        <f>IF(INDEX(Transactions!$J:$J,ROW()-8)="",0,INDEX(Transactions!$O:$O,ROW()-8))</f>
      </c>
    </row>
    <row r="4331" spans="1:7">
      <c r="B4331">
        <f>IF(INDEX(Transactions!$J:$J,ROW()-8)="",TODAY(),INDEX(Transactions!$G:$G,ROW()-8))</f>
      </c>
      <c r="F4331">
        <f>IF(INDEX(Transactions!$J:$J,ROW()-8)="",0,INDEX(Transactions!$O:$O,ROW()-8))</f>
      </c>
    </row>
    <row r="4332" spans="1:7">
      <c r="B4332">
        <f>IF(INDEX(Transactions!$J:$J,ROW()-8)="",TODAY(),INDEX(Transactions!$G:$G,ROW()-8))</f>
      </c>
      <c r="F4332">
        <f>IF(INDEX(Transactions!$J:$J,ROW()-8)="",0,INDEX(Transactions!$O:$O,ROW()-8))</f>
      </c>
    </row>
    <row r="4333" spans="1:7">
      <c r="B4333">
        <f>IF(INDEX(Transactions!$J:$J,ROW()-8)="",TODAY(),INDEX(Transactions!$G:$G,ROW()-8))</f>
      </c>
      <c r="F4333">
        <f>IF(INDEX(Transactions!$J:$J,ROW()-8)="",0,INDEX(Transactions!$O:$O,ROW()-8))</f>
      </c>
    </row>
    <row r="4334" spans="1:7">
      <c r="B4334">
        <f>IF(INDEX(Transactions!$J:$J,ROW()-8)="",TODAY(),INDEX(Transactions!$G:$G,ROW()-8))</f>
      </c>
      <c r="F4334">
        <f>IF(INDEX(Transactions!$J:$J,ROW()-8)="",0,INDEX(Transactions!$O:$O,ROW()-8))</f>
      </c>
    </row>
    <row r="4335" spans="1:7">
      <c r="B4335">
        <f>IF(INDEX(Transactions!$J:$J,ROW()-8)="",TODAY(),INDEX(Transactions!$G:$G,ROW()-8))</f>
      </c>
      <c r="F4335">
        <f>IF(INDEX(Transactions!$J:$J,ROW()-8)="",0,INDEX(Transactions!$O:$O,ROW()-8))</f>
      </c>
    </row>
    <row r="4336" spans="1:7">
      <c r="B4336">
        <f>IF(INDEX(Transactions!$J:$J,ROW()-8)="",TODAY(),INDEX(Transactions!$G:$G,ROW()-8))</f>
      </c>
      <c r="F4336">
        <f>IF(INDEX(Transactions!$J:$J,ROW()-8)="",0,INDEX(Transactions!$O:$O,ROW()-8))</f>
      </c>
    </row>
    <row r="4337" spans="1:7">
      <c r="B4337">
        <f>IF(INDEX(Transactions!$J:$J,ROW()-8)="",TODAY(),INDEX(Transactions!$G:$G,ROW()-8))</f>
      </c>
      <c r="F4337">
        <f>IF(INDEX(Transactions!$J:$J,ROW()-8)="",0,INDEX(Transactions!$O:$O,ROW()-8))</f>
      </c>
    </row>
    <row r="4338" spans="1:7">
      <c r="B4338">
        <f>IF(INDEX(Transactions!$J:$J,ROW()-8)="",TODAY(),INDEX(Transactions!$G:$G,ROW()-8))</f>
      </c>
      <c r="F4338">
        <f>IF(INDEX(Transactions!$J:$J,ROW()-8)="",0,INDEX(Transactions!$O:$O,ROW()-8))</f>
      </c>
    </row>
    <row r="4339" spans="1:7">
      <c r="B4339">
        <f>IF(INDEX(Transactions!$J:$J,ROW()-8)="",TODAY(),INDEX(Transactions!$G:$G,ROW()-8))</f>
      </c>
      <c r="F4339">
        <f>IF(INDEX(Transactions!$J:$J,ROW()-8)="",0,INDEX(Transactions!$O:$O,ROW()-8))</f>
      </c>
    </row>
    <row r="4340" spans="1:7">
      <c r="B4340">
        <f>IF(INDEX(Transactions!$J:$J,ROW()-8)="",TODAY(),INDEX(Transactions!$G:$G,ROW()-8))</f>
      </c>
      <c r="F4340">
        <f>IF(INDEX(Transactions!$J:$J,ROW()-8)="",0,INDEX(Transactions!$O:$O,ROW()-8))</f>
      </c>
    </row>
    <row r="4341" spans="1:7">
      <c r="B4341">
        <f>IF(INDEX(Transactions!$J:$J,ROW()-8)="",TODAY(),INDEX(Transactions!$G:$G,ROW()-8))</f>
      </c>
      <c r="F4341">
        <f>IF(INDEX(Transactions!$J:$J,ROW()-8)="",0,INDEX(Transactions!$O:$O,ROW()-8))</f>
      </c>
    </row>
    <row r="4342" spans="1:7">
      <c r="B4342">
        <f>IF(INDEX(Transactions!$J:$J,ROW()-8)="",TODAY(),INDEX(Transactions!$G:$G,ROW()-8))</f>
      </c>
      <c r="F4342">
        <f>IF(INDEX(Transactions!$J:$J,ROW()-8)="",0,INDEX(Transactions!$O:$O,ROW()-8))</f>
      </c>
    </row>
    <row r="4343" spans="1:7">
      <c r="B4343">
        <f>IF(INDEX(Transactions!$J:$J,ROW()-8)="",TODAY(),INDEX(Transactions!$G:$G,ROW()-8))</f>
      </c>
      <c r="F4343">
        <f>IF(INDEX(Transactions!$J:$J,ROW()-8)="",0,INDEX(Transactions!$O:$O,ROW()-8))</f>
      </c>
    </row>
    <row r="4344" spans="1:7">
      <c r="B4344">
        <f>IF(INDEX(Transactions!$J:$J,ROW()-8)="",TODAY(),INDEX(Transactions!$G:$G,ROW()-8))</f>
      </c>
      <c r="F4344">
        <f>IF(INDEX(Transactions!$J:$J,ROW()-8)="",0,INDEX(Transactions!$O:$O,ROW()-8))</f>
      </c>
    </row>
    <row r="4345" spans="1:7">
      <c r="B4345">
        <f>IF(INDEX(Transactions!$J:$J,ROW()-8)="",TODAY(),INDEX(Transactions!$G:$G,ROW()-8))</f>
      </c>
      <c r="F4345">
        <f>IF(INDEX(Transactions!$J:$J,ROW()-8)="",0,INDEX(Transactions!$O:$O,ROW()-8))</f>
      </c>
    </row>
    <row r="4346" spans="1:7">
      <c r="B4346">
        <f>IF(INDEX(Transactions!$J:$J,ROW()-8)="",TODAY(),INDEX(Transactions!$G:$G,ROW()-8))</f>
      </c>
      <c r="F4346">
        <f>IF(INDEX(Transactions!$J:$J,ROW()-8)="",0,INDEX(Transactions!$O:$O,ROW()-8))</f>
      </c>
    </row>
    <row r="4347" spans="1:7">
      <c r="B4347">
        <f>IF(INDEX(Transactions!$J:$J,ROW()-8)="",TODAY(),INDEX(Transactions!$G:$G,ROW()-8))</f>
      </c>
      <c r="F4347">
        <f>IF(INDEX(Transactions!$J:$J,ROW()-8)="",0,INDEX(Transactions!$O:$O,ROW()-8))</f>
      </c>
    </row>
    <row r="4348" spans="1:7">
      <c r="B4348">
        <f>IF(INDEX(Transactions!$J:$J,ROW()-8)="",TODAY(),INDEX(Transactions!$G:$G,ROW()-8))</f>
      </c>
      <c r="F4348">
        <f>IF(INDEX(Transactions!$J:$J,ROW()-8)="",0,INDEX(Transactions!$O:$O,ROW()-8))</f>
      </c>
    </row>
    <row r="4349" spans="1:7">
      <c r="B4349">
        <f>IF(INDEX(Transactions!$J:$J,ROW()-8)="",TODAY(),INDEX(Transactions!$G:$G,ROW()-8))</f>
      </c>
      <c r="F4349">
        <f>IF(INDEX(Transactions!$J:$J,ROW()-8)="",0,INDEX(Transactions!$O:$O,ROW()-8))</f>
      </c>
    </row>
    <row r="4350" spans="1:7">
      <c r="B4350">
        <f>IF(INDEX(Transactions!$J:$J,ROW()-8)="",TODAY(),INDEX(Transactions!$G:$G,ROW()-8))</f>
      </c>
      <c r="F4350">
        <f>IF(INDEX(Transactions!$J:$J,ROW()-8)="",0,INDEX(Transactions!$O:$O,ROW()-8))</f>
      </c>
    </row>
    <row r="4351" spans="1:7">
      <c r="B4351">
        <f>IF(INDEX(Transactions!$J:$J,ROW()-8)="",TODAY(),INDEX(Transactions!$G:$G,ROW()-8))</f>
      </c>
      <c r="F4351">
        <f>IF(INDEX(Transactions!$J:$J,ROW()-8)="",0,INDEX(Transactions!$O:$O,ROW()-8))</f>
      </c>
    </row>
    <row r="4352" spans="1:7">
      <c r="B4352">
        <f>IF(INDEX(Transactions!$J:$J,ROW()-8)="",TODAY(),INDEX(Transactions!$G:$G,ROW()-8))</f>
      </c>
      <c r="F4352">
        <f>IF(INDEX(Transactions!$J:$J,ROW()-8)="",0,INDEX(Transactions!$O:$O,ROW()-8))</f>
      </c>
    </row>
    <row r="4353" spans="1:7">
      <c r="B4353">
        <f>IF(INDEX(Transactions!$J:$J,ROW()-8)="",TODAY(),INDEX(Transactions!$G:$G,ROW()-8))</f>
      </c>
      <c r="F4353">
        <f>IF(INDEX(Transactions!$J:$J,ROW()-8)="",0,INDEX(Transactions!$O:$O,ROW()-8))</f>
      </c>
    </row>
    <row r="4354" spans="1:7">
      <c r="B4354">
        <f>IF(INDEX(Transactions!$J:$J,ROW()-8)="",TODAY(),INDEX(Transactions!$G:$G,ROW()-8))</f>
      </c>
      <c r="F4354">
        <f>IF(INDEX(Transactions!$J:$J,ROW()-8)="",0,INDEX(Transactions!$O:$O,ROW()-8))</f>
      </c>
    </row>
    <row r="4355" spans="1:7">
      <c r="B4355">
        <f>IF(INDEX(Transactions!$J:$J,ROW()-8)="",TODAY(),INDEX(Transactions!$G:$G,ROW()-8))</f>
      </c>
      <c r="F4355">
        <f>IF(INDEX(Transactions!$J:$J,ROW()-8)="",0,INDEX(Transactions!$O:$O,ROW()-8))</f>
      </c>
    </row>
    <row r="4356" spans="1:7">
      <c r="B4356">
        <f>IF(INDEX(Transactions!$J:$J,ROW()-8)="",TODAY(),INDEX(Transactions!$G:$G,ROW()-8))</f>
      </c>
      <c r="F4356">
        <f>IF(INDEX(Transactions!$J:$J,ROW()-8)="",0,INDEX(Transactions!$O:$O,ROW()-8))</f>
      </c>
    </row>
    <row r="4357" spans="1:7">
      <c r="B4357">
        <f>IF(INDEX(Transactions!$J:$J,ROW()-8)="",TODAY(),INDEX(Transactions!$G:$G,ROW()-8))</f>
      </c>
      <c r="F4357">
        <f>IF(INDEX(Transactions!$J:$J,ROW()-8)="",0,INDEX(Transactions!$O:$O,ROW()-8))</f>
      </c>
    </row>
    <row r="4358" spans="1:7">
      <c r="B4358">
        <f>IF(INDEX(Transactions!$J:$J,ROW()-8)="",TODAY(),INDEX(Transactions!$G:$G,ROW()-8))</f>
      </c>
      <c r="F4358">
        <f>IF(INDEX(Transactions!$J:$J,ROW()-8)="",0,INDEX(Transactions!$O:$O,ROW()-8))</f>
      </c>
    </row>
    <row r="4359" spans="1:7">
      <c r="B4359">
        <f>IF(INDEX(Transactions!$J:$J,ROW()-8)="",TODAY(),INDEX(Transactions!$G:$G,ROW()-8))</f>
      </c>
      <c r="F4359">
        <f>IF(INDEX(Transactions!$J:$J,ROW()-8)="",0,INDEX(Transactions!$O:$O,ROW()-8))</f>
      </c>
    </row>
    <row r="4360" spans="1:7">
      <c r="B4360">
        <f>IF(INDEX(Transactions!$J:$J,ROW()-8)="",TODAY(),INDEX(Transactions!$G:$G,ROW()-8))</f>
      </c>
      <c r="F4360">
        <f>IF(INDEX(Transactions!$J:$J,ROW()-8)="",0,INDEX(Transactions!$O:$O,ROW()-8))</f>
      </c>
    </row>
    <row r="4361" spans="1:7">
      <c r="B4361">
        <f>IF(INDEX(Transactions!$J:$J,ROW()-8)="",TODAY(),INDEX(Transactions!$G:$G,ROW()-8))</f>
      </c>
      <c r="F4361">
        <f>IF(INDEX(Transactions!$J:$J,ROW()-8)="",0,INDEX(Transactions!$O:$O,ROW()-8))</f>
      </c>
    </row>
    <row r="4362" spans="1:7">
      <c r="B4362">
        <f>IF(INDEX(Transactions!$J:$J,ROW()-8)="",TODAY(),INDEX(Transactions!$G:$G,ROW()-8))</f>
      </c>
      <c r="F4362">
        <f>IF(INDEX(Transactions!$J:$J,ROW()-8)="",0,INDEX(Transactions!$O:$O,ROW()-8))</f>
      </c>
    </row>
    <row r="4363" spans="1:7">
      <c r="B4363">
        <f>IF(INDEX(Transactions!$J:$J,ROW()-8)="",TODAY(),INDEX(Transactions!$G:$G,ROW()-8))</f>
      </c>
      <c r="F4363">
        <f>IF(INDEX(Transactions!$J:$J,ROW()-8)="",0,INDEX(Transactions!$O:$O,ROW()-8))</f>
      </c>
    </row>
    <row r="4364" spans="1:7">
      <c r="B4364">
        <f>IF(INDEX(Transactions!$J:$J,ROW()-8)="",TODAY(),INDEX(Transactions!$G:$G,ROW()-8))</f>
      </c>
      <c r="F4364">
        <f>IF(INDEX(Transactions!$J:$J,ROW()-8)="",0,INDEX(Transactions!$O:$O,ROW()-8))</f>
      </c>
    </row>
    <row r="4365" spans="1:7">
      <c r="B4365">
        <f>IF(INDEX(Transactions!$J:$J,ROW()-8)="",TODAY(),INDEX(Transactions!$G:$G,ROW()-8))</f>
      </c>
      <c r="F4365">
        <f>IF(INDEX(Transactions!$J:$J,ROW()-8)="",0,INDEX(Transactions!$O:$O,ROW()-8))</f>
      </c>
    </row>
    <row r="4366" spans="1:7">
      <c r="B4366">
        <f>IF(INDEX(Transactions!$J:$J,ROW()-8)="",TODAY(),INDEX(Transactions!$G:$G,ROW()-8))</f>
      </c>
      <c r="F4366">
        <f>IF(INDEX(Transactions!$J:$J,ROW()-8)="",0,INDEX(Transactions!$O:$O,ROW()-8))</f>
      </c>
    </row>
    <row r="4367" spans="1:7">
      <c r="B4367">
        <f>IF(INDEX(Transactions!$J:$J,ROW()-8)="",TODAY(),INDEX(Transactions!$G:$G,ROW()-8))</f>
      </c>
      <c r="F4367">
        <f>IF(INDEX(Transactions!$J:$J,ROW()-8)="",0,INDEX(Transactions!$O:$O,ROW()-8))</f>
      </c>
    </row>
    <row r="4368" spans="1:7">
      <c r="B4368">
        <f>IF(INDEX(Transactions!$J:$J,ROW()-8)="",TODAY(),INDEX(Transactions!$G:$G,ROW()-8))</f>
      </c>
      <c r="F4368">
        <f>IF(INDEX(Transactions!$J:$J,ROW()-8)="",0,INDEX(Transactions!$O:$O,ROW()-8))</f>
      </c>
    </row>
    <row r="4369" spans="1:7">
      <c r="B4369">
        <f>IF(INDEX(Transactions!$J:$J,ROW()-8)="",TODAY(),INDEX(Transactions!$G:$G,ROW()-8))</f>
      </c>
      <c r="F4369">
        <f>IF(INDEX(Transactions!$J:$J,ROW()-8)="",0,INDEX(Transactions!$O:$O,ROW()-8))</f>
      </c>
    </row>
    <row r="4370" spans="1:7">
      <c r="B4370">
        <f>IF(INDEX(Transactions!$J:$J,ROW()-8)="",TODAY(),INDEX(Transactions!$G:$G,ROW()-8))</f>
      </c>
      <c r="F4370">
        <f>IF(INDEX(Transactions!$J:$J,ROW()-8)="",0,INDEX(Transactions!$O:$O,ROW()-8))</f>
      </c>
    </row>
    <row r="4371" spans="1:7">
      <c r="B4371">
        <f>IF(INDEX(Transactions!$J:$J,ROW()-8)="",TODAY(),INDEX(Transactions!$G:$G,ROW()-8))</f>
      </c>
      <c r="F4371">
        <f>IF(INDEX(Transactions!$J:$J,ROW()-8)="",0,INDEX(Transactions!$O:$O,ROW()-8))</f>
      </c>
    </row>
    <row r="4372" spans="1:7">
      <c r="B4372">
        <f>IF(INDEX(Transactions!$J:$J,ROW()-8)="",TODAY(),INDEX(Transactions!$G:$G,ROW()-8))</f>
      </c>
      <c r="F4372">
        <f>IF(INDEX(Transactions!$J:$J,ROW()-8)="",0,INDEX(Transactions!$O:$O,ROW()-8))</f>
      </c>
    </row>
    <row r="4373" spans="1:7">
      <c r="B4373">
        <f>IF(INDEX(Transactions!$J:$J,ROW()-8)="",TODAY(),INDEX(Transactions!$G:$G,ROW()-8))</f>
      </c>
      <c r="F4373">
        <f>IF(INDEX(Transactions!$J:$J,ROW()-8)="",0,INDEX(Transactions!$O:$O,ROW()-8))</f>
      </c>
    </row>
    <row r="4374" spans="1:7">
      <c r="B4374">
        <f>IF(INDEX(Transactions!$J:$J,ROW()-8)="",TODAY(),INDEX(Transactions!$G:$G,ROW()-8))</f>
      </c>
      <c r="F4374">
        <f>IF(INDEX(Transactions!$J:$J,ROW()-8)="",0,INDEX(Transactions!$O:$O,ROW()-8))</f>
      </c>
    </row>
    <row r="4375" spans="1:7">
      <c r="B4375">
        <f>IF(INDEX(Transactions!$J:$J,ROW()-8)="",TODAY(),INDEX(Transactions!$G:$G,ROW()-8))</f>
      </c>
      <c r="F4375">
        <f>IF(INDEX(Transactions!$J:$J,ROW()-8)="",0,INDEX(Transactions!$O:$O,ROW()-8))</f>
      </c>
    </row>
    <row r="4376" spans="1:7">
      <c r="B4376">
        <f>IF(INDEX(Transactions!$J:$J,ROW()-8)="",TODAY(),INDEX(Transactions!$G:$G,ROW()-8))</f>
      </c>
      <c r="F4376">
        <f>IF(INDEX(Transactions!$J:$J,ROW()-8)="",0,INDEX(Transactions!$O:$O,ROW()-8))</f>
      </c>
    </row>
    <row r="4377" spans="1:7">
      <c r="B4377">
        <f>IF(INDEX(Transactions!$J:$J,ROW()-8)="",TODAY(),INDEX(Transactions!$G:$G,ROW()-8))</f>
      </c>
      <c r="F4377">
        <f>IF(INDEX(Transactions!$J:$J,ROW()-8)="",0,INDEX(Transactions!$O:$O,ROW()-8))</f>
      </c>
    </row>
    <row r="4378" spans="1:7">
      <c r="B4378">
        <f>IF(INDEX(Transactions!$J:$J,ROW()-8)="",TODAY(),INDEX(Transactions!$G:$G,ROW()-8))</f>
      </c>
      <c r="F4378">
        <f>IF(INDEX(Transactions!$J:$J,ROW()-8)="",0,INDEX(Transactions!$O:$O,ROW()-8))</f>
      </c>
    </row>
    <row r="4379" spans="1:7">
      <c r="B4379">
        <f>IF(INDEX(Transactions!$J:$J,ROW()-8)="",TODAY(),INDEX(Transactions!$G:$G,ROW()-8))</f>
      </c>
      <c r="F4379">
        <f>IF(INDEX(Transactions!$J:$J,ROW()-8)="",0,INDEX(Transactions!$O:$O,ROW()-8))</f>
      </c>
    </row>
    <row r="4380" spans="1:7">
      <c r="B4380">
        <f>IF(INDEX(Transactions!$J:$J,ROW()-8)="",TODAY(),INDEX(Transactions!$G:$G,ROW()-8))</f>
      </c>
      <c r="F4380">
        <f>IF(INDEX(Transactions!$J:$J,ROW()-8)="",0,INDEX(Transactions!$O:$O,ROW()-8))</f>
      </c>
    </row>
    <row r="4381" spans="1:7">
      <c r="B4381">
        <f>IF(INDEX(Transactions!$J:$J,ROW()-8)="",TODAY(),INDEX(Transactions!$G:$G,ROW()-8))</f>
      </c>
      <c r="F4381">
        <f>IF(INDEX(Transactions!$J:$J,ROW()-8)="",0,INDEX(Transactions!$O:$O,ROW()-8))</f>
      </c>
    </row>
    <row r="4382" spans="1:7">
      <c r="B4382">
        <f>IF(INDEX(Transactions!$J:$J,ROW()-8)="",TODAY(),INDEX(Transactions!$G:$G,ROW()-8))</f>
      </c>
      <c r="F4382">
        <f>IF(INDEX(Transactions!$J:$J,ROW()-8)="",0,INDEX(Transactions!$O:$O,ROW()-8))</f>
      </c>
    </row>
    <row r="4383" spans="1:7">
      <c r="B4383">
        <f>IF(INDEX(Transactions!$J:$J,ROW()-8)="",TODAY(),INDEX(Transactions!$G:$G,ROW()-8))</f>
      </c>
      <c r="F4383">
        <f>IF(INDEX(Transactions!$J:$J,ROW()-8)="",0,INDEX(Transactions!$O:$O,ROW()-8))</f>
      </c>
    </row>
    <row r="4384" spans="1:7">
      <c r="B4384">
        <f>IF(INDEX(Transactions!$J:$J,ROW()-8)="",TODAY(),INDEX(Transactions!$G:$G,ROW()-8))</f>
      </c>
      <c r="F4384">
        <f>IF(INDEX(Transactions!$J:$J,ROW()-8)="",0,INDEX(Transactions!$O:$O,ROW()-8))</f>
      </c>
    </row>
    <row r="4385" spans="1:7">
      <c r="B4385">
        <f>IF(INDEX(Transactions!$J:$J,ROW()-8)="",TODAY(),INDEX(Transactions!$G:$G,ROW()-8))</f>
      </c>
      <c r="F4385">
        <f>IF(INDEX(Transactions!$J:$J,ROW()-8)="",0,INDEX(Transactions!$O:$O,ROW()-8))</f>
      </c>
    </row>
    <row r="4386" spans="1:7">
      <c r="B4386">
        <f>IF(INDEX(Transactions!$J:$J,ROW()-8)="",TODAY(),INDEX(Transactions!$G:$G,ROW()-8))</f>
      </c>
      <c r="F4386">
        <f>IF(INDEX(Transactions!$J:$J,ROW()-8)="",0,INDEX(Transactions!$O:$O,ROW()-8))</f>
      </c>
    </row>
    <row r="4387" spans="1:7">
      <c r="B4387">
        <f>IF(INDEX(Transactions!$J:$J,ROW()-8)="",TODAY(),INDEX(Transactions!$G:$G,ROW()-8))</f>
      </c>
      <c r="F4387">
        <f>IF(INDEX(Transactions!$J:$J,ROW()-8)="",0,INDEX(Transactions!$O:$O,ROW()-8))</f>
      </c>
    </row>
    <row r="4388" spans="1:7">
      <c r="B4388">
        <f>IF(INDEX(Transactions!$J:$J,ROW()-8)="",TODAY(),INDEX(Transactions!$G:$G,ROW()-8))</f>
      </c>
      <c r="F4388">
        <f>IF(INDEX(Transactions!$J:$J,ROW()-8)="",0,INDEX(Transactions!$O:$O,ROW()-8))</f>
      </c>
    </row>
    <row r="4389" spans="1:7">
      <c r="B4389">
        <f>IF(INDEX(Transactions!$J:$J,ROW()-8)="",TODAY(),INDEX(Transactions!$G:$G,ROW()-8))</f>
      </c>
      <c r="F4389">
        <f>IF(INDEX(Transactions!$J:$J,ROW()-8)="",0,INDEX(Transactions!$O:$O,ROW()-8))</f>
      </c>
    </row>
    <row r="4390" spans="1:7">
      <c r="B4390">
        <f>IF(INDEX(Transactions!$J:$J,ROW()-8)="",TODAY(),INDEX(Transactions!$G:$G,ROW()-8))</f>
      </c>
      <c r="F4390">
        <f>IF(INDEX(Transactions!$J:$J,ROW()-8)="",0,INDEX(Transactions!$O:$O,ROW()-8))</f>
      </c>
    </row>
    <row r="4391" spans="1:7">
      <c r="B4391">
        <f>IF(INDEX(Transactions!$J:$J,ROW()-8)="",TODAY(),INDEX(Transactions!$G:$G,ROW()-8))</f>
      </c>
      <c r="F4391">
        <f>IF(INDEX(Transactions!$J:$J,ROW()-8)="",0,INDEX(Transactions!$O:$O,ROW()-8))</f>
      </c>
    </row>
    <row r="4392" spans="1:7">
      <c r="B4392">
        <f>IF(INDEX(Transactions!$J:$J,ROW()-8)="",TODAY(),INDEX(Transactions!$G:$G,ROW()-8))</f>
      </c>
      <c r="F4392">
        <f>IF(INDEX(Transactions!$J:$J,ROW()-8)="",0,INDEX(Transactions!$O:$O,ROW()-8))</f>
      </c>
    </row>
    <row r="4393" spans="1:7">
      <c r="B4393">
        <f>IF(INDEX(Transactions!$J:$J,ROW()-8)="",TODAY(),INDEX(Transactions!$G:$G,ROW()-8))</f>
      </c>
      <c r="F4393">
        <f>IF(INDEX(Transactions!$J:$J,ROW()-8)="",0,INDEX(Transactions!$O:$O,ROW()-8))</f>
      </c>
    </row>
    <row r="4394" spans="1:7">
      <c r="B4394">
        <f>IF(INDEX(Transactions!$J:$J,ROW()-8)="",TODAY(),INDEX(Transactions!$G:$G,ROW()-8))</f>
      </c>
      <c r="F4394">
        <f>IF(INDEX(Transactions!$J:$J,ROW()-8)="",0,INDEX(Transactions!$O:$O,ROW()-8))</f>
      </c>
    </row>
    <row r="4395" spans="1:7">
      <c r="B4395">
        <f>IF(INDEX(Transactions!$J:$J,ROW()-8)="",TODAY(),INDEX(Transactions!$G:$G,ROW()-8))</f>
      </c>
      <c r="F4395">
        <f>IF(INDEX(Transactions!$J:$J,ROW()-8)="",0,INDEX(Transactions!$O:$O,ROW()-8))</f>
      </c>
    </row>
    <row r="4396" spans="1:7">
      <c r="B4396">
        <f>IF(INDEX(Transactions!$J:$J,ROW()-8)="",TODAY(),INDEX(Transactions!$G:$G,ROW()-8))</f>
      </c>
      <c r="F4396">
        <f>IF(INDEX(Transactions!$J:$J,ROW()-8)="",0,INDEX(Transactions!$O:$O,ROW()-8))</f>
      </c>
    </row>
    <row r="4397" spans="1:7">
      <c r="B4397">
        <f>IF(INDEX(Transactions!$J:$J,ROW()-8)="",TODAY(),INDEX(Transactions!$G:$G,ROW()-8))</f>
      </c>
      <c r="F4397">
        <f>IF(INDEX(Transactions!$J:$J,ROW()-8)="",0,INDEX(Transactions!$O:$O,ROW()-8))</f>
      </c>
    </row>
    <row r="4398" spans="1:7">
      <c r="B4398">
        <f>IF(INDEX(Transactions!$J:$J,ROW()-8)="",TODAY(),INDEX(Transactions!$G:$G,ROW()-8))</f>
      </c>
      <c r="F4398">
        <f>IF(INDEX(Transactions!$J:$J,ROW()-8)="",0,INDEX(Transactions!$O:$O,ROW()-8))</f>
      </c>
    </row>
    <row r="4399" spans="1:7">
      <c r="B4399">
        <f>IF(INDEX(Transactions!$J:$J,ROW()-8)="",TODAY(),INDEX(Transactions!$G:$G,ROW()-8))</f>
      </c>
      <c r="F4399">
        <f>IF(INDEX(Transactions!$J:$J,ROW()-8)="",0,INDEX(Transactions!$O:$O,ROW()-8))</f>
      </c>
    </row>
    <row r="4400" spans="1:7">
      <c r="B4400">
        <f>IF(INDEX(Transactions!$J:$J,ROW()-8)="",TODAY(),INDEX(Transactions!$G:$G,ROW()-8))</f>
      </c>
      <c r="F4400">
        <f>IF(INDEX(Transactions!$J:$J,ROW()-8)="",0,INDEX(Transactions!$O:$O,ROW()-8))</f>
      </c>
    </row>
    <row r="4401" spans="1:7">
      <c r="B4401">
        <f>IF(INDEX(Transactions!$J:$J,ROW()-8)="",TODAY(),INDEX(Transactions!$G:$G,ROW()-8))</f>
      </c>
      <c r="F4401">
        <f>IF(INDEX(Transactions!$J:$J,ROW()-8)="",0,INDEX(Transactions!$O:$O,ROW()-8))</f>
      </c>
    </row>
    <row r="4402" spans="1:7">
      <c r="B4402">
        <f>IF(INDEX(Transactions!$J:$J,ROW()-8)="",TODAY(),INDEX(Transactions!$G:$G,ROW()-8))</f>
      </c>
      <c r="F4402">
        <f>IF(INDEX(Transactions!$J:$J,ROW()-8)="",0,INDEX(Transactions!$O:$O,ROW()-8))</f>
      </c>
    </row>
    <row r="4403" spans="1:7">
      <c r="B4403">
        <f>IF(INDEX(Transactions!$J:$J,ROW()-8)="",TODAY(),INDEX(Transactions!$G:$G,ROW()-8))</f>
      </c>
      <c r="F4403">
        <f>IF(INDEX(Transactions!$J:$J,ROW()-8)="",0,INDEX(Transactions!$O:$O,ROW()-8))</f>
      </c>
    </row>
    <row r="4404" spans="1:7">
      <c r="B4404">
        <f>IF(INDEX(Transactions!$J:$J,ROW()-8)="",TODAY(),INDEX(Transactions!$G:$G,ROW()-8))</f>
      </c>
      <c r="F4404">
        <f>IF(INDEX(Transactions!$J:$J,ROW()-8)="",0,INDEX(Transactions!$O:$O,ROW()-8))</f>
      </c>
    </row>
    <row r="4405" spans="1:7">
      <c r="B4405">
        <f>IF(INDEX(Transactions!$J:$J,ROW()-8)="",TODAY(),INDEX(Transactions!$G:$G,ROW()-8))</f>
      </c>
      <c r="F4405">
        <f>IF(INDEX(Transactions!$J:$J,ROW()-8)="",0,INDEX(Transactions!$O:$O,ROW()-8))</f>
      </c>
    </row>
    <row r="4406" spans="1:7">
      <c r="B4406">
        <f>IF(INDEX(Transactions!$J:$J,ROW()-8)="",TODAY(),INDEX(Transactions!$G:$G,ROW()-8))</f>
      </c>
      <c r="F4406">
        <f>IF(INDEX(Transactions!$J:$J,ROW()-8)="",0,INDEX(Transactions!$O:$O,ROW()-8))</f>
      </c>
    </row>
    <row r="4407" spans="1:7">
      <c r="B4407">
        <f>IF(INDEX(Transactions!$J:$J,ROW()-8)="",TODAY(),INDEX(Transactions!$G:$G,ROW()-8))</f>
      </c>
      <c r="F4407">
        <f>IF(INDEX(Transactions!$J:$J,ROW()-8)="",0,INDEX(Transactions!$O:$O,ROW()-8))</f>
      </c>
    </row>
    <row r="4408" spans="1:7">
      <c r="B4408">
        <f>IF(INDEX(Transactions!$J:$J,ROW()-8)="",TODAY(),INDEX(Transactions!$G:$G,ROW()-8))</f>
      </c>
      <c r="F4408">
        <f>IF(INDEX(Transactions!$J:$J,ROW()-8)="",0,INDEX(Transactions!$O:$O,ROW()-8))</f>
      </c>
    </row>
    <row r="4409" spans="1:7">
      <c r="B4409">
        <f>IF(INDEX(Transactions!$J:$J,ROW()-8)="",TODAY(),INDEX(Transactions!$G:$G,ROW()-8))</f>
      </c>
      <c r="F4409">
        <f>IF(INDEX(Transactions!$J:$J,ROW()-8)="",0,INDEX(Transactions!$O:$O,ROW()-8))</f>
      </c>
    </row>
    <row r="4410" spans="1:7">
      <c r="B4410">
        <f>IF(INDEX(Transactions!$J:$J,ROW()-8)="",TODAY(),INDEX(Transactions!$G:$G,ROW()-8))</f>
      </c>
      <c r="F4410">
        <f>IF(INDEX(Transactions!$J:$J,ROW()-8)="",0,INDEX(Transactions!$O:$O,ROW()-8))</f>
      </c>
    </row>
    <row r="4411" spans="1:7">
      <c r="B4411">
        <f>IF(INDEX(Transactions!$J:$J,ROW()-8)="",TODAY(),INDEX(Transactions!$G:$G,ROW()-8))</f>
      </c>
      <c r="F4411">
        <f>IF(INDEX(Transactions!$J:$J,ROW()-8)="",0,INDEX(Transactions!$O:$O,ROW()-8))</f>
      </c>
    </row>
    <row r="4412" spans="1:7">
      <c r="B4412">
        <f>IF(INDEX(Transactions!$J:$J,ROW()-8)="",TODAY(),INDEX(Transactions!$G:$G,ROW()-8))</f>
      </c>
      <c r="F4412">
        <f>IF(INDEX(Transactions!$J:$J,ROW()-8)="",0,INDEX(Transactions!$O:$O,ROW()-8))</f>
      </c>
    </row>
    <row r="4413" spans="1:7">
      <c r="B4413">
        <f>IF(INDEX(Transactions!$J:$J,ROW()-8)="",TODAY(),INDEX(Transactions!$G:$G,ROW()-8))</f>
      </c>
      <c r="F4413">
        <f>IF(INDEX(Transactions!$J:$J,ROW()-8)="",0,INDEX(Transactions!$O:$O,ROW()-8))</f>
      </c>
    </row>
    <row r="4414" spans="1:7">
      <c r="B4414">
        <f>IF(INDEX(Transactions!$J:$J,ROW()-8)="",TODAY(),INDEX(Transactions!$G:$G,ROW()-8))</f>
      </c>
      <c r="F4414">
        <f>IF(INDEX(Transactions!$J:$J,ROW()-8)="",0,INDEX(Transactions!$O:$O,ROW()-8))</f>
      </c>
    </row>
    <row r="4415" spans="1:7">
      <c r="B4415">
        <f>IF(INDEX(Transactions!$J:$J,ROW()-8)="",TODAY(),INDEX(Transactions!$G:$G,ROW()-8))</f>
      </c>
      <c r="F4415">
        <f>IF(INDEX(Transactions!$J:$J,ROW()-8)="",0,INDEX(Transactions!$O:$O,ROW()-8))</f>
      </c>
    </row>
    <row r="4416" spans="1:7">
      <c r="B4416">
        <f>IF(INDEX(Transactions!$J:$J,ROW()-8)="",TODAY(),INDEX(Transactions!$G:$G,ROW()-8))</f>
      </c>
      <c r="F4416">
        <f>IF(INDEX(Transactions!$J:$J,ROW()-8)="",0,INDEX(Transactions!$O:$O,ROW()-8))</f>
      </c>
    </row>
    <row r="4417" spans="1:7">
      <c r="B4417">
        <f>IF(INDEX(Transactions!$J:$J,ROW()-8)="",TODAY(),INDEX(Transactions!$G:$G,ROW()-8))</f>
      </c>
      <c r="F4417">
        <f>IF(INDEX(Transactions!$J:$J,ROW()-8)="",0,INDEX(Transactions!$O:$O,ROW()-8))</f>
      </c>
    </row>
    <row r="4418" spans="1:7">
      <c r="B4418">
        <f>IF(INDEX(Transactions!$J:$J,ROW()-8)="",TODAY(),INDEX(Transactions!$G:$G,ROW()-8))</f>
      </c>
      <c r="F4418">
        <f>IF(INDEX(Transactions!$J:$J,ROW()-8)="",0,INDEX(Transactions!$O:$O,ROW()-8))</f>
      </c>
    </row>
    <row r="4419" spans="1:7">
      <c r="B4419">
        <f>IF(INDEX(Transactions!$J:$J,ROW()-8)="",TODAY(),INDEX(Transactions!$G:$G,ROW()-8))</f>
      </c>
      <c r="F4419">
        <f>IF(INDEX(Transactions!$J:$J,ROW()-8)="",0,INDEX(Transactions!$O:$O,ROW()-8))</f>
      </c>
    </row>
    <row r="4420" spans="1:7">
      <c r="B4420">
        <f>IF(INDEX(Transactions!$J:$J,ROW()-8)="",TODAY(),INDEX(Transactions!$G:$G,ROW()-8))</f>
      </c>
      <c r="F4420">
        <f>IF(INDEX(Transactions!$J:$J,ROW()-8)="",0,INDEX(Transactions!$O:$O,ROW()-8))</f>
      </c>
    </row>
    <row r="4421" spans="1:7">
      <c r="B4421">
        <f>IF(INDEX(Transactions!$J:$J,ROW()-8)="",TODAY(),INDEX(Transactions!$G:$G,ROW()-8))</f>
      </c>
      <c r="F4421">
        <f>IF(INDEX(Transactions!$J:$J,ROW()-8)="",0,INDEX(Transactions!$O:$O,ROW()-8))</f>
      </c>
    </row>
    <row r="4422" spans="1:7">
      <c r="B4422">
        <f>IF(INDEX(Transactions!$J:$J,ROW()-8)="",TODAY(),INDEX(Transactions!$G:$G,ROW()-8))</f>
      </c>
      <c r="F4422">
        <f>IF(INDEX(Transactions!$J:$J,ROW()-8)="",0,INDEX(Transactions!$O:$O,ROW()-8))</f>
      </c>
    </row>
    <row r="4423" spans="1:7">
      <c r="B4423">
        <f>IF(INDEX(Transactions!$J:$J,ROW()-8)="",TODAY(),INDEX(Transactions!$G:$G,ROW()-8))</f>
      </c>
      <c r="F4423">
        <f>IF(INDEX(Transactions!$J:$J,ROW()-8)="",0,INDEX(Transactions!$O:$O,ROW()-8))</f>
      </c>
    </row>
    <row r="4424" spans="1:7">
      <c r="B4424">
        <f>IF(INDEX(Transactions!$J:$J,ROW()-8)="",TODAY(),INDEX(Transactions!$G:$G,ROW()-8))</f>
      </c>
      <c r="F4424">
        <f>IF(INDEX(Transactions!$J:$J,ROW()-8)="",0,INDEX(Transactions!$O:$O,ROW()-8))</f>
      </c>
    </row>
    <row r="4425" spans="1:7">
      <c r="B4425">
        <f>IF(INDEX(Transactions!$J:$J,ROW()-8)="",TODAY(),INDEX(Transactions!$G:$G,ROW()-8))</f>
      </c>
      <c r="F4425">
        <f>IF(INDEX(Transactions!$J:$J,ROW()-8)="",0,INDEX(Transactions!$O:$O,ROW()-8))</f>
      </c>
    </row>
    <row r="4426" spans="1:7">
      <c r="B4426">
        <f>IF(INDEX(Transactions!$J:$J,ROW()-8)="",TODAY(),INDEX(Transactions!$G:$G,ROW()-8))</f>
      </c>
      <c r="F4426">
        <f>IF(INDEX(Transactions!$J:$J,ROW()-8)="",0,INDEX(Transactions!$O:$O,ROW()-8))</f>
      </c>
    </row>
    <row r="4427" spans="1:7">
      <c r="B4427">
        <f>IF(INDEX(Transactions!$J:$J,ROW()-8)="",TODAY(),INDEX(Transactions!$G:$G,ROW()-8))</f>
      </c>
      <c r="F4427">
        <f>IF(INDEX(Transactions!$J:$J,ROW()-8)="",0,INDEX(Transactions!$O:$O,ROW()-8))</f>
      </c>
    </row>
    <row r="4428" spans="1:7">
      <c r="B4428">
        <f>IF(INDEX(Transactions!$J:$J,ROW()-8)="",TODAY(),INDEX(Transactions!$G:$G,ROW()-8))</f>
      </c>
      <c r="F4428">
        <f>IF(INDEX(Transactions!$J:$J,ROW()-8)="",0,INDEX(Transactions!$O:$O,ROW()-8))</f>
      </c>
    </row>
    <row r="4429" spans="1:7">
      <c r="B4429">
        <f>IF(INDEX(Transactions!$J:$J,ROW()-8)="",TODAY(),INDEX(Transactions!$G:$G,ROW()-8))</f>
      </c>
      <c r="F4429">
        <f>IF(INDEX(Transactions!$J:$J,ROW()-8)="",0,INDEX(Transactions!$O:$O,ROW()-8))</f>
      </c>
    </row>
    <row r="4430" spans="1:7">
      <c r="B4430">
        <f>IF(INDEX(Transactions!$J:$J,ROW()-8)="",TODAY(),INDEX(Transactions!$G:$G,ROW()-8))</f>
      </c>
      <c r="F4430">
        <f>IF(INDEX(Transactions!$J:$J,ROW()-8)="",0,INDEX(Transactions!$O:$O,ROW()-8))</f>
      </c>
    </row>
    <row r="4431" spans="1:7">
      <c r="B4431">
        <f>IF(INDEX(Transactions!$J:$J,ROW()-8)="",TODAY(),INDEX(Transactions!$G:$G,ROW()-8))</f>
      </c>
      <c r="F4431">
        <f>IF(INDEX(Transactions!$J:$J,ROW()-8)="",0,INDEX(Transactions!$O:$O,ROW()-8))</f>
      </c>
    </row>
    <row r="4432" spans="1:7">
      <c r="B4432">
        <f>IF(INDEX(Transactions!$J:$J,ROW()-8)="",TODAY(),INDEX(Transactions!$G:$G,ROW()-8))</f>
      </c>
      <c r="F4432">
        <f>IF(INDEX(Transactions!$J:$J,ROW()-8)="",0,INDEX(Transactions!$O:$O,ROW()-8))</f>
      </c>
    </row>
    <row r="4433" spans="1:7">
      <c r="B4433">
        <f>IF(INDEX(Transactions!$J:$J,ROW()-8)="",TODAY(),INDEX(Transactions!$G:$G,ROW()-8))</f>
      </c>
      <c r="F4433">
        <f>IF(INDEX(Transactions!$J:$J,ROW()-8)="",0,INDEX(Transactions!$O:$O,ROW()-8))</f>
      </c>
    </row>
    <row r="4434" spans="1:7">
      <c r="B4434">
        <f>IF(INDEX(Transactions!$J:$J,ROW()-8)="",TODAY(),INDEX(Transactions!$G:$G,ROW()-8))</f>
      </c>
      <c r="F4434">
        <f>IF(INDEX(Transactions!$J:$J,ROW()-8)="",0,INDEX(Transactions!$O:$O,ROW()-8))</f>
      </c>
    </row>
    <row r="4435" spans="1:7">
      <c r="B4435">
        <f>IF(INDEX(Transactions!$J:$J,ROW()-8)="",TODAY(),INDEX(Transactions!$G:$G,ROW()-8))</f>
      </c>
      <c r="F4435">
        <f>IF(INDEX(Transactions!$J:$J,ROW()-8)="",0,INDEX(Transactions!$O:$O,ROW()-8))</f>
      </c>
    </row>
    <row r="4436" spans="1:7">
      <c r="B4436">
        <f>IF(INDEX(Transactions!$J:$J,ROW()-8)="",TODAY(),INDEX(Transactions!$G:$G,ROW()-8))</f>
      </c>
      <c r="F4436">
        <f>IF(INDEX(Transactions!$J:$J,ROW()-8)="",0,INDEX(Transactions!$O:$O,ROW()-8))</f>
      </c>
    </row>
    <row r="4437" spans="1:7">
      <c r="B4437">
        <f>IF(INDEX(Transactions!$J:$J,ROW()-8)="",TODAY(),INDEX(Transactions!$G:$G,ROW()-8))</f>
      </c>
      <c r="F4437">
        <f>IF(INDEX(Transactions!$J:$J,ROW()-8)="",0,INDEX(Transactions!$O:$O,ROW()-8))</f>
      </c>
    </row>
    <row r="4438" spans="1:7">
      <c r="B4438">
        <f>IF(INDEX(Transactions!$J:$J,ROW()-8)="",TODAY(),INDEX(Transactions!$G:$G,ROW()-8))</f>
      </c>
      <c r="F4438">
        <f>IF(INDEX(Transactions!$J:$J,ROW()-8)="",0,INDEX(Transactions!$O:$O,ROW()-8))</f>
      </c>
    </row>
    <row r="4439" spans="1:7">
      <c r="B4439">
        <f>IF(INDEX(Transactions!$J:$J,ROW()-8)="",TODAY(),INDEX(Transactions!$G:$G,ROW()-8))</f>
      </c>
      <c r="F4439">
        <f>IF(INDEX(Transactions!$J:$J,ROW()-8)="",0,INDEX(Transactions!$O:$O,ROW()-8))</f>
      </c>
    </row>
    <row r="4440" spans="1:7">
      <c r="B4440">
        <f>IF(INDEX(Transactions!$J:$J,ROW()-8)="",TODAY(),INDEX(Transactions!$G:$G,ROW()-8))</f>
      </c>
      <c r="F4440">
        <f>IF(INDEX(Transactions!$J:$J,ROW()-8)="",0,INDEX(Transactions!$O:$O,ROW()-8))</f>
      </c>
    </row>
    <row r="4441" spans="1:7">
      <c r="B4441">
        <f>IF(INDEX(Transactions!$J:$J,ROW()-8)="",TODAY(),INDEX(Transactions!$G:$G,ROW()-8))</f>
      </c>
      <c r="F4441">
        <f>IF(INDEX(Transactions!$J:$J,ROW()-8)="",0,INDEX(Transactions!$O:$O,ROW()-8))</f>
      </c>
    </row>
    <row r="4442" spans="1:7">
      <c r="B4442">
        <f>IF(INDEX(Transactions!$J:$J,ROW()-8)="",TODAY(),INDEX(Transactions!$G:$G,ROW()-8))</f>
      </c>
      <c r="F4442">
        <f>IF(INDEX(Transactions!$J:$J,ROW()-8)="",0,INDEX(Transactions!$O:$O,ROW()-8))</f>
      </c>
    </row>
    <row r="4443" spans="1:7">
      <c r="B4443">
        <f>IF(INDEX(Transactions!$J:$J,ROW()-8)="",TODAY(),INDEX(Transactions!$G:$G,ROW()-8))</f>
      </c>
      <c r="F4443">
        <f>IF(INDEX(Transactions!$J:$J,ROW()-8)="",0,INDEX(Transactions!$O:$O,ROW()-8))</f>
      </c>
    </row>
    <row r="4444" spans="1:7">
      <c r="B4444">
        <f>IF(INDEX(Transactions!$J:$J,ROW()-8)="",TODAY(),INDEX(Transactions!$G:$G,ROW()-8))</f>
      </c>
      <c r="F4444">
        <f>IF(INDEX(Transactions!$J:$J,ROW()-8)="",0,INDEX(Transactions!$O:$O,ROW()-8))</f>
      </c>
    </row>
    <row r="4445" spans="1:7">
      <c r="B4445">
        <f>IF(INDEX(Transactions!$J:$J,ROW()-8)="",TODAY(),INDEX(Transactions!$G:$G,ROW()-8))</f>
      </c>
      <c r="F4445">
        <f>IF(INDEX(Transactions!$J:$J,ROW()-8)="",0,INDEX(Transactions!$O:$O,ROW()-8))</f>
      </c>
    </row>
    <row r="4446" spans="1:7">
      <c r="B4446">
        <f>IF(INDEX(Transactions!$J:$J,ROW()-8)="",TODAY(),INDEX(Transactions!$G:$G,ROW()-8))</f>
      </c>
      <c r="F4446">
        <f>IF(INDEX(Transactions!$J:$J,ROW()-8)="",0,INDEX(Transactions!$O:$O,ROW()-8))</f>
      </c>
    </row>
    <row r="4447" spans="1:7">
      <c r="B4447">
        <f>IF(INDEX(Transactions!$J:$J,ROW()-8)="",TODAY(),INDEX(Transactions!$G:$G,ROW()-8))</f>
      </c>
      <c r="F4447">
        <f>IF(INDEX(Transactions!$J:$J,ROW()-8)="",0,INDEX(Transactions!$O:$O,ROW()-8))</f>
      </c>
    </row>
    <row r="4448" spans="1:7">
      <c r="B4448">
        <f>IF(INDEX(Transactions!$J:$J,ROW()-8)="",TODAY(),INDEX(Transactions!$G:$G,ROW()-8))</f>
      </c>
      <c r="F4448">
        <f>IF(INDEX(Transactions!$J:$J,ROW()-8)="",0,INDEX(Transactions!$O:$O,ROW()-8))</f>
      </c>
    </row>
    <row r="4449" spans="1:7">
      <c r="B4449">
        <f>IF(INDEX(Transactions!$J:$J,ROW()-8)="",TODAY(),INDEX(Transactions!$G:$G,ROW()-8))</f>
      </c>
      <c r="F4449">
        <f>IF(INDEX(Transactions!$J:$J,ROW()-8)="",0,INDEX(Transactions!$O:$O,ROW()-8))</f>
      </c>
    </row>
    <row r="4450" spans="1:7">
      <c r="B4450">
        <f>IF(INDEX(Transactions!$J:$J,ROW()-8)="",TODAY(),INDEX(Transactions!$G:$G,ROW()-8))</f>
      </c>
      <c r="F4450">
        <f>IF(INDEX(Transactions!$J:$J,ROW()-8)="",0,INDEX(Transactions!$O:$O,ROW()-8))</f>
      </c>
    </row>
    <row r="4451" spans="1:7">
      <c r="B4451">
        <f>IF(INDEX(Transactions!$J:$J,ROW()-8)="",TODAY(),INDEX(Transactions!$G:$G,ROW()-8))</f>
      </c>
      <c r="F4451">
        <f>IF(INDEX(Transactions!$J:$J,ROW()-8)="",0,INDEX(Transactions!$O:$O,ROW()-8))</f>
      </c>
    </row>
    <row r="4452" spans="1:7">
      <c r="B4452">
        <f>IF(INDEX(Transactions!$J:$J,ROW()-8)="",TODAY(),INDEX(Transactions!$G:$G,ROW()-8))</f>
      </c>
      <c r="F4452">
        <f>IF(INDEX(Transactions!$J:$J,ROW()-8)="",0,INDEX(Transactions!$O:$O,ROW()-8))</f>
      </c>
    </row>
    <row r="4453" spans="1:7">
      <c r="B4453">
        <f>IF(INDEX(Transactions!$J:$J,ROW()-8)="",TODAY(),INDEX(Transactions!$G:$G,ROW()-8))</f>
      </c>
      <c r="F4453">
        <f>IF(INDEX(Transactions!$J:$J,ROW()-8)="",0,INDEX(Transactions!$O:$O,ROW()-8))</f>
      </c>
    </row>
    <row r="4454" spans="1:7">
      <c r="B4454">
        <f>IF(INDEX(Transactions!$J:$J,ROW()-8)="",TODAY(),INDEX(Transactions!$G:$G,ROW()-8))</f>
      </c>
      <c r="F4454">
        <f>IF(INDEX(Transactions!$J:$J,ROW()-8)="",0,INDEX(Transactions!$O:$O,ROW()-8))</f>
      </c>
    </row>
    <row r="4455" spans="1:7">
      <c r="B4455">
        <f>IF(INDEX(Transactions!$J:$J,ROW()-8)="",TODAY(),INDEX(Transactions!$G:$G,ROW()-8))</f>
      </c>
      <c r="F4455">
        <f>IF(INDEX(Transactions!$J:$J,ROW()-8)="",0,INDEX(Transactions!$O:$O,ROW()-8))</f>
      </c>
    </row>
    <row r="4456" spans="1:7">
      <c r="B4456">
        <f>IF(INDEX(Transactions!$J:$J,ROW()-8)="",TODAY(),INDEX(Transactions!$G:$G,ROW()-8))</f>
      </c>
      <c r="F4456">
        <f>IF(INDEX(Transactions!$J:$J,ROW()-8)="",0,INDEX(Transactions!$O:$O,ROW()-8))</f>
      </c>
    </row>
    <row r="4457" spans="1:7">
      <c r="B4457">
        <f>IF(INDEX(Transactions!$J:$J,ROW()-8)="",TODAY(),INDEX(Transactions!$G:$G,ROW()-8))</f>
      </c>
      <c r="F4457">
        <f>IF(INDEX(Transactions!$J:$J,ROW()-8)="",0,INDEX(Transactions!$O:$O,ROW()-8))</f>
      </c>
    </row>
    <row r="4458" spans="1:7">
      <c r="B4458">
        <f>IF(INDEX(Transactions!$J:$J,ROW()-8)="",TODAY(),INDEX(Transactions!$G:$G,ROW()-8))</f>
      </c>
      <c r="F4458">
        <f>IF(INDEX(Transactions!$J:$J,ROW()-8)="",0,INDEX(Transactions!$O:$O,ROW()-8))</f>
      </c>
    </row>
    <row r="4459" spans="1:7">
      <c r="B4459">
        <f>IF(INDEX(Transactions!$J:$J,ROW()-8)="",TODAY(),INDEX(Transactions!$G:$G,ROW()-8))</f>
      </c>
      <c r="F4459">
        <f>IF(INDEX(Transactions!$J:$J,ROW()-8)="",0,INDEX(Transactions!$O:$O,ROW()-8))</f>
      </c>
    </row>
    <row r="4460" spans="1:7">
      <c r="B4460">
        <f>IF(INDEX(Transactions!$J:$J,ROW()-8)="",TODAY(),INDEX(Transactions!$G:$G,ROW()-8))</f>
      </c>
      <c r="F4460">
        <f>IF(INDEX(Transactions!$J:$J,ROW()-8)="",0,INDEX(Transactions!$O:$O,ROW()-8))</f>
      </c>
    </row>
    <row r="4461" spans="1:7">
      <c r="B4461">
        <f>IF(INDEX(Transactions!$J:$J,ROW()-8)="",TODAY(),INDEX(Transactions!$G:$G,ROW()-8))</f>
      </c>
      <c r="F4461">
        <f>IF(INDEX(Transactions!$J:$J,ROW()-8)="",0,INDEX(Transactions!$O:$O,ROW()-8))</f>
      </c>
    </row>
    <row r="4462" spans="1:7">
      <c r="B4462">
        <f>IF(INDEX(Transactions!$J:$J,ROW()-8)="",TODAY(),INDEX(Transactions!$G:$G,ROW()-8))</f>
      </c>
      <c r="F4462">
        <f>IF(INDEX(Transactions!$J:$J,ROW()-8)="",0,INDEX(Transactions!$O:$O,ROW()-8))</f>
      </c>
    </row>
    <row r="4463" spans="1:7">
      <c r="B4463">
        <f>IF(INDEX(Transactions!$J:$J,ROW()-8)="",TODAY(),INDEX(Transactions!$G:$G,ROW()-8))</f>
      </c>
      <c r="F4463">
        <f>IF(INDEX(Transactions!$J:$J,ROW()-8)="",0,INDEX(Transactions!$O:$O,ROW()-8))</f>
      </c>
    </row>
    <row r="4464" spans="1:7">
      <c r="B4464">
        <f>IF(INDEX(Transactions!$J:$J,ROW()-8)="",TODAY(),INDEX(Transactions!$G:$G,ROW()-8))</f>
      </c>
      <c r="F4464">
        <f>IF(INDEX(Transactions!$J:$J,ROW()-8)="",0,INDEX(Transactions!$O:$O,ROW()-8))</f>
      </c>
    </row>
    <row r="4465" spans="1:7">
      <c r="B4465">
        <f>IF(INDEX(Transactions!$J:$J,ROW()-8)="",TODAY(),INDEX(Transactions!$G:$G,ROW()-8))</f>
      </c>
      <c r="F4465">
        <f>IF(INDEX(Transactions!$J:$J,ROW()-8)="",0,INDEX(Transactions!$O:$O,ROW()-8))</f>
      </c>
    </row>
    <row r="4466" spans="1:7">
      <c r="B4466">
        <f>IF(INDEX(Transactions!$J:$J,ROW()-8)="",TODAY(),INDEX(Transactions!$G:$G,ROW()-8))</f>
      </c>
      <c r="F4466">
        <f>IF(INDEX(Transactions!$J:$J,ROW()-8)="",0,INDEX(Transactions!$O:$O,ROW()-8))</f>
      </c>
    </row>
    <row r="4467" spans="1:7">
      <c r="B4467">
        <f>IF(INDEX(Transactions!$J:$J,ROW()-8)="",TODAY(),INDEX(Transactions!$G:$G,ROW()-8))</f>
      </c>
      <c r="F4467">
        <f>IF(INDEX(Transactions!$J:$J,ROW()-8)="",0,INDEX(Transactions!$O:$O,ROW()-8))</f>
      </c>
    </row>
    <row r="4468" spans="1:7">
      <c r="B4468">
        <f>IF(INDEX(Transactions!$J:$J,ROW()-8)="",TODAY(),INDEX(Transactions!$G:$G,ROW()-8))</f>
      </c>
      <c r="F4468">
        <f>IF(INDEX(Transactions!$J:$J,ROW()-8)="",0,INDEX(Transactions!$O:$O,ROW()-8))</f>
      </c>
    </row>
    <row r="4469" spans="1:7">
      <c r="B4469">
        <f>IF(INDEX(Transactions!$J:$J,ROW()-8)="",TODAY(),INDEX(Transactions!$G:$G,ROW()-8))</f>
      </c>
      <c r="F4469">
        <f>IF(INDEX(Transactions!$J:$J,ROW()-8)="",0,INDEX(Transactions!$O:$O,ROW()-8))</f>
      </c>
    </row>
    <row r="4470" spans="1:7">
      <c r="B4470">
        <f>IF(INDEX(Transactions!$J:$J,ROW()-8)="",TODAY(),INDEX(Transactions!$G:$G,ROW()-8))</f>
      </c>
      <c r="F4470">
        <f>IF(INDEX(Transactions!$J:$J,ROW()-8)="",0,INDEX(Transactions!$O:$O,ROW()-8))</f>
      </c>
    </row>
    <row r="4471" spans="1:7">
      <c r="B4471">
        <f>IF(INDEX(Transactions!$J:$J,ROW()-8)="",TODAY(),INDEX(Transactions!$G:$G,ROW()-8))</f>
      </c>
      <c r="F4471">
        <f>IF(INDEX(Transactions!$J:$J,ROW()-8)="",0,INDEX(Transactions!$O:$O,ROW()-8))</f>
      </c>
    </row>
    <row r="4472" spans="1:7">
      <c r="B4472">
        <f>IF(INDEX(Transactions!$J:$J,ROW()-8)="",TODAY(),INDEX(Transactions!$G:$G,ROW()-8))</f>
      </c>
      <c r="F4472">
        <f>IF(INDEX(Transactions!$J:$J,ROW()-8)="",0,INDEX(Transactions!$O:$O,ROW()-8))</f>
      </c>
    </row>
    <row r="4473" spans="1:7">
      <c r="B4473">
        <f>IF(INDEX(Transactions!$J:$J,ROW()-8)="",TODAY(),INDEX(Transactions!$G:$G,ROW()-8))</f>
      </c>
      <c r="F4473">
        <f>IF(INDEX(Transactions!$J:$J,ROW()-8)="",0,INDEX(Transactions!$O:$O,ROW()-8))</f>
      </c>
    </row>
    <row r="4474" spans="1:7">
      <c r="B4474">
        <f>IF(INDEX(Transactions!$J:$J,ROW()-8)="",TODAY(),INDEX(Transactions!$G:$G,ROW()-8))</f>
      </c>
      <c r="F4474">
        <f>IF(INDEX(Transactions!$J:$J,ROW()-8)="",0,INDEX(Transactions!$O:$O,ROW()-8))</f>
      </c>
    </row>
    <row r="4475" spans="1:7">
      <c r="B4475">
        <f>IF(INDEX(Transactions!$J:$J,ROW()-8)="",TODAY(),INDEX(Transactions!$G:$G,ROW()-8))</f>
      </c>
      <c r="F4475">
        <f>IF(INDEX(Transactions!$J:$J,ROW()-8)="",0,INDEX(Transactions!$O:$O,ROW()-8))</f>
      </c>
    </row>
    <row r="4476" spans="1:7">
      <c r="B4476">
        <f>IF(INDEX(Transactions!$J:$J,ROW()-8)="",TODAY(),INDEX(Transactions!$G:$G,ROW()-8))</f>
      </c>
      <c r="F4476">
        <f>IF(INDEX(Transactions!$J:$J,ROW()-8)="",0,INDEX(Transactions!$O:$O,ROW()-8))</f>
      </c>
    </row>
    <row r="4477" spans="1:7">
      <c r="B4477">
        <f>IF(INDEX(Transactions!$J:$J,ROW()-8)="",TODAY(),INDEX(Transactions!$G:$G,ROW()-8))</f>
      </c>
      <c r="F4477">
        <f>IF(INDEX(Transactions!$J:$J,ROW()-8)="",0,INDEX(Transactions!$O:$O,ROW()-8))</f>
      </c>
    </row>
    <row r="4478" spans="1:7">
      <c r="B4478">
        <f>IF(INDEX(Transactions!$J:$J,ROW()-8)="",TODAY(),INDEX(Transactions!$G:$G,ROW()-8))</f>
      </c>
      <c r="F4478">
        <f>IF(INDEX(Transactions!$J:$J,ROW()-8)="",0,INDEX(Transactions!$O:$O,ROW()-8))</f>
      </c>
    </row>
    <row r="4479" spans="1:7">
      <c r="B4479">
        <f>IF(INDEX(Transactions!$J:$J,ROW()-8)="",TODAY(),INDEX(Transactions!$G:$G,ROW()-8))</f>
      </c>
      <c r="F4479">
        <f>IF(INDEX(Transactions!$J:$J,ROW()-8)="",0,INDEX(Transactions!$O:$O,ROW()-8))</f>
      </c>
    </row>
    <row r="4480" spans="1:7">
      <c r="B4480">
        <f>IF(INDEX(Transactions!$J:$J,ROW()-8)="",TODAY(),INDEX(Transactions!$G:$G,ROW()-8))</f>
      </c>
      <c r="F4480">
        <f>IF(INDEX(Transactions!$J:$J,ROW()-8)="",0,INDEX(Transactions!$O:$O,ROW()-8))</f>
      </c>
    </row>
    <row r="4481" spans="1:7">
      <c r="B4481">
        <f>IF(INDEX(Transactions!$J:$J,ROW()-8)="",TODAY(),INDEX(Transactions!$G:$G,ROW()-8))</f>
      </c>
      <c r="F4481">
        <f>IF(INDEX(Transactions!$J:$J,ROW()-8)="",0,INDEX(Transactions!$O:$O,ROW()-8))</f>
      </c>
    </row>
    <row r="4482" spans="1:7">
      <c r="B4482">
        <f>IF(INDEX(Transactions!$J:$J,ROW()-8)="",TODAY(),INDEX(Transactions!$G:$G,ROW()-8))</f>
      </c>
      <c r="F4482">
        <f>IF(INDEX(Transactions!$J:$J,ROW()-8)="",0,INDEX(Transactions!$O:$O,ROW()-8))</f>
      </c>
    </row>
    <row r="4483" spans="1:7">
      <c r="B4483">
        <f>IF(INDEX(Transactions!$J:$J,ROW()-8)="",TODAY(),INDEX(Transactions!$G:$G,ROW()-8))</f>
      </c>
      <c r="F4483">
        <f>IF(INDEX(Transactions!$J:$J,ROW()-8)="",0,INDEX(Transactions!$O:$O,ROW()-8))</f>
      </c>
    </row>
    <row r="4484" spans="1:7">
      <c r="B4484">
        <f>IF(INDEX(Transactions!$J:$J,ROW()-8)="",TODAY(),INDEX(Transactions!$G:$G,ROW()-8))</f>
      </c>
      <c r="F4484">
        <f>IF(INDEX(Transactions!$J:$J,ROW()-8)="",0,INDEX(Transactions!$O:$O,ROW()-8))</f>
      </c>
    </row>
    <row r="4485" spans="1:7">
      <c r="B4485">
        <f>IF(INDEX(Transactions!$J:$J,ROW()-8)="",TODAY(),INDEX(Transactions!$G:$G,ROW()-8))</f>
      </c>
      <c r="F4485">
        <f>IF(INDEX(Transactions!$J:$J,ROW()-8)="",0,INDEX(Transactions!$O:$O,ROW()-8))</f>
      </c>
    </row>
    <row r="4486" spans="1:7">
      <c r="B4486">
        <f>IF(INDEX(Transactions!$J:$J,ROW()-8)="",TODAY(),INDEX(Transactions!$G:$G,ROW()-8))</f>
      </c>
      <c r="F4486">
        <f>IF(INDEX(Transactions!$J:$J,ROW()-8)="",0,INDEX(Transactions!$O:$O,ROW()-8))</f>
      </c>
    </row>
    <row r="4487" spans="1:7">
      <c r="B4487">
        <f>IF(INDEX(Transactions!$J:$J,ROW()-8)="",TODAY(),INDEX(Transactions!$G:$G,ROW()-8))</f>
      </c>
      <c r="F4487">
        <f>IF(INDEX(Transactions!$J:$J,ROW()-8)="",0,INDEX(Transactions!$O:$O,ROW()-8))</f>
      </c>
    </row>
    <row r="4488" spans="1:7">
      <c r="B4488">
        <f>IF(INDEX(Transactions!$J:$J,ROW()-8)="",TODAY(),INDEX(Transactions!$G:$G,ROW()-8))</f>
      </c>
      <c r="F4488">
        <f>IF(INDEX(Transactions!$J:$J,ROW()-8)="",0,INDEX(Transactions!$O:$O,ROW()-8))</f>
      </c>
    </row>
    <row r="4489" spans="1:7">
      <c r="B4489">
        <f>IF(INDEX(Transactions!$J:$J,ROW()-8)="",TODAY(),INDEX(Transactions!$G:$G,ROW()-8))</f>
      </c>
      <c r="F4489">
        <f>IF(INDEX(Transactions!$J:$J,ROW()-8)="",0,INDEX(Transactions!$O:$O,ROW()-8))</f>
      </c>
    </row>
    <row r="4490" spans="1:7">
      <c r="B4490">
        <f>IF(INDEX(Transactions!$J:$J,ROW()-8)="",TODAY(),INDEX(Transactions!$G:$G,ROW()-8))</f>
      </c>
      <c r="F4490">
        <f>IF(INDEX(Transactions!$J:$J,ROW()-8)="",0,INDEX(Transactions!$O:$O,ROW()-8))</f>
      </c>
    </row>
    <row r="4491" spans="1:7">
      <c r="B4491">
        <f>IF(INDEX(Transactions!$J:$J,ROW()-8)="",TODAY(),INDEX(Transactions!$G:$G,ROW()-8))</f>
      </c>
      <c r="F4491">
        <f>IF(INDEX(Transactions!$J:$J,ROW()-8)="",0,INDEX(Transactions!$O:$O,ROW()-8))</f>
      </c>
    </row>
    <row r="4492" spans="1:7">
      <c r="B4492">
        <f>IF(INDEX(Transactions!$J:$J,ROW()-8)="",TODAY(),INDEX(Transactions!$G:$G,ROW()-8))</f>
      </c>
      <c r="F4492">
        <f>IF(INDEX(Transactions!$J:$J,ROW()-8)="",0,INDEX(Transactions!$O:$O,ROW()-8))</f>
      </c>
    </row>
    <row r="4493" spans="1:7">
      <c r="B4493">
        <f>IF(INDEX(Transactions!$J:$J,ROW()-8)="",TODAY(),INDEX(Transactions!$G:$G,ROW()-8))</f>
      </c>
      <c r="F4493">
        <f>IF(INDEX(Transactions!$J:$J,ROW()-8)="",0,INDEX(Transactions!$O:$O,ROW()-8))</f>
      </c>
    </row>
    <row r="4494" spans="1:7">
      <c r="B4494">
        <f>IF(INDEX(Transactions!$J:$J,ROW()-8)="",TODAY(),INDEX(Transactions!$G:$G,ROW()-8))</f>
      </c>
      <c r="F4494">
        <f>IF(INDEX(Transactions!$J:$J,ROW()-8)="",0,INDEX(Transactions!$O:$O,ROW()-8))</f>
      </c>
    </row>
    <row r="4495" spans="1:7">
      <c r="B4495">
        <f>IF(INDEX(Transactions!$J:$J,ROW()-8)="",TODAY(),INDEX(Transactions!$G:$G,ROW()-8))</f>
      </c>
      <c r="F4495">
        <f>IF(INDEX(Transactions!$J:$J,ROW()-8)="",0,INDEX(Transactions!$O:$O,ROW()-8))</f>
      </c>
    </row>
    <row r="4496" spans="1:7">
      <c r="B4496">
        <f>IF(INDEX(Transactions!$J:$J,ROW()-8)="",TODAY(),INDEX(Transactions!$G:$G,ROW()-8))</f>
      </c>
      <c r="F4496">
        <f>IF(INDEX(Transactions!$J:$J,ROW()-8)="",0,INDEX(Transactions!$O:$O,ROW()-8))</f>
      </c>
    </row>
    <row r="4497" spans="1:7">
      <c r="B4497">
        <f>IF(INDEX(Transactions!$J:$J,ROW()-8)="",TODAY(),INDEX(Transactions!$G:$G,ROW()-8))</f>
      </c>
      <c r="F4497">
        <f>IF(INDEX(Transactions!$J:$J,ROW()-8)="",0,INDEX(Transactions!$O:$O,ROW()-8))</f>
      </c>
    </row>
    <row r="4498" spans="1:7">
      <c r="B4498">
        <f>IF(INDEX(Transactions!$J:$J,ROW()-8)="",TODAY(),INDEX(Transactions!$G:$G,ROW()-8))</f>
      </c>
      <c r="F4498">
        <f>IF(INDEX(Transactions!$J:$J,ROW()-8)="",0,INDEX(Transactions!$O:$O,ROW()-8))</f>
      </c>
    </row>
    <row r="4499" spans="1:7">
      <c r="B4499">
        <f>IF(INDEX(Transactions!$J:$J,ROW()-8)="",TODAY(),INDEX(Transactions!$G:$G,ROW()-8))</f>
      </c>
      <c r="F4499">
        <f>IF(INDEX(Transactions!$J:$J,ROW()-8)="",0,INDEX(Transactions!$O:$O,ROW()-8))</f>
      </c>
    </row>
    <row r="4500" spans="1:7">
      <c r="B4500">
        <f>IF(INDEX(Transactions!$J:$J,ROW()-8)="",TODAY(),INDEX(Transactions!$G:$G,ROW()-8))</f>
      </c>
      <c r="F4500">
        <f>IF(INDEX(Transactions!$J:$J,ROW()-8)="",0,INDEX(Transactions!$O:$O,ROW()-8))</f>
      </c>
    </row>
    <row r="4501" spans="1:7">
      <c r="B4501">
        <f>IF(INDEX(Transactions!$J:$J,ROW()-8)="",TODAY(),INDEX(Transactions!$G:$G,ROW()-8))</f>
      </c>
      <c r="F4501">
        <f>IF(INDEX(Transactions!$J:$J,ROW()-8)="",0,INDEX(Transactions!$O:$O,ROW()-8))</f>
      </c>
    </row>
    <row r="4502" spans="1:7">
      <c r="B4502">
        <f>IF(INDEX(Transactions!$J:$J,ROW()-8)="",TODAY(),INDEX(Transactions!$G:$G,ROW()-8))</f>
      </c>
      <c r="F4502">
        <f>IF(INDEX(Transactions!$J:$J,ROW()-8)="",0,INDEX(Transactions!$O:$O,ROW()-8))</f>
      </c>
    </row>
    <row r="4503" spans="1:7">
      <c r="B4503">
        <f>IF(INDEX(Transactions!$J:$J,ROW()-8)="",TODAY(),INDEX(Transactions!$G:$G,ROW()-8))</f>
      </c>
      <c r="F4503">
        <f>IF(INDEX(Transactions!$J:$J,ROW()-8)="",0,INDEX(Transactions!$O:$O,ROW()-8))</f>
      </c>
    </row>
    <row r="4504" spans="1:7">
      <c r="B4504">
        <f>IF(INDEX(Transactions!$J:$J,ROW()-8)="",TODAY(),INDEX(Transactions!$G:$G,ROW()-8))</f>
      </c>
      <c r="F4504">
        <f>IF(INDEX(Transactions!$J:$J,ROW()-8)="",0,INDEX(Transactions!$O:$O,ROW()-8))</f>
      </c>
    </row>
    <row r="4505" spans="1:7">
      <c r="B4505">
        <f>IF(INDEX(Transactions!$J:$J,ROW()-8)="",TODAY(),INDEX(Transactions!$G:$G,ROW()-8))</f>
      </c>
      <c r="F4505">
        <f>IF(INDEX(Transactions!$J:$J,ROW()-8)="",0,INDEX(Transactions!$O:$O,ROW()-8))</f>
      </c>
    </row>
    <row r="4506" spans="1:7">
      <c r="B4506">
        <f>IF(INDEX(Transactions!$J:$J,ROW()-8)="",TODAY(),INDEX(Transactions!$G:$G,ROW()-8))</f>
      </c>
      <c r="F4506">
        <f>IF(INDEX(Transactions!$J:$J,ROW()-8)="",0,INDEX(Transactions!$O:$O,ROW()-8))</f>
      </c>
    </row>
    <row r="4507" spans="1:7">
      <c r="B4507">
        <f>IF(INDEX(Transactions!$J:$J,ROW()-8)="",TODAY(),INDEX(Transactions!$G:$G,ROW()-8))</f>
      </c>
      <c r="F4507">
        <f>IF(INDEX(Transactions!$J:$J,ROW()-8)="",0,INDEX(Transactions!$O:$O,ROW()-8))</f>
      </c>
    </row>
    <row r="4508" spans="1:7">
      <c r="B4508">
        <f>IF(INDEX(Transactions!$J:$J,ROW()-8)="",TODAY(),INDEX(Transactions!$G:$G,ROW()-8))</f>
      </c>
      <c r="F4508">
        <f>IF(INDEX(Transactions!$J:$J,ROW()-8)="",0,INDEX(Transactions!$O:$O,ROW()-8))</f>
      </c>
    </row>
    <row r="4509" spans="1:7">
      <c r="B4509">
        <f>IF(INDEX(Transactions!$J:$J,ROW()-8)="",TODAY(),INDEX(Transactions!$G:$G,ROW()-8))</f>
      </c>
      <c r="F4509">
        <f>IF(INDEX(Transactions!$J:$J,ROW()-8)="",0,INDEX(Transactions!$O:$O,ROW()-8))</f>
      </c>
    </row>
    <row r="4510" spans="1:7">
      <c r="B4510">
        <f>IF(INDEX(Transactions!$J:$J,ROW()-8)="",TODAY(),INDEX(Transactions!$G:$G,ROW()-8))</f>
      </c>
      <c r="F4510">
        <f>IF(INDEX(Transactions!$J:$J,ROW()-8)="",0,INDEX(Transactions!$O:$O,ROW()-8))</f>
      </c>
    </row>
    <row r="4511" spans="1:7">
      <c r="B4511">
        <f>IF(INDEX(Transactions!$J:$J,ROW()-8)="",TODAY(),INDEX(Transactions!$G:$G,ROW()-8))</f>
      </c>
      <c r="F4511">
        <f>IF(INDEX(Transactions!$J:$J,ROW()-8)="",0,INDEX(Transactions!$O:$O,ROW()-8))</f>
      </c>
    </row>
    <row r="4512" spans="1:7">
      <c r="B4512">
        <f>IF(INDEX(Transactions!$J:$J,ROW()-8)="",TODAY(),INDEX(Transactions!$G:$G,ROW()-8))</f>
      </c>
      <c r="F4512">
        <f>IF(INDEX(Transactions!$J:$J,ROW()-8)="",0,INDEX(Transactions!$O:$O,ROW()-8))</f>
      </c>
    </row>
    <row r="4513" spans="1:7">
      <c r="B4513">
        <f>IF(INDEX(Transactions!$J:$J,ROW()-8)="",TODAY(),INDEX(Transactions!$G:$G,ROW()-8))</f>
      </c>
      <c r="F4513">
        <f>IF(INDEX(Transactions!$J:$J,ROW()-8)="",0,INDEX(Transactions!$O:$O,ROW()-8))</f>
      </c>
    </row>
    <row r="4514" spans="1:7">
      <c r="B4514">
        <f>IF(INDEX(Transactions!$J:$J,ROW()-8)="",TODAY(),INDEX(Transactions!$G:$G,ROW()-8))</f>
      </c>
      <c r="F4514">
        <f>IF(INDEX(Transactions!$J:$J,ROW()-8)="",0,INDEX(Transactions!$O:$O,ROW()-8))</f>
      </c>
    </row>
    <row r="4515" spans="1:7">
      <c r="B4515">
        <f>IF(INDEX(Transactions!$J:$J,ROW()-8)="",TODAY(),INDEX(Transactions!$G:$G,ROW()-8))</f>
      </c>
      <c r="F4515">
        <f>IF(INDEX(Transactions!$J:$J,ROW()-8)="",0,INDEX(Transactions!$O:$O,ROW()-8))</f>
      </c>
    </row>
    <row r="4516" spans="1:7">
      <c r="B4516">
        <f>IF(INDEX(Transactions!$J:$J,ROW()-8)="",TODAY(),INDEX(Transactions!$G:$G,ROW()-8))</f>
      </c>
      <c r="F4516">
        <f>IF(INDEX(Transactions!$J:$J,ROW()-8)="",0,INDEX(Transactions!$O:$O,ROW()-8))</f>
      </c>
    </row>
    <row r="4517" spans="1:7">
      <c r="B4517">
        <f>IF(INDEX(Transactions!$J:$J,ROW()-8)="",TODAY(),INDEX(Transactions!$G:$G,ROW()-8))</f>
      </c>
      <c r="F4517">
        <f>IF(INDEX(Transactions!$J:$J,ROW()-8)="",0,INDEX(Transactions!$O:$O,ROW()-8))</f>
      </c>
    </row>
    <row r="4518" spans="1:7">
      <c r="B4518">
        <f>IF(INDEX(Transactions!$J:$J,ROW()-8)="",TODAY(),INDEX(Transactions!$G:$G,ROW()-8))</f>
      </c>
      <c r="F4518">
        <f>IF(INDEX(Transactions!$J:$J,ROW()-8)="",0,INDEX(Transactions!$O:$O,ROW()-8))</f>
      </c>
    </row>
    <row r="4519" spans="1:7">
      <c r="B4519">
        <f>IF(INDEX(Transactions!$J:$J,ROW()-8)="",TODAY(),INDEX(Transactions!$G:$G,ROW()-8))</f>
      </c>
      <c r="F4519">
        <f>IF(INDEX(Transactions!$J:$J,ROW()-8)="",0,INDEX(Transactions!$O:$O,ROW()-8))</f>
      </c>
    </row>
    <row r="4520" spans="1:7">
      <c r="B4520">
        <f>IF(INDEX(Transactions!$J:$J,ROW()-8)="",TODAY(),INDEX(Transactions!$G:$G,ROW()-8))</f>
      </c>
      <c r="F4520">
        <f>IF(INDEX(Transactions!$J:$J,ROW()-8)="",0,INDEX(Transactions!$O:$O,ROW()-8))</f>
      </c>
    </row>
    <row r="4521" spans="1:7">
      <c r="B4521">
        <f>IF(INDEX(Transactions!$J:$J,ROW()-8)="",TODAY(),INDEX(Transactions!$G:$G,ROW()-8))</f>
      </c>
      <c r="F4521">
        <f>IF(INDEX(Transactions!$J:$J,ROW()-8)="",0,INDEX(Transactions!$O:$O,ROW()-8))</f>
      </c>
    </row>
    <row r="4522" spans="1:7">
      <c r="B4522">
        <f>IF(INDEX(Transactions!$J:$J,ROW()-8)="",TODAY(),INDEX(Transactions!$G:$G,ROW()-8))</f>
      </c>
      <c r="F4522">
        <f>IF(INDEX(Transactions!$J:$J,ROW()-8)="",0,INDEX(Transactions!$O:$O,ROW()-8))</f>
      </c>
    </row>
    <row r="4523" spans="1:7">
      <c r="B4523">
        <f>IF(INDEX(Transactions!$J:$J,ROW()-8)="",TODAY(),INDEX(Transactions!$G:$G,ROW()-8))</f>
      </c>
      <c r="F4523">
        <f>IF(INDEX(Transactions!$J:$J,ROW()-8)="",0,INDEX(Transactions!$O:$O,ROW()-8))</f>
      </c>
    </row>
    <row r="4524" spans="1:7">
      <c r="B4524">
        <f>IF(INDEX(Transactions!$J:$J,ROW()-8)="",TODAY(),INDEX(Transactions!$G:$G,ROW()-8))</f>
      </c>
      <c r="F4524">
        <f>IF(INDEX(Transactions!$J:$J,ROW()-8)="",0,INDEX(Transactions!$O:$O,ROW()-8))</f>
      </c>
    </row>
    <row r="4525" spans="1:7">
      <c r="B4525">
        <f>IF(INDEX(Transactions!$J:$J,ROW()-8)="",TODAY(),INDEX(Transactions!$G:$G,ROW()-8))</f>
      </c>
      <c r="F4525">
        <f>IF(INDEX(Transactions!$J:$J,ROW()-8)="",0,INDEX(Transactions!$O:$O,ROW()-8))</f>
      </c>
    </row>
    <row r="4526" spans="1:7">
      <c r="B4526">
        <f>IF(INDEX(Transactions!$J:$J,ROW()-8)="",TODAY(),INDEX(Transactions!$G:$G,ROW()-8))</f>
      </c>
      <c r="F4526">
        <f>IF(INDEX(Transactions!$J:$J,ROW()-8)="",0,INDEX(Transactions!$O:$O,ROW()-8))</f>
      </c>
    </row>
    <row r="4527" spans="1:7">
      <c r="B4527">
        <f>IF(INDEX(Transactions!$J:$J,ROW()-8)="",TODAY(),INDEX(Transactions!$G:$G,ROW()-8))</f>
      </c>
      <c r="F4527">
        <f>IF(INDEX(Transactions!$J:$J,ROW()-8)="",0,INDEX(Transactions!$O:$O,ROW()-8))</f>
      </c>
    </row>
    <row r="4528" spans="1:7">
      <c r="B4528">
        <f>IF(INDEX(Transactions!$J:$J,ROW()-8)="",TODAY(),INDEX(Transactions!$G:$G,ROW()-8))</f>
      </c>
      <c r="F4528">
        <f>IF(INDEX(Transactions!$J:$J,ROW()-8)="",0,INDEX(Transactions!$O:$O,ROW()-8))</f>
      </c>
    </row>
    <row r="4529" spans="1:7">
      <c r="B4529">
        <f>IF(INDEX(Transactions!$J:$J,ROW()-8)="",TODAY(),INDEX(Transactions!$G:$G,ROW()-8))</f>
      </c>
      <c r="F4529">
        <f>IF(INDEX(Transactions!$J:$J,ROW()-8)="",0,INDEX(Transactions!$O:$O,ROW()-8))</f>
      </c>
    </row>
    <row r="4530" spans="1:7">
      <c r="B4530">
        <f>IF(INDEX(Transactions!$J:$J,ROW()-8)="",TODAY(),INDEX(Transactions!$G:$G,ROW()-8))</f>
      </c>
      <c r="F4530">
        <f>IF(INDEX(Transactions!$J:$J,ROW()-8)="",0,INDEX(Transactions!$O:$O,ROW()-8))</f>
      </c>
    </row>
    <row r="4531" spans="1:7">
      <c r="B4531">
        <f>IF(INDEX(Transactions!$J:$J,ROW()-8)="",TODAY(),INDEX(Transactions!$G:$G,ROW()-8))</f>
      </c>
      <c r="F4531">
        <f>IF(INDEX(Transactions!$J:$J,ROW()-8)="",0,INDEX(Transactions!$O:$O,ROW()-8))</f>
      </c>
    </row>
    <row r="4532" spans="1:7">
      <c r="B4532">
        <f>IF(INDEX(Transactions!$J:$J,ROW()-8)="",TODAY(),INDEX(Transactions!$G:$G,ROW()-8))</f>
      </c>
      <c r="F4532">
        <f>IF(INDEX(Transactions!$J:$J,ROW()-8)="",0,INDEX(Transactions!$O:$O,ROW()-8))</f>
      </c>
    </row>
    <row r="4533" spans="1:7">
      <c r="B4533">
        <f>IF(INDEX(Transactions!$J:$J,ROW()-8)="",TODAY(),INDEX(Transactions!$G:$G,ROW()-8))</f>
      </c>
      <c r="F4533">
        <f>IF(INDEX(Transactions!$J:$J,ROW()-8)="",0,INDEX(Transactions!$O:$O,ROW()-8))</f>
      </c>
    </row>
    <row r="4534" spans="1:7">
      <c r="B4534">
        <f>IF(INDEX(Transactions!$J:$J,ROW()-8)="",TODAY(),INDEX(Transactions!$G:$G,ROW()-8))</f>
      </c>
      <c r="F4534">
        <f>IF(INDEX(Transactions!$J:$J,ROW()-8)="",0,INDEX(Transactions!$O:$O,ROW()-8))</f>
      </c>
    </row>
    <row r="4535" spans="1:7">
      <c r="B4535">
        <f>IF(INDEX(Transactions!$J:$J,ROW()-8)="",TODAY(),INDEX(Transactions!$G:$G,ROW()-8))</f>
      </c>
      <c r="F4535">
        <f>IF(INDEX(Transactions!$J:$J,ROW()-8)="",0,INDEX(Transactions!$O:$O,ROW()-8))</f>
      </c>
    </row>
    <row r="4536" spans="1:7">
      <c r="B4536">
        <f>IF(INDEX(Transactions!$J:$J,ROW()-8)="",TODAY(),INDEX(Transactions!$G:$G,ROW()-8))</f>
      </c>
      <c r="F4536">
        <f>IF(INDEX(Transactions!$J:$J,ROW()-8)="",0,INDEX(Transactions!$O:$O,ROW()-8))</f>
      </c>
    </row>
    <row r="4537" spans="1:7">
      <c r="B4537">
        <f>IF(INDEX(Transactions!$J:$J,ROW()-8)="",TODAY(),INDEX(Transactions!$G:$G,ROW()-8))</f>
      </c>
      <c r="F4537">
        <f>IF(INDEX(Transactions!$J:$J,ROW()-8)="",0,INDEX(Transactions!$O:$O,ROW()-8))</f>
      </c>
    </row>
    <row r="4538" spans="1:7">
      <c r="B4538">
        <f>IF(INDEX(Transactions!$J:$J,ROW()-8)="",TODAY(),INDEX(Transactions!$G:$G,ROW()-8))</f>
      </c>
      <c r="F4538">
        <f>IF(INDEX(Transactions!$J:$J,ROW()-8)="",0,INDEX(Transactions!$O:$O,ROW()-8))</f>
      </c>
    </row>
    <row r="4539" spans="1:7">
      <c r="B4539">
        <f>IF(INDEX(Transactions!$J:$J,ROW()-8)="",TODAY(),INDEX(Transactions!$G:$G,ROW()-8))</f>
      </c>
      <c r="F4539">
        <f>IF(INDEX(Transactions!$J:$J,ROW()-8)="",0,INDEX(Transactions!$O:$O,ROW()-8))</f>
      </c>
    </row>
    <row r="4540" spans="1:7">
      <c r="B4540">
        <f>IF(INDEX(Transactions!$J:$J,ROW()-8)="",TODAY(),INDEX(Transactions!$G:$G,ROW()-8))</f>
      </c>
      <c r="F4540">
        <f>IF(INDEX(Transactions!$J:$J,ROW()-8)="",0,INDEX(Transactions!$O:$O,ROW()-8))</f>
      </c>
    </row>
    <row r="4541" spans="1:7">
      <c r="B4541">
        <f>IF(INDEX(Transactions!$J:$J,ROW()-8)="",TODAY(),INDEX(Transactions!$G:$G,ROW()-8))</f>
      </c>
      <c r="F4541">
        <f>IF(INDEX(Transactions!$J:$J,ROW()-8)="",0,INDEX(Transactions!$O:$O,ROW()-8))</f>
      </c>
    </row>
    <row r="4542" spans="1:7">
      <c r="B4542">
        <f>IF(INDEX(Transactions!$J:$J,ROW()-8)="",TODAY(),INDEX(Transactions!$G:$G,ROW()-8))</f>
      </c>
      <c r="F4542">
        <f>IF(INDEX(Transactions!$J:$J,ROW()-8)="",0,INDEX(Transactions!$O:$O,ROW()-8))</f>
      </c>
    </row>
    <row r="4543" spans="1:7">
      <c r="B4543">
        <f>IF(INDEX(Transactions!$J:$J,ROW()-8)="",TODAY(),INDEX(Transactions!$G:$G,ROW()-8))</f>
      </c>
      <c r="F4543">
        <f>IF(INDEX(Transactions!$J:$J,ROW()-8)="",0,INDEX(Transactions!$O:$O,ROW()-8))</f>
      </c>
    </row>
    <row r="4544" spans="1:7">
      <c r="B4544">
        <f>IF(INDEX(Transactions!$J:$J,ROW()-8)="",TODAY(),INDEX(Transactions!$G:$G,ROW()-8))</f>
      </c>
      <c r="F4544">
        <f>IF(INDEX(Transactions!$J:$J,ROW()-8)="",0,INDEX(Transactions!$O:$O,ROW()-8))</f>
      </c>
    </row>
    <row r="4545" spans="1:7">
      <c r="B4545">
        <f>IF(INDEX(Transactions!$J:$J,ROW()-8)="",TODAY(),INDEX(Transactions!$G:$G,ROW()-8))</f>
      </c>
      <c r="F4545">
        <f>IF(INDEX(Transactions!$J:$J,ROW()-8)="",0,INDEX(Transactions!$O:$O,ROW()-8))</f>
      </c>
    </row>
    <row r="4546" spans="1:7">
      <c r="B4546">
        <f>IF(INDEX(Transactions!$J:$J,ROW()-8)="",TODAY(),INDEX(Transactions!$G:$G,ROW()-8))</f>
      </c>
      <c r="F4546">
        <f>IF(INDEX(Transactions!$J:$J,ROW()-8)="",0,INDEX(Transactions!$O:$O,ROW()-8))</f>
      </c>
    </row>
    <row r="4547" spans="1:7">
      <c r="B4547">
        <f>IF(INDEX(Transactions!$J:$J,ROW()-8)="",TODAY(),INDEX(Transactions!$G:$G,ROW()-8))</f>
      </c>
      <c r="F4547">
        <f>IF(INDEX(Transactions!$J:$J,ROW()-8)="",0,INDEX(Transactions!$O:$O,ROW()-8))</f>
      </c>
    </row>
    <row r="4548" spans="1:7">
      <c r="B4548">
        <f>IF(INDEX(Transactions!$J:$J,ROW()-8)="",TODAY(),INDEX(Transactions!$G:$G,ROW()-8))</f>
      </c>
      <c r="F4548">
        <f>IF(INDEX(Transactions!$J:$J,ROW()-8)="",0,INDEX(Transactions!$O:$O,ROW()-8))</f>
      </c>
    </row>
    <row r="4549" spans="1:7">
      <c r="B4549">
        <f>IF(INDEX(Transactions!$J:$J,ROW()-8)="",TODAY(),INDEX(Transactions!$G:$G,ROW()-8))</f>
      </c>
      <c r="F4549">
        <f>IF(INDEX(Transactions!$J:$J,ROW()-8)="",0,INDEX(Transactions!$O:$O,ROW()-8))</f>
      </c>
    </row>
    <row r="4550" spans="1:7">
      <c r="B4550">
        <f>IF(INDEX(Transactions!$J:$J,ROW()-8)="",TODAY(),INDEX(Transactions!$G:$G,ROW()-8))</f>
      </c>
      <c r="F4550">
        <f>IF(INDEX(Transactions!$J:$J,ROW()-8)="",0,INDEX(Transactions!$O:$O,ROW()-8))</f>
      </c>
    </row>
    <row r="4551" spans="1:7">
      <c r="B4551">
        <f>IF(INDEX(Transactions!$J:$J,ROW()-8)="",TODAY(),INDEX(Transactions!$G:$G,ROW()-8))</f>
      </c>
      <c r="F4551">
        <f>IF(INDEX(Transactions!$J:$J,ROW()-8)="",0,INDEX(Transactions!$O:$O,ROW()-8))</f>
      </c>
    </row>
    <row r="4552" spans="1:7">
      <c r="B4552">
        <f>IF(INDEX(Transactions!$J:$J,ROW()-8)="",TODAY(),INDEX(Transactions!$G:$G,ROW()-8))</f>
      </c>
      <c r="F4552">
        <f>IF(INDEX(Transactions!$J:$J,ROW()-8)="",0,INDEX(Transactions!$O:$O,ROW()-8))</f>
      </c>
    </row>
    <row r="4553" spans="1:7">
      <c r="B4553">
        <f>IF(INDEX(Transactions!$J:$J,ROW()-8)="",TODAY(),INDEX(Transactions!$G:$G,ROW()-8))</f>
      </c>
      <c r="F4553">
        <f>IF(INDEX(Transactions!$J:$J,ROW()-8)="",0,INDEX(Transactions!$O:$O,ROW()-8))</f>
      </c>
    </row>
    <row r="4554" spans="1:7">
      <c r="B4554">
        <f>IF(INDEX(Transactions!$J:$J,ROW()-8)="",TODAY(),INDEX(Transactions!$G:$G,ROW()-8))</f>
      </c>
      <c r="F4554">
        <f>IF(INDEX(Transactions!$J:$J,ROW()-8)="",0,INDEX(Transactions!$O:$O,ROW()-8))</f>
      </c>
    </row>
    <row r="4555" spans="1:7">
      <c r="B4555">
        <f>IF(INDEX(Transactions!$J:$J,ROW()-8)="",TODAY(),INDEX(Transactions!$G:$G,ROW()-8))</f>
      </c>
      <c r="F4555">
        <f>IF(INDEX(Transactions!$J:$J,ROW()-8)="",0,INDEX(Transactions!$O:$O,ROW()-8))</f>
      </c>
    </row>
    <row r="4556" spans="1:7">
      <c r="B4556">
        <f>IF(INDEX(Transactions!$J:$J,ROW()-8)="",TODAY(),INDEX(Transactions!$G:$G,ROW()-8))</f>
      </c>
      <c r="F4556">
        <f>IF(INDEX(Transactions!$J:$J,ROW()-8)="",0,INDEX(Transactions!$O:$O,ROW()-8))</f>
      </c>
    </row>
    <row r="4557" spans="1:7">
      <c r="B4557">
        <f>IF(INDEX(Transactions!$J:$J,ROW()-8)="",TODAY(),INDEX(Transactions!$G:$G,ROW()-8))</f>
      </c>
      <c r="F4557">
        <f>IF(INDEX(Transactions!$J:$J,ROW()-8)="",0,INDEX(Transactions!$O:$O,ROW()-8))</f>
      </c>
    </row>
    <row r="4558" spans="1:7">
      <c r="B4558">
        <f>IF(INDEX(Transactions!$J:$J,ROW()-8)="",TODAY(),INDEX(Transactions!$G:$G,ROW()-8))</f>
      </c>
      <c r="F4558">
        <f>IF(INDEX(Transactions!$J:$J,ROW()-8)="",0,INDEX(Transactions!$O:$O,ROW()-8))</f>
      </c>
    </row>
    <row r="4559" spans="1:7">
      <c r="B4559">
        <f>IF(INDEX(Transactions!$J:$J,ROW()-8)="",TODAY(),INDEX(Transactions!$G:$G,ROW()-8))</f>
      </c>
      <c r="F4559">
        <f>IF(INDEX(Transactions!$J:$J,ROW()-8)="",0,INDEX(Transactions!$O:$O,ROW()-8))</f>
      </c>
    </row>
    <row r="4560" spans="1:7">
      <c r="B4560">
        <f>IF(INDEX(Transactions!$J:$J,ROW()-8)="",TODAY(),INDEX(Transactions!$G:$G,ROW()-8))</f>
      </c>
      <c r="F4560">
        <f>IF(INDEX(Transactions!$J:$J,ROW()-8)="",0,INDEX(Transactions!$O:$O,ROW()-8))</f>
      </c>
    </row>
    <row r="4561" spans="1:7">
      <c r="B4561">
        <f>IF(INDEX(Transactions!$J:$J,ROW()-8)="",TODAY(),INDEX(Transactions!$G:$G,ROW()-8))</f>
      </c>
      <c r="F4561">
        <f>IF(INDEX(Transactions!$J:$J,ROW()-8)="",0,INDEX(Transactions!$O:$O,ROW()-8))</f>
      </c>
    </row>
    <row r="4562" spans="1:7">
      <c r="B4562">
        <f>IF(INDEX(Transactions!$J:$J,ROW()-8)="",TODAY(),INDEX(Transactions!$G:$G,ROW()-8))</f>
      </c>
      <c r="F4562">
        <f>IF(INDEX(Transactions!$J:$J,ROW()-8)="",0,INDEX(Transactions!$O:$O,ROW()-8))</f>
      </c>
    </row>
    <row r="4563" spans="1:7">
      <c r="B4563">
        <f>IF(INDEX(Transactions!$J:$J,ROW()-8)="",TODAY(),INDEX(Transactions!$G:$G,ROW()-8))</f>
      </c>
      <c r="F4563">
        <f>IF(INDEX(Transactions!$J:$J,ROW()-8)="",0,INDEX(Transactions!$O:$O,ROW()-8))</f>
      </c>
    </row>
    <row r="4564" spans="1:7">
      <c r="B4564">
        <f>IF(INDEX(Transactions!$J:$J,ROW()-8)="",TODAY(),INDEX(Transactions!$G:$G,ROW()-8))</f>
      </c>
      <c r="F4564">
        <f>IF(INDEX(Transactions!$J:$J,ROW()-8)="",0,INDEX(Transactions!$O:$O,ROW()-8))</f>
      </c>
    </row>
    <row r="4565" spans="1:7">
      <c r="B4565">
        <f>IF(INDEX(Transactions!$J:$J,ROW()-8)="",TODAY(),INDEX(Transactions!$G:$G,ROW()-8))</f>
      </c>
      <c r="F4565">
        <f>IF(INDEX(Transactions!$J:$J,ROW()-8)="",0,INDEX(Transactions!$O:$O,ROW()-8))</f>
      </c>
    </row>
    <row r="4566" spans="1:7">
      <c r="B4566">
        <f>IF(INDEX(Transactions!$J:$J,ROW()-8)="",TODAY(),INDEX(Transactions!$G:$G,ROW()-8))</f>
      </c>
      <c r="F4566">
        <f>IF(INDEX(Transactions!$J:$J,ROW()-8)="",0,INDEX(Transactions!$O:$O,ROW()-8))</f>
      </c>
    </row>
    <row r="4567" spans="1:7">
      <c r="B4567">
        <f>IF(INDEX(Transactions!$J:$J,ROW()-8)="",TODAY(),INDEX(Transactions!$G:$G,ROW()-8))</f>
      </c>
      <c r="F4567">
        <f>IF(INDEX(Transactions!$J:$J,ROW()-8)="",0,INDEX(Transactions!$O:$O,ROW()-8))</f>
      </c>
    </row>
    <row r="4568" spans="1:7">
      <c r="B4568">
        <f>IF(INDEX(Transactions!$J:$J,ROW()-8)="",TODAY(),INDEX(Transactions!$G:$G,ROW()-8))</f>
      </c>
      <c r="F4568">
        <f>IF(INDEX(Transactions!$J:$J,ROW()-8)="",0,INDEX(Transactions!$O:$O,ROW()-8))</f>
      </c>
    </row>
    <row r="4569" spans="1:7">
      <c r="B4569">
        <f>IF(INDEX(Transactions!$J:$J,ROW()-8)="",TODAY(),INDEX(Transactions!$G:$G,ROW()-8))</f>
      </c>
      <c r="F4569">
        <f>IF(INDEX(Transactions!$J:$J,ROW()-8)="",0,INDEX(Transactions!$O:$O,ROW()-8))</f>
      </c>
    </row>
    <row r="4570" spans="1:7">
      <c r="B4570">
        <f>IF(INDEX(Transactions!$J:$J,ROW()-8)="",TODAY(),INDEX(Transactions!$G:$G,ROW()-8))</f>
      </c>
      <c r="F4570">
        <f>IF(INDEX(Transactions!$J:$J,ROW()-8)="",0,INDEX(Transactions!$O:$O,ROW()-8))</f>
      </c>
    </row>
    <row r="4571" spans="1:7">
      <c r="B4571">
        <f>IF(INDEX(Transactions!$J:$J,ROW()-8)="",TODAY(),INDEX(Transactions!$G:$G,ROW()-8))</f>
      </c>
      <c r="F4571">
        <f>IF(INDEX(Transactions!$J:$J,ROW()-8)="",0,INDEX(Transactions!$O:$O,ROW()-8))</f>
      </c>
    </row>
    <row r="4572" spans="1:7">
      <c r="B4572">
        <f>IF(INDEX(Transactions!$J:$J,ROW()-8)="",TODAY(),INDEX(Transactions!$G:$G,ROW()-8))</f>
      </c>
      <c r="F4572">
        <f>IF(INDEX(Transactions!$J:$J,ROW()-8)="",0,INDEX(Transactions!$O:$O,ROW()-8))</f>
      </c>
    </row>
    <row r="4573" spans="1:7">
      <c r="B4573">
        <f>IF(INDEX(Transactions!$J:$J,ROW()-8)="",TODAY(),INDEX(Transactions!$G:$G,ROW()-8))</f>
      </c>
      <c r="F4573">
        <f>IF(INDEX(Transactions!$J:$J,ROW()-8)="",0,INDEX(Transactions!$O:$O,ROW()-8))</f>
      </c>
    </row>
    <row r="4574" spans="1:7">
      <c r="B4574">
        <f>IF(INDEX(Transactions!$J:$J,ROW()-8)="",TODAY(),INDEX(Transactions!$G:$G,ROW()-8))</f>
      </c>
      <c r="F4574">
        <f>IF(INDEX(Transactions!$J:$J,ROW()-8)="",0,INDEX(Transactions!$O:$O,ROW()-8))</f>
      </c>
    </row>
    <row r="4575" spans="1:7">
      <c r="B4575">
        <f>IF(INDEX(Transactions!$J:$J,ROW()-8)="",TODAY(),INDEX(Transactions!$G:$G,ROW()-8))</f>
      </c>
      <c r="F4575">
        <f>IF(INDEX(Transactions!$J:$J,ROW()-8)="",0,INDEX(Transactions!$O:$O,ROW()-8))</f>
      </c>
    </row>
    <row r="4576" spans="1:7">
      <c r="B4576">
        <f>IF(INDEX(Transactions!$J:$J,ROW()-8)="",TODAY(),INDEX(Transactions!$G:$G,ROW()-8))</f>
      </c>
      <c r="F4576">
        <f>IF(INDEX(Transactions!$J:$J,ROW()-8)="",0,INDEX(Transactions!$O:$O,ROW()-8))</f>
      </c>
    </row>
    <row r="4577" spans="1:7">
      <c r="B4577">
        <f>IF(INDEX(Transactions!$J:$J,ROW()-8)="",TODAY(),INDEX(Transactions!$G:$G,ROW()-8))</f>
      </c>
      <c r="F4577">
        <f>IF(INDEX(Transactions!$J:$J,ROW()-8)="",0,INDEX(Transactions!$O:$O,ROW()-8))</f>
      </c>
    </row>
    <row r="4578" spans="1:7">
      <c r="B4578">
        <f>IF(INDEX(Transactions!$J:$J,ROW()-8)="",TODAY(),INDEX(Transactions!$G:$G,ROW()-8))</f>
      </c>
      <c r="F4578">
        <f>IF(INDEX(Transactions!$J:$J,ROW()-8)="",0,INDEX(Transactions!$O:$O,ROW()-8))</f>
      </c>
    </row>
    <row r="4579" spans="1:7">
      <c r="B4579">
        <f>IF(INDEX(Transactions!$J:$J,ROW()-8)="",TODAY(),INDEX(Transactions!$G:$G,ROW()-8))</f>
      </c>
      <c r="F4579">
        <f>IF(INDEX(Transactions!$J:$J,ROW()-8)="",0,INDEX(Transactions!$O:$O,ROW()-8))</f>
      </c>
    </row>
    <row r="4580" spans="1:7">
      <c r="B4580">
        <f>IF(INDEX(Transactions!$J:$J,ROW()-8)="",TODAY(),INDEX(Transactions!$G:$G,ROW()-8))</f>
      </c>
      <c r="F4580">
        <f>IF(INDEX(Transactions!$J:$J,ROW()-8)="",0,INDEX(Transactions!$O:$O,ROW()-8))</f>
      </c>
    </row>
    <row r="4581" spans="1:7">
      <c r="B4581">
        <f>IF(INDEX(Transactions!$J:$J,ROW()-8)="",TODAY(),INDEX(Transactions!$G:$G,ROW()-8))</f>
      </c>
      <c r="F4581">
        <f>IF(INDEX(Transactions!$J:$J,ROW()-8)="",0,INDEX(Transactions!$O:$O,ROW()-8))</f>
      </c>
    </row>
    <row r="4582" spans="1:7">
      <c r="B4582">
        <f>IF(INDEX(Transactions!$J:$J,ROW()-8)="",TODAY(),INDEX(Transactions!$G:$G,ROW()-8))</f>
      </c>
      <c r="F4582">
        <f>IF(INDEX(Transactions!$J:$J,ROW()-8)="",0,INDEX(Transactions!$O:$O,ROW()-8))</f>
      </c>
    </row>
    <row r="4583" spans="1:7">
      <c r="B4583">
        <f>IF(INDEX(Transactions!$J:$J,ROW()-8)="",TODAY(),INDEX(Transactions!$G:$G,ROW()-8))</f>
      </c>
      <c r="F4583">
        <f>IF(INDEX(Transactions!$J:$J,ROW()-8)="",0,INDEX(Transactions!$O:$O,ROW()-8))</f>
      </c>
    </row>
    <row r="4584" spans="1:7">
      <c r="B4584">
        <f>IF(INDEX(Transactions!$J:$J,ROW()-8)="",TODAY(),INDEX(Transactions!$G:$G,ROW()-8))</f>
      </c>
      <c r="F4584">
        <f>IF(INDEX(Transactions!$J:$J,ROW()-8)="",0,INDEX(Transactions!$O:$O,ROW()-8))</f>
      </c>
    </row>
    <row r="4585" spans="1:7">
      <c r="B4585">
        <f>IF(INDEX(Transactions!$J:$J,ROW()-8)="",TODAY(),INDEX(Transactions!$G:$G,ROW()-8))</f>
      </c>
      <c r="F4585">
        <f>IF(INDEX(Transactions!$J:$J,ROW()-8)="",0,INDEX(Transactions!$O:$O,ROW()-8))</f>
      </c>
    </row>
    <row r="4586" spans="1:7">
      <c r="B4586">
        <f>IF(INDEX(Transactions!$J:$J,ROW()-8)="",TODAY(),INDEX(Transactions!$G:$G,ROW()-8))</f>
      </c>
      <c r="F4586">
        <f>IF(INDEX(Transactions!$J:$J,ROW()-8)="",0,INDEX(Transactions!$O:$O,ROW()-8))</f>
      </c>
    </row>
    <row r="4587" spans="1:7">
      <c r="B4587">
        <f>IF(INDEX(Transactions!$J:$J,ROW()-8)="",TODAY(),INDEX(Transactions!$G:$G,ROW()-8))</f>
      </c>
      <c r="F4587">
        <f>IF(INDEX(Transactions!$J:$J,ROW()-8)="",0,INDEX(Transactions!$O:$O,ROW()-8))</f>
      </c>
    </row>
    <row r="4588" spans="1:7">
      <c r="B4588">
        <f>IF(INDEX(Transactions!$J:$J,ROW()-8)="",TODAY(),INDEX(Transactions!$G:$G,ROW()-8))</f>
      </c>
      <c r="F4588">
        <f>IF(INDEX(Transactions!$J:$J,ROW()-8)="",0,INDEX(Transactions!$O:$O,ROW()-8))</f>
      </c>
    </row>
    <row r="4589" spans="1:7">
      <c r="B4589">
        <f>IF(INDEX(Transactions!$J:$J,ROW()-8)="",TODAY(),INDEX(Transactions!$G:$G,ROW()-8))</f>
      </c>
      <c r="F4589">
        <f>IF(INDEX(Transactions!$J:$J,ROW()-8)="",0,INDEX(Transactions!$O:$O,ROW()-8))</f>
      </c>
    </row>
    <row r="4590" spans="1:7">
      <c r="B4590">
        <f>IF(INDEX(Transactions!$J:$J,ROW()-8)="",TODAY(),INDEX(Transactions!$G:$G,ROW()-8))</f>
      </c>
      <c r="F4590">
        <f>IF(INDEX(Transactions!$J:$J,ROW()-8)="",0,INDEX(Transactions!$O:$O,ROW()-8))</f>
      </c>
    </row>
    <row r="4591" spans="1:7">
      <c r="B4591">
        <f>IF(INDEX(Transactions!$J:$J,ROW()-8)="",TODAY(),INDEX(Transactions!$G:$G,ROW()-8))</f>
      </c>
      <c r="F4591">
        <f>IF(INDEX(Transactions!$J:$J,ROW()-8)="",0,INDEX(Transactions!$O:$O,ROW()-8))</f>
      </c>
    </row>
    <row r="4592" spans="1:7">
      <c r="B4592">
        <f>IF(INDEX(Transactions!$J:$J,ROW()-8)="",TODAY(),INDEX(Transactions!$G:$G,ROW()-8))</f>
      </c>
      <c r="F4592">
        <f>IF(INDEX(Transactions!$J:$J,ROW()-8)="",0,INDEX(Transactions!$O:$O,ROW()-8))</f>
      </c>
    </row>
    <row r="4593" spans="1:7">
      <c r="B4593">
        <f>IF(INDEX(Transactions!$J:$J,ROW()-8)="",TODAY(),INDEX(Transactions!$G:$G,ROW()-8))</f>
      </c>
      <c r="F4593">
        <f>IF(INDEX(Transactions!$J:$J,ROW()-8)="",0,INDEX(Transactions!$O:$O,ROW()-8))</f>
      </c>
    </row>
    <row r="4594" spans="1:7">
      <c r="B4594">
        <f>IF(INDEX(Transactions!$J:$J,ROW()-8)="",TODAY(),INDEX(Transactions!$G:$G,ROW()-8))</f>
      </c>
      <c r="F4594">
        <f>IF(INDEX(Transactions!$J:$J,ROW()-8)="",0,INDEX(Transactions!$O:$O,ROW()-8))</f>
      </c>
    </row>
    <row r="4595" spans="1:7">
      <c r="B4595">
        <f>IF(INDEX(Transactions!$J:$J,ROW()-8)="",TODAY(),INDEX(Transactions!$G:$G,ROW()-8))</f>
      </c>
      <c r="F4595">
        <f>IF(INDEX(Transactions!$J:$J,ROW()-8)="",0,INDEX(Transactions!$O:$O,ROW()-8))</f>
      </c>
    </row>
    <row r="4596" spans="1:7">
      <c r="B4596">
        <f>IF(INDEX(Transactions!$J:$J,ROW()-8)="",TODAY(),INDEX(Transactions!$G:$G,ROW()-8))</f>
      </c>
      <c r="F4596">
        <f>IF(INDEX(Transactions!$J:$J,ROW()-8)="",0,INDEX(Transactions!$O:$O,ROW()-8))</f>
      </c>
    </row>
    <row r="4597" spans="1:7">
      <c r="B4597">
        <f>IF(INDEX(Transactions!$J:$J,ROW()-8)="",TODAY(),INDEX(Transactions!$G:$G,ROW()-8))</f>
      </c>
      <c r="F4597">
        <f>IF(INDEX(Transactions!$J:$J,ROW()-8)="",0,INDEX(Transactions!$O:$O,ROW()-8))</f>
      </c>
    </row>
    <row r="4598" spans="1:7">
      <c r="B4598">
        <f>IF(INDEX(Transactions!$J:$J,ROW()-8)="",TODAY(),INDEX(Transactions!$G:$G,ROW()-8))</f>
      </c>
      <c r="F4598">
        <f>IF(INDEX(Transactions!$J:$J,ROW()-8)="",0,INDEX(Transactions!$O:$O,ROW()-8))</f>
      </c>
    </row>
    <row r="4599" spans="1:7">
      <c r="B4599">
        <f>IF(INDEX(Transactions!$J:$J,ROW()-8)="",TODAY(),INDEX(Transactions!$G:$G,ROW()-8))</f>
      </c>
      <c r="F4599">
        <f>IF(INDEX(Transactions!$J:$J,ROW()-8)="",0,INDEX(Transactions!$O:$O,ROW()-8))</f>
      </c>
    </row>
    <row r="4600" spans="1:7">
      <c r="B4600">
        <f>IF(INDEX(Transactions!$J:$J,ROW()-8)="",TODAY(),INDEX(Transactions!$G:$G,ROW()-8))</f>
      </c>
      <c r="F4600">
        <f>IF(INDEX(Transactions!$J:$J,ROW()-8)="",0,INDEX(Transactions!$O:$O,ROW()-8))</f>
      </c>
    </row>
    <row r="4601" spans="1:7">
      <c r="B4601">
        <f>IF(INDEX(Transactions!$J:$J,ROW()-8)="",TODAY(),INDEX(Transactions!$G:$G,ROW()-8))</f>
      </c>
      <c r="F4601">
        <f>IF(INDEX(Transactions!$J:$J,ROW()-8)="",0,INDEX(Transactions!$O:$O,ROW()-8))</f>
      </c>
    </row>
    <row r="4602" spans="1:7">
      <c r="B4602">
        <f>IF(INDEX(Transactions!$J:$J,ROW()-8)="",TODAY(),INDEX(Transactions!$G:$G,ROW()-8))</f>
      </c>
      <c r="F4602">
        <f>IF(INDEX(Transactions!$J:$J,ROW()-8)="",0,INDEX(Transactions!$O:$O,ROW()-8))</f>
      </c>
    </row>
    <row r="4603" spans="1:7">
      <c r="B4603">
        <f>IF(INDEX(Transactions!$J:$J,ROW()-8)="",TODAY(),INDEX(Transactions!$G:$G,ROW()-8))</f>
      </c>
      <c r="F4603">
        <f>IF(INDEX(Transactions!$J:$J,ROW()-8)="",0,INDEX(Transactions!$O:$O,ROW()-8))</f>
      </c>
    </row>
    <row r="4604" spans="1:7">
      <c r="B4604">
        <f>IF(INDEX(Transactions!$J:$J,ROW()-8)="",TODAY(),INDEX(Transactions!$G:$G,ROW()-8))</f>
      </c>
      <c r="F4604">
        <f>IF(INDEX(Transactions!$J:$J,ROW()-8)="",0,INDEX(Transactions!$O:$O,ROW()-8))</f>
      </c>
    </row>
    <row r="4605" spans="1:7">
      <c r="B4605">
        <f>IF(INDEX(Transactions!$J:$J,ROW()-8)="",TODAY(),INDEX(Transactions!$G:$G,ROW()-8))</f>
      </c>
      <c r="F4605">
        <f>IF(INDEX(Transactions!$J:$J,ROW()-8)="",0,INDEX(Transactions!$O:$O,ROW()-8))</f>
      </c>
    </row>
    <row r="4606" spans="1:7">
      <c r="B4606">
        <f>IF(INDEX(Transactions!$J:$J,ROW()-8)="",TODAY(),INDEX(Transactions!$G:$G,ROW()-8))</f>
      </c>
      <c r="F4606">
        <f>IF(INDEX(Transactions!$J:$J,ROW()-8)="",0,INDEX(Transactions!$O:$O,ROW()-8))</f>
      </c>
    </row>
    <row r="4607" spans="1:7">
      <c r="B4607">
        <f>IF(INDEX(Transactions!$J:$J,ROW()-8)="",TODAY(),INDEX(Transactions!$G:$G,ROW()-8))</f>
      </c>
      <c r="F4607">
        <f>IF(INDEX(Transactions!$J:$J,ROW()-8)="",0,INDEX(Transactions!$O:$O,ROW()-8))</f>
      </c>
    </row>
    <row r="4608" spans="1:7">
      <c r="B4608">
        <f>IF(INDEX(Transactions!$J:$J,ROW()-8)="",TODAY(),INDEX(Transactions!$G:$G,ROW()-8))</f>
      </c>
      <c r="F4608">
        <f>IF(INDEX(Transactions!$J:$J,ROW()-8)="",0,INDEX(Transactions!$O:$O,ROW()-8))</f>
      </c>
    </row>
    <row r="4609" spans="1:7">
      <c r="B4609">
        <f>IF(INDEX(Transactions!$J:$J,ROW()-8)="",TODAY(),INDEX(Transactions!$G:$G,ROW()-8))</f>
      </c>
      <c r="F4609">
        <f>IF(INDEX(Transactions!$J:$J,ROW()-8)="",0,INDEX(Transactions!$O:$O,ROW()-8))</f>
      </c>
    </row>
    <row r="4610" spans="1:7">
      <c r="B4610">
        <f>IF(INDEX(Transactions!$J:$J,ROW()-8)="",TODAY(),INDEX(Transactions!$G:$G,ROW()-8))</f>
      </c>
      <c r="F4610">
        <f>IF(INDEX(Transactions!$J:$J,ROW()-8)="",0,INDEX(Transactions!$O:$O,ROW()-8))</f>
      </c>
    </row>
    <row r="4611" spans="1:7">
      <c r="B4611">
        <f>IF(INDEX(Transactions!$J:$J,ROW()-8)="",TODAY(),INDEX(Transactions!$G:$G,ROW()-8))</f>
      </c>
      <c r="F4611">
        <f>IF(INDEX(Transactions!$J:$J,ROW()-8)="",0,INDEX(Transactions!$O:$O,ROW()-8))</f>
      </c>
    </row>
    <row r="4612" spans="1:7">
      <c r="B4612">
        <f>IF(INDEX(Transactions!$J:$J,ROW()-8)="",TODAY(),INDEX(Transactions!$G:$G,ROW()-8))</f>
      </c>
      <c r="F4612">
        <f>IF(INDEX(Transactions!$J:$J,ROW()-8)="",0,INDEX(Transactions!$O:$O,ROW()-8))</f>
      </c>
    </row>
    <row r="4613" spans="1:7">
      <c r="B4613">
        <f>IF(INDEX(Transactions!$J:$J,ROW()-8)="",TODAY(),INDEX(Transactions!$G:$G,ROW()-8))</f>
      </c>
      <c r="F4613">
        <f>IF(INDEX(Transactions!$J:$J,ROW()-8)="",0,INDEX(Transactions!$O:$O,ROW()-8))</f>
      </c>
    </row>
    <row r="4614" spans="1:7">
      <c r="B4614">
        <f>IF(INDEX(Transactions!$J:$J,ROW()-8)="",TODAY(),INDEX(Transactions!$G:$G,ROW()-8))</f>
      </c>
      <c r="F4614">
        <f>IF(INDEX(Transactions!$J:$J,ROW()-8)="",0,INDEX(Transactions!$O:$O,ROW()-8))</f>
      </c>
    </row>
    <row r="4615" spans="1:7">
      <c r="B4615">
        <f>IF(INDEX(Transactions!$J:$J,ROW()-8)="",TODAY(),INDEX(Transactions!$G:$G,ROW()-8))</f>
      </c>
      <c r="F4615">
        <f>IF(INDEX(Transactions!$J:$J,ROW()-8)="",0,INDEX(Transactions!$O:$O,ROW()-8))</f>
      </c>
    </row>
    <row r="4616" spans="1:7">
      <c r="B4616">
        <f>IF(INDEX(Transactions!$J:$J,ROW()-8)="",TODAY(),INDEX(Transactions!$G:$G,ROW()-8))</f>
      </c>
      <c r="F4616">
        <f>IF(INDEX(Transactions!$J:$J,ROW()-8)="",0,INDEX(Transactions!$O:$O,ROW()-8))</f>
      </c>
    </row>
    <row r="4617" spans="1:7">
      <c r="B4617">
        <f>IF(INDEX(Transactions!$J:$J,ROW()-8)="",TODAY(),INDEX(Transactions!$G:$G,ROW()-8))</f>
      </c>
      <c r="F4617">
        <f>IF(INDEX(Transactions!$J:$J,ROW()-8)="",0,INDEX(Transactions!$O:$O,ROW()-8))</f>
      </c>
    </row>
    <row r="4618" spans="1:7">
      <c r="B4618">
        <f>IF(INDEX(Transactions!$J:$J,ROW()-8)="",TODAY(),INDEX(Transactions!$G:$G,ROW()-8))</f>
      </c>
      <c r="F4618">
        <f>IF(INDEX(Transactions!$J:$J,ROW()-8)="",0,INDEX(Transactions!$O:$O,ROW()-8))</f>
      </c>
    </row>
    <row r="4619" spans="1:7">
      <c r="B4619">
        <f>IF(INDEX(Transactions!$J:$J,ROW()-8)="",TODAY(),INDEX(Transactions!$G:$G,ROW()-8))</f>
      </c>
      <c r="F4619">
        <f>IF(INDEX(Transactions!$J:$J,ROW()-8)="",0,INDEX(Transactions!$O:$O,ROW()-8))</f>
      </c>
    </row>
    <row r="4620" spans="1:7">
      <c r="B4620">
        <f>IF(INDEX(Transactions!$J:$J,ROW()-8)="",TODAY(),INDEX(Transactions!$G:$G,ROW()-8))</f>
      </c>
      <c r="F4620">
        <f>IF(INDEX(Transactions!$J:$J,ROW()-8)="",0,INDEX(Transactions!$O:$O,ROW()-8))</f>
      </c>
    </row>
    <row r="4621" spans="1:7">
      <c r="B4621">
        <f>IF(INDEX(Transactions!$J:$J,ROW()-8)="",TODAY(),INDEX(Transactions!$G:$G,ROW()-8))</f>
      </c>
      <c r="F4621">
        <f>IF(INDEX(Transactions!$J:$J,ROW()-8)="",0,INDEX(Transactions!$O:$O,ROW()-8))</f>
      </c>
    </row>
    <row r="4622" spans="1:7">
      <c r="B4622">
        <f>IF(INDEX(Transactions!$J:$J,ROW()-8)="",TODAY(),INDEX(Transactions!$G:$G,ROW()-8))</f>
      </c>
      <c r="F4622">
        <f>IF(INDEX(Transactions!$J:$J,ROW()-8)="",0,INDEX(Transactions!$O:$O,ROW()-8))</f>
      </c>
    </row>
    <row r="4623" spans="1:7">
      <c r="B4623">
        <f>IF(INDEX(Transactions!$J:$J,ROW()-8)="",TODAY(),INDEX(Transactions!$G:$G,ROW()-8))</f>
      </c>
      <c r="F4623">
        <f>IF(INDEX(Transactions!$J:$J,ROW()-8)="",0,INDEX(Transactions!$O:$O,ROW()-8))</f>
      </c>
    </row>
    <row r="4624" spans="1:7">
      <c r="B4624">
        <f>IF(INDEX(Transactions!$J:$J,ROW()-8)="",TODAY(),INDEX(Transactions!$G:$G,ROW()-8))</f>
      </c>
      <c r="F4624">
        <f>IF(INDEX(Transactions!$J:$J,ROW()-8)="",0,INDEX(Transactions!$O:$O,ROW()-8))</f>
      </c>
    </row>
    <row r="4625" spans="1:7">
      <c r="B4625">
        <f>IF(INDEX(Transactions!$J:$J,ROW()-8)="",TODAY(),INDEX(Transactions!$G:$G,ROW()-8))</f>
      </c>
      <c r="F4625">
        <f>IF(INDEX(Transactions!$J:$J,ROW()-8)="",0,INDEX(Transactions!$O:$O,ROW()-8))</f>
      </c>
    </row>
    <row r="4626" spans="1:7">
      <c r="B4626">
        <f>IF(INDEX(Transactions!$J:$J,ROW()-8)="",TODAY(),INDEX(Transactions!$G:$G,ROW()-8))</f>
      </c>
      <c r="F4626">
        <f>IF(INDEX(Transactions!$J:$J,ROW()-8)="",0,INDEX(Transactions!$O:$O,ROW()-8))</f>
      </c>
    </row>
    <row r="4627" spans="1:7">
      <c r="B4627">
        <f>IF(INDEX(Transactions!$J:$J,ROW()-8)="",TODAY(),INDEX(Transactions!$G:$G,ROW()-8))</f>
      </c>
      <c r="F4627">
        <f>IF(INDEX(Transactions!$J:$J,ROW()-8)="",0,INDEX(Transactions!$O:$O,ROW()-8))</f>
      </c>
    </row>
    <row r="4628" spans="1:7">
      <c r="B4628">
        <f>IF(INDEX(Transactions!$J:$J,ROW()-8)="",TODAY(),INDEX(Transactions!$G:$G,ROW()-8))</f>
      </c>
      <c r="F4628">
        <f>IF(INDEX(Transactions!$J:$J,ROW()-8)="",0,INDEX(Transactions!$O:$O,ROW()-8))</f>
      </c>
    </row>
    <row r="4629" spans="1:7">
      <c r="B4629">
        <f>IF(INDEX(Transactions!$J:$J,ROW()-8)="",TODAY(),INDEX(Transactions!$G:$G,ROW()-8))</f>
      </c>
      <c r="F4629">
        <f>IF(INDEX(Transactions!$J:$J,ROW()-8)="",0,INDEX(Transactions!$O:$O,ROW()-8))</f>
      </c>
    </row>
    <row r="4630" spans="1:7">
      <c r="B4630">
        <f>IF(INDEX(Transactions!$J:$J,ROW()-8)="",TODAY(),INDEX(Transactions!$G:$G,ROW()-8))</f>
      </c>
      <c r="F4630">
        <f>IF(INDEX(Transactions!$J:$J,ROW()-8)="",0,INDEX(Transactions!$O:$O,ROW()-8))</f>
      </c>
    </row>
    <row r="4631" spans="1:7">
      <c r="B4631">
        <f>IF(INDEX(Transactions!$J:$J,ROW()-8)="",TODAY(),INDEX(Transactions!$G:$G,ROW()-8))</f>
      </c>
      <c r="F4631">
        <f>IF(INDEX(Transactions!$J:$J,ROW()-8)="",0,INDEX(Transactions!$O:$O,ROW()-8))</f>
      </c>
    </row>
    <row r="4632" spans="1:7">
      <c r="B4632">
        <f>IF(INDEX(Transactions!$J:$J,ROW()-8)="",TODAY(),INDEX(Transactions!$G:$G,ROW()-8))</f>
      </c>
      <c r="F4632">
        <f>IF(INDEX(Transactions!$J:$J,ROW()-8)="",0,INDEX(Transactions!$O:$O,ROW()-8))</f>
      </c>
    </row>
    <row r="4633" spans="1:7">
      <c r="B4633">
        <f>IF(INDEX(Transactions!$J:$J,ROW()-8)="",TODAY(),INDEX(Transactions!$G:$G,ROW()-8))</f>
      </c>
      <c r="F4633">
        <f>IF(INDEX(Transactions!$J:$J,ROW()-8)="",0,INDEX(Transactions!$O:$O,ROW()-8))</f>
      </c>
    </row>
    <row r="4634" spans="1:7">
      <c r="B4634">
        <f>IF(INDEX(Transactions!$J:$J,ROW()-8)="",TODAY(),INDEX(Transactions!$G:$G,ROW()-8))</f>
      </c>
      <c r="F4634">
        <f>IF(INDEX(Transactions!$J:$J,ROW()-8)="",0,INDEX(Transactions!$O:$O,ROW()-8))</f>
      </c>
    </row>
    <row r="4635" spans="1:7">
      <c r="B4635">
        <f>IF(INDEX(Transactions!$J:$J,ROW()-8)="",TODAY(),INDEX(Transactions!$G:$G,ROW()-8))</f>
      </c>
      <c r="F4635">
        <f>IF(INDEX(Transactions!$J:$J,ROW()-8)="",0,INDEX(Transactions!$O:$O,ROW()-8))</f>
      </c>
    </row>
    <row r="4636" spans="1:7">
      <c r="B4636">
        <f>IF(INDEX(Transactions!$J:$J,ROW()-8)="",TODAY(),INDEX(Transactions!$G:$G,ROW()-8))</f>
      </c>
      <c r="F4636">
        <f>IF(INDEX(Transactions!$J:$J,ROW()-8)="",0,INDEX(Transactions!$O:$O,ROW()-8))</f>
      </c>
    </row>
    <row r="4637" spans="1:7">
      <c r="B4637">
        <f>IF(INDEX(Transactions!$J:$J,ROW()-8)="",TODAY(),INDEX(Transactions!$G:$G,ROW()-8))</f>
      </c>
      <c r="F4637">
        <f>IF(INDEX(Transactions!$J:$J,ROW()-8)="",0,INDEX(Transactions!$O:$O,ROW()-8))</f>
      </c>
    </row>
    <row r="4638" spans="1:7">
      <c r="B4638">
        <f>IF(INDEX(Transactions!$J:$J,ROW()-8)="",TODAY(),INDEX(Transactions!$G:$G,ROW()-8))</f>
      </c>
      <c r="F4638">
        <f>IF(INDEX(Transactions!$J:$J,ROW()-8)="",0,INDEX(Transactions!$O:$O,ROW()-8))</f>
      </c>
    </row>
    <row r="4639" spans="1:7">
      <c r="B4639">
        <f>IF(INDEX(Transactions!$J:$J,ROW()-8)="",TODAY(),INDEX(Transactions!$G:$G,ROW()-8))</f>
      </c>
      <c r="F4639">
        <f>IF(INDEX(Transactions!$J:$J,ROW()-8)="",0,INDEX(Transactions!$O:$O,ROW()-8))</f>
      </c>
    </row>
    <row r="4640" spans="1:7">
      <c r="B4640">
        <f>IF(INDEX(Transactions!$J:$J,ROW()-8)="",TODAY(),INDEX(Transactions!$G:$G,ROW()-8))</f>
      </c>
      <c r="F4640">
        <f>IF(INDEX(Transactions!$J:$J,ROW()-8)="",0,INDEX(Transactions!$O:$O,ROW()-8))</f>
      </c>
    </row>
    <row r="4641" spans="1:7">
      <c r="B4641">
        <f>IF(INDEX(Transactions!$J:$J,ROW()-8)="",TODAY(),INDEX(Transactions!$G:$G,ROW()-8))</f>
      </c>
      <c r="F4641">
        <f>IF(INDEX(Transactions!$J:$J,ROW()-8)="",0,INDEX(Transactions!$O:$O,ROW()-8))</f>
      </c>
    </row>
    <row r="4642" spans="1:7">
      <c r="B4642">
        <f>IF(INDEX(Transactions!$J:$J,ROW()-8)="",TODAY(),INDEX(Transactions!$G:$G,ROW()-8))</f>
      </c>
      <c r="F4642">
        <f>IF(INDEX(Transactions!$J:$J,ROW()-8)="",0,INDEX(Transactions!$O:$O,ROW()-8))</f>
      </c>
    </row>
    <row r="4643" spans="1:7">
      <c r="B4643">
        <f>IF(INDEX(Transactions!$J:$J,ROW()-8)="",TODAY(),INDEX(Transactions!$G:$G,ROW()-8))</f>
      </c>
      <c r="F4643">
        <f>IF(INDEX(Transactions!$J:$J,ROW()-8)="",0,INDEX(Transactions!$O:$O,ROW()-8))</f>
      </c>
    </row>
    <row r="4644" spans="1:7">
      <c r="B4644">
        <f>IF(INDEX(Transactions!$J:$J,ROW()-8)="",TODAY(),INDEX(Transactions!$G:$G,ROW()-8))</f>
      </c>
      <c r="F4644">
        <f>IF(INDEX(Transactions!$J:$J,ROW()-8)="",0,INDEX(Transactions!$O:$O,ROW()-8))</f>
      </c>
    </row>
    <row r="4645" spans="1:7">
      <c r="B4645">
        <f>IF(INDEX(Transactions!$J:$J,ROW()-8)="",TODAY(),INDEX(Transactions!$G:$G,ROW()-8))</f>
      </c>
      <c r="F4645">
        <f>IF(INDEX(Transactions!$J:$J,ROW()-8)="",0,INDEX(Transactions!$O:$O,ROW()-8))</f>
      </c>
    </row>
    <row r="4646" spans="1:7">
      <c r="B4646">
        <f>IF(INDEX(Transactions!$J:$J,ROW()-8)="",TODAY(),INDEX(Transactions!$G:$G,ROW()-8))</f>
      </c>
      <c r="F4646">
        <f>IF(INDEX(Transactions!$J:$J,ROW()-8)="",0,INDEX(Transactions!$O:$O,ROW()-8))</f>
      </c>
    </row>
    <row r="4647" spans="1:7">
      <c r="B4647">
        <f>IF(INDEX(Transactions!$J:$J,ROW()-8)="",TODAY(),INDEX(Transactions!$G:$G,ROW()-8))</f>
      </c>
      <c r="F4647">
        <f>IF(INDEX(Transactions!$J:$J,ROW()-8)="",0,INDEX(Transactions!$O:$O,ROW()-8))</f>
      </c>
    </row>
    <row r="4648" spans="1:7">
      <c r="B4648">
        <f>IF(INDEX(Transactions!$J:$J,ROW()-8)="",TODAY(),INDEX(Transactions!$G:$G,ROW()-8))</f>
      </c>
      <c r="F4648">
        <f>IF(INDEX(Transactions!$J:$J,ROW()-8)="",0,INDEX(Transactions!$O:$O,ROW()-8))</f>
      </c>
    </row>
    <row r="4649" spans="1:7">
      <c r="B4649">
        <f>IF(INDEX(Transactions!$J:$J,ROW()-8)="",TODAY(),INDEX(Transactions!$G:$G,ROW()-8))</f>
      </c>
      <c r="F4649">
        <f>IF(INDEX(Transactions!$J:$J,ROW()-8)="",0,INDEX(Transactions!$O:$O,ROW()-8))</f>
      </c>
    </row>
    <row r="4650" spans="1:7">
      <c r="B4650">
        <f>IF(INDEX(Transactions!$J:$J,ROW()-8)="",TODAY(),INDEX(Transactions!$G:$G,ROW()-8))</f>
      </c>
      <c r="F4650">
        <f>IF(INDEX(Transactions!$J:$J,ROW()-8)="",0,INDEX(Transactions!$O:$O,ROW()-8))</f>
      </c>
    </row>
    <row r="4651" spans="1:7">
      <c r="B4651">
        <f>IF(INDEX(Transactions!$J:$J,ROW()-8)="",TODAY(),INDEX(Transactions!$G:$G,ROW()-8))</f>
      </c>
      <c r="F4651">
        <f>IF(INDEX(Transactions!$J:$J,ROW()-8)="",0,INDEX(Transactions!$O:$O,ROW()-8))</f>
      </c>
    </row>
    <row r="4652" spans="1:7">
      <c r="B4652">
        <f>IF(INDEX(Transactions!$J:$J,ROW()-8)="",TODAY(),INDEX(Transactions!$G:$G,ROW()-8))</f>
      </c>
      <c r="F4652">
        <f>IF(INDEX(Transactions!$J:$J,ROW()-8)="",0,INDEX(Transactions!$O:$O,ROW()-8))</f>
      </c>
    </row>
    <row r="4653" spans="1:7">
      <c r="B4653">
        <f>IF(INDEX(Transactions!$J:$J,ROW()-8)="",TODAY(),INDEX(Transactions!$G:$G,ROW()-8))</f>
      </c>
      <c r="F4653">
        <f>IF(INDEX(Transactions!$J:$J,ROW()-8)="",0,INDEX(Transactions!$O:$O,ROW()-8))</f>
      </c>
    </row>
    <row r="4654" spans="1:7">
      <c r="B4654">
        <f>IF(INDEX(Transactions!$J:$J,ROW()-8)="",TODAY(),INDEX(Transactions!$G:$G,ROW()-8))</f>
      </c>
      <c r="F4654">
        <f>IF(INDEX(Transactions!$J:$J,ROW()-8)="",0,INDEX(Transactions!$O:$O,ROW()-8))</f>
      </c>
    </row>
    <row r="4655" spans="1:7">
      <c r="B4655">
        <f>IF(INDEX(Transactions!$J:$J,ROW()-8)="",TODAY(),INDEX(Transactions!$G:$G,ROW()-8))</f>
      </c>
      <c r="F4655">
        <f>IF(INDEX(Transactions!$J:$J,ROW()-8)="",0,INDEX(Transactions!$O:$O,ROW()-8))</f>
      </c>
    </row>
    <row r="4656" spans="1:7">
      <c r="B4656">
        <f>IF(INDEX(Transactions!$J:$J,ROW()-8)="",TODAY(),INDEX(Transactions!$G:$G,ROW()-8))</f>
      </c>
      <c r="F4656">
        <f>IF(INDEX(Transactions!$J:$J,ROW()-8)="",0,INDEX(Transactions!$O:$O,ROW()-8))</f>
      </c>
    </row>
    <row r="4657" spans="1:7">
      <c r="B4657">
        <f>IF(INDEX(Transactions!$J:$J,ROW()-8)="",TODAY(),INDEX(Transactions!$G:$G,ROW()-8))</f>
      </c>
      <c r="F4657">
        <f>IF(INDEX(Transactions!$J:$J,ROW()-8)="",0,INDEX(Transactions!$O:$O,ROW()-8))</f>
      </c>
    </row>
    <row r="4658" spans="1:7">
      <c r="B4658">
        <f>IF(INDEX(Transactions!$J:$J,ROW()-8)="",TODAY(),INDEX(Transactions!$G:$G,ROW()-8))</f>
      </c>
      <c r="F4658">
        <f>IF(INDEX(Transactions!$J:$J,ROW()-8)="",0,INDEX(Transactions!$O:$O,ROW()-8))</f>
      </c>
    </row>
    <row r="4659" spans="1:7">
      <c r="B4659">
        <f>IF(INDEX(Transactions!$J:$J,ROW()-8)="",TODAY(),INDEX(Transactions!$G:$G,ROW()-8))</f>
      </c>
      <c r="F4659">
        <f>IF(INDEX(Transactions!$J:$J,ROW()-8)="",0,INDEX(Transactions!$O:$O,ROW()-8))</f>
      </c>
    </row>
    <row r="4660" spans="1:7">
      <c r="B4660">
        <f>IF(INDEX(Transactions!$J:$J,ROW()-8)="",TODAY(),INDEX(Transactions!$G:$G,ROW()-8))</f>
      </c>
      <c r="F4660">
        <f>IF(INDEX(Transactions!$J:$J,ROW()-8)="",0,INDEX(Transactions!$O:$O,ROW()-8))</f>
      </c>
    </row>
    <row r="4661" spans="1:7">
      <c r="B4661">
        <f>IF(INDEX(Transactions!$J:$J,ROW()-8)="",TODAY(),INDEX(Transactions!$G:$G,ROW()-8))</f>
      </c>
      <c r="F4661">
        <f>IF(INDEX(Transactions!$J:$J,ROW()-8)="",0,INDEX(Transactions!$O:$O,ROW()-8))</f>
      </c>
    </row>
    <row r="4662" spans="1:7">
      <c r="B4662">
        <f>IF(INDEX(Transactions!$J:$J,ROW()-8)="",TODAY(),INDEX(Transactions!$G:$G,ROW()-8))</f>
      </c>
      <c r="F4662">
        <f>IF(INDEX(Transactions!$J:$J,ROW()-8)="",0,INDEX(Transactions!$O:$O,ROW()-8))</f>
      </c>
    </row>
    <row r="4663" spans="1:7">
      <c r="B4663">
        <f>IF(INDEX(Transactions!$J:$J,ROW()-8)="",TODAY(),INDEX(Transactions!$G:$G,ROW()-8))</f>
      </c>
      <c r="F4663">
        <f>IF(INDEX(Transactions!$J:$J,ROW()-8)="",0,INDEX(Transactions!$O:$O,ROW()-8))</f>
      </c>
    </row>
    <row r="4664" spans="1:7">
      <c r="B4664">
        <f>IF(INDEX(Transactions!$J:$J,ROW()-8)="",TODAY(),INDEX(Transactions!$G:$G,ROW()-8))</f>
      </c>
      <c r="F4664">
        <f>IF(INDEX(Transactions!$J:$J,ROW()-8)="",0,INDEX(Transactions!$O:$O,ROW()-8))</f>
      </c>
    </row>
    <row r="4665" spans="1:7">
      <c r="B4665">
        <f>IF(INDEX(Transactions!$J:$J,ROW()-8)="",TODAY(),INDEX(Transactions!$G:$G,ROW()-8))</f>
      </c>
      <c r="F4665">
        <f>IF(INDEX(Transactions!$J:$J,ROW()-8)="",0,INDEX(Transactions!$O:$O,ROW()-8))</f>
      </c>
    </row>
    <row r="4666" spans="1:7">
      <c r="B4666">
        <f>IF(INDEX(Transactions!$J:$J,ROW()-8)="",TODAY(),INDEX(Transactions!$G:$G,ROW()-8))</f>
      </c>
      <c r="F4666">
        <f>IF(INDEX(Transactions!$J:$J,ROW()-8)="",0,INDEX(Transactions!$O:$O,ROW()-8))</f>
      </c>
    </row>
    <row r="4667" spans="1:7">
      <c r="B4667">
        <f>IF(INDEX(Transactions!$J:$J,ROW()-8)="",TODAY(),INDEX(Transactions!$G:$G,ROW()-8))</f>
      </c>
      <c r="F4667">
        <f>IF(INDEX(Transactions!$J:$J,ROW()-8)="",0,INDEX(Transactions!$O:$O,ROW()-8))</f>
      </c>
    </row>
    <row r="4668" spans="1:7">
      <c r="B4668">
        <f>IF(INDEX(Transactions!$J:$J,ROW()-8)="",TODAY(),INDEX(Transactions!$G:$G,ROW()-8))</f>
      </c>
      <c r="F4668">
        <f>IF(INDEX(Transactions!$J:$J,ROW()-8)="",0,INDEX(Transactions!$O:$O,ROW()-8))</f>
      </c>
    </row>
    <row r="4669" spans="1:7">
      <c r="B4669">
        <f>IF(INDEX(Transactions!$J:$J,ROW()-8)="",TODAY(),INDEX(Transactions!$G:$G,ROW()-8))</f>
      </c>
      <c r="F4669">
        <f>IF(INDEX(Transactions!$J:$J,ROW()-8)="",0,INDEX(Transactions!$O:$O,ROW()-8))</f>
      </c>
    </row>
    <row r="4670" spans="1:7">
      <c r="B4670">
        <f>IF(INDEX(Transactions!$J:$J,ROW()-8)="",TODAY(),INDEX(Transactions!$G:$G,ROW()-8))</f>
      </c>
      <c r="F4670">
        <f>IF(INDEX(Transactions!$J:$J,ROW()-8)="",0,INDEX(Transactions!$O:$O,ROW()-8))</f>
      </c>
    </row>
    <row r="4671" spans="1:7">
      <c r="B4671">
        <f>IF(INDEX(Transactions!$J:$J,ROW()-8)="",TODAY(),INDEX(Transactions!$G:$G,ROW()-8))</f>
      </c>
      <c r="F4671">
        <f>IF(INDEX(Transactions!$J:$J,ROW()-8)="",0,INDEX(Transactions!$O:$O,ROW()-8))</f>
      </c>
    </row>
    <row r="4672" spans="1:7">
      <c r="B4672">
        <f>IF(INDEX(Transactions!$J:$J,ROW()-8)="",TODAY(),INDEX(Transactions!$G:$G,ROW()-8))</f>
      </c>
      <c r="F4672">
        <f>IF(INDEX(Transactions!$J:$J,ROW()-8)="",0,INDEX(Transactions!$O:$O,ROW()-8))</f>
      </c>
    </row>
    <row r="4673" spans="1:7">
      <c r="B4673">
        <f>IF(INDEX(Transactions!$J:$J,ROW()-8)="",TODAY(),INDEX(Transactions!$G:$G,ROW()-8))</f>
      </c>
      <c r="F4673">
        <f>IF(INDEX(Transactions!$J:$J,ROW()-8)="",0,INDEX(Transactions!$O:$O,ROW()-8))</f>
      </c>
    </row>
    <row r="4674" spans="1:7">
      <c r="B4674">
        <f>IF(INDEX(Transactions!$J:$J,ROW()-8)="",TODAY(),INDEX(Transactions!$G:$G,ROW()-8))</f>
      </c>
      <c r="F4674">
        <f>IF(INDEX(Transactions!$J:$J,ROW()-8)="",0,INDEX(Transactions!$O:$O,ROW()-8))</f>
      </c>
    </row>
    <row r="4675" spans="1:7">
      <c r="B4675">
        <f>IF(INDEX(Transactions!$J:$J,ROW()-8)="",TODAY(),INDEX(Transactions!$G:$G,ROW()-8))</f>
      </c>
      <c r="F4675">
        <f>IF(INDEX(Transactions!$J:$J,ROW()-8)="",0,INDEX(Transactions!$O:$O,ROW()-8))</f>
      </c>
    </row>
    <row r="4676" spans="1:7">
      <c r="B4676">
        <f>IF(INDEX(Transactions!$J:$J,ROW()-8)="",TODAY(),INDEX(Transactions!$G:$G,ROW()-8))</f>
      </c>
      <c r="F4676">
        <f>IF(INDEX(Transactions!$J:$J,ROW()-8)="",0,INDEX(Transactions!$O:$O,ROW()-8))</f>
      </c>
    </row>
    <row r="4677" spans="1:7">
      <c r="B4677">
        <f>IF(INDEX(Transactions!$J:$J,ROW()-8)="",TODAY(),INDEX(Transactions!$G:$G,ROW()-8))</f>
      </c>
      <c r="F4677">
        <f>IF(INDEX(Transactions!$J:$J,ROW()-8)="",0,INDEX(Transactions!$O:$O,ROW()-8))</f>
      </c>
    </row>
    <row r="4678" spans="1:7">
      <c r="B4678">
        <f>IF(INDEX(Transactions!$J:$J,ROW()-8)="",TODAY(),INDEX(Transactions!$G:$G,ROW()-8))</f>
      </c>
      <c r="F4678">
        <f>IF(INDEX(Transactions!$J:$J,ROW()-8)="",0,INDEX(Transactions!$O:$O,ROW()-8))</f>
      </c>
    </row>
    <row r="4679" spans="1:7">
      <c r="B4679">
        <f>IF(INDEX(Transactions!$J:$J,ROW()-8)="",TODAY(),INDEX(Transactions!$G:$G,ROW()-8))</f>
      </c>
      <c r="F4679">
        <f>IF(INDEX(Transactions!$J:$J,ROW()-8)="",0,INDEX(Transactions!$O:$O,ROW()-8))</f>
      </c>
    </row>
    <row r="4680" spans="1:7">
      <c r="B4680">
        <f>IF(INDEX(Transactions!$J:$J,ROW()-8)="",TODAY(),INDEX(Transactions!$G:$G,ROW()-8))</f>
      </c>
      <c r="F4680">
        <f>IF(INDEX(Transactions!$J:$J,ROW()-8)="",0,INDEX(Transactions!$O:$O,ROW()-8))</f>
      </c>
    </row>
    <row r="4681" spans="1:7">
      <c r="B4681">
        <f>IF(INDEX(Transactions!$J:$J,ROW()-8)="",TODAY(),INDEX(Transactions!$G:$G,ROW()-8))</f>
      </c>
      <c r="F4681">
        <f>IF(INDEX(Transactions!$J:$J,ROW()-8)="",0,INDEX(Transactions!$O:$O,ROW()-8))</f>
      </c>
    </row>
    <row r="4682" spans="1:7">
      <c r="B4682">
        <f>IF(INDEX(Transactions!$J:$J,ROW()-8)="",TODAY(),INDEX(Transactions!$G:$G,ROW()-8))</f>
      </c>
      <c r="F4682">
        <f>IF(INDEX(Transactions!$J:$J,ROW()-8)="",0,INDEX(Transactions!$O:$O,ROW()-8))</f>
      </c>
    </row>
    <row r="4683" spans="1:7">
      <c r="B4683">
        <f>IF(INDEX(Transactions!$J:$J,ROW()-8)="",TODAY(),INDEX(Transactions!$G:$G,ROW()-8))</f>
      </c>
      <c r="F4683">
        <f>IF(INDEX(Transactions!$J:$J,ROW()-8)="",0,INDEX(Transactions!$O:$O,ROW()-8))</f>
      </c>
    </row>
    <row r="4684" spans="1:7">
      <c r="B4684">
        <f>IF(INDEX(Transactions!$J:$J,ROW()-8)="",TODAY(),INDEX(Transactions!$G:$G,ROW()-8))</f>
      </c>
      <c r="F4684">
        <f>IF(INDEX(Transactions!$J:$J,ROW()-8)="",0,INDEX(Transactions!$O:$O,ROW()-8))</f>
      </c>
    </row>
    <row r="4685" spans="1:7">
      <c r="B4685">
        <f>IF(INDEX(Transactions!$J:$J,ROW()-8)="",TODAY(),INDEX(Transactions!$G:$G,ROW()-8))</f>
      </c>
      <c r="F4685">
        <f>IF(INDEX(Transactions!$J:$J,ROW()-8)="",0,INDEX(Transactions!$O:$O,ROW()-8))</f>
      </c>
    </row>
    <row r="4686" spans="1:7">
      <c r="B4686">
        <f>IF(INDEX(Transactions!$J:$J,ROW()-8)="",TODAY(),INDEX(Transactions!$G:$G,ROW()-8))</f>
      </c>
      <c r="F4686">
        <f>IF(INDEX(Transactions!$J:$J,ROW()-8)="",0,INDEX(Transactions!$O:$O,ROW()-8))</f>
      </c>
    </row>
    <row r="4687" spans="1:7">
      <c r="B4687">
        <f>IF(INDEX(Transactions!$J:$J,ROW()-8)="",TODAY(),INDEX(Transactions!$G:$G,ROW()-8))</f>
      </c>
      <c r="F4687">
        <f>IF(INDEX(Transactions!$J:$J,ROW()-8)="",0,INDEX(Transactions!$O:$O,ROW()-8))</f>
      </c>
    </row>
    <row r="4688" spans="1:7">
      <c r="B4688">
        <f>IF(INDEX(Transactions!$J:$J,ROW()-8)="",TODAY(),INDEX(Transactions!$G:$G,ROW()-8))</f>
      </c>
      <c r="F4688">
        <f>IF(INDEX(Transactions!$J:$J,ROW()-8)="",0,INDEX(Transactions!$O:$O,ROW()-8))</f>
      </c>
    </row>
    <row r="4689" spans="1:7">
      <c r="B4689">
        <f>IF(INDEX(Transactions!$J:$J,ROW()-8)="",TODAY(),INDEX(Transactions!$G:$G,ROW()-8))</f>
      </c>
      <c r="F4689">
        <f>IF(INDEX(Transactions!$J:$J,ROW()-8)="",0,INDEX(Transactions!$O:$O,ROW()-8))</f>
      </c>
    </row>
    <row r="4690" spans="1:7">
      <c r="B4690">
        <f>IF(INDEX(Transactions!$J:$J,ROW()-8)="",TODAY(),INDEX(Transactions!$G:$G,ROW()-8))</f>
      </c>
      <c r="F4690">
        <f>IF(INDEX(Transactions!$J:$J,ROW()-8)="",0,INDEX(Transactions!$O:$O,ROW()-8))</f>
      </c>
    </row>
    <row r="4691" spans="1:7">
      <c r="B4691">
        <f>IF(INDEX(Transactions!$J:$J,ROW()-8)="",TODAY(),INDEX(Transactions!$G:$G,ROW()-8))</f>
      </c>
      <c r="F4691">
        <f>IF(INDEX(Transactions!$J:$J,ROW()-8)="",0,INDEX(Transactions!$O:$O,ROW()-8))</f>
      </c>
    </row>
    <row r="4692" spans="1:7">
      <c r="B4692">
        <f>IF(INDEX(Transactions!$J:$J,ROW()-8)="",TODAY(),INDEX(Transactions!$G:$G,ROW()-8))</f>
      </c>
      <c r="F4692">
        <f>IF(INDEX(Transactions!$J:$J,ROW()-8)="",0,INDEX(Transactions!$O:$O,ROW()-8))</f>
      </c>
    </row>
    <row r="4693" spans="1:7">
      <c r="B4693">
        <f>IF(INDEX(Transactions!$J:$J,ROW()-8)="",TODAY(),INDEX(Transactions!$G:$G,ROW()-8))</f>
      </c>
      <c r="F4693">
        <f>IF(INDEX(Transactions!$J:$J,ROW()-8)="",0,INDEX(Transactions!$O:$O,ROW()-8))</f>
      </c>
    </row>
    <row r="4694" spans="1:7">
      <c r="B4694">
        <f>IF(INDEX(Transactions!$J:$J,ROW()-8)="",TODAY(),INDEX(Transactions!$G:$G,ROW()-8))</f>
      </c>
      <c r="F4694">
        <f>IF(INDEX(Transactions!$J:$J,ROW()-8)="",0,INDEX(Transactions!$O:$O,ROW()-8))</f>
      </c>
    </row>
    <row r="4695" spans="1:7">
      <c r="B4695">
        <f>IF(INDEX(Transactions!$J:$J,ROW()-8)="",TODAY(),INDEX(Transactions!$G:$G,ROW()-8))</f>
      </c>
      <c r="F4695">
        <f>IF(INDEX(Transactions!$J:$J,ROW()-8)="",0,INDEX(Transactions!$O:$O,ROW()-8))</f>
      </c>
    </row>
    <row r="4696" spans="1:7">
      <c r="B4696">
        <f>IF(INDEX(Transactions!$J:$J,ROW()-8)="",TODAY(),INDEX(Transactions!$G:$G,ROW()-8))</f>
      </c>
      <c r="F4696">
        <f>IF(INDEX(Transactions!$J:$J,ROW()-8)="",0,INDEX(Transactions!$O:$O,ROW()-8))</f>
      </c>
    </row>
    <row r="4697" spans="1:7">
      <c r="B4697">
        <f>IF(INDEX(Transactions!$J:$J,ROW()-8)="",TODAY(),INDEX(Transactions!$G:$G,ROW()-8))</f>
      </c>
      <c r="F4697">
        <f>IF(INDEX(Transactions!$J:$J,ROW()-8)="",0,INDEX(Transactions!$O:$O,ROW()-8))</f>
      </c>
    </row>
    <row r="4698" spans="1:7">
      <c r="B4698">
        <f>IF(INDEX(Transactions!$J:$J,ROW()-8)="",TODAY(),INDEX(Transactions!$G:$G,ROW()-8))</f>
      </c>
      <c r="F4698">
        <f>IF(INDEX(Transactions!$J:$J,ROW()-8)="",0,INDEX(Transactions!$O:$O,ROW()-8))</f>
      </c>
    </row>
    <row r="4699" spans="1:7">
      <c r="B4699">
        <f>IF(INDEX(Transactions!$J:$J,ROW()-8)="",TODAY(),INDEX(Transactions!$G:$G,ROW()-8))</f>
      </c>
      <c r="F4699">
        <f>IF(INDEX(Transactions!$J:$J,ROW()-8)="",0,INDEX(Transactions!$O:$O,ROW()-8))</f>
      </c>
    </row>
    <row r="4700" spans="1:7">
      <c r="B4700">
        <f>IF(INDEX(Transactions!$J:$J,ROW()-8)="",TODAY(),INDEX(Transactions!$G:$G,ROW()-8))</f>
      </c>
      <c r="F4700">
        <f>IF(INDEX(Transactions!$J:$J,ROW()-8)="",0,INDEX(Transactions!$O:$O,ROW()-8))</f>
      </c>
    </row>
    <row r="4701" spans="1:7">
      <c r="B4701">
        <f>IF(INDEX(Transactions!$J:$J,ROW()-8)="",TODAY(),INDEX(Transactions!$G:$G,ROW()-8))</f>
      </c>
      <c r="F4701">
        <f>IF(INDEX(Transactions!$J:$J,ROW()-8)="",0,INDEX(Transactions!$O:$O,ROW()-8))</f>
      </c>
    </row>
    <row r="4702" spans="1:7">
      <c r="B4702">
        <f>IF(INDEX(Transactions!$J:$J,ROW()-8)="",TODAY(),INDEX(Transactions!$G:$G,ROW()-8))</f>
      </c>
      <c r="F4702">
        <f>IF(INDEX(Transactions!$J:$J,ROW()-8)="",0,INDEX(Transactions!$O:$O,ROW()-8))</f>
      </c>
    </row>
    <row r="4703" spans="1:7">
      <c r="B4703">
        <f>IF(INDEX(Transactions!$J:$J,ROW()-8)="",TODAY(),INDEX(Transactions!$G:$G,ROW()-8))</f>
      </c>
      <c r="F4703">
        <f>IF(INDEX(Transactions!$J:$J,ROW()-8)="",0,INDEX(Transactions!$O:$O,ROW()-8))</f>
      </c>
    </row>
    <row r="4704" spans="1:7">
      <c r="B4704">
        <f>IF(INDEX(Transactions!$J:$J,ROW()-8)="",TODAY(),INDEX(Transactions!$G:$G,ROW()-8))</f>
      </c>
      <c r="F4704">
        <f>IF(INDEX(Transactions!$J:$J,ROW()-8)="",0,INDEX(Transactions!$O:$O,ROW()-8))</f>
      </c>
    </row>
    <row r="4705" spans="1:7">
      <c r="B4705">
        <f>IF(INDEX(Transactions!$J:$J,ROW()-8)="",TODAY(),INDEX(Transactions!$G:$G,ROW()-8))</f>
      </c>
      <c r="F4705">
        <f>IF(INDEX(Transactions!$J:$J,ROW()-8)="",0,INDEX(Transactions!$O:$O,ROW()-8))</f>
      </c>
    </row>
    <row r="4706" spans="1:7">
      <c r="B4706">
        <f>IF(INDEX(Transactions!$J:$J,ROW()-8)="",TODAY(),INDEX(Transactions!$G:$G,ROW()-8))</f>
      </c>
      <c r="F4706">
        <f>IF(INDEX(Transactions!$J:$J,ROW()-8)="",0,INDEX(Transactions!$O:$O,ROW()-8))</f>
      </c>
    </row>
    <row r="4707" spans="1:7">
      <c r="B4707">
        <f>IF(INDEX(Transactions!$J:$J,ROW()-8)="",TODAY(),INDEX(Transactions!$G:$G,ROW()-8))</f>
      </c>
      <c r="F4707">
        <f>IF(INDEX(Transactions!$J:$J,ROW()-8)="",0,INDEX(Transactions!$O:$O,ROW()-8))</f>
      </c>
    </row>
    <row r="4708" spans="1:7">
      <c r="B4708">
        <f>IF(INDEX(Transactions!$J:$J,ROW()-8)="",TODAY(),INDEX(Transactions!$G:$G,ROW()-8))</f>
      </c>
      <c r="F4708">
        <f>IF(INDEX(Transactions!$J:$J,ROW()-8)="",0,INDEX(Transactions!$O:$O,ROW()-8))</f>
      </c>
    </row>
    <row r="4709" spans="1:7">
      <c r="B4709">
        <f>IF(INDEX(Transactions!$J:$J,ROW()-8)="",TODAY(),INDEX(Transactions!$G:$G,ROW()-8))</f>
      </c>
      <c r="F4709">
        <f>IF(INDEX(Transactions!$J:$J,ROW()-8)="",0,INDEX(Transactions!$O:$O,ROW()-8))</f>
      </c>
    </row>
    <row r="4710" spans="1:7">
      <c r="B4710">
        <f>IF(INDEX(Transactions!$J:$J,ROW()-8)="",TODAY(),INDEX(Transactions!$G:$G,ROW()-8))</f>
      </c>
      <c r="F4710">
        <f>IF(INDEX(Transactions!$J:$J,ROW()-8)="",0,INDEX(Transactions!$O:$O,ROW()-8))</f>
      </c>
    </row>
    <row r="4711" spans="1:7">
      <c r="B4711">
        <f>IF(INDEX(Transactions!$J:$J,ROW()-8)="",TODAY(),INDEX(Transactions!$G:$G,ROW()-8))</f>
      </c>
      <c r="F4711">
        <f>IF(INDEX(Transactions!$J:$J,ROW()-8)="",0,INDEX(Transactions!$O:$O,ROW()-8))</f>
      </c>
    </row>
    <row r="4712" spans="1:7">
      <c r="B4712">
        <f>IF(INDEX(Transactions!$J:$J,ROW()-8)="",TODAY(),INDEX(Transactions!$G:$G,ROW()-8))</f>
      </c>
      <c r="F4712">
        <f>IF(INDEX(Transactions!$J:$J,ROW()-8)="",0,INDEX(Transactions!$O:$O,ROW()-8))</f>
      </c>
    </row>
    <row r="4713" spans="1:7">
      <c r="B4713">
        <f>IF(INDEX(Transactions!$J:$J,ROW()-8)="",TODAY(),INDEX(Transactions!$G:$G,ROW()-8))</f>
      </c>
      <c r="F4713">
        <f>IF(INDEX(Transactions!$J:$J,ROW()-8)="",0,INDEX(Transactions!$O:$O,ROW()-8))</f>
      </c>
    </row>
    <row r="4714" spans="1:7">
      <c r="B4714">
        <f>IF(INDEX(Transactions!$J:$J,ROW()-8)="",TODAY(),INDEX(Transactions!$G:$G,ROW()-8))</f>
      </c>
      <c r="F4714">
        <f>IF(INDEX(Transactions!$J:$J,ROW()-8)="",0,INDEX(Transactions!$O:$O,ROW()-8))</f>
      </c>
    </row>
    <row r="4715" spans="1:7">
      <c r="B4715">
        <f>IF(INDEX(Transactions!$J:$J,ROW()-8)="",TODAY(),INDEX(Transactions!$G:$G,ROW()-8))</f>
      </c>
      <c r="F4715">
        <f>IF(INDEX(Transactions!$J:$J,ROW()-8)="",0,INDEX(Transactions!$O:$O,ROW()-8))</f>
      </c>
    </row>
    <row r="4716" spans="1:7">
      <c r="B4716">
        <f>IF(INDEX(Transactions!$J:$J,ROW()-8)="",TODAY(),INDEX(Transactions!$G:$G,ROW()-8))</f>
      </c>
      <c r="F4716">
        <f>IF(INDEX(Transactions!$J:$J,ROW()-8)="",0,INDEX(Transactions!$O:$O,ROW()-8))</f>
      </c>
    </row>
    <row r="4717" spans="1:7">
      <c r="B4717">
        <f>IF(INDEX(Transactions!$J:$J,ROW()-8)="",TODAY(),INDEX(Transactions!$G:$G,ROW()-8))</f>
      </c>
      <c r="F4717">
        <f>IF(INDEX(Transactions!$J:$J,ROW()-8)="",0,INDEX(Transactions!$O:$O,ROW()-8))</f>
      </c>
    </row>
    <row r="4718" spans="1:7">
      <c r="B4718">
        <f>IF(INDEX(Transactions!$J:$J,ROW()-8)="",TODAY(),INDEX(Transactions!$G:$G,ROW()-8))</f>
      </c>
      <c r="F4718">
        <f>IF(INDEX(Transactions!$J:$J,ROW()-8)="",0,INDEX(Transactions!$O:$O,ROW()-8))</f>
      </c>
    </row>
    <row r="4719" spans="1:7">
      <c r="B4719">
        <f>IF(INDEX(Transactions!$J:$J,ROW()-8)="",TODAY(),INDEX(Transactions!$G:$G,ROW()-8))</f>
      </c>
      <c r="F4719">
        <f>IF(INDEX(Transactions!$J:$J,ROW()-8)="",0,INDEX(Transactions!$O:$O,ROW()-8))</f>
      </c>
    </row>
    <row r="4720" spans="1:7">
      <c r="B4720">
        <f>IF(INDEX(Transactions!$J:$J,ROW()-8)="",TODAY(),INDEX(Transactions!$G:$G,ROW()-8))</f>
      </c>
      <c r="F4720">
        <f>IF(INDEX(Transactions!$J:$J,ROW()-8)="",0,INDEX(Transactions!$O:$O,ROW()-8))</f>
      </c>
    </row>
    <row r="4721" spans="1:7">
      <c r="B4721">
        <f>IF(INDEX(Transactions!$J:$J,ROW()-8)="",TODAY(),INDEX(Transactions!$G:$G,ROW()-8))</f>
      </c>
      <c r="F4721">
        <f>IF(INDEX(Transactions!$J:$J,ROW()-8)="",0,INDEX(Transactions!$O:$O,ROW()-8))</f>
      </c>
    </row>
    <row r="4722" spans="1:7">
      <c r="B4722">
        <f>IF(INDEX(Transactions!$J:$J,ROW()-8)="",TODAY(),INDEX(Transactions!$G:$G,ROW()-8))</f>
      </c>
      <c r="F4722">
        <f>IF(INDEX(Transactions!$J:$J,ROW()-8)="",0,INDEX(Transactions!$O:$O,ROW()-8))</f>
      </c>
    </row>
    <row r="4723" spans="1:7">
      <c r="B4723">
        <f>IF(INDEX(Transactions!$J:$J,ROW()-8)="",TODAY(),INDEX(Transactions!$G:$G,ROW()-8))</f>
      </c>
      <c r="F4723">
        <f>IF(INDEX(Transactions!$J:$J,ROW()-8)="",0,INDEX(Transactions!$O:$O,ROW()-8))</f>
      </c>
    </row>
    <row r="4724" spans="1:7">
      <c r="B4724">
        <f>IF(INDEX(Transactions!$J:$J,ROW()-8)="",TODAY(),INDEX(Transactions!$G:$G,ROW()-8))</f>
      </c>
      <c r="F4724">
        <f>IF(INDEX(Transactions!$J:$J,ROW()-8)="",0,INDEX(Transactions!$O:$O,ROW()-8))</f>
      </c>
    </row>
    <row r="4725" spans="1:7">
      <c r="B4725">
        <f>IF(INDEX(Transactions!$J:$J,ROW()-8)="",TODAY(),INDEX(Transactions!$G:$G,ROW()-8))</f>
      </c>
      <c r="F4725">
        <f>IF(INDEX(Transactions!$J:$J,ROW()-8)="",0,INDEX(Transactions!$O:$O,ROW()-8))</f>
      </c>
    </row>
    <row r="4726" spans="1:7">
      <c r="B4726">
        <f>IF(INDEX(Transactions!$J:$J,ROW()-8)="",TODAY(),INDEX(Transactions!$G:$G,ROW()-8))</f>
      </c>
      <c r="F4726">
        <f>IF(INDEX(Transactions!$J:$J,ROW()-8)="",0,INDEX(Transactions!$O:$O,ROW()-8))</f>
      </c>
    </row>
    <row r="4727" spans="1:7">
      <c r="B4727">
        <f>IF(INDEX(Transactions!$J:$J,ROW()-8)="",TODAY(),INDEX(Transactions!$G:$G,ROW()-8))</f>
      </c>
      <c r="F4727">
        <f>IF(INDEX(Transactions!$J:$J,ROW()-8)="",0,INDEX(Transactions!$O:$O,ROW()-8))</f>
      </c>
    </row>
    <row r="4728" spans="1:7">
      <c r="B4728">
        <f>IF(INDEX(Transactions!$J:$J,ROW()-8)="",TODAY(),INDEX(Transactions!$G:$G,ROW()-8))</f>
      </c>
      <c r="F4728">
        <f>IF(INDEX(Transactions!$J:$J,ROW()-8)="",0,INDEX(Transactions!$O:$O,ROW()-8))</f>
      </c>
    </row>
    <row r="4729" spans="1:7">
      <c r="B4729">
        <f>IF(INDEX(Transactions!$J:$J,ROW()-8)="",TODAY(),INDEX(Transactions!$G:$G,ROW()-8))</f>
      </c>
      <c r="F4729">
        <f>IF(INDEX(Transactions!$J:$J,ROW()-8)="",0,INDEX(Transactions!$O:$O,ROW()-8))</f>
      </c>
    </row>
    <row r="4730" spans="1:7">
      <c r="B4730">
        <f>IF(INDEX(Transactions!$J:$J,ROW()-8)="",TODAY(),INDEX(Transactions!$G:$G,ROW()-8))</f>
      </c>
      <c r="F4730">
        <f>IF(INDEX(Transactions!$J:$J,ROW()-8)="",0,INDEX(Transactions!$O:$O,ROW()-8))</f>
      </c>
    </row>
    <row r="4731" spans="1:7">
      <c r="B4731">
        <f>IF(INDEX(Transactions!$J:$J,ROW()-8)="",TODAY(),INDEX(Transactions!$G:$G,ROW()-8))</f>
      </c>
      <c r="F4731">
        <f>IF(INDEX(Transactions!$J:$J,ROW()-8)="",0,INDEX(Transactions!$O:$O,ROW()-8))</f>
      </c>
    </row>
    <row r="4732" spans="1:7">
      <c r="B4732">
        <f>IF(INDEX(Transactions!$J:$J,ROW()-8)="",TODAY(),INDEX(Transactions!$G:$G,ROW()-8))</f>
      </c>
      <c r="F4732">
        <f>IF(INDEX(Transactions!$J:$J,ROW()-8)="",0,INDEX(Transactions!$O:$O,ROW()-8))</f>
      </c>
    </row>
    <row r="4733" spans="1:7">
      <c r="B4733">
        <f>IF(INDEX(Transactions!$J:$J,ROW()-8)="",TODAY(),INDEX(Transactions!$G:$G,ROW()-8))</f>
      </c>
      <c r="F4733">
        <f>IF(INDEX(Transactions!$J:$J,ROW()-8)="",0,INDEX(Transactions!$O:$O,ROW()-8))</f>
      </c>
    </row>
    <row r="4734" spans="1:7">
      <c r="B4734">
        <f>IF(INDEX(Transactions!$J:$J,ROW()-8)="",TODAY(),INDEX(Transactions!$G:$G,ROW()-8))</f>
      </c>
      <c r="F4734">
        <f>IF(INDEX(Transactions!$J:$J,ROW()-8)="",0,INDEX(Transactions!$O:$O,ROW()-8))</f>
      </c>
    </row>
    <row r="4735" spans="1:7">
      <c r="B4735">
        <f>IF(INDEX(Transactions!$J:$J,ROW()-8)="",TODAY(),INDEX(Transactions!$G:$G,ROW()-8))</f>
      </c>
      <c r="F4735">
        <f>IF(INDEX(Transactions!$J:$J,ROW()-8)="",0,INDEX(Transactions!$O:$O,ROW()-8))</f>
      </c>
    </row>
    <row r="4736" spans="1:7">
      <c r="B4736">
        <f>IF(INDEX(Transactions!$J:$J,ROW()-8)="",TODAY(),INDEX(Transactions!$G:$G,ROW()-8))</f>
      </c>
      <c r="F4736">
        <f>IF(INDEX(Transactions!$J:$J,ROW()-8)="",0,INDEX(Transactions!$O:$O,ROW()-8))</f>
      </c>
    </row>
    <row r="4737" spans="1:7">
      <c r="B4737">
        <f>IF(INDEX(Transactions!$J:$J,ROW()-8)="",TODAY(),INDEX(Transactions!$G:$G,ROW()-8))</f>
      </c>
      <c r="F4737">
        <f>IF(INDEX(Transactions!$J:$J,ROW()-8)="",0,INDEX(Transactions!$O:$O,ROW()-8))</f>
      </c>
    </row>
    <row r="4738" spans="1:7">
      <c r="B4738">
        <f>IF(INDEX(Transactions!$J:$J,ROW()-8)="",TODAY(),INDEX(Transactions!$G:$G,ROW()-8))</f>
      </c>
      <c r="F4738">
        <f>IF(INDEX(Transactions!$J:$J,ROW()-8)="",0,INDEX(Transactions!$O:$O,ROW()-8))</f>
      </c>
    </row>
    <row r="4739" spans="1:7">
      <c r="B4739">
        <f>IF(INDEX(Transactions!$J:$J,ROW()-8)="",TODAY(),INDEX(Transactions!$G:$G,ROW()-8))</f>
      </c>
      <c r="F4739">
        <f>IF(INDEX(Transactions!$J:$J,ROW()-8)="",0,INDEX(Transactions!$O:$O,ROW()-8))</f>
      </c>
    </row>
    <row r="4740" spans="1:7">
      <c r="B4740">
        <f>IF(INDEX(Transactions!$J:$J,ROW()-8)="",TODAY(),INDEX(Transactions!$G:$G,ROW()-8))</f>
      </c>
      <c r="F4740">
        <f>IF(INDEX(Transactions!$J:$J,ROW()-8)="",0,INDEX(Transactions!$O:$O,ROW()-8))</f>
      </c>
    </row>
    <row r="4741" spans="1:7">
      <c r="B4741">
        <f>IF(INDEX(Transactions!$J:$J,ROW()-8)="",TODAY(),INDEX(Transactions!$G:$G,ROW()-8))</f>
      </c>
      <c r="F4741">
        <f>IF(INDEX(Transactions!$J:$J,ROW()-8)="",0,INDEX(Transactions!$O:$O,ROW()-8))</f>
      </c>
    </row>
    <row r="4742" spans="1:7">
      <c r="B4742">
        <f>IF(INDEX(Transactions!$J:$J,ROW()-8)="",TODAY(),INDEX(Transactions!$G:$G,ROW()-8))</f>
      </c>
      <c r="F4742">
        <f>IF(INDEX(Transactions!$J:$J,ROW()-8)="",0,INDEX(Transactions!$O:$O,ROW()-8))</f>
      </c>
    </row>
    <row r="4743" spans="1:7">
      <c r="B4743">
        <f>IF(INDEX(Transactions!$J:$J,ROW()-8)="",TODAY(),INDEX(Transactions!$G:$G,ROW()-8))</f>
      </c>
      <c r="F4743">
        <f>IF(INDEX(Transactions!$J:$J,ROW()-8)="",0,INDEX(Transactions!$O:$O,ROW()-8))</f>
      </c>
    </row>
    <row r="4744" spans="1:7">
      <c r="B4744">
        <f>IF(INDEX(Transactions!$J:$J,ROW()-8)="",TODAY(),INDEX(Transactions!$G:$G,ROW()-8))</f>
      </c>
      <c r="F4744">
        <f>IF(INDEX(Transactions!$J:$J,ROW()-8)="",0,INDEX(Transactions!$O:$O,ROW()-8))</f>
      </c>
    </row>
    <row r="4745" spans="1:7">
      <c r="B4745">
        <f>IF(INDEX(Transactions!$J:$J,ROW()-8)="",TODAY(),INDEX(Transactions!$G:$G,ROW()-8))</f>
      </c>
      <c r="F4745">
        <f>IF(INDEX(Transactions!$J:$J,ROW()-8)="",0,INDEX(Transactions!$O:$O,ROW()-8))</f>
      </c>
    </row>
    <row r="4746" spans="1:7">
      <c r="B4746">
        <f>IF(INDEX(Transactions!$J:$J,ROW()-8)="",TODAY(),INDEX(Transactions!$G:$G,ROW()-8))</f>
      </c>
      <c r="F4746">
        <f>IF(INDEX(Transactions!$J:$J,ROW()-8)="",0,INDEX(Transactions!$O:$O,ROW()-8))</f>
      </c>
    </row>
    <row r="4747" spans="1:7">
      <c r="B4747">
        <f>IF(INDEX(Transactions!$J:$J,ROW()-8)="",TODAY(),INDEX(Transactions!$G:$G,ROW()-8))</f>
      </c>
      <c r="F4747">
        <f>IF(INDEX(Transactions!$J:$J,ROW()-8)="",0,INDEX(Transactions!$O:$O,ROW()-8))</f>
      </c>
    </row>
    <row r="4748" spans="1:7">
      <c r="B4748">
        <f>IF(INDEX(Transactions!$J:$J,ROW()-8)="",TODAY(),INDEX(Transactions!$G:$G,ROW()-8))</f>
      </c>
      <c r="F4748">
        <f>IF(INDEX(Transactions!$J:$J,ROW()-8)="",0,INDEX(Transactions!$O:$O,ROW()-8))</f>
      </c>
    </row>
    <row r="4749" spans="1:7">
      <c r="B4749">
        <f>IF(INDEX(Transactions!$J:$J,ROW()-8)="",TODAY(),INDEX(Transactions!$G:$G,ROW()-8))</f>
      </c>
      <c r="F4749">
        <f>IF(INDEX(Transactions!$J:$J,ROW()-8)="",0,INDEX(Transactions!$O:$O,ROW()-8))</f>
      </c>
    </row>
    <row r="4750" spans="1:7">
      <c r="B4750">
        <f>IF(INDEX(Transactions!$J:$J,ROW()-8)="",TODAY(),INDEX(Transactions!$G:$G,ROW()-8))</f>
      </c>
      <c r="F4750">
        <f>IF(INDEX(Transactions!$J:$J,ROW()-8)="",0,INDEX(Transactions!$O:$O,ROW()-8))</f>
      </c>
    </row>
    <row r="4751" spans="1:7">
      <c r="B4751">
        <f>IF(INDEX(Transactions!$J:$J,ROW()-8)="",TODAY(),INDEX(Transactions!$G:$G,ROW()-8))</f>
      </c>
      <c r="F4751">
        <f>IF(INDEX(Transactions!$J:$J,ROW()-8)="",0,INDEX(Transactions!$O:$O,ROW()-8))</f>
      </c>
    </row>
    <row r="4752" spans="1:7">
      <c r="B4752">
        <f>IF(INDEX(Transactions!$J:$J,ROW()-8)="",TODAY(),INDEX(Transactions!$G:$G,ROW()-8))</f>
      </c>
      <c r="F4752">
        <f>IF(INDEX(Transactions!$J:$J,ROW()-8)="",0,INDEX(Transactions!$O:$O,ROW()-8))</f>
      </c>
    </row>
    <row r="4753" spans="1:7">
      <c r="B4753">
        <f>IF(INDEX(Transactions!$J:$J,ROW()-8)="",TODAY(),INDEX(Transactions!$G:$G,ROW()-8))</f>
      </c>
      <c r="F4753">
        <f>IF(INDEX(Transactions!$J:$J,ROW()-8)="",0,INDEX(Transactions!$O:$O,ROW()-8))</f>
      </c>
    </row>
    <row r="4754" spans="1:7">
      <c r="B4754">
        <f>IF(INDEX(Transactions!$J:$J,ROW()-8)="",TODAY(),INDEX(Transactions!$G:$G,ROW()-8))</f>
      </c>
      <c r="F4754">
        <f>IF(INDEX(Transactions!$J:$J,ROW()-8)="",0,INDEX(Transactions!$O:$O,ROW()-8))</f>
      </c>
    </row>
    <row r="4755" spans="1:7">
      <c r="B4755">
        <f>IF(INDEX(Transactions!$J:$J,ROW()-8)="",TODAY(),INDEX(Transactions!$G:$G,ROW()-8))</f>
      </c>
      <c r="F4755">
        <f>IF(INDEX(Transactions!$J:$J,ROW()-8)="",0,INDEX(Transactions!$O:$O,ROW()-8))</f>
      </c>
    </row>
    <row r="4756" spans="1:7">
      <c r="B4756">
        <f>IF(INDEX(Transactions!$J:$J,ROW()-8)="",TODAY(),INDEX(Transactions!$G:$G,ROW()-8))</f>
      </c>
      <c r="F4756">
        <f>IF(INDEX(Transactions!$J:$J,ROW()-8)="",0,INDEX(Transactions!$O:$O,ROW()-8))</f>
      </c>
    </row>
    <row r="4757" spans="1:7">
      <c r="B4757">
        <f>IF(INDEX(Transactions!$J:$J,ROW()-8)="",TODAY(),INDEX(Transactions!$G:$G,ROW()-8))</f>
      </c>
      <c r="F4757">
        <f>IF(INDEX(Transactions!$J:$J,ROW()-8)="",0,INDEX(Transactions!$O:$O,ROW()-8))</f>
      </c>
    </row>
    <row r="4758" spans="1:7">
      <c r="B4758">
        <f>IF(INDEX(Transactions!$J:$J,ROW()-8)="",TODAY(),INDEX(Transactions!$G:$G,ROW()-8))</f>
      </c>
      <c r="F4758">
        <f>IF(INDEX(Transactions!$J:$J,ROW()-8)="",0,INDEX(Transactions!$O:$O,ROW()-8))</f>
      </c>
    </row>
    <row r="4759" spans="1:7">
      <c r="B4759">
        <f>IF(INDEX(Transactions!$J:$J,ROW()-8)="",TODAY(),INDEX(Transactions!$G:$G,ROW()-8))</f>
      </c>
      <c r="F4759">
        <f>IF(INDEX(Transactions!$J:$J,ROW()-8)="",0,INDEX(Transactions!$O:$O,ROW()-8))</f>
      </c>
    </row>
    <row r="4760" spans="1:7">
      <c r="B4760">
        <f>IF(INDEX(Transactions!$J:$J,ROW()-8)="",TODAY(),INDEX(Transactions!$G:$G,ROW()-8))</f>
      </c>
      <c r="F4760">
        <f>IF(INDEX(Transactions!$J:$J,ROW()-8)="",0,INDEX(Transactions!$O:$O,ROW()-8))</f>
      </c>
    </row>
    <row r="4761" spans="1:7">
      <c r="B4761">
        <f>IF(INDEX(Transactions!$J:$J,ROW()-8)="",TODAY(),INDEX(Transactions!$G:$G,ROW()-8))</f>
      </c>
      <c r="F4761">
        <f>IF(INDEX(Transactions!$J:$J,ROW()-8)="",0,INDEX(Transactions!$O:$O,ROW()-8))</f>
      </c>
    </row>
    <row r="4762" spans="1:7">
      <c r="B4762">
        <f>IF(INDEX(Transactions!$J:$J,ROW()-8)="",TODAY(),INDEX(Transactions!$G:$G,ROW()-8))</f>
      </c>
      <c r="F4762">
        <f>IF(INDEX(Transactions!$J:$J,ROW()-8)="",0,INDEX(Transactions!$O:$O,ROW()-8))</f>
      </c>
    </row>
    <row r="4763" spans="1:7">
      <c r="B4763">
        <f>IF(INDEX(Transactions!$J:$J,ROW()-8)="",TODAY(),INDEX(Transactions!$G:$G,ROW()-8))</f>
      </c>
      <c r="F4763">
        <f>IF(INDEX(Transactions!$J:$J,ROW()-8)="",0,INDEX(Transactions!$O:$O,ROW()-8))</f>
      </c>
    </row>
    <row r="4764" spans="1:7">
      <c r="B4764">
        <f>IF(INDEX(Transactions!$J:$J,ROW()-8)="",TODAY(),INDEX(Transactions!$G:$G,ROW()-8))</f>
      </c>
      <c r="F4764">
        <f>IF(INDEX(Transactions!$J:$J,ROW()-8)="",0,INDEX(Transactions!$O:$O,ROW()-8))</f>
      </c>
    </row>
    <row r="4765" spans="1:7">
      <c r="B4765">
        <f>IF(INDEX(Transactions!$J:$J,ROW()-8)="",TODAY(),INDEX(Transactions!$G:$G,ROW()-8))</f>
      </c>
      <c r="F4765">
        <f>IF(INDEX(Transactions!$J:$J,ROW()-8)="",0,INDEX(Transactions!$O:$O,ROW()-8))</f>
      </c>
    </row>
    <row r="4766" spans="1:7">
      <c r="B4766">
        <f>IF(INDEX(Transactions!$J:$J,ROW()-8)="",TODAY(),INDEX(Transactions!$G:$G,ROW()-8))</f>
      </c>
      <c r="F4766">
        <f>IF(INDEX(Transactions!$J:$J,ROW()-8)="",0,INDEX(Transactions!$O:$O,ROW()-8))</f>
      </c>
    </row>
    <row r="4767" spans="1:7">
      <c r="B4767">
        <f>IF(INDEX(Transactions!$J:$J,ROW()-8)="",TODAY(),INDEX(Transactions!$G:$G,ROW()-8))</f>
      </c>
      <c r="F4767">
        <f>IF(INDEX(Transactions!$J:$J,ROW()-8)="",0,INDEX(Transactions!$O:$O,ROW()-8))</f>
      </c>
    </row>
    <row r="4768" spans="1:7">
      <c r="B4768">
        <f>IF(INDEX(Transactions!$J:$J,ROW()-8)="",TODAY(),INDEX(Transactions!$G:$G,ROW()-8))</f>
      </c>
      <c r="F4768">
        <f>IF(INDEX(Transactions!$J:$J,ROW()-8)="",0,INDEX(Transactions!$O:$O,ROW()-8))</f>
      </c>
    </row>
    <row r="4769" spans="1:7">
      <c r="B4769">
        <f>IF(INDEX(Transactions!$J:$J,ROW()-8)="",TODAY(),INDEX(Transactions!$G:$G,ROW()-8))</f>
      </c>
      <c r="F4769">
        <f>IF(INDEX(Transactions!$J:$J,ROW()-8)="",0,INDEX(Transactions!$O:$O,ROW()-8))</f>
      </c>
    </row>
    <row r="4770" spans="1:7">
      <c r="B4770">
        <f>IF(INDEX(Transactions!$J:$J,ROW()-8)="",TODAY(),INDEX(Transactions!$G:$G,ROW()-8))</f>
      </c>
      <c r="F4770">
        <f>IF(INDEX(Transactions!$J:$J,ROW()-8)="",0,INDEX(Transactions!$O:$O,ROW()-8))</f>
      </c>
    </row>
    <row r="4771" spans="1:7">
      <c r="B4771">
        <f>IF(INDEX(Transactions!$J:$J,ROW()-8)="",TODAY(),INDEX(Transactions!$G:$G,ROW()-8))</f>
      </c>
      <c r="F4771">
        <f>IF(INDEX(Transactions!$J:$J,ROW()-8)="",0,INDEX(Transactions!$O:$O,ROW()-8))</f>
      </c>
    </row>
    <row r="4772" spans="1:7">
      <c r="B4772">
        <f>IF(INDEX(Transactions!$J:$J,ROW()-8)="",TODAY(),INDEX(Transactions!$G:$G,ROW()-8))</f>
      </c>
      <c r="F4772">
        <f>IF(INDEX(Transactions!$J:$J,ROW()-8)="",0,INDEX(Transactions!$O:$O,ROW()-8))</f>
      </c>
    </row>
    <row r="4773" spans="1:7">
      <c r="B4773">
        <f>IF(INDEX(Transactions!$J:$J,ROW()-8)="",TODAY(),INDEX(Transactions!$G:$G,ROW()-8))</f>
      </c>
      <c r="F4773">
        <f>IF(INDEX(Transactions!$J:$J,ROW()-8)="",0,INDEX(Transactions!$O:$O,ROW()-8))</f>
      </c>
    </row>
    <row r="4774" spans="1:7">
      <c r="B4774">
        <f>IF(INDEX(Transactions!$J:$J,ROW()-8)="",TODAY(),INDEX(Transactions!$G:$G,ROW()-8))</f>
      </c>
      <c r="F4774">
        <f>IF(INDEX(Transactions!$J:$J,ROW()-8)="",0,INDEX(Transactions!$O:$O,ROW()-8))</f>
      </c>
    </row>
    <row r="4775" spans="1:7">
      <c r="B4775">
        <f>IF(INDEX(Transactions!$J:$J,ROW()-8)="",TODAY(),INDEX(Transactions!$G:$G,ROW()-8))</f>
      </c>
      <c r="F4775">
        <f>IF(INDEX(Transactions!$J:$J,ROW()-8)="",0,INDEX(Transactions!$O:$O,ROW()-8))</f>
      </c>
    </row>
    <row r="4776" spans="1:7">
      <c r="B4776">
        <f>IF(INDEX(Transactions!$J:$J,ROW()-8)="",TODAY(),INDEX(Transactions!$G:$G,ROW()-8))</f>
      </c>
      <c r="F4776">
        <f>IF(INDEX(Transactions!$J:$J,ROW()-8)="",0,INDEX(Transactions!$O:$O,ROW()-8))</f>
      </c>
    </row>
    <row r="4777" spans="1:7">
      <c r="B4777">
        <f>IF(INDEX(Transactions!$J:$J,ROW()-8)="",TODAY(),INDEX(Transactions!$G:$G,ROW()-8))</f>
      </c>
      <c r="F4777">
        <f>IF(INDEX(Transactions!$J:$J,ROW()-8)="",0,INDEX(Transactions!$O:$O,ROW()-8))</f>
      </c>
    </row>
    <row r="4778" spans="1:7">
      <c r="B4778">
        <f>IF(INDEX(Transactions!$J:$J,ROW()-8)="",TODAY(),INDEX(Transactions!$G:$G,ROW()-8))</f>
      </c>
      <c r="F4778">
        <f>IF(INDEX(Transactions!$J:$J,ROW()-8)="",0,INDEX(Transactions!$O:$O,ROW()-8))</f>
      </c>
    </row>
    <row r="4779" spans="1:7">
      <c r="B4779">
        <f>IF(INDEX(Transactions!$J:$J,ROW()-8)="",TODAY(),INDEX(Transactions!$G:$G,ROW()-8))</f>
      </c>
      <c r="F4779">
        <f>IF(INDEX(Transactions!$J:$J,ROW()-8)="",0,INDEX(Transactions!$O:$O,ROW()-8))</f>
      </c>
    </row>
    <row r="4780" spans="1:7">
      <c r="B4780">
        <f>IF(INDEX(Transactions!$J:$J,ROW()-8)="",TODAY(),INDEX(Transactions!$G:$G,ROW()-8))</f>
      </c>
      <c r="F4780">
        <f>IF(INDEX(Transactions!$J:$J,ROW()-8)="",0,INDEX(Transactions!$O:$O,ROW()-8))</f>
      </c>
    </row>
    <row r="4781" spans="1:7">
      <c r="B4781">
        <f>IF(INDEX(Transactions!$J:$J,ROW()-8)="",TODAY(),INDEX(Transactions!$G:$G,ROW()-8))</f>
      </c>
      <c r="F4781">
        <f>IF(INDEX(Transactions!$J:$J,ROW()-8)="",0,INDEX(Transactions!$O:$O,ROW()-8))</f>
      </c>
    </row>
    <row r="4782" spans="1:7">
      <c r="B4782">
        <f>IF(INDEX(Transactions!$J:$J,ROW()-8)="",TODAY(),INDEX(Transactions!$G:$G,ROW()-8))</f>
      </c>
      <c r="F4782">
        <f>IF(INDEX(Transactions!$J:$J,ROW()-8)="",0,INDEX(Transactions!$O:$O,ROW()-8))</f>
      </c>
    </row>
    <row r="4783" spans="1:7">
      <c r="B4783">
        <f>IF(INDEX(Transactions!$J:$J,ROW()-8)="",TODAY(),INDEX(Transactions!$G:$G,ROW()-8))</f>
      </c>
      <c r="F4783">
        <f>IF(INDEX(Transactions!$J:$J,ROW()-8)="",0,INDEX(Transactions!$O:$O,ROW()-8))</f>
      </c>
    </row>
    <row r="4784" spans="1:7">
      <c r="B4784">
        <f>IF(INDEX(Transactions!$J:$J,ROW()-8)="",TODAY(),INDEX(Transactions!$G:$G,ROW()-8))</f>
      </c>
      <c r="F4784">
        <f>IF(INDEX(Transactions!$J:$J,ROW()-8)="",0,INDEX(Transactions!$O:$O,ROW()-8))</f>
      </c>
    </row>
    <row r="4785" spans="1:7">
      <c r="B4785">
        <f>IF(INDEX(Transactions!$J:$J,ROW()-8)="",TODAY(),INDEX(Transactions!$G:$G,ROW()-8))</f>
      </c>
      <c r="F4785">
        <f>IF(INDEX(Transactions!$J:$J,ROW()-8)="",0,INDEX(Transactions!$O:$O,ROW()-8))</f>
      </c>
    </row>
    <row r="4786" spans="1:7">
      <c r="B4786">
        <f>IF(INDEX(Transactions!$J:$J,ROW()-8)="",TODAY(),INDEX(Transactions!$G:$G,ROW()-8))</f>
      </c>
      <c r="F4786">
        <f>IF(INDEX(Transactions!$J:$J,ROW()-8)="",0,INDEX(Transactions!$O:$O,ROW()-8))</f>
      </c>
    </row>
    <row r="4787" spans="1:7">
      <c r="B4787">
        <f>IF(INDEX(Transactions!$J:$J,ROW()-8)="",TODAY(),INDEX(Transactions!$G:$G,ROW()-8))</f>
      </c>
      <c r="F4787">
        <f>IF(INDEX(Transactions!$J:$J,ROW()-8)="",0,INDEX(Transactions!$O:$O,ROW()-8))</f>
      </c>
    </row>
    <row r="4788" spans="1:7">
      <c r="B4788">
        <f>IF(INDEX(Transactions!$J:$J,ROW()-8)="",TODAY(),INDEX(Transactions!$G:$G,ROW()-8))</f>
      </c>
      <c r="F4788">
        <f>IF(INDEX(Transactions!$J:$J,ROW()-8)="",0,INDEX(Transactions!$O:$O,ROW()-8))</f>
      </c>
    </row>
    <row r="4789" spans="1:7">
      <c r="B4789">
        <f>IF(INDEX(Transactions!$J:$J,ROW()-8)="",TODAY(),INDEX(Transactions!$G:$G,ROW()-8))</f>
      </c>
      <c r="F4789">
        <f>IF(INDEX(Transactions!$J:$J,ROW()-8)="",0,INDEX(Transactions!$O:$O,ROW()-8))</f>
      </c>
    </row>
    <row r="4790" spans="1:7">
      <c r="B4790">
        <f>IF(INDEX(Transactions!$J:$J,ROW()-8)="",TODAY(),INDEX(Transactions!$G:$G,ROW()-8))</f>
      </c>
      <c r="F4790">
        <f>IF(INDEX(Transactions!$J:$J,ROW()-8)="",0,INDEX(Transactions!$O:$O,ROW()-8))</f>
      </c>
    </row>
    <row r="4791" spans="1:7">
      <c r="B4791">
        <f>IF(INDEX(Transactions!$J:$J,ROW()-8)="",TODAY(),INDEX(Transactions!$G:$G,ROW()-8))</f>
      </c>
      <c r="F4791">
        <f>IF(INDEX(Transactions!$J:$J,ROW()-8)="",0,INDEX(Transactions!$O:$O,ROW()-8))</f>
      </c>
    </row>
    <row r="4792" spans="1:7">
      <c r="B4792">
        <f>IF(INDEX(Transactions!$J:$J,ROW()-8)="",TODAY(),INDEX(Transactions!$G:$G,ROW()-8))</f>
      </c>
      <c r="F4792">
        <f>IF(INDEX(Transactions!$J:$J,ROW()-8)="",0,INDEX(Transactions!$O:$O,ROW()-8))</f>
      </c>
    </row>
    <row r="4793" spans="1:7">
      <c r="B4793">
        <f>IF(INDEX(Transactions!$J:$J,ROW()-8)="",TODAY(),INDEX(Transactions!$G:$G,ROW()-8))</f>
      </c>
      <c r="F4793">
        <f>IF(INDEX(Transactions!$J:$J,ROW()-8)="",0,INDEX(Transactions!$O:$O,ROW()-8))</f>
      </c>
    </row>
    <row r="4794" spans="1:7">
      <c r="B4794">
        <f>IF(INDEX(Transactions!$J:$J,ROW()-8)="",TODAY(),INDEX(Transactions!$G:$G,ROW()-8))</f>
      </c>
      <c r="F4794">
        <f>IF(INDEX(Transactions!$J:$J,ROW()-8)="",0,INDEX(Transactions!$O:$O,ROW()-8))</f>
      </c>
    </row>
    <row r="4795" spans="1:7">
      <c r="B4795">
        <f>IF(INDEX(Transactions!$J:$J,ROW()-8)="",TODAY(),INDEX(Transactions!$G:$G,ROW()-8))</f>
      </c>
      <c r="F4795">
        <f>IF(INDEX(Transactions!$J:$J,ROW()-8)="",0,INDEX(Transactions!$O:$O,ROW()-8))</f>
      </c>
    </row>
    <row r="4796" spans="1:7">
      <c r="B4796">
        <f>IF(INDEX(Transactions!$J:$J,ROW()-8)="",TODAY(),INDEX(Transactions!$G:$G,ROW()-8))</f>
      </c>
      <c r="F4796">
        <f>IF(INDEX(Transactions!$J:$J,ROW()-8)="",0,INDEX(Transactions!$O:$O,ROW()-8))</f>
      </c>
    </row>
    <row r="4797" spans="1:7">
      <c r="B4797">
        <f>IF(INDEX(Transactions!$J:$J,ROW()-8)="",TODAY(),INDEX(Transactions!$G:$G,ROW()-8))</f>
      </c>
      <c r="F4797">
        <f>IF(INDEX(Transactions!$J:$J,ROW()-8)="",0,INDEX(Transactions!$O:$O,ROW()-8))</f>
      </c>
    </row>
    <row r="4798" spans="1:7">
      <c r="B4798">
        <f>IF(INDEX(Transactions!$J:$J,ROW()-8)="",TODAY(),INDEX(Transactions!$G:$G,ROW()-8))</f>
      </c>
      <c r="F4798">
        <f>IF(INDEX(Transactions!$J:$J,ROW()-8)="",0,INDEX(Transactions!$O:$O,ROW()-8))</f>
      </c>
    </row>
    <row r="4799" spans="1:7">
      <c r="B4799">
        <f>IF(INDEX(Transactions!$J:$J,ROW()-8)="",TODAY(),INDEX(Transactions!$G:$G,ROW()-8))</f>
      </c>
      <c r="F4799">
        <f>IF(INDEX(Transactions!$J:$J,ROW()-8)="",0,INDEX(Transactions!$O:$O,ROW()-8))</f>
      </c>
    </row>
    <row r="4800" spans="1:7">
      <c r="B4800">
        <f>IF(INDEX(Transactions!$J:$J,ROW()-8)="",TODAY(),INDEX(Transactions!$G:$G,ROW()-8))</f>
      </c>
      <c r="F4800">
        <f>IF(INDEX(Transactions!$J:$J,ROW()-8)="",0,INDEX(Transactions!$O:$O,ROW()-8))</f>
      </c>
    </row>
    <row r="4801" spans="1:7">
      <c r="B4801">
        <f>IF(INDEX(Transactions!$J:$J,ROW()-8)="",TODAY(),INDEX(Transactions!$G:$G,ROW()-8))</f>
      </c>
      <c r="F4801">
        <f>IF(INDEX(Transactions!$J:$J,ROW()-8)="",0,INDEX(Transactions!$O:$O,ROW()-8))</f>
      </c>
    </row>
    <row r="4802" spans="1:7">
      <c r="B4802">
        <f>IF(INDEX(Transactions!$J:$J,ROW()-8)="",TODAY(),INDEX(Transactions!$G:$G,ROW()-8))</f>
      </c>
      <c r="F4802">
        <f>IF(INDEX(Transactions!$J:$J,ROW()-8)="",0,INDEX(Transactions!$O:$O,ROW()-8))</f>
      </c>
    </row>
    <row r="4803" spans="1:7">
      <c r="B4803">
        <f>IF(INDEX(Transactions!$J:$J,ROW()-8)="",TODAY(),INDEX(Transactions!$G:$G,ROW()-8))</f>
      </c>
      <c r="F4803">
        <f>IF(INDEX(Transactions!$J:$J,ROW()-8)="",0,INDEX(Transactions!$O:$O,ROW()-8))</f>
      </c>
    </row>
    <row r="4804" spans="1:7">
      <c r="B4804">
        <f>IF(INDEX(Transactions!$J:$J,ROW()-8)="",TODAY(),INDEX(Transactions!$G:$G,ROW()-8))</f>
      </c>
      <c r="F4804">
        <f>IF(INDEX(Transactions!$J:$J,ROW()-8)="",0,INDEX(Transactions!$O:$O,ROW()-8))</f>
      </c>
    </row>
    <row r="4805" spans="1:7">
      <c r="B4805">
        <f>IF(INDEX(Transactions!$J:$J,ROW()-8)="",TODAY(),INDEX(Transactions!$G:$G,ROW()-8))</f>
      </c>
      <c r="F4805">
        <f>IF(INDEX(Transactions!$J:$J,ROW()-8)="",0,INDEX(Transactions!$O:$O,ROW()-8))</f>
      </c>
    </row>
    <row r="4806" spans="1:7">
      <c r="B4806">
        <f>IF(INDEX(Transactions!$J:$J,ROW()-8)="",TODAY(),INDEX(Transactions!$G:$G,ROW()-8))</f>
      </c>
      <c r="F4806">
        <f>IF(INDEX(Transactions!$J:$J,ROW()-8)="",0,INDEX(Transactions!$O:$O,ROW()-8))</f>
      </c>
    </row>
    <row r="4807" spans="1:7">
      <c r="B4807">
        <f>IF(INDEX(Transactions!$J:$J,ROW()-8)="",TODAY(),INDEX(Transactions!$G:$G,ROW()-8))</f>
      </c>
      <c r="F4807">
        <f>IF(INDEX(Transactions!$J:$J,ROW()-8)="",0,INDEX(Transactions!$O:$O,ROW()-8))</f>
      </c>
    </row>
    <row r="4808" spans="1:7">
      <c r="B4808">
        <f>IF(INDEX(Transactions!$J:$J,ROW()-8)="",TODAY(),INDEX(Transactions!$G:$G,ROW()-8))</f>
      </c>
      <c r="F4808">
        <f>IF(INDEX(Transactions!$J:$J,ROW()-8)="",0,INDEX(Transactions!$O:$O,ROW()-8))</f>
      </c>
    </row>
    <row r="4809" spans="1:7">
      <c r="B4809">
        <f>IF(INDEX(Transactions!$J:$J,ROW()-8)="",TODAY(),INDEX(Transactions!$G:$G,ROW()-8))</f>
      </c>
      <c r="F4809">
        <f>IF(INDEX(Transactions!$J:$J,ROW()-8)="",0,INDEX(Transactions!$O:$O,ROW()-8))</f>
      </c>
    </row>
    <row r="4810" spans="1:7">
      <c r="B4810">
        <f>IF(INDEX(Transactions!$J:$J,ROW()-8)="",TODAY(),INDEX(Transactions!$G:$G,ROW()-8))</f>
      </c>
      <c r="F4810">
        <f>IF(INDEX(Transactions!$J:$J,ROW()-8)="",0,INDEX(Transactions!$O:$O,ROW()-8))</f>
      </c>
    </row>
    <row r="4811" spans="1:7">
      <c r="B4811">
        <f>IF(INDEX(Transactions!$J:$J,ROW()-8)="",TODAY(),INDEX(Transactions!$G:$G,ROW()-8))</f>
      </c>
      <c r="F4811">
        <f>IF(INDEX(Transactions!$J:$J,ROW()-8)="",0,INDEX(Transactions!$O:$O,ROW()-8))</f>
      </c>
    </row>
    <row r="4812" spans="1:7">
      <c r="B4812">
        <f>IF(INDEX(Transactions!$J:$J,ROW()-8)="",TODAY(),INDEX(Transactions!$G:$G,ROW()-8))</f>
      </c>
      <c r="F4812">
        <f>IF(INDEX(Transactions!$J:$J,ROW()-8)="",0,INDEX(Transactions!$O:$O,ROW()-8))</f>
      </c>
    </row>
    <row r="4813" spans="1:7">
      <c r="B4813">
        <f>IF(INDEX(Transactions!$J:$J,ROW()-8)="",TODAY(),INDEX(Transactions!$G:$G,ROW()-8))</f>
      </c>
      <c r="F4813">
        <f>IF(INDEX(Transactions!$J:$J,ROW()-8)="",0,INDEX(Transactions!$O:$O,ROW()-8))</f>
      </c>
    </row>
    <row r="4814" spans="1:7">
      <c r="B4814">
        <f>IF(INDEX(Transactions!$J:$J,ROW()-8)="",TODAY(),INDEX(Transactions!$G:$G,ROW()-8))</f>
      </c>
      <c r="F4814">
        <f>IF(INDEX(Transactions!$J:$J,ROW()-8)="",0,INDEX(Transactions!$O:$O,ROW()-8))</f>
      </c>
    </row>
    <row r="4815" spans="1:7">
      <c r="B4815">
        <f>IF(INDEX(Transactions!$J:$J,ROW()-8)="",TODAY(),INDEX(Transactions!$G:$G,ROW()-8))</f>
      </c>
      <c r="F4815">
        <f>IF(INDEX(Transactions!$J:$J,ROW()-8)="",0,INDEX(Transactions!$O:$O,ROW()-8))</f>
      </c>
    </row>
    <row r="4816" spans="1:7">
      <c r="B4816">
        <f>IF(INDEX(Transactions!$J:$J,ROW()-8)="",TODAY(),INDEX(Transactions!$G:$G,ROW()-8))</f>
      </c>
      <c r="F4816">
        <f>IF(INDEX(Transactions!$J:$J,ROW()-8)="",0,INDEX(Transactions!$O:$O,ROW()-8))</f>
      </c>
    </row>
    <row r="4817" spans="1:7">
      <c r="B4817">
        <f>IF(INDEX(Transactions!$J:$J,ROW()-8)="",TODAY(),INDEX(Transactions!$G:$G,ROW()-8))</f>
      </c>
      <c r="F4817">
        <f>IF(INDEX(Transactions!$J:$J,ROW()-8)="",0,INDEX(Transactions!$O:$O,ROW()-8))</f>
      </c>
    </row>
    <row r="4818" spans="1:7">
      <c r="B4818">
        <f>IF(INDEX(Transactions!$J:$J,ROW()-8)="",TODAY(),INDEX(Transactions!$G:$G,ROW()-8))</f>
      </c>
      <c r="F4818">
        <f>IF(INDEX(Transactions!$J:$J,ROW()-8)="",0,INDEX(Transactions!$O:$O,ROW()-8))</f>
      </c>
    </row>
    <row r="4819" spans="1:7">
      <c r="B4819">
        <f>IF(INDEX(Transactions!$J:$J,ROW()-8)="",TODAY(),INDEX(Transactions!$G:$G,ROW()-8))</f>
      </c>
      <c r="F4819">
        <f>IF(INDEX(Transactions!$J:$J,ROW()-8)="",0,INDEX(Transactions!$O:$O,ROW()-8))</f>
      </c>
    </row>
    <row r="4820" spans="1:7">
      <c r="B4820">
        <f>IF(INDEX(Transactions!$J:$J,ROW()-8)="",TODAY(),INDEX(Transactions!$G:$G,ROW()-8))</f>
      </c>
      <c r="F4820">
        <f>IF(INDEX(Transactions!$J:$J,ROW()-8)="",0,INDEX(Transactions!$O:$O,ROW()-8))</f>
      </c>
    </row>
    <row r="4821" spans="1:7">
      <c r="B4821">
        <f>IF(INDEX(Transactions!$J:$J,ROW()-8)="",TODAY(),INDEX(Transactions!$G:$G,ROW()-8))</f>
      </c>
      <c r="F4821">
        <f>IF(INDEX(Transactions!$J:$J,ROW()-8)="",0,INDEX(Transactions!$O:$O,ROW()-8))</f>
      </c>
    </row>
    <row r="4822" spans="1:7">
      <c r="B4822">
        <f>IF(INDEX(Transactions!$J:$J,ROW()-8)="",TODAY(),INDEX(Transactions!$G:$G,ROW()-8))</f>
      </c>
      <c r="F4822">
        <f>IF(INDEX(Transactions!$J:$J,ROW()-8)="",0,INDEX(Transactions!$O:$O,ROW()-8))</f>
      </c>
    </row>
    <row r="4823" spans="1:7">
      <c r="B4823">
        <f>IF(INDEX(Transactions!$J:$J,ROW()-8)="",TODAY(),INDEX(Transactions!$G:$G,ROW()-8))</f>
      </c>
      <c r="F4823">
        <f>IF(INDEX(Transactions!$J:$J,ROW()-8)="",0,INDEX(Transactions!$O:$O,ROW()-8))</f>
      </c>
    </row>
    <row r="4824" spans="1:7">
      <c r="B4824">
        <f>IF(INDEX(Transactions!$J:$J,ROW()-8)="",TODAY(),INDEX(Transactions!$G:$G,ROW()-8))</f>
      </c>
      <c r="F4824">
        <f>IF(INDEX(Transactions!$J:$J,ROW()-8)="",0,INDEX(Transactions!$O:$O,ROW()-8))</f>
      </c>
    </row>
    <row r="4825" spans="1:7">
      <c r="B4825">
        <f>IF(INDEX(Transactions!$J:$J,ROW()-8)="",TODAY(),INDEX(Transactions!$G:$G,ROW()-8))</f>
      </c>
      <c r="F4825">
        <f>IF(INDEX(Transactions!$J:$J,ROW()-8)="",0,INDEX(Transactions!$O:$O,ROW()-8))</f>
      </c>
    </row>
    <row r="4826" spans="1:7">
      <c r="B4826">
        <f>IF(INDEX(Transactions!$J:$J,ROW()-8)="",TODAY(),INDEX(Transactions!$G:$G,ROW()-8))</f>
      </c>
      <c r="F4826">
        <f>IF(INDEX(Transactions!$J:$J,ROW()-8)="",0,INDEX(Transactions!$O:$O,ROW()-8))</f>
      </c>
    </row>
    <row r="4827" spans="1:7">
      <c r="B4827">
        <f>IF(INDEX(Transactions!$J:$J,ROW()-8)="",TODAY(),INDEX(Transactions!$G:$G,ROW()-8))</f>
      </c>
      <c r="F4827">
        <f>IF(INDEX(Transactions!$J:$J,ROW()-8)="",0,INDEX(Transactions!$O:$O,ROW()-8))</f>
      </c>
    </row>
    <row r="4828" spans="1:7">
      <c r="B4828">
        <f>IF(INDEX(Transactions!$J:$J,ROW()-8)="",TODAY(),INDEX(Transactions!$G:$G,ROW()-8))</f>
      </c>
      <c r="F4828">
        <f>IF(INDEX(Transactions!$J:$J,ROW()-8)="",0,INDEX(Transactions!$O:$O,ROW()-8))</f>
      </c>
    </row>
    <row r="4829" spans="1:7">
      <c r="B4829">
        <f>IF(INDEX(Transactions!$J:$J,ROW()-8)="",TODAY(),INDEX(Transactions!$G:$G,ROW()-8))</f>
      </c>
      <c r="F4829">
        <f>IF(INDEX(Transactions!$J:$J,ROW()-8)="",0,INDEX(Transactions!$O:$O,ROW()-8))</f>
      </c>
    </row>
    <row r="4830" spans="1:7">
      <c r="B4830">
        <f>IF(INDEX(Transactions!$J:$J,ROW()-8)="",TODAY(),INDEX(Transactions!$G:$G,ROW()-8))</f>
      </c>
      <c r="F4830">
        <f>IF(INDEX(Transactions!$J:$J,ROW()-8)="",0,INDEX(Transactions!$O:$O,ROW()-8))</f>
      </c>
    </row>
    <row r="4831" spans="1:7">
      <c r="B4831">
        <f>IF(INDEX(Transactions!$J:$J,ROW()-8)="",TODAY(),INDEX(Transactions!$G:$G,ROW()-8))</f>
      </c>
      <c r="F4831">
        <f>IF(INDEX(Transactions!$J:$J,ROW()-8)="",0,INDEX(Transactions!$O:$O,ROW()-8))</f>
      </c>
    </row>
    <row r="4832" spans="1:7">
      <c r="B4832">
        <f>IF(INDEX(Transactions!$J:$J,ROW()-8)="",TODAY(),INDEX(Transactions!$G:$G,ROW()-8))</f>
      </c>
      <c r="F4832">
        <f>IF(INDEX(Transactions!$J:$J,ROW()-8)="",0,INDEX(Transactions!$O:$O,ROW()-8))</f>
      </c>
    </row>
    <row r="4833" spans="1:7">
      <c r="B4833">
        <f>IF(INDEX(Transactions!$J:$J,ROW()-8)="",TODAY(),INDEX(Transactions!$G:$G,ROW()-8))</f>
      </c>
      <c r="F4833">
        <f>IF(INDEX(Transactions!$J:$J,ROW()-8)="",0,INDEX(Transactions!$O:$O,ROW()-8))</f>
      </c>
    </row>
    <row r="4834" spans="1:7">
      <c r="B4834">
        <f>IF(INDEX(Transactions!$J:$J,ROW()-8)="",TODAY(),INDEX(Transactions!$G:$G,ROW()-8))</f>
      </c>
      <c r="F4834">
        <f>IF(INDEX(Transactions!$J:$J,ROW()-8)="",0,INDEX(Transactions!$O:$O,ROW()-8))</f>
      </c>
    </row>
    <row r="4835" spans="1:7">
      <c r="B4835">
        <f>IF(INDEX(Transactions!$J:$J,ROW()-8)="",TODAY(),INDEX(Transactions!$G:$G,ROW()-8))</f>
      </c>
      <c r="F4835">
        <f>IF(INDEX(Transactions!$J:$J,ROW()-8)="",0,INDEX(Transactions!$O:$O,ROW()-8))</f>
      </c>
    </row>
    <row r="4836" spans="1:7">
      <c r="B4836">
        <f>IF(INDEX(Transactions!$J:$J,ROW()-8)="",TODAY(),INDEX(Transactions!$G:$G,ROW()-8))</f>
      </c>
      <c r="F4836">
        <f>IF(INDEX(Transactions!$J:$J,ROW()-8)="",0,INDEX(Transactions!$O:$O,ROW()-8))</f>
      </c>
    </row>
    <row r="4837" spans="1:7">
      <c r="B4837">
        <f>IF(INDEX(Transactions!$J:$J,ROW()-8)="",TODAY(),INDEX(Transactions!$G:$G,ROW()-8))</f>
      </c>
      <c r="F4837">
        <f>IF(INDEX(Transactions!$J:$J,ROW()-8)="",0,INDEX(Transactions!$O:$O,ROW()-8))</f>
      </c>
    </row>
    <row r="4838" spans="1:7">
      <c r="B4838">
        <f>IF(INDEX(Transactions!$J:$J,ROW()-8)="",TODAY(),INDEX(Transactions!$G:$G,ROW()-8))</f>
      </c>
      <c r="F4838">
        <f>IF(INDEX(Transactions!$J:$J,ROW()-8)="",0,INDEX(Transactions!$O:$O,ROW()-8))</f>
      </c>
    </row>
    <row r="4839" spans="1:7">
      <c r="B4839">
        <f>IF(INDEX(Transactions!$J:$J,ROW()-8)="",TODAY(),INDEX(Transactions!$G:$G,ROW()-8))</f>
      </c>
      <c r="F4839">
        <f>IF(INDEX(Transactions!$J:$J,ROW()-8)="",0,INDEX(Transactions!$O:$O,ROW()-8))</f>
      </c>
    </row>
    <row r="4840" spans="1:7">
      <c r="B4840">
        <f>IF(INDEX(Transactions!$J:$J,ROW()-8)="",TODAY(),INDEX(Transactions!$G:$G,ROW()-8))</f>
      </c>
      <c r="F4840">
        <f>IF(INDEX(Transactions!$J:$J,ROW()-8)="",0,INDEX(Transactions!$O:$O,ROW()-8))</f>
      </c>
    </row>
    <row r="4841" spans="1:7">
      <c r="B4841">
        <f>IF(INDEX(Transactions!$J:$J,ROW()-8)="",TODAY(),INDEX(Transactions!$G:$G,ROW()-8))</f>
      </c>
      <c r="F4841">
        <f>IF(INDEX(Transactions!$J:$J,ROW()-8)="",0,INDEX(Transactions!$O:$O,ROW()-8))</f>
      </c>
    </row>
    <row r="4842" spans="1:7">
      <c r="B4842">
        <f>IF(INDEX(Transactions!$J:$J,ROW()-8)="",TODAY(),INDEX(Transactions!$G:$G,ROW()-8))</f>
      </c>
      <c r="F4842">
        <f>IF(INDEX(Transactions!$J:$J,ROW()-8)="",0,INDEX(Transactions!$O:$O,ROW()-8))</f>
      </c>
    </row>
    <row r="4843" spans="1:7">
      <c r="B4843">
        <f>IF(INDEX(Transactions!$J:$J,ROW()-8)="",TODAY(),INDEX(Transactions!$G:$G,ROW()-8))</f>
      </c>
      <c r="F4843">
        <f>IF(INDEX(Transactions!$J:$J,ROW()-8)="",0,INDEX(Transactions!$O:$O,ROW()-8))</f>
      </c>
    </row>
    <row r="4844" spans="1:7">
      <c r="B4844">
        <f>IF(INDEX(Transactions!$J:$J,ROW()-8)="",TODAY(),INDEX(Transactions!$G:$G,ROW()-8))</f>
      </c>
      <c r="F4844">
        <f>IF(INDEX(Transactions!$J:$J,ROW()-8)="",0,INDEX(Transactions!$O:$O,ROW()-8))</f>
      </c>
    </row>
    <row r="4845" spans="1:7">
      <c r="B4845">
        <f>IF(INDEX(Transactions!$J:$J,ROW()-8)="",TODAY(),INDEX(Transactions!$G:$G,ROW()-8))</f>
      </c>
      <c r="F4845">
        <f>IF(INDEX(Transactions!$J:$J,ROW()-8)="",0,INDEX(Transactions!$O:$O,ROW()-8))</f>
      </c>
    </row>
    <row r="4846" spans="1:7">
      <c r="B4846">
        <f>IF(INDEX(Transactions!$J:$J,ROW()-8)="",TODAY(),INDEX(Transactions!$G:$G,ROW()-8))</f>
      </c>
      <c r="F4846">
        <f>IF(INDEX(Transactions!$J:$J,ROW()-8)="",0,INDEX(Transactions!$O:$O,ROW()-8))</f>
      </c>
    </row>
    <row r="4847" spans="1:7">
      <c r="B4847">
        <f>IF(INDEX(Transactions!$J:$J,ROW()-8)="",TODAY(),INDEX(Transactions!$G:$G,ROW()-8))</f>
      </c>
      <c r="F4847">
        <f>IF(INDEX(Transactions!$J:$J,ROW()-8)="",0,INDEX(Transactions!$O:$O,ROW()-8))</f>
      </c>
    </row>
    <row r="4848" spans="1:7">
      <c r="B4848">
        <f>IF(INDEX(Transactions!$J:$J,ROW()-8)="",TODAY(),INDEX(Transactions!$G:$G,ROW()-8))</f>
      </c>
      <c r="F4848">
        <f>IF(INDEX(Transactions!$J:$J,ROW()-8)="",0,INDEX(Transactions!$O:$O,ROW()-8))</f>
      </c>
    </row>
    <row r="4849" spans="1:7">
      <c r="B4849">
        <f>IF(INDEX(Transactions!$J:$J,ROW()-8)="",TODAY(),INDEX(Transactions!$G:$G,ROW()-8))</f>
      </c>
      <c r="F4849">
        <f>IF(INDEX(Transactions!$J:$J,ROW()-8)="",0,INDEX(Transactions!$O:$O,ROW()-8))</f>
      </c>
    </row>
    <row r="4850" spans="1:7">
      <c r="B4850">
        <f>IF(INDEX(Transactions!$J:$J,ROW()-8)="",TODAY(),INDEX(Transactions!$G:$G,ROW()-8))</f>
      </c>
      <c r="F4850">
        <f>IF(INDEX(Transactions!$J:$J,ROW()-8)="",0,INDEX(Transactions!$O:$O,ROW()-8))</f>
      </c>
    </row>
    <row r="4851" spans="1:7">
      <c r="B4851">
        <f>IF(INDEX(Transactions!$J:$J,ROW()-8)="",TODAY(),INDEX(Transactions!$G:$G,ROW()-8))</f>
      </c>
      <c r="F4851">
        <f>IF(INDEX(Transactions!$J:$J,ROW()-8)="",0,INDEX(Transactions!$O:$O,ROW()-8))</f>
      </c>
    </row>
    <row r="4852" spans="1:7">
      <c r="B4852">
        <f>IF(INDEX(Transactions!$J:$J,ROW()-8)="",TODAY(),INDEX(Transactions!$G:$G,ROW()-8))</f>
      </c>
      <c r="F4852">
        <f>IF(INDEX(Transactions!$J:$J,ROW()-8)="",0,INDEX(Transactions!$O:$O,ROW()-8))</f>
      </c>
    </row>
    <row r="4853" spans="1:7">
      <c r="B4853">
        <f>IF(INDEX(Transactions!$J:$J,ROW()-8)="",TODAY(),INDEX(Transactions!$G:$G,ROW()-8))</f>
      </c>
      <c r="F4853">
        <f>IF(INDEX(Transactions!$J:$J,ROW()-8)="",0,INDEX(Transactions!$O:$O,ROW()-8))</f>
      </c>
    </row>
    <row r="4854" spans="1:7">
      <c r="B4854">
        <f>IF(INDEX(Transactions!$J:$J,ROW()-8)="",TODAY(),INDEX(Transactions!$G:$G,ROW()-8))</f>
      </c>
      <c r="F4854">
        <f>IF(INDEX(Transactions!$J:$J,ROW()-8)="",0,INDEX(Transactions!$O:$O,ROW()-8))</f>
      </c>
    </row>
    <row r="4855" spans="1:7">
      <c r="B4855">
        <f>IF(INDEX(Transactions!$J:$J,ROW()-8)="",TODAY(),INDEX(Transactions!$G:$G,ROW()-8))</f>
      </c>
      <c r="F4855">
        <f>IF(INDEX(Transactions!$J:$J,ROW()-8)="",0,INDEX(Transactions!$O:$O,ROW()-8))</f>
      </c>
    </row>
    <row r="4856" spans="1:7">
      <c r="B4856">
        <f>IF(INDEX(Transactions!$J:$J,ROW()-8)="",TODAY(),INDEX(Transactions!$G:$G,ROW()-8))</f>
      </c>
      <c r="F4856">
        <f>IF(INDEX(Transactions!$J:$J,ROW()-8)="",0,INDEX(Transactions!$O:$O,ROW()-8))</f>
      </c>
    </row>
    <row r="4857" spans="1:7">
      <c r="B4857">
        <f>IF(INDEX(Transactions!$J:$J,ROW()-8)="",TODAY(),INDEX(Transactions!$G:$G,ROW()-8))</f>
      </c>
      <c r="F4857">
        <f>IF(INDEX(Transactions!$J:$J,ROW()-8)="",0,INDEX(Transactions!$O:$O,ROW()-8))</f>
      </c>
    </row>
    <row r="4858" spans="1:7">
      <c r="B4858">
        <f>IF(INDEX(Transactions!$J:$J,ROW()-8)="",TODAY(),INDEX(Transactions!$G:$G,ROW()-8))</f>
      </c>
      <c r="F4858">
        <f>IF(INDEX(Transactions!$J:$J,ROW()-8)="",0,INDEX(Transactions!$O:$O,ROW()-8))</f>
      </c>
    </row>
    <row r="4859" spans="1:7">
      <c r="B4859">
        <f>IF(INDEX(Transactions!$J:$J,ROW()-8)="",TODAY(),INDEX(Transactions!$G:$G,ROW()-8))</f>
      </c>
      <c r="F4859">
        <f>IF(INDEX(Transactions!$J:$J,ROW()-8)="",0,INDEX(Transactions!$O:$O,ROW()-8))</f>
      </c>
    </row>
    <row r="4860" spans="1:7">
      <c r="B4860">
        <f>IF(INDEX(Transactions!$J:$J,ROW()-8)="",TODAY(),INDEX(Transactions!$G:$G,ROW()-8))</f>
      </c>
      <c r="F4860">
        <f>IF(INDEX(Transactions!$J:$J,ROW()-8)="",0,INDEX(Transactions!$O:$O,ROW()-8))</f>
      </c>
    </row>
    <row r="4861" spans="1:7">
      <c r="B4861">
        <f>IF(INDEX(Transactions!$J:$J,ROW()-8)="",TODAY(),INDEX(Transactions!$G:$G,ROW()-8))</f>
      </c>
      <c r="F4861">
        <f>IF(INDEX(Transactions!$J:$J,ROW()-8)="",0,INDEX(Transactions!$O:$O,ROW()-8))</f>
      </c>
    </row>
    <row r="4862" spans="1:7">
      <c r="B4862">
        <f>IF(INDEX(Transactions!$J:$J,ROW()-8)="",TODAY(),INDEX(Transactions!$G:$G,ROW()-8))</f>
      </c>
      <c r="F4862">
        <f>IF(INDEX(Transactions!$J:$J,ROW()-8)="",0,INDEX(Transactions!$O:$O,ROW()-8))</f>
      </c>
    </row>
    <row r="4863" spans="1:7">
      <c r="B4863">
        <f>IF(INDEX(Transactions!$J:$J,ROW()-8)="",TODAY(),INDEX(Transactions!$G:$G,ROW()-8))</f>
      </c>
      <c r="F4863">
        <f>IF(INDEX(Transactions!$J:$J,ROW()-8)="",0,INDEX(Transactions!$O:$O,ROW()-8))</f>
      </c>
    </row>
    <row r="4864" spans="1:7">
      <c r="B4864">
        <f>IF(INDEX(Transactions!$J:$J,ROW()-8)="",TODAY(),INDEX(Transactions!$G:$G,ROW()-8))</f>
      </c>
      <c r="F4864">
        <f>IF(INDEX(Transactions!$J:$J,ROW()-8)="",0,INDEX(Transactions!$O:$O,ROW()-8))</f>
      </c>
    </row>
    <row r="4865" spans="1:7">
      <c r="B4865">
        <f>IF(INDEX(Transactions!$J:$J,ROW()-8)="",TODAY(),INDEX(Transactions!$G:$G,ROW()-8))</f>
      </c>
      <c r="F4865">
        <f>IF(INDEX(Transactions!$J:$J,ROW()-8)="",0,INDEX(Transactions!$O:$O,ROW()-8))</f>
      </c>
    </row>
    <row r="4866" spans="1:7">
      <c r="B4866">
        <f>IF(INDEX(Transactions!$J:$J,ROW()-8)="",TODAY(),INDEX(Transactions!$G:$G,ROW()-8))</f>
      </c>
      <c r="F4866">
        <f>IF(INDEX(Transactions!$J:$J,ROW()-8)="",0,INDEX(Transactions!$O:$O,ROW()-8))</f>
      </c>
    </row>
    <row r="4867" spans="1:7">
      <c r="B4867">
        <f>IF(INDEX(Transactions!$J:$J,ROW()-8)="",TODAY(),INDEX(Transactions!$G:$G,ROW()-8))</f>
      </c>
      <c r="F4867">
        <f>IF(INDEX(Transactions!$J:$J,ROW()-8)="",0,INDEX(Transactions!$O:$O,ROW()-8))</f>
      </c>
    </row>
    <row r="4868" spans="1:7">
      <c r="B4868">
        <f>IF(INDEX(Transactions!$J:$J,ROW()-8)="",TODAY(),INDEX(Transactions!$G:$G,ROW()-8))</f>
      </c>
      <c r="F4868">
        <f>IF(INDEX(Transactions!$J:$J,ROW()-8)="",0,INDEX(Transactions!$O:$O,ROW()-8))</f>
      </c>
    </row>
    <row r="4869" spans="1:7">
      <c r="B4869">
        <f>IF(INDEX(Transactions!$J:$J,ROW()-8)="",TODAY(),INDEX(Transactions!$G:$G,ROW()-8))</f>
      </c>
      <c r="F4869">
        <f>IF(INDEX(Transactions!$J:$J,ROW()-8)="",0,INDEX(Transactions!$O:$O,ROW()-8))</f>
      </c>
    </row>
    <row r="4870" spans="1:7">
      <c r="B4870">
        <f>IF(INDEX(Transactions!$J:$J,ROW()-8)="",TODAY(),INDEX(Transactions!$G:$G,ROW()-8))</f>
      </c>
      <c r="F4870">
        <f>IF(INDEX(Transactions!$J:$J,ROW()-8)="",0,INDEX(Transactions!$O:$O,ROW()-8))</f>
      </c>
    </row>
    <row r="4871" spans="1:7">
      <c r="B4871">
        <f>IF(INDEX(Transactions!$J:$J,ROW()-8)="",TODAY(),INDEX(Transactions!$G:$G,ROW()-8))</f>
      </c>
      <c r="F4871">
        <f>IF(INDEX(Transactions!$J:$J,ROW()-8)="",0,INDEX(Transactions!$O:$O,ROW()-8))</f>
      </c>
    </row>
    <row r="4872" spans="1:7">
      <c r="B4872">
        <f>IF(INDEX(Transactions!$J:$J,ROW()-8)="",TODAY(),INDEX(Transactions!$G:$G,ROW()-8))</f>
      </c>
      <c r="F4872">
        <f>IF(INDEX(Transactions!$J:$J,ROW()-8)="",0,INDEX(Transactions!$O:$O,ROW()-8))</f>
      </c>
    </row>
    <row r="4873" spans="1:7">
      <c r="B4873">
        <f>IF(INDEX(Transactions!$J:$J,ROW()-8)="",TODAY(),INDEX(Transactions!$G:$G,ROW()-8))</f>
      </c>
      <c r="F4873">
        <f>IF(INDEX(Transactions!$J:$J,ROW()-8)="",0,INDEX(Transactions!$O:$O,ROW()-8))</f>
      </c>
    </row>
    <row r="4874" spans="1:7">
      <c r="B4874">
        <f>IF(INDEX(Transactions!$J:$J,ROW()-8)="",TODAY(),INDEX(Transactions!$G:$G,ROW()-8))</f>
      </c>
      <c r="F4874">
        <f>IF(INDEX(Transactions!$J:$J,ROW()-8)="",0,INDEX(Transactions!$O:$O,ROW()-8))</f>
      </c>
    </row>
    <row r="4875" spans="1:7">
      <c r="B4875">
        <f>IF(INDEX(Transactions!$J:$J,ROW()-8)="",TODAY(),INDEX(Transactions!$G:$G,ROW()-8))</f>
      </c>
      <c r="F4875">
        <f>IF(INDEX(Transactions!$J:$J,ROW()-8)="",0,INDEX(Transactions!$O:$O,ROW()-8))</f>
      </c>
    </row>
    <row r="4876" spans="1:7">
      <c r="B4876">
        <f>IF(INDEX(Transactions!$J:$J,ROW()-8)="",TODAY(),INDEX(Transactions!$G:$G,ROW()-8))</f>
      </c>
      <c r="F4876">
        <f>IF(INDEX(Transactions!$J:$J,ROW()-8)="",0,INDEX(Transactions!$O:$O,ROW()-8))</f>
      </c>
    </row>
    <row r="4877" spans="1:7">
      <c r="B4877">
        <f>IF(INDEX(Transactions!$J:$J,ROW()-8)="",TODAY(),INDEX(Transactions!$G:$G,ROW()-8))</f>
      </c>
      <c r="F4877">
        <f>IF(INDEX(Transactions!$J:$J,ROW()-8)="",0,INDEX(Transactions!$O:$O,ROW()-8))</f>
      </c>
    </row>
    <row r="4878" spans="1:7">
      <c r="B4878">
        <f>IF(INDEX(Transactions!$J:$J,ROW()-8)="",TODAY(),INDEX(Transactions!$G:$G,ROW()-8))</f>
      </c>
      <c r="F4878">
        <f>IF(INDEX(Transactions!$J:$J,ROW()-8)="",0,INDEX(Transactions!$O:$O,ROW()-8))</f>
      </c>
    </row>
    <row r="4879" spans="1:7">
      <c r="B4879">
        <f>IF(INDEX(Transactions!$J:$J,ROW()-8)="",TODAY(),INDEX(Transactions!$G:$G,ROW()-8))</f>
      </c>
      <c r="F4879">
        <f>IF(INDEX(Transactions!$J:$J,ROW()-8)="",0,INDEX(Transactions!$O:$O,ROW()-8))</f>
      </c>
    </row>
    <row r="4880" spans="1:7">
      <c r="B4880">
        <f>IF(INDEX(Transactions!$J:$J,ROW()-8)="",TODAY(),INDEX(Transactions!$G:$G,ROW()-8))</f>
      </c>
      <c r="F4880">
        <f>IF(INDEX(Transactions!$J:$J,ROW()-8)="",0,INDEX(Transactions!$O:$O,ROW()-8))</f>
      </c>
    </row>
    <row r="4881" spans="1:7">
      <c r="B4881">
        <f>IF(INDEX(Transactions!$J:$J,ROW()-8)="",TODAY(),INDEX(Transactions!$G:$G,ROW()-8))</f>
      </c>
      <c r="F4881">
        <f>IF(INDEX(Transactions!$J:$J,ROW()-8)="",0,INDEX(Transactions!$O:$O,ROW()-8))</f>
      </c>
    </row>
    <row r="4882" spans="1:7">
      <c r="B4882">
        <f>IF(INDEX(Transactions!$J:$J,ROW()-8)="",TODAY(),INDEX(Transactions!$G:$G,ROW()-8))</f>
      </c>
      <c r="F4882">
        <f>IF(INDEX(Transactions!$J:$J,ROW()-8)="",0,INDEX(Transactions!$O:$O,ROW()-8))</f>
      </c>
    </row>
    <row r="4883" spans="1:7">
      <c r="B4883">
        <f>IF(INDEX(Transactions!$J:$J,ROW()-8)="",TODAY(),INDEX(Transactions!$G:$G,ROW()-8))</f>
      </c>
      <c r="F4883">
        <f>IF(INDEX(Transactions!$J:$J,ROW()-8)="",0,INDEX(Transactions!$O:$O,ROW()-8))</f>
      </c>
    </row>
    <row r="4884" spans="1:7">
      <c r="B4884">
        <f>IF(INDEX(Transactions!$J:$J,ROW()-8)="",TODAY(),INDEX(Transactions!$G:$G,ROW()-8))</f>
      </c>
      <c r="F4884">
        <f>IF(INDEX(Transactions!$J:$J,ROW()-8)="",0,INDEX(Transactions!$O:$O,ROW()-8))</f>
      </c>
    </row>
    <row r="4885" spans="1:7">
      <c r="B4885">
        <f>IF(INDEX(Transactions!$J:$J,ROW()-8)="",TODAY(),INDEX(Transactions!$G:$G,ROW()-8))</f>
      </c>
      <c r="F4885">
        <f>IF(INDEX(Transactions!$J:$J,ROW()-8)="",0,INDEX(Transactions!$O:$O,ROW()-8))</f>
      </c>
    </row>
    <row r="4886" spans="1:7">
      <c r="B4886">
        <f>IF(INDEX(Transactions!$J:$J,ROW()-8)="",TODAY(),INDEX(Transactions!$G:$G,ROW()-8))</f>
      </c>
      <c r="F4886">
        <f>IF(INDEX(Transactions!$J:$J,ROW()-8)="",0,INDEX(Transactions!$O:$O,ROW()-8))</f>
      </c>
    </row>
    <row r="4887" spans="1:7">
      <c r="B4887">
        <f>IF(INDEX(Transactions!$J:$J,ROW()-8)="",TODAY(),INDEX(Transactions!$G:$G,ROW()-8))</f>
      </c>
      <c r="F4887">
        <f>IF(INDEX(Transactions!$J:$J,ROW()-8)="",0,INDEX(Transactions!$O:$O,ROW()-8))</f>
      </c>
    </row>
    <row r="4888" spans="1:7">
      <c r="B4888">
        <f>IF(INDEX(Transactions!$J:$J,ROW()-8)="",TODAY(),INDEX(Transactions!$G:$G,ROW()-8))</f>
      </c>
      <c r="F4888">
        <f>IF(INDEX(Transactions!$J:$J,ROW()-8)="",0,INDEX(Transactions!$O:$O,ROW()-8))</f>
      </c>
    </row>
    <row r="4889" spans="1:7">
      <c r="B4889">
        <f>IF(INDEX(Transactions!$J:$J,ROW()-8)="",TODAY(),INDEX(Transactions!$G:$G,ROW()-8))</f>
      </c>
      <c r="F4889">
        <f>IF(INDEX(Transactions!$J:$J,ROW()-8)="",0,INDEX(Transactions!$O:$O,ROW()-8))</f>
      </c>
    </row>
    <row r="4890" spans="1:7">
      <c r="B4890">
        <f>IF(INDEX(Transactions!$J:$J,ROW()-8)="",TODAY(),INDEX(Transactions!$G:$G,ROW()-8))</f>
      </c>
      <c r="F4890">
        <f>IF(INDEX(Transactions!$J:$J,ROW()-8)="",0,INDEX(Transactions!$O:$O,ROW()-8))</f>
      </c>
    </row>
    <row r="4891" spans="1:7">
      <c r="B4891">
        <f>IF(INDEX(Transactions!$J:$J,ROW()-8)="",TODAY(),INDEX(Transactions!$G:$G,ROW()-8))</f>
      </c>
      <c r="F4891">
        <f>IF(INDEX(Transactions!$J:$J,ROW()-8)="",0,INDEX(Transactions!$O:$O,ROW()-8))</f>
      </c>
    </row>
    <row r="4892" spans="1:7">
      <c r="B4892">
        <f>IF(INDEX(Transactions!$J:$J,ROW()-8)="",TODAY(),INDEX(Transactions!$G:$G,ROW()-8))</f>
      </c>
      <c r="F4892">
        <f>IF(INDEX(Transactions!$J:$J,ROW()-8)="",0,INDEX(Transactions!$O:$O,ROW()-8))</f>
      </c>
    </row>
    <row r="4893" spans="1:7">
      <c r="B4893">
        <f>IF(INDEX(Transactions!$J:$J,ROW()-8)="",TODAY(),INDEX(Transactions!$G:$G,ROW()-8))</f>
      </c>
      <c r="F4893">
        <f>IF(INDEX(Transactions!$J:$J,ROW()-8)="",0,INDEX(Transactions!$O:$O,ROW()-8))</f>
      </c>
    </row>
    <row r="4894" spans="1:7">
      <c r="B4894">
        <f>IF(INDEX(Transactions!$J:$J,ROW()-8)="",TODAY(),INDEX(Transactions!$G:$G,ROW()-8))</f>
      </c>
      <c r="F4894">
        <f>IF(INDEX(Transactions!$J:$J,ROW()-8)="",0,INDEX(Transactions!$O:$O,ROW()-8))</f>
      </c>
    </row>
    <row r="4895" spans="1:7">
      <c r="B4895">
        <f>IF(INDEX(Transactions!$J:$J,ROW()-8)="",TODAY(),INDEX(Transactions!$G:$G,ROW()-8))</f>
      </c>
      <c r="F4895">
        <f>IF(INDEX(Transactions!$J:$J,ROW()-8)="",0,INDEX(Transactions!$O:$O,ROW()-8))</f>
      </c>
    </row>
    <row r="4896" spans="1:7">
      <c r="B4896">
        <f>IF(INDEX(Transactions!$J:$J,ROW()-8)="",TODAY(),INDEX(Transactions!$G:$G,ROW()-8))</f>
      </c>
      <c r="F4896">
        <f>IF(INDEX(Transactions!$J:$J,ROW()-8)="",0,INDEX(Transactions!$O:$O,ROW()-8))</f>
      </c>
    </row>
    <row r="4897" spans="1:7">
      <c r="B4897">
        <f>IF(INDEX(Transactions!$J:$J,ROW()-8)="",TODAY(),INDEX(Transactions!$G:$G,ROW()-8))</f>
      </c>
      <c r="F4897">
        <f>IF(INDEX(Transactions!$J:$J,ROW()-8)="",0,INDEX(Transactions!$O:$O,ROW()-8))</f>
      </c>
    </row>
    <row r="4898" spans="1:7">
      <c r="B4898">
        <f>IF(INDEX(Transactions!$J:$J,ROW()-8)="",TODAY(),INDEX(Transactions!$G:$G,ROW()-8))</f>
      </c>
      <c r="F4898">
        <f>IF(INDEX(Transactions!$J:$J,ROW()-8)="",0,INDEX(Transactions!$O:$O,ROW()-8))</f>
      </c>
    </row>
    <row r="4899" spans="1:7">
      <c r="B4899">
        <f>IF(INDEX(Transactions!$J:$J,ROW()-8)="",TODAY(),INDEX(Transactions!$G:$G,ROW()-8))</f>
      </c>
      <c r="F4899">
        <f>IF(INDEX(Transactions!$J:$J,ROW()-8)="",0,INDEX(Transactions!$O:$O,ROW()-8))</f>
      </c>
    </row>
    <row r="4900" spans="1:7">
      <c r="B4900">
        <f>IF(INDEX(Transactions!$J:$J,ROW()-8)="",TODAY(),INDEX(Transactions!$G:$G,ROW()-8))</f>
      </c>
      <c r="F4900">
        <f>IF(INDEX(Transactions!$J:$J,ROW()-8)="",0,INDEX(Transactions!$O:$O,ROW()-8))</f>
      </c>
    </row>
    <row r="4901" spans="1:7">
      <c r="B4901">
        <f>IF(INDEX(Transactions!$J:$J,ROW()-8)="",TODAY(),INDEX(Transactions!$G:$G,ROW()-8))</f>
      </c>
      <c r="F4901">
        <f>IF(INDEX(Transactions!$J:$J,ROW()-8)="",0,INDEX(Transactions!$O:$O,ROW()-8))</f>
      </c>
    </row>
    <row r="4902" spans="1:7">
      <c r="B4902">
        <f>IF(INDEX(Transactions!$J:$J,ROW()-8)="",TODAY(),INDEX(Transactions!$G:$G,ROW()-8))</f>
      </c>
      <c r="F4902">
        <f>IF(INDEX(Transactions!$J:$J,ROW()-8)="",0,INDEX(Transactions!$O:$O,ROW()-8))</f>
      </c>
    </row>
    <row r="4903" spans="1:7">
      <c r="B4903">
        <f>IF(INDEX(Transactions!$J:$J,ROW()-8)="",TODAY(),INDEX(Transactions!$G:$G,ROW()-8))</f>
      </c>
      <c r="F4903">
        <f>IF(INDEX(Transactions!$J:$J,ROW()-8)="",0,INDEX(Transactions!$O:$O,ROW()-8))</f>
      </c>
    </row>
    <row r="4904" spans="1:7">
      <c r="B4904">
        <f>IF(INDEX(Transactions!$J:$J,ROW()-8)="",TODAY(),INDEX(Transactions!$G:$G,ROW()-8))</f>
      </c>
      <c r="F4904">
        <f>IF(INDEX(Transactions!$J:$J,ROW()-8)="",0,INDEX(Transactions!$O:$O,ROW()-8))</f>
      </c>
    </row>
    <row r="4905" spans="1:7">
      <c r="B4905">
        <f>IF(INDEX(Transactions!$J:$J,ROW()-8)="",TODAY(),INDEX(Transactions!$G:$G,ROW()-8))</f>
      </c>
      <c r="F4905">
        <f>IF(INDEX(Transactions!$J:$J,ROW()-8)="",0,INDEX(Transactions!$O:$O,ROW()-8))</f>
      </c>
    </row>
    <row r="4906" spans="1:7">
      <c r="B4906">
        <f>IF(INDEX(Transactions!$J:$J,ROW()-8)="",TODAY(),INDEX(Transactions!$G:$G,ROW()-8))</f>
      </c>
      <c r="F4906">
        <f>IF(INDEX(Transactions!$J:$J,ROW()-8)="",0,INDEX(Transactions!$O:$O,ROW()-8))</f>
      </c>
    </row>
    <row r="4907" spans="1:7">
      <c r="B4907">
        <f>IF(INDEX(Transactions!$J:$J,ROW()-8)="",TODAY(),INDEX(Transactions!$G:$G,ROW()-8))</f>
      </c>
      <c r="F4907">
        <f>IF(INDEX(Transactions!$J:$J,ROW()-8)="",0,INDEX(Transactions!$O:$O,ROW()-8))</f>
      </c>
    </row>
    <row r="4908" spans="1:7">
      <c r="B4908">
        <f>IF(INDEX(Transactions!$J:$J,ROW()-8)="",TODAY(),INDEX(Transactions!$G:$G,ROW()-8))</f>
      </c>
      <c r="F4908">
        <f>IF(INDEX(Transactions!$J:$J,ROW()-8)="",0,INDEX(Transactions!$O:$O,ROW()-8))</f>
      </c>
    </row>
    <row r="4909" spans="1:7">
      <c r="B4909">
        <f>IF(INDEX(Transactions!$J:$J,ROW()-8)="",TODAY(),INDEX(Transactions!$G:$G,ROW()-8))</f>
      </c>
      <c r="F4909">
        <f>IF(INDEX(Transactions!$J:$J,ROW()-8)="",0,INDEX(Transactions!$O:$O,ROW()-8))</f>
      </c>
    </row>
    <row r="4910" spans="1:7">
      <c r="B4910">
        <f>IF(INDEX(Transactions!$J:$J,ROW()-8)="",TODAY(),INDEX(Transactions!$G:$G,ROW()-8))</f>
      </c>
      <c r="F4910">
        <f>IF(INDEX(Transactions!$J:$J,ROW()-8)="",0,INDEX(Transactions!$O:$O,ROW()-8))</f>
      </c>
    </row>
    <row r="4911" spans="1:7">
      <c r="B4911">
        <f>IF(INDEX(Transactions!$J:$J,ROW()-8)="",TODAY(),INDEX(Transactions!$G:$G,ROW()-8))</f>
      </c>
      <c r="F4911">
        <f>IF(INDEX(Transactions!$J:$J,ROW()-8)="",0,INDEX(Transactions!$O:$O,ROW()-8))</f>
      </c>
    </row>
    <row r="4912" spans="1:7">
      <c r="B4912">
        <f>IF(INDEX(Transactions!$J:$J,ROW()-8)="",TODAY(),INDEX(Transactions!$G:$G,ROW()-8))</f>
      </c>
      <c r="F4912">
        <f>IF(INDEX(Transactions!$J:$J,ROW()-8)="",0,INDEX(Transactions!$O:$O,ROW()-8))</f>
      </c>
    </row>
    <row r="4913" spans="1:7">
      <c r="B4913">
        <f>IF(INDEX(Transactions!$J:$J,ROW()-8)="",TODAY(),INDEX(Transactions!$G:$G,ROW()-8))</f>
      </c>
      <c r="F4913">
        <f>IF(INDEX(Transactions!$J:$J,ROW()-8)="",0,INDEX(Transactions!$O:$O,ROW()-8))</f>
      </c>
    </row>
    <row r="4914" spans="1:7">
      <c r="B4914">
        <f>IF(INDEX(Transactions!$J:$J,ROW()-8)="",TODAY(),INDEX(Transactions!$G:$G,ROW()-8))</f>
      </c>
      <c r="F4914">
        <f>IF(INDEX(Transactions!$J:$J,ROW()-8)="",0,INDEX(Transactions!$O:$O,ROW()-8))</f>
      </c>
    </row>
    <row r="4915" spans="1:7">
      <c r="B4915">
        <f>IF(INDEX(Transactions!$J:$J,ROW()-8)="",TODAY(),INDEX(Transactions!$G:$G,ROW()-8))</f>
      </c>
      <c r="F4915">
        <f>IF(INDEX(Transactions!$J:$J,ROW()-8)="",0,INDEX(Transactions!$O:$O,ROW()-8))</f>
      </c>
    </row>
    <row r="4916" spans="1:7">
      <c r="B4916">
        <f>IF(INDEX(Transactions!$J:$J,ROW()-8)="",TODAY(),INDEX(Transactions!$G:$G,ROW()-8))</f>
      </c>
      <c r="F4916">
        <f>IF(INDEX(Transactions!$J:$J,ROW()-8)="",0,INDEX(Transactions!$O:$O,ROW()-8))</f>
      </c>
    </row>
    <row r="4917" spans="1:7">
      <c r="B4917">
        <f>IF(INDEX(Transactions!$J:$J,ROW()-8)="",TODAY(),INDEX(Transactions!$G:$G,ROW()-8))</f>
      </c>
      <c r="F4917">
        <f>IF(INDEX(Transactions!$J:$J,ROW()-8)="",0,INDEX(Transactions!$O:$O,ROW()-8))</f>
      </c>
    </row>
    <row r="4918" spans="1:7">
      <c r="B4918">
        <f>IF(INDEX(Transactions!$J:$J,ROW()-8)="",TODAY(),INDEX(Transactions!$G:$G,ROW()-8))</f>
      </c>
      <c r="F4918">
        <f>IF(INDEX(Transactions!$J:$J,ROW()-8)="",0,INDEX(Transactions!$O:$O,ROW()-8))</f>
      </c>
    </row>
    <row r="4919" spans="1:7">
      <c r="B4919">
        <f>IF(INDEX(Transactions!$J:$J,ROW()-8)="",TODAY(),INDEX(Transactions!$G:$G,ROW()-8))</f>
      </c>
      <c r="F4919">
        <f>IF(INDEX(Transactions!$J:$J,ROW()-8)="",0,INDEX(Transactions!$O:$O,ROW()-8))</f>
      </c>
    </row>
    <row r="4920" spans="1:7">
      <c r="B4920">
        <f>IF(INDEX(Transactions!$J:$J,ROW()-8)="",TODAY(),INDEX(Transactions!$G:$G,ROW()-8))</f>
      </c>
      <c r="F4920">
        <f>IF(INDEX(Transactions!$J:$J,ROW()-8)="",0,INDEX(Transactions!$O:$O,ROW()-8))</f>
      </c>
    </row>
    <row r="4921" spans="1:7">
      <c r="B4921">
        <f>IF(INDEX(Transactions!$J:$J,ROW()-8)="",TODAY(),INDEX(Transactions!$G:$G,ROW()-8))</f>
      </c>
      <c r="F4921">
        <f>IF(INDEX(Transactions!$J:$J,ROW()-8)="",0,INDEX(Transactions!$O:$O,ROW()-8))</f>
      </c>
    </row>
    <row r="4922" spans="1:7">
      <c r="B4922">
        <f>IF(INDEX(Transactions!$J:$J,ROW()-8)="",TODAY(),INDEX(Transactions!$G:$G,ROW()-8))</f>
      </c>
      <c r="F4922">
        <f>IF(INDEX(Transactions!$J:$J,ROW()-8)="",0,INDEX(Transactions!$O:$O,ROW()-8))</f>
      </c>
    </row>
    <row r="4923" spans="1:7">
      <c r="B4923">
        <f>IF(INDEX(Transactions!$J:$J,ROW()-8)="",TODAY(),INDEX(Transactions!$G:$G,ROW()-8))</f>
      </c>
      <c r="F4923">
        <f>IF(INDEX(Transactions!$J:$J,ROW()-8)="",0,INDEX(Transactions!$O:$O,ROW()-8))</f>
      </c>
    </row>
    <row r="4924" spans="1:7">
      <c r="B4924">
        <f>IF(INDEX(Transactions!$J:$J,ROW()-8)="",TODAY(),INDEX(Transactions!$G:$G,ROW()-8))</f>
      </c>
      <c r="F4924">
        <f>IF(INDEX(Transactions!$J:$J,ROW()-8)="",0,INDEX(Transactions!$O:$O,ROW()-8))</f>
      </c>
    </row>
    <row r="4925" spans="1:7">
      <c r="B4925">
        <f>IF(INDEX(Transactions!$J:$J,ROW()-8)="",TODAY(),INDEX(Transactions!$G:$G,ROW()-8))</f>
      </c>
      <c r="F4925">
        <f>IF(INDEX(Transactions!$J:$J,ROW()-8)="",0,INDEX(Transactions!$O:$O,ROW()-8))</f>
      </c>
    </row>
    <row r="4926" spans="1:7">
      <c r="B4926">
        <f>IF(INDEX(Transactions!$J:$J,ROW()-8)="",TODAY(),INDEX(Transactions!$G:$G,ROW()-8))</f>
      </c>
      <c r="F4926">
        <f>IF(INDEX(Transactions!$J:$J,ROW()-8)="",0,INDEX(Transactions!$O:$O,ROW()-8))</f>
      </c>
    </row>
    <row r="4927" spans="1:7">
      <c r="B4927">
        <f>IF(INDEX(Transactions!$J:$J,ROW()-8)="",TODAY(),INDEX(Transactions!$G:$G,ROW()-8))</f>
      </c>
      <c r="F4927">
        <f>IF(INDEX(Transactions!$J:$J,ROW()-8)="",0,INDEX(Transactions!$O:$O,ROW()-8))</f>
      </c>
    </row>
    <row r="4928" spans="1:7">
      <c r="B4928">
        <f>IF(INDEX(Transactions!$J:$J,ROW()-8)="",TODAY(),INDEX(Transactions!$G:$G,ROW()-8))</f>
      </c>
      <c r="F4928">
        <f>IF(INDEX(Transactions!$J:$J,ROW()-8)="",0,INDEX(Transactions!$O:$O,ROW()-8))</f>
      </c>
    </row>
    <row r="4929" spans="1:7">
      <c r="B4929">
        <f>IF(INDEX(Transactions!$J:$J,ROW()-8)="",TODAY(),INDEX(Transactions!$G:$G,ROW()-8))</f>
      </c>
      <c r="F4929">
        <f>IF(INDEX(Transactions!$J:$J,ROW()-8)="",0,INDEX(Transactions!$O:$O,ROW()-8))</f>
      </c>
    </row>
    <row r="4930" spans="1:7">
      <c r="B4930">
        <f>IF(INDEX(Transactions!$J:$J,ROW()-8)="",TODAY(),INDEX(Transactions!$G:$G,ROW()-8))</f>
      </c>
      <c r="F4930">
        <f>IF(INDEX(Transactions!$J:$J,ROW()-8)="",0,INDEX(Transactions!$O:$O,ROW()-8))</f>
      </c>
    </row>
    <row r="4931" spans="1:7">
      <c r="B4931">
        <f>IF(INDEX(Transactions!$J:$J,ROW()-8)="",TODAY(),INDEX(Transactions!$G:$G,ROW()-8))</f>
      </c>
      <c r="F4931">
        <f>IF(INDEX(Transactions!$J:$J,ROW()-8)="",0,INDEX(Transactions!$O:$O,ROW()-8))</f>
      </c>
    </row>
    <row r="4932" spans="1:7">
      <c r="B4932">
        <f>IF(INDEX(Transactions!$J:$J,ROW()-8)="",TODAY(),INDEX(Transactions!$G:$G,ROW()-8))</f>
      </c>
      <c r="F4932">
        <f>IF(INDEX(Transactions!$J:$J,ROW()-8)="",0,INDEX(Transactions!$O:$O,ROW()-8))</f>
      </c>
    </row>
    <row r="4933" spans="1:7">
      <c r="B4933">
        <f>IF(INDEX(Transactions!$J:$J,ROW()-8)="",TODAY(),INDEX(Transactions!$G:$G,ROW()-8))</f>
      </c>
      <c r="F4933">
        <f>IF(INDEX(Transactions!$J:$J,ROW()-8)="",0,INDEX(Transactions!$O:$O,ROW()-8))</f>
      </c>
    </row>
    <row r="4934" spans="1:7">
      <c r="B4934">
        <f>IF(INDEX(Transactions!$J:$J,ROW()-8)="",TODAY(),INDEX(Transactions!$G:$G,ROW()-8))</f>
      </c>
      <c r="F4934">
        <f>IF(INDEX(Transactions!$J:$J,ROW()-8)="",0,INDEX(Transactions!$O:$O,ROW()-8))</f>
      </c>
    </row>
    <row r="4935" spans="1:7">
      <c r="B4935">
        <f>IF(INDEX(Transactions!$J:$J,ROW()-8)="",TODAY(),INDEX(Transactions!$G:$G,ROW()-8))</f>
      </c>
      <c r="F4935">
        <f>IF(INDEX(Transactions!$J:$J,ROW()-8)="",0,INDEX(Transactions!$O:$O,ROW()-8))</f>
      </c>
    </row>
    <row r="4936" spans="1:7">
      <c r="B4936">
        <f>IF(INDEX(Transactions!$J:$J,ROW()-8)="",TODAY(),INDEX(Transactions!$G:$G,ROW()-8))</f>
      </c>
      <c r="F4936">
        <f>IF(INDEX(Transactions!$J:$J,ROW()-8)="",0,INDEX(Transactions!$O:$O,ROW()-8))</f>
      </c>
    </row>
    <row r="4937" spans="1:7">
      <c r="B4937">
        <f>IF(INDEX(Transactions!$J:$J,ROW()-8)="",TODAY(),INDEX(Transactions!$G:$G,ROW()-8))</f>
      </c>
      <c r="F4937">
        <f>IF(INDEX(Transactions!$J:$J,ROW()-8)="",0,INDEX(Transactions!$O:$O,ROW()-8))</f>
      </c>
    </row>
    <row r="4938" spans="1:7">
      <c r="B4938">
        <f>IF(INDEX(Transactions!$J:$J,ROW()-8)="",TODAY(),INDEX(Transactions!$G:$G,ROW()-8))</f>
      </c>
      <c r="F4938">
        <f>IF(INDEX(Transactions!$J:$J,ROW()-8)="",0,INDEX(Transactions!$O:$O,ROW()-8))</f>
      </c>
    </row>
    <row r="4939" spans="1:7">
      <c r="B4939">
        <f>IF(INDEX(Transactions!$J:$J,ROW()-8)="",TODAY(),INDEX(Transactions!$G:$G,ROW()-8))</f>
      </c>
      <c r="F4939">
        <f>IF(INDEX(Transactions!$J:$J,ROW()-8)="",0,INDEX(Transactions!$O:$O,ROW()-8))</f>
      </c>
    </row>
    <row r="4940" spans="1:7">
      <c r="B4940">
        <f>IF(INDEX(Transactions!$J:$J,ROW()-8)="",TODAY(),INDEX(Transactions!$G:$G,ROW()-8))</f>
      </c>
      <c r="F4940">
        <f>IF(INDEX(Transactions!$J:$J,ROW()-8)="",0,INDEX(Transactions!$O:$O,ROW()-8))</f>
      </c>
    </row>
    <row r="4941" spans="1:7">
      <c r="B4941">
        <f>IF(INDEX(Transactions!$J:$J,ROW()-8)="",TODAY(),INDEX(Transactions!$G:$G,ROW()-8))</f>
      </c>
      <c r="F4941">
        <f>IF(INDEX(Transactions!$J:$J,ROW()-8)="",0,INDEX(Transactions!$O:$O,ROW()-8))</f>
      </c>
    </row>
    <row r="4942" spans="1:7">
      <c r="B4942">
        <f>IF(INDEX(Transactions!$J:$J,ROW()-8)="",TODAY(),INDEX(Transactions!$G:$G,ROW()-8))</f>
      </c>
      <c r="F4942">
        <f>IF(INDEX(Transactions!$J:$J,ROW()-8)="",0,INDEX(Transactions!$O:$O,ROW()-8))</f>
      </c>
    </row>
    <row r="4943" spans="1:7">
      <c r="B4943">
        <f>IF(INDEX(Transactions!$J:$J,ROW()-8)="",TODAY(),INDEX(Transactions!$G:$G,ROW()-8))</f>
      </c>
      <c r="F4943">
        <f>IF(INDEX(Transactions!$J:$J,ROW()-8)="",0,INDEX(Transactions!$O:$O,ROW()-8))</f>
      </c>
    </row>
    <row r="4944" spans="1:7">
      <c r="B4944">
        <f>IF(INDEX(Transactions!$J:$J,ROW()-8)="",TODAY(),INDEX(Transactions!$G:$G,ROW()-8))</f>
      </c>
      <c r="F4944">
        <f>IF(INDEX(Transactions!$J:$J,ROW()-8)="",0,INDEX(Transactions!$O:$O,ROW()-8))</f>
      </c>
    </row>
    <row r="4945" spans="1:7">
      <c r="B4945">
        <f>IF(INDEX(Transactions!$J:$J,ROW()-8)="",TODAY(),INDEX(Transactions!$G:$G,ROW()-8))</f>
      </c>
      <c r="F4945">
        <f>IF(INDEX(Transactions!$J:$J,ROW()-8)="",0,INDEX(Transactions!$O:$O,ROW()-8))</f>
      </c>
    </row>
    <row r="4946" spans="1:7">
      <c r="B4946">
        <f>IF(INDEX(Transactions!$J:$J,ROW()-8)="",TODAY(),INDEX(Transactions!$G:$G,ROW()-8))</f>
      </c>
      <c r="F4946">
        <f>IF(INDEX(Transactions!$J:$J,ROW()-8)="",0,INDEX(Transactions!$O:$O,ROW()-8))</f>
      </c>
    </row>
    <row r="4947" spans="1:7">
      <c r="B4947">
        <f>IF(INDEX(Transactions!$J:$J,ROW()-8)="",TODAY(),INDEX(Transactions!$G:$G,ROW()-8))</f>
      </c>
      <c r="F4947">
        <f>IF(INDEX(Transactions!$J:$J,ROW()-8)="",0,INDEX(Transactions!$O:$O,ROW()-8))</f>
      </c>
    </row>
    <row r="4948" spans="1:7">
      <c r="B4948">
        <f>IF(INDEX(Transactions!$J:$J,ROW()-8)="",TODAY(),INDEX(Transactions!$G:$G,ROW()-8))</f>
      </c>
      <c r="F4948">
        <f>IF(INDEX(Transactions!$J:$J,ROW()-8)="",0,INDEX(Transactions!$O:$O,ROW()-8))</f>
      </c>
    </row>
    <row r="4949" spans="1:7">
      <c r="B4949">
        <f>IF(INDEX(Transactions!$J:$J,ROW()-8)="",TODAY(),INDEX(Transactions!$G:$G,ROW()-8))</f>
      </c>
      <c r="F4949">
        <f>IF(INDEX(Transactions!$J:$J,ROW()-8)="",0,INDEX(Transactions!$O:$O,ROW()-8))</f>
      </c>
    </row>
    <row r="4950" spans="1:7">
      <c r="B4950">
        <f>IF(INDEX(Transactions!$J:$J,ROW()-8)="",TODAY(),INDEX(Transactions!$G:$G,ROW()-8))</f>
      </c>
      <c r="F4950">
        <f>IF(INDEX(Transactions!$J:$J,ROW()-8)="",0,INDEX(Transactions!$O:$O,ROW()-8))</f>
      </c>
    </row>
    <row r="4951" spans="1:7">
      <c r="B4951">
        <f>IF(INDEX(Transactions!$J:$J,ROW()-8)="",TODAY(),INDEX(Transactions!$G:$G,ROW()-8))</f>
      </c>
      <c r="F4951">
        <f>IF(INDEX(Transactions!$J:$J,ROW()-8)="",0,INDEX(Transactions!$O:$O,ROW()-8))</f>
      </c>
    </row>
    <row r="4952" spans="1:7">
      <c r="B4952">
        <f>IF(INDEX(Transactions!$J:$J,ROW()-8)="",TODAY(),INDEX(Transactions!$G:$G,ROW()-8))</f>
      </c>
      <c r="F4952">
        <f>IF(INDEX(Transactions!$J:$J,ROW()-8)="",0,INDEX(Transactions!$O:$O,ROW()-8))</f>
      </c>
    </row>
    <row r="4953" spans="1:7">
      <c r="B4953">
        <f>IF(INDEX(Transactions!$J:$J,ROW()-8)="",TODAY(),INDEX(Transactions!$G:$G,ROW()-8))</f>
      </c>
      <c r="F4953">
        <f>IF(INDEX(Transactions!$J:$J,ROW()-8)="",0,INDEX(Transactions!$O:$O,ROW()-8))</f>
      </c>
    </row>
    <row r="4954" spans="1:7">
      <c r="B4954">
        <f>IF(INDEX(Transactions!$J:$J,ROW()-8)="",TODAY(),INDEX(Transactions!$G:$G,ROW()-8))</f>
      </c>
      <c r="F4954">
        <f>IF(INDEX(Transactions!$J:$J,ROW()-8)="",0,INDEX(Transactions!$O:$O,ROW()-8))</f>
      </c>
    </row>
    <row r="4955" spans="1:7">
      <c r="B4955">
        <f>IF(INDEX(Transactions!$J:$J,ROW()-8)="",TODAY(),INDEX(Transactions!$G:$G,ROW()-8))</f>
      </c>
      <c r="F4955">
        <f>IF(INDEX(Transactions!$J:$J,ROW()-8)="",0,INDEX(Transactions!$O:$O,ROW()-8))</f>
      </c>
    </row>
    <row r="4956" spans="1:7">
      <c r="B4956">
        <f>IF(INDEX(Transactions!$J:$J,ROW()-8)="",TODAY(),INDEX(Transactions!$G:$G,ROW()-8))</f>
      </c>
      <c r="F4956">
        <f>IF(INDEX(Transactions!$J:$J,ROW()-8)="",0,INDEX(Transactions!$O:$O,ROW()-8))</f>
      </c>
    </row>
    <row r="4957" spans="1:7">
      <c r="B4957">
        <f>IF(INDEX(Transactions!$J:$J,ROW()-8)="",TODAY(),INDEX(Transactions!$G:$G,ROW()-8))</f>
      </c>
      <c r="F4957">
        <f>IF(INDEX(Transactions!$J:$J,ROW()-8)="",0,INDEX(Transactions!$O:$O,ROW()-8))</f>
      </c>
    </row>
    <row r="4958" spans="1:7">
      <c r="B4958">
        <f>IF(INDEX(Transactions!$J:$J,ROW()-8)="",TODAY(),INDEX(Transactions!$G:$G,ROW()-8))</f>
      </c>
      <c r="F4958">
        <f>IF(INDEX(Transactions!$J:$J,ROW()-8)="",0,INDEX(Transactions!$O:$O,ROW()-8))</f>
      </c>
    </row>
    <row r="4959" spans="1:7">
      <c r="B4959">
        <f>IF(INDEX(Transactions!$J:$J,ROW()-8)="",TODAY(),INDEX(Transactions!$G:$G,ROW()-8))</f>
      </c>
      <c r="F4959">
        <f>IF(INDEX(Transactions!$J:$J,ROW()-8)="",0,INDEX(Transactions!$O:$O,ROW()-8))</f>
      </c>
    </row>
    <row r="4960" spans="1:7">
      <c r="B4960">
        <f>IF(INDEX(Transactions!$J:$J,ROW()-8)="",TODAY(),INDEX(Transactions!$G:$G,ROW()-8))</f>
      </c>
      <c r="F4960">
        <f>IF(INDEX(Transactions!$J:$J,ROW()-8)="",0,INDEX(Transactions!$O:$O,ROW()-8))</f>
      </c>
    </row>
    <row r="4961" spans="1:7">
      <c r="B4961">
        <f>IF(INDEX(Transactions!$J:$J,ROW()-8)="",TODAY(),INDEX(Transactions!$G:$G,ROW()-8))</f>
      </c>
      <c r="F4961">
        <f>IF(INDEX(Transactions!$J:$J,ROW()-8)="",0,INDEX(Transactions!$O:$O,ROW()-8))</f>
      </c>
    </row>
    <row r="4962" spans="1:7">
      <c r="B4962">
        <f>IF(INDEX(Transactions!$J:$J,ROW()-8)="",TODAY(),INDEX(Transactions!$G:$G,ROW()-8))</f>
      </c>
      <c r="F4962">
        <f>IF(INDEX(Transactions!$J:$J,ROW()-8)="",0,INDEX(Transactions!$O:$O,ROW()-8))</f>
      </c>
    </row>
    <row r="4963" spans="1:7">
      <c r="B4963">
        <f>IF(INDEX(Transactions!$J:$J,ROW()-8)="",TODAY(),INDEX(Transactions!$G:$G,ROW()-8))</f>
      </c>
      <c r="F4963">
        <f>IF(INDEX(Transactions!$J:$J,ROW()-8)="",0,INDEX(Transactions!$O:$O,ROW()-8))</f>
      </c>
    </row>
    <row r="4964" spans="1:7">
      <c r="B4964">
        <f>IF(INDEX(Transactions!$J:$J,ROW()-8)="",TODAY(),INDEX(Transactions!$G:$G,ROW()-8))</f>
      </c>
      <c r="F4964">
        <f>IF(INDEX(Transactions!$J:$J,ROW()-8)="",0,INDEX(Transactions!$O:$O,ROW()-8))</f>
      </c>
    </row>
    <row r="4965" spans="1:7">
      <c r="B4965">
        <f>IF(INDEX(Transactions!$J:$J,ROW()-8)="",TODAY(),INDEX(Transactions!$G:$G,ROW()-8))</f>
      </c>
      <c r="F4965">
        <f>IF(INDEX(Transactions!$J:$J,ROW()-8)="",0,INDEX(Transactions!$O:$O,ROW()-8))</f>
      </c>
    </row>
    <row r="4966" spans="1:7">
      <c r="B4966">
        <f>IF(INDEX(Transactions!$J:$J,ROW()-8)="",TODAY(),INDEX(Transactions!$G:$G,ROW()-8))</f>
      </c>
      <c r="F4966">
        <f>IF(INDEX(Transactions!$J:$J,ROW()-8)="",0,INDEX(Transactions!$O:$O,ROW()-8))</f>
      </c>
    </row>
    <row r="4967" spans="1:7">
      <c r="B4967">
        <f>IF(INDEX(Transactions!$J:$J,ROW()-8)="",TODAY(),INDEX(Transactions!$G:$G,ROW()-8))</f>
      </c>
      <c r="F4967">
        <f>IF(INDEX(Transactions!$J:$J,ROW()-8)="",0,INDEX(Transactions!$O:$O,ROW()-8))</f>
      </c>
    </row>
    <row r="4968" spans="1:7">
      <c r="B4968">
        <f>IF(INDEX(Transactions!$J:$J,ROW()-8)="",TODAY(),INDEX(Transactions!$G:$G,ROW()-8))</f>
      </c>
      <c r="F4968">
        <f>IF(INDEX(Transactions!$J:$J,ROW()-8)="",0,INDEX(Transactions!$O:$O,ROW()-8))</f>
      </c>
    </row>
    <row r="4969" spans="1:7">
      <c r="B4969">
        <f>IF(INDEX(Transactions!$J:$J,ROW()-8)="",TODAY(),INDEX(Transactions!$G:$G,ROW()-8))</f>
      </c>
      <c r="F4969">
        <f>IF(INDEX(Transactions!$J:$J,ROW()-8)="",0,INDEX(Transactions!$O:$O,ROW()-8))</f>
      </c>
    </row>
    <row r="4970" spans="1:7">
      <c r="B4970">
        <f>IF(INDEX(Transactions!$J:$J,ROW()-8)="",TODAY(),INDEX(Transactions!$G:$G,ROW()-8))</f>
      </c>
      <c r="F4970">
        <f>IF(INDEX(Transactions!$J:$J,ROW()-8)="",0,INDEX(Transactions!$O:$O,ROW()-8))</f>
      </c>
    </row>
    <row r="4971" spans="1:7">
      <c r="B4971">
        <f>IF(INDEX(Transactions!$J:$J,ROW()-8)="",TODAY(),INDEX(Transactions!$G:$G,ROW()-8))</f>
      </c>
      <c r="F4971">
        <f>IF(INDEX(Transactions!$J:$J,ROW()-8)="",0,INDEX(Transactions!$O:$O,ROW()-8))</f>
      </c>
    </row>
    <row r="4972" spans="1:7">
      <c r="B4972">
        <f>IF(INDEX(Transactions!$J:$J,ROW()-8)="",TODAY(),INDEX(Transactions!$G:$G,ROW()-8))</f>
      </c>
      <c r="F4972">
        <f>IF(INDEX(Transactions!$J:$J,ROW()-8)="",0,INDEX(Transactions!$O:$O,ROW()-8))</f>
      </c>
    </row>
    <row r="4973" spans="1:7">
      <c r="B4973">
        <f>IF(INDEX(Transactions!$J:$J,ROW()-8)="",TODAY(),INDEX(Transactions!$G:$G,ROW()-8))</f>
      </c>
      <c r="F4973">
        <f>IF(INDEX(Transactions!$J:$J,ROW()-8)="",0,INDEX(Transactions!$O:$O,ROW()-8))</f>
      </c>
    </row>
    <row r="4974" spans="1:7">
      <c r="B4974">
        <f>IF(INDEX(Transactions!$J:$J,ROW()-8)="",TODAY(),INDEX(Transactions!$G:$G,ROW()-8))</f>
      </c>
      <c r="F4974">
        <f>IF(INDEX(Transactions!$J:$J,ROW()-8)="",0,INDEX(Transactions!$O:$O,ROW()-8))</f>
      </c>
    </row>
    <row r="4975" spans="1:7">
      <c r="B4975">
        <f>IF(INDEX(Transactions!$J:$J,ROW()-8)="",TODAY(),INDEX(Transactions!$G:$G,ROW()-8))</f>
      </c>
      <c r="F4975">
        <f>IF(INDEX(Transactions!$J:$J,ROW()-8)="",0,INDEX(Transactions!$O:$O,ROW()-8))</f>
      </c>
    </row>
    <row r="4976" spans="1:7">
      <c r="B4976">
        <f>IF(INDEX(Transactions!$J:$J,ROW()-8)="",TODAY(),INDEX(Transactions!$G:$G,ROW()-8))</f>
      </c>
      <c r="F4976">
        <f>IF(INDEX(Transactions!$J:$J,ROW()-8)="",0,INDEX(Transactions!$O:$O,ROW()-8))</f>
      </c>
    </row>
    <row r="4977" spans="1:7">
      <c r="B4977">
        <f>IF(INDEX(Transactions!$J:$J,ROW()-8)="",TODAY(),INDEX(Transactions!$G:$G,ROW()-8))</f>
      </c>
      <c r="F4977">
        <f>IF(INDEX(Transactions!$J:$J,ROW()-8)="",0,INDEX(Transactions!$O:$O,ROW()-8))</f>
      </c>
    </row>
    <row r="4978" spans="1:7">
      <c r="B4978">
        <f>IF(INDEX(Transactions!$J:$J,ROW()-8)="",TODAY(),INDEX(Transactions!$G:$G,ROW()-8))</f>
      </c>
      <c r="F4978">
        <f>IF(INDEX(Transactions!$J:$J,ROW()-8)="",0,INDEX(Transactions!$O:$O,ROW()-8))</f>
      </c>
    </row>
    <row r="4979" spans="1:7">
      <c r="B4979">
        <f>IF(INDEX(Transactions!$J:$J,ROW()-8)="",TODAY(),INDEX(Transactions!$G:$G,ROW()-8))</f>
      </c>
      <c r="F4979">
        <f>IF(INDEX(Transactions!$J:$J,ROW()-8)="",0,INDEX(Transactions!$O:$O,ROW()-8))</f>
      </c>
    </row>
    <row r="4980" spans="1:7">
      <c r="B4980">
        <f>IF(INDEX(Transactions!$J:$J,ROW()-8)="",TODAY(),INDEX(Transactions!$G:$G,ROW()-8))</f>
      </c>
      <c r="F4980">
        <f>IF(INDEX(Transactions!$J:$J,ROW()-8)="",0,INDEX(Transactions!$O:$O,ROW()-8))</f>
      </c>
    </row>
    <row r="4981" spans="1:7">
      <c r="B4981">
        <f>IF(INDEX(Transactions!$J:$J,ROW()-8)="",TODAY(),INDEX(Transactions!$G:$G,ROW()-8))</f>
      </c>
      <c r="F4981">
        <f>IF(INDEX(Transactions!$J:$J,ROW()-8)="",0,INDEX(Transactions!$O:$O,ROW()-8))</f>
      </c>
    </row>
    <row r="4982" spans="1:7">
      <c r="B4982">
        <f>IF(INDEX(Transactions!$J:$J,ROW()-8)="",TODAY(),INDEX(Transactions!$G:$G,ROW()-8))</f>
      </c>
      <c r="F4982">
        <f>IF(INDEX(Transactions!$J:$J,ROW()-8)="",0,INDEX(Transactions!$O:$O,ROW()-8))</f>
      </c>
    </row>
    <row r="4983" spans="1:7">
      <c r="B4983">
        <f>IF(INDEX(Transactions!$J:$J,ROW()-8)="",TODAY(),INDEX(Transactions!$G:$G,ROW()-8))</f>
      </c>
      <c r="F4983">
        <f>IF(INDEX(Transactions!$J:$J,ROW()-8)="",0,INDEX(Transactions!$O:$O,ROW()-8))</f>
      </c>
    </row>
    <row r="4984" spans="1:7">
      <c r="B4984">
        <f>IF(INDEX(Transactions!$J:$J,ROW()-8)="",TODAY(),INDEX(Transactions!$G:$G,ROW()-8))</f>
      </c>
      <c r="F4984">
        <f>IF(INDEX(Transactions!$J:$J,ROW()-8)="",0,INDEX(Transactions!$O:$O,ROW()-8))</f>
      </c>
    </row>
    <row r="4985" spans="1:7">
      <c r="B4985">
        <f>IF(INDEX(Transactions!$J:$J,ROW()-8)="",TODAY(),INDEX(Transactions!$G:$G,ROW()-8))</f>
      </c>
      <c r="F4985">
        <f>IF(INDEX(Transactions!$J:$J,ROW()-8)="",0,INDEX(Transactions!$O:$O,ROW()-8))</f>
      </c>
    </row>
    <row r="4986" spans="1:7">
      <c r="B4986">
        <f>IF(INDEX(Transactions!$J:$J,ROW()-8)="",TODAY(),INDEX(Transactions!$G:$G,ROW()-8))</f>
      </c>
      <c r="F4986">
        <f>IF(INDEX(Transactions!$J:$J,ROW()-8)="",0,INDEX(Transactions!$O:$O,ROW()-8))</f>
      </c>
    </row>
    <row r="4987" spans="1:7">
      <c r="B4987">
        <f>IF(INDEX(Transactions!$J:$J,ROW()-8)="",TODAY(),INDEX(Transactions!$G:$G,ROW()-8))</f>
      </c>
      <c r="F4987">
        <f>IF(INDEX(Transactions!$J:$J,ROW()-8)="",0,INDEX(Transactions!$O:$O,ROW()-8))</f>
      </c>
    </row>
    <row r="4988" spans="1:7">
      <c r="B4988">
        <f>IF(INDEX(Transactions!$J:$J,ROW()-8)="",TODAY(),INDEX(Transactions!$G:$G,ROW()-8))</f>
      </c>
      <c r="F4988">
        <f>IF(INDEX(Transactions!$J:$J,ROW()-8)="",0,INDEX(Transactions!$O:$O,ROW()-8))</f>
      </c>
    </row>
    <row r="4989" spans="1:7">
      <c r="B4989">
        <f>IF(INDEX(Transactions!$J:$J,ROW()-8)="",TODAY(),INDEX(Transactions!$G:$G,ROW()-8))</f>
      </c>
      <c r="F4989">
        <f>IF(INDEX(Transactions!$J:$J,ROW()-8)="",0,INDEX(Transactions!$O:$O,ROW()-8))</f>
      </c>
    </row>
    <row r="4990" spans="1:7">
      <c r="B4990">
        <f>IF(INDEX(Transactions!$J:$J,ROW()-8)="",TODAY(),INDEX(Transactions!$G:$G,ROW()-8))</f>
      </c>
      <c r="F4990">
        <f>IF(INDEX(Transactions!$J:$J,ROW()-8)="",0,INDEX(Transactions!$O:$O,ROW()-8))</f>
      </c>
    </row>
    <row r="4991" spans="1:7">
      <c r="B4991">
        <f>IF(INDEX(Transactions!$J:$J,ROW()-8)="",TODAY(),INDEX(Transactions!$G:$G,ROW()-8))</f>
      </c>
      <c r="F4991">
        <f>IF(INDEX(Transactions!$J:$J,ROW()-8)="",0,INDEX(Transactions!$O:$O,ROW()-8))</f>
      </c>
    </row>
    <row r="4992" spans="1:7">
      <c r="B4992">
        <f>IF(INDEX(Transactions!$J:$J,ROW()-8)="",TODAY(),INDEX(Transactions!$G:$G,ROW()-8))</f>
      </c>
      <c r="F4992">
        <f>IF(INDEX(Transactions!$J:$J,ROW()-8)="",0,INDEX(Transactions!$O:$O,ROW()-8))</f>
      </c>
    </row>
    <row r="4993" spans="1:7">
      <c r="B4993">
        <f>IF(INDEX(Transactions!$J:$J,ROW()-8)="",TODAY(),INDEX(Transactions!$G:$G,ROW()-8))</f>
      </c>
      <c r="F4993">
        <f>IF(INDEX(Transactions!$J:$J,ROW()-8)="",0,INDEX(Transactions!$O:$O,ROW()-8))</f>
      </c>
    </row>
    <row r="4994" spans="1:7">
      <c r="B4994">
        <f>IF(INDEX(Transactions!$J:$J,ROW()-8)="",TODAY(),INDEX(Transactions!$G:$G,ROW()-8))</f>
      </c>
      <c r="F4994">
        <f>IF(INDEX(Transactions!$J:$J,ROW()-8)="",0,INDEX(Transactions!$O:$O,ROW()-8))</f>
      </c>
    </row>
    <row r="4995" spans="1:7">
      <c r="B4995">
        <f>IF(INDEX(Transactions!$J:$J,ROW()-8)="",TODAY(),INDEX(Transactions!$G:$G,ROW()-8))</f>
      </c>
      <c r="F4995">
        <f>IF(INDEX(Transactions!$J:$J,ROW()-8)="",0,INDEX(Transactions!$O:$O,ROW()-8))</f>
      </c>
    </row>
    <row r="4996" spans="1:7">
      <c r="B4996">
        <f>IF(INDEX(Transactions!$J:$J,ROW()-8)="",TODAY(),INDEX(Transactions!$G:$G,ROW()-8))</f>
      </c>
      <c r="F4996">
        <f>IF(INDEX(Transactions!$J:$J,ROW()-8)="",0,INDEX(Transactions!$O:$O,ROW()-8))</f>
      </c>
    </row>
    <row r="4997" spans="1:7">
      <c r="B4997">
        <f>IF(INDEX(Transactions!$J:$J,ROW()-8)="",TODAY(),INDEX(Transactions!$G:$G,ROW()-8))</f>
      </c>
      <c r="F4997">
        <f>IF(INDEX(Transactions!$J:$J,ROW()-8)="",0,INDEX(Transactions!$O:$O,ROW()-8))</f>
      </c>
    </row>
    <row r="4998" spans="1:7">
      <c r="B4998">
        <f>IF(INDEX(Transactions!$J:$J,ROW()-8)="",TODAY(),INDEX(Transactions!$G:$G,ROW()-8))</f>
      </c>
      <c r="F4998">
        <f>IF(INDEX(Transactions!$J:$J,ROW()-8)="",0,INDEX(Transactions!$O:$O,ROW()-8))</f>
      </c>
    </row>
    <row r="4999" spans="1:7">
      <c r="B4999">
        <f>IF(INDEX(Transactions!$J:$J,ROW()-8)="",TODAY(),INDEX(Transactions!$G:$G,ROW()-8))</f>
      </c>
      <c r="F4999">
        <f>IF(INDEX(Transactions!$J:$J,ROW()-8)="",0,INDEX(Transactions!$O:$O,ROW()-8))</f>
      </c>
    </row>
    <row r="5000" spans="1:7">
      <c r="B5000">
        <f>IF(INDEX(Transactions!$J:$J,ROW()-8)="",TODAY(),INDEX(Transactions!$G:$G,ROW()-8))</f>
      </c>
      <c r="F5000">
        <f>IF(INDEX(Transactions!$J:$J,ROW()-8)="",0,INDEX(Transactions!$O:$O,ROW()-8))</f>
      </c>
    </row>
    <row r="5001" spans="1:7">
      <c r="B5001">
        <f>IF(INDEX(Transactions!$J:$J,ROW()-8)="",TODAY(),INDEX(Transactions!$G:$G,ROW()-8))</f>
      </c>
      <c r="F5001">
        <f>IF(INDEX(Transactions!$J:$J,ROW()-8)="",0,INDEX(Transactions!$O:$O,ROW()-8))</f>
      </c>
    </row>
    <row r="5002" spans="1:7">
      <c r="B5002">
        <f>IF(INDEX(Transactions!$J:$J,ROW()-8)="",TODAY(),INDEX(Transactions!$G:$G,ROW()-8))</f>
      </c>
      <c r="F5002">
        <f>IF(INDEX(Transactions!$J:$J,ROW()-8)="",0,INDEX(Transactions!$O:$O,ROW()-8))</f>
      </c>
    </row>
    <row r="5003" spans="1:7">
      <c r="B5003">
        <f>IF(INDEX(Transactions!$J:$J,ROW()-8)="",TODAY(),INDEX(Transactions!$G:$G,ROW()-8))</f>
      </c>
      <c r="F5003">
        <f>IF(INDEX(Transactions!$J:$J,ROW()-8)="",0,INDEX(Transactions!$O:$O,ROW()-8))</f>
      </c>
    </row>
    <row r="5004" spans="1:7">
      <c r="B5004">
        <f>IF(INDEX(Transactions!$J:$J,ROW()-8)="",TODAY(),INDEX(Transactions!$G:$G,ROW()-8))</f>
      </c>
      <c r="F5004">
        <f>IF(INDEX(Transactions!$J:$J,ROW()-8)="",0,INDEX(Transactions!$O:$O,ROW()-8))</f>
      </c>
    </row>
    <row r="5005" spans="1:7">
      <c r="B5005">
        <f>IF(INDEX(Transactions!$J:$J,ROW()-8)="",TODAY(),INDEX(Transactions!$G:$G,ROW()-8))</f>
      </c>
      <c r="F5005">
        <f>IF(INDEX(Transactions!$J:$J,ROW()-8)="",0,INDEX(Transactions!$O:$O,ROW()-8))</f>
      </c>
    </row>
    <row r="5006" spans="1:7">
      <c r="B5006">
        <f>IF(INDEX(Transactions!$J:$J,ROW()-8)="",TODAY(),INDEX(Transactions!$G:$G,ROW()-8))</f>
      </c>
      <c r="F5006">
        <f>IF(INDEX(Transactions!$J:$J,ROW()-8)="",0,INDEX(Transactions!$O:$O,ROW()-8))</f>
      </c>
    </row>
    <row r="5007" spans="1:7">
      <c r="B5007">
        <f>IF(INDEX(Transactions!$J:$J,ROW()-8)="",TODAY(),INDEX(Transactions!$G:$G,ROW()-8))</f>
      </c>
      <c r="F5007">
        <f>IF(INDEX(Transactions!$J:$J,ROW()-8)="",0,INDEX(Transactions!$O:$O,ROW()-8))</f>
      </c>
    </row>
    <row r="5008" spans="1:7">
      <c r="B5008">
        <f>IF(INDEX(Transactions!$J:$J,ROW()-8)="",TODAY(),INDEX(Transactions!$G:$G,ROW()-8))</f>
      </c>
      <c r="F5008">
        <f>IF(INDEX(Transactions!$J:$J,ROW()-8)="",0,INDEX(Transactions!$O:$O,ROW()-8))</f>
      </c>
    </row>
    <row r="5009" spans="1:7">
      <c r="B5009">
        <f>IF(INDEX(Transactions!$J:$J,ROW()-8)="",TODAY(),INDEX(Transactions!$G:$G,ROW()-8))</f>
      </c>
      <c r="F5009">
        <f>IF(INDEX(Transactions!$J:$J,ROW()-8)="",0,INDEX(Transactions!$O:$O,ROW()-8))</f>
      </c>
    </row>
    <row r="5010" spans="1:7">
      <c r="B5010">
        <f>IF(INDEX(Transactions!$J:$J,ROW()-8)="",TODAY(),INDEX(Transactions!$G:$G,ROW()-8))</f>
      </c>
      <c r="F5010">
        <f>IF(INDEX(Transactions!$J:$J,ROW()-8)="",0,INDEX(Transactions!$O:$O,ROW()-8))</f>
      </c>
    </row>
    <row r="5011" spans="1:7">
      <c r="B5011">
        <f>IF(INDEX(Transactions!$J:$J,ROW()-8)="",TODAY(),INDEX(Transactions!$G:$G,ROW()-8))</f>
      </c>
      <c r="F5011">
        <f>IF(INDEX(Transactions!$J:$J,ROW()-8)="",0,INDEX(Transactions!$O:$O,ROW()-8))</f>
      </c>
    </row>
    <row r="5012" spans="1:7">
      <c r="B5012">
        <f>IF(INDEX(Transactions!$J:$J,ROW()-8)="",TODAY(),INDEX(Transactions!$G:$G,ROW()-8))</f>
      </c>
      <c r="F5012">
        <f>IF(INDEX(Transactions!$J:$J,ROW()-8)="",0,INDEX(Transactions!$O:$O,ROW()-8))</f>
      </c>
    </row>
    <row r="5013" spans="1:7">
      <c r="B5013">
        <f>IF(INDEX(Transactions!$J:$J,ROW()-8)="",TODAY(),INDEX(Transactions!$G:$G,ROW()-8))</f>
      </c>
      <c r="F5013">
        <f>IF(INDEX(Transactions!$J:$J,ROW()-8)="",0,INDEX(Transactions!$O:$O,ROW()-8))</f>
      </c>
    </row>
    <row r="5014" spans="1:7">
      <c r="B5014">
        <f>IF(INDEX(Transactions!$J:$J,ROW()-8)="",TODAY(),INDEX(Transactions!$G:$G,ROW()-8))</f>
      </c>
      <c r="F5014">
        <f>IF(INDEX(Transactions!$J:$J,ROW()-8)="",0,INDEX(Transactions!$O:$O,ROW()-8))</f>
      </c>
    </row>
    <row r="5015" spans="1:7">
      <c r="B5015">
        <f>IF(INDEX(Transactions!$J:$J,ROW()-8)="",TODAY(),INDEX(Transactions!$G:$G,ROW()-8))</f>
      </c>
      <c r="F5015">
        <f>IF(INDEX(Transactions!$J:$J,ROW()-8)="",0,INDEX(Transactions!$O:$O,ROW()-8))</f>
      </c>
    </row>
    <row r="5016" spans="1:7">
      <c r="B5016">
        <f>IF(INDEX(Transactions!$J:$J,ROW()-8)="",TODAY(),INDEX(Transactions!$G:$G,ROW()-8))</f>
      </c>
      <c r="F5016">
        <f>IF(INDEX(Transactions!$J:$J,ROW()-8)="",0,INDEX(Transactions!$O:$O,ROW()-8))</f>
      </c>
    </row>
    <row r="5017" spans="1:7">
      <c r="B5017">
        <f>IF(INDEX(Transactions!$J:$J,ROW()-8)="",TODAY(),INDEX(Transactions!$G:$G,ROW()-8))</f>
      </c>
      <c r="F5017">
        <f>IF(INDEX(Transactions!$J:$J,ROW()-8)="",0,INDEX(Transactions!$O:$O,ROW()-8))</f>
      </c>
    </row>
    <row r="5018" spans="1:7">
      <c r="B5018">
        <f>IF(INDEX(Transactions!$J:$J,ROW()-8)="",TODAY(),INDEX(Transactions!$G:$G,ROW()-8))</f>
      </c>
      <c r="F5018">
        <f>IF(INDEX(Transactions!$J:$J,ROW()-8)="",0,INDEX(Transactions!$O:$O,ROW()-8))</f>
      </c>
    </row>
    <row r="5019" spans="1:7">
      <c r="B5019">
        <f>IF(INDEX(Transactions!$J:$J,ROW()-8)="",TODAY(),INDEX(Transactions!$G:$G,ROW()-8))</f>
      </c>
      <c r="F5019">
        <f>IF(INDEX(Transactions!$J:$J,ROW()-8)="",0,INDEX(Transactions!$O:$O,ROW()-8))</f>
      </c>
    </row>
    <row r="5020" spans="1:7">
      <c r="B5020">
        <f>IF(INDEX(Transactions!$J:$J,ROW()-8)="",TODAY(),INDEX(Transactions!$G:$G,ROW()-8))</f>
      </c>
      <c r="F5020">
        <f>IF(INDEX(Transactions!$J:$J,ROW()-8)="",0,INDEX(Transactions!$O:$O,ROW()-8))</f>
      </c>
    </row>
    <row r="5021" spans="1:7">
      <c r="B5021">
        <f>IF(INDEX(Transactions!$J:$J,ROW()-8)="",TODAY(),INDEX(Transactions!$G:$G,ROW()-8))</f>
      </c>
      <c r="F5021">
        <f>IF(INDEX(Transactions!$J:$J,ROW()-8)="",0,INDEX(Transactions!$O:$O,ROW()-8))</f>
      </c>
    </row>
    <row r="5022" spans="1:7">
      <c r="B5022">
        <f>IF(INDEX(Transactions!$J:$J,ROW()-8)="",TODAY(),INDEX(Transactions!$G:$G,ROW()-8))</f>
      </c>
      <c r="F5022">
        <f>IF(INDEX(Transactions!$J:$J,ROW()-8)="",0,INDEX(Transactions!$O:$O,ROW()-8))</f>
      </c>
    </row>
    <row r="5023" spans="1:7">
      <c r="B5023">
        <f>IF(INDEX(Transactions!$J:$J,ROW()-8)="",TODAY(),INDEX(Transactions!$G:$G,ROW()-8))</f>
      </c>
      <c r="F5023">
        <f>IF(INDEX(Transactions!$J:$J,ROW()-8)="",0,INDEX(Transactions!$O:$O,ROW()-8))</f>
      </c>
    </row>
    <row r="5024" spans="1:7">
      <c r="B5024">
        <f>IF(INDEX(Transactions!$J:$J,ROW()-8)="",TODAY(),INDEX(Transactions!$G:$G,ROW()-8))</f>
      </c>
      <c r="F5024">
        <f>IF(INDEX(Transactions!$J:$J,ROW()-8)="",0,INDEX(Transactions!$O:$O,ROW()-8))</f>
      </c>
    </row>
    <row r="5025" spans="1:7">
      <c r="B5025">
        <f>IF(INDEX(Transactions!$J:$J,ROW()-8)="",TODAY(),INDEX(Transactions!$G:$G,ROW()-8))</f>
      </c>
      <c r="F5025">
        <f>IF(INDEX(Transactions!$J:$J,ROW()-8)="",0,INDEX(Transactions!$O:$O,ROW()-8))</f>
      </c>
    </row>
    <row r="5026" spans="1:7">
      <c r="B5026">
        <f>IF(INDEX(Transactions!$J:$J,ROW()-8)="",TODAY(),INDEX(Transactions!$G:$G,ROW()-8))</f>
      </c>
      <c r="F5026">
        <f>IF(INDEX(Transactions!$J:$J,ROW()-8)="",0,INDEX(Transactions!$O:$O,ROW()-8))</f>
      </c>
    </row>
    <row r="5027" spans="1:7">
      <c r="B5027">
        <f>IF(INDEX(Transactions!$J:$J,ROW()-8)="",TODAY(),INDEX(Transactions!$G:$G,ROW()-8))</f>
      </c>
      <c r="F5027">
        <f>IF(INDEX(Transactions!$J:$J,ROW()-8)="",0,INDEX(Transactions!$O:$O,ROW()-8))</f>
      </c>
    </row>
    <row r="5028" spans="1:7">
      <c r="B5028">
        <f>IF(INDEX(Transactions!$J:$J,ROW()-8)="",TODAY(),INDEX(Transactions!$G:$G,ROW()-8))</f>
      </c>
      <c r="F5028">
        <f>IF(INDEX(Transactions!$J:$J,ROW()-8)="",0,INDEX(Transactions!$O:$O,ROW()-8))</f>
      </c>
    </row>
    <row r="5029" spans="1:7">
      <c r="B5029">
        <f>IF(INDEX(Transactions!$J:$J,ROW()-8)="",TODAY(),INDEX(Transactions!$G:$G,ROW()-8))</f>
      </c>
      <c r="F5029">
        <f>IF(INDEX(Transactions!$J:$J,ROW()-8)="",0,INDEX(Transactions!$O:$O,ROW()-8))</f>
      </c>
    </row>
    <row r="5030" spans="1:7">
      <c r="B5030">
        <f>IF(INDEX(Transactions!$J:$J,ROW()-8)="",TODAY(),INDEX(Transactions!$G:$G,ROW()-8))</f>
      </c>
      <c r="F5030">
        <f>IF(INDEX(Transactions!$J:$J,ROW()-8)="",0,INDEX(Transactions!$O:$O,ROW()-8))</f>
      </c>
    </row>
    <row r="5031" spans="1:7">
      <c r="B5031">
        <f>IF(INDEX(Transactions!$J:$J,ROW()-8)="",TODAY(),INDEX(Transactions!$G:$G,ROW()-8))</f>
      </c>
      <c r="F5031">
        <f>IF(INDEX(Transactions!$J:$J,ROW()-8)="",0,INDEX(Transactions!$O:$O,ROW()-8))</f>
      </c>
    </row>
    <row r="5032" spans="1:7">
      <c r="B5032">
        <f>IF(INDEX(Transactions!$J:$J,ROW()-8)="",TODAY(),INDEX(Transactions!$G:$G,ROW()-8))</f>
      </c>
      <c r="F5032">
        <f>IF(INDEX(Transactions!$J:$J,ROW()-8)="",0,INDEX(Transactions!$O:$O,ROW()-8))</f>
      </c>
    </row>
    <row r="5033" spans="1:7">
      <c r="B5033">
        <f>IF(INDEX(Transactions!$J:$J,ROW()-8)="",TODAY(),INDEX(Transactions!$G:$G,ROW()-8))</f>
      </c>
      <c r="F5033">
        <f>IF(INDEX(Transactions!$J:$J,ROW()-8)="",0,INDEX(Transactions!$O:$O,ROW()-8))</f>
      </c>
    </row>
    <row r="5034" spans="1:7">
      <c r="B5034">
        <f>IF(INDEX(Transactions!$J:$J,ROW()-8)="",TODAY(),INDEX(Transactions!$G:$G,ROW()-8))</f>
      </c>
      <c r="F5034">
        <f>IF(INDEX(Transactions!$J:$J,ROW()-8)="",0,INDEX(Transactions!$O:$O,ROW()-8))</f>
      </c>
    </row>
    <row r="5035" spans="1:7">
      <c r="B5035">
        <f>IF(INDEX(Transactions!$J:$J,ROW()-8)="",TODAY(),INDEX(Transactions!$G:$G,ROW()-8))</f>
      </c>
      <c r="F5035">
        <f>IF(INDEX(Transactions!$J:$J,ROW()-8)="",0,INDEX(Transactions!$O:$O,ROW()-8))</f>
      </c>
    </row>
    <row r="5036" spans="1:7">
      <c r="B5036">
        <f>IF(INDEX(Transactions!$J:$J,ROW()-8)="",TODAY(),INDEX(Transactions!$G:$G,ROW()-8))</f>
      </c>
      <c r="F5036">
        <f>IF(INDEX(Transactions!$J:$J,ROW()-8)="",0,INDEX(Transactions!$O:$O,ROW()-8))</f>
      </c>
    </row>
    <row r="5037" spans="1:7">
      <c r="B5037">
        <f>IF(INDEX(Transactions!$J:$J,ROW()-8)="",TODAY(),INDEX(Transactions!$G:$G,ROW()-8))</f>
      </c>
      <c r="F5037">
        <f>IF(INDEX(Transactions!$J:$J,ROW()-8)="",0,INDEX(Transactions!$O:$O,ROW()-8))</f>
      </c>
    </row>
    <row r="5038" spans="1:7">
      <c r="B5038">
        <f>IF(INDEX(Transactions!$J:$J,ROW()-8)="",TODAY(),INDEX(Transactions!$G:$G,ROW()-8))</f>
      </c>
      <c r="F5038">
        <f>IF(INDEX(Transactions!$J:$J,ROW()-8)="",0,INDEX(Transactions!$O:$O,ROW()-8))</f>
      </c>
    </row>
    <row r="5039" spans="1:7">
      <c r="B5039">
        <f>IF(INDEX(Transactions!$J:$J,ROW()-8)="",TODAY(),INDEX(Transactions!$G:$G,ROW()-8))</f>
      </c>
      <c r="F5039">
        <f>IF(INDEX(Transactions!$J:$J,ROW()-8)="",0,INDEX(Transactions!$O:$O,ROW()-8))</f>
      </c>
    </row>
    <row r="5040" spans="1:7">
      <c r="B5040">
        <f>IF(INDEX(Transactions!$J:$J,ROW()-8)="",TODAY(),INDEX(Transactions!$G:$G,ROW()-8))</f>
      </c>
      <c r="F5040">
        <f>IF(INDEX(Transactions!$J:$J,ROW()-8)="",0,INDEX(Transactions!$O:$O,ROW()-8))</f>
      </c>
    </row>
    <row r="5041" spans="1:7">
      <c r="B5041">
        <f>IF(INDEX(Transactions!$J:$J,ROW()-8)="",TODAY(),INDEX(Transactions!$G:$G,ROW()-8))</f>
      </c>
      <c r="F5041">
        <f>IF(INDEX(Transactions!$J:$J,ROW()-8)="",0,INDEX(Transactions!$O:$O,ROW()-8))</f>
      </c>
    </row>
    <row r="5042" spans="1:7">
      <c r="B5042">
        <f>IF(INDEX(Transactions!$J:$J,ROW()-8)="",TODAY(),INDEX(Transactions!$G:$G,ROW()-8))</f>
      </c>
      <c r="F5042">
        <f>IF(INDEX(Transactions!$J:$J,ROW()-8)="",0,INDEX(Transactions!$O:$O,ROW()-8))</f>
      </c>
    </row>
    <row r="5043" spans="1:7">
      <c r="B5043">
        <f>IF(INDEX(Transactions!$J:$J,ROW()-8)="",TODAY(),INDEX(Transactions!$G:$G,ROW()-8))</f>
      </c>
      <c r="F5043">
        <f>IF(INDEX(Transactions!$J:$J,ROW()-8)="",0,INDEX(Transactions!$O:$O,ROW()-8))</f>
      </c>
    </row>
    <row r="5044" spans="1:7">
      <c r="B5044">
        <f>IF(INDEX(Transactions!$J:$J,ROW()-8)="",TODAY(),INDEX(Transactions!$G:$G,ROW()-8))</f>
      </c>
      <c r="F5044">
        <f>IF(INDEX(Transactions!$J:$J,ROW()-8)="",0,INDEX(Transactions!$O:$O,ROW()-8))</f>
      </c>
    </row>
    <row r="5045" spans="1:7">
      <c r="B5045">
        <f>IF(INDEX(Transactions!$J:$J,ROW()-8)="",TODAY(),INDEX(Transactions!$G:$G,ROW()-8))</f>
      </c>
      <c r="F5045">
        <f>IF(INDEX(Transactions!$J:$J,ROW()-8)="",0,INDEX(Transactions!$O:$O,ROW()-8))</f>
      </c>
    </row>
    <row r="5046" spans="1:7">
      <c r="B5046">
        <f>IF(INDEX(Transactions!$J:$J,ROW()-8)="",TODAY(),INDEX(Transactions!$G:$G,ROW()-8))</f>
      </c>
      <c r="F5046">
        <f>IF(INDEX(Transactions!$J:$J,ROW()-8)="",0,INDEX(Transactions!$O:$O,ROW()-8))</f>
      </c>
    </row>
    <row r="5047" spans="1:7">
      <c r="B5047">
        <f>IF(INDEX(Transactions!$J:$J,ROW()-8)="",TODAY(),INDEX(Transactions!$G:$G,ROW()-8))</f>
      </c>
      <c r="F5047">
        <f>IF(INDEX(Transactions!$J:$J,ROW()-8)="",0,INDEX(Transactions!$O:$O,ROW()-8))</f>
      </c>
    </row>
    <row r="5048" spans="1:7">
      <c r="B5048">
        <f>IF(INDEX(Transactions!$J:$J,ROW()-8)="",TODAY(),INDEX(Transactions!$G:$G,ROW()-8))</f>
      </c>
      <c r="F5048">
        <f>IF(INDEX(Transactions!$J:$J,ROW()-8)="",0,INDEX(Transactions!$O:$O,ROW()-8))</f>
      </c>
    </row>
    <row r="5049" spans="1:7">
      <c r="B5049">
        <f>IF(INDEX(Transactions!$J:$J,ROW()-8)="",TODAY(),INDEX(Transactions!$G:$G,ROW()-8))</f>
      </c>
      <c r="F5049">
        <f>IF(INDEX(Transactions!$J:$J,ROW()-8)="",0,INDEX(Transactions!$O:$O,ROW()-8))</f>
      </c>
    </row>
    <row r="5050" spans="1:7">
      <c r="B5050">
        <f>IF(INDEX(Transactions!$J:$J,ROW()-8)="",TODAY(),INDEX(Transactions!$G:$G,ROW()-8))</f>
      </c>
      <c r="F5050">
        <f>IF(INDEX(Transactions!$J:$J,ROW()-8)="",0,INDEX(Transactions!$O:$O,ROW()-8))</f>
      </c>
    </row>
    <row r="5051" spans="1:7">
      <c r="B5051">
        <f>IF(INDEX(Transactions!$J:$J,ROW()-8)="",TODAY(),INDEX(Transactions!$G:$G,ROW()-8))</f>
      </c>
      <c r="F5051">
        <f>IF(INDEX(Transactions!$J:$J,ROW()-8)="",0,INDEX(Transactions!$O:$O,ROW()-8))</f>
      </c>
    </row>
    <row r="5052" spans="1:7">
      <c r="B5052">
        <f>IF(INDEX(Transactions!$J:$J,ROW()-8)="",TODAY(),INDEX(Transactions!$G:$G,ROW()-8))</f>
      </c>
      <c r="F5052">
        <f>IF(INDEX(Transactions!$J:$J,ROW()-8)="",0,INDEX(Transactions!$O:$O,ROW()-8))</f>
      </c>
    </row>
    <row r="5053" spans="1:7">
      <c r="B5053">
        <f>IF(INDEX(Transactions!$J:$J,ROW()-8)="",TODAY(),INDEX(Transactions!$G:$G,ROW()-8))</f>
      </c>
      <c r="F5053">
        <f>IF(INDEX(Transactions!$J:$J,ROW()-8)="",0,INDEX(Transactions!$O:$O,ROW()-8))</f>
      </c>
    </row>
    <row r="5054" spans="1:7">
      <c r="B5054">
        <f>IF(INDEX(Transactions!$J:$J,ROW()-8)="",TODAY(),INDEX(Transactions!$G:$G,ROW()-8))</f>
      </c>
      <c r="F5054">
        <f>IF(INDEX(Transactions!$J:$J,ROW()-8)="",0,INDEX(Transactions!$O:$O,ROW()-8))</f>
      </c>
    </row>
    <row r="5055" spans="1:7">
      <c r="B5055">
        <f>IF(INDEX(Transactions!$J:$J,ROW()-8)="",TODAY(),INDEX(Transactions!$G:$G,ROW()-8))</f>
      </c>
      <c r="F5055">
        <f>IF(INDEX(Transactions!$J:$J,ROW()-8)="",0,INDEX(Transactions!$O:$O,ROW()-8))</f>
      </c>
    </row>
    <row r="5056" spans="1:7">
      <c r="B5056">
        <f>IF(INDEX(Transactions!$J:$J,ROW()-8)="",TODAY(),INDEX(Transactions!$G:$G,ROW()-8))</f>
      </c>
      <c r="F5056">
        <f>IF(INDEX(Transactions!$J:$J,ROW()-8)="",0,INDEX(Transactions!$O:$O,ROW()-8))</f>
      </c>
    </row>
    <row r="5057" spans="1:7">
      <c r="B5057">
        <f>IF(INDEX(Transactions!$J:$J,ROW()-8)="",TODAY(),INDEX(Transactions!$G:$G,ROW()-8))</f>
      </c>
      <c r="F5057">
        <f>IF(INDEX(Transactions!$J:$J,ROW()-8)="",0,INDEX(Transactions!$O:$O,ROW()-8))</f>
      </c>
    </row>
    <row r="5058" spans="1:7">
      <c r="B5058">
        <f>IF(INDEX(Transactions!$J:$J,ROW()-8)="",TODAY(),INDEX(Transactions!$G:$G,ROW()-8))</f>
      </c>
      <c r="F5058">
        <f>IF(INDEX(Transactions!$J:$J,ROW()-8)="",0,INDEX(Transactions!$O:$O,ROW()-8))</f>
      </c>
    </row>
    <row r="5059" spans="1:7">
      <c r="B5059">
        <f>IF(INDEX(Transactions!$J:$J,ROW()-8)="",TODAY(),INDEX(Transactions!$G:$G,ROW()-8))</f>
      </c>
      <c r="F5059">
        <f>IF(INDEX(Transactions!$J:$J,ROW()-8)="",0,INDEX(Transactions!$O:$O,ROW()-8))</f>
      </c>
    </row>
    <row r="5060" spans="1:7">
      <c r="B5060">
        <f>IF(INDEX(Transactions!$J:$J,ROW()-8)="",TODAY(),INDEX(Transactions!$G:$G,ROW()-8))</f>
      </c>
      <c r="F5060">
        <f>IF(INDEX(Transactions!$J:$J,ROW()-8)="",0,INDEX(Transactions!$O:$O,ROW()-8))</f>
      </c>
    </row>
    <row r="5061" spans="1:7">
      <c r="B5061">
        <f>IF(INDEX(Transactions!$J:$J,ROW()-8)="",TODAY(),INDEX(Transactions!$G:$G,ROW()-8))</f>
      </c>
      <c r="F5061">
        <f>IF(INDEX(Transactions!$J:$J,ROW()-8)="",0,INDEX(Transactions!$O:$O,ROW()-8))</f>
      </c>
    </row>
    <row r="5062" spans="1:7">
      <c r="B5062">
        <f>IF(INDEX(Transactions!$J:$J,ROW()-8)="",TODAY(),INDEX(Transactions!$G:$G,ROW()-8))</f>
      </c>
      <c r="F5062">
        <f>IF(INDEX(Transactions!$J:$J,ROW()-8)="",0,INDEX(Transactions!$O:$O,ROW()-8))</f>
      </c>
    </row>
    <row r="5063" spans="1:7">
      <c r="B5063">
        <f>IF(INDEX(Transactions!$J:$J,ROW()-8)="",TODAY(),INDEX(Transactions!$G:$G,ROW()-8))</f>
      </c>
      <c r="F5063">
        <f>IF(INDEX(Transactions!$J:$J,ROW()-8)="",0,INDEX(Transactions!$O:$O,ROW()-8))</f>
      </c>
    </row>
    <row r="5064" spans="1:7">
      <c r="B5064">
        <f>IF(INDEX(Transactions!$J:$J,ROW()-8)="",TODAY(),INDEX(Transactions!$G:$G,ROW()-8))</f>
      </c>
      <c r="F5064">
        <f>IF(INDEX(Transactions!$J:$J,ROW()-8)="",0,INDEX(Transactions!$O:$O,ROW()-8))</f>
      </c>
    </row>
    <row r="5065" spans="1:7">
      <c r="B5065">
        <f>IF(INDEX(Transactions!$J:$J,ROW()-8)="",TODAY(),INDEX(Transactions!$G:$G,ROW()-8))</f>
      </c>
      <c r="F5065">
        <f>IF(INDEX(Transactions!$J:$J,ROW()-8)="",0,INDEX(Transactions!$O:$O,ROW()-8))</f>
      </c>
    </row>
    <row r="5066" spans="1:7">
      <c r="B5066">
        <f>IF(INDEX(Transactions!$J:$J,ROW()-8)="",TODAY(),INDEX(Transactions!$G:$G,ROW()-8))</f>
      </c>
      <c r="F5066">
        <f>IF(INDEX(Transactions!$J:$J,ROW()-8)="",0,INDEX(Transactions!$O:$O,ROW()-8))</f>
      </c>
    </row>
    <row r="5067" spans="1:7">
      <c r="B5067">
        <f>IF(INDEX(Transactions!$J:$J,ROW()-8)="",TODAY(),INDEX(Transactions!$G:$G,ROW()-8))</f>
      </c>
      <c r="F5067">
        <f>IF(INDEX(Transactions!$J:$J,ROW()-8)="",0,INDEX(Transactions!$O:$O,ROW()-8))</f>
      </c>
    </row>
    <row r="5068" spans="1:7">
      <c r="B5068">
        <f>IF(INDEX(Transactions!$J:$J,ROW()-8)="",TODAY(),INDEX(Transactions!$G:$G,ROW()-8))</f>
      </c>
      <c r="F5068">
        <f>IF(INDEX(Transactions!$J:$J,ROW()-8)="",0,INDEX(Transactions!$O:$O,ROW()-8))</f>
      </c>
    </row>
    <row r="5069" spans="1:7">
      <c r="B5069">
        <f>IF(INDEX(Transactions!$J:$J,ROW()-8)="",TODAY(),INDEX(Transactions!$G:$G,ROW()-8))</f>
      </c>
      <c r="F5069">
        <f>IF(INDEX(Transactions!$J:$J,ROW()-8)="",0,INDEX(Transactions!$O:$O,ROW()-8))</f>
      </c>
    </row>
    <row r="5070" spans="1:7">
      <c r="B5070">
        <f>IF(INDEX(Transactions!$J:$J,ROW()-8)="",TODAY(),INDEX(Transactions!$G:$G,ROW()-8))</f>
      </c>
      <c r="F5070">
        <f>IF(INDEX(Transactions!$J:$J,ROW()-8)="",0,INDEX(Transactions!$O:$O,ROW()-8))</f>
      </c>
    </row>
    <row r="5071" spans="1:7">
      <c r="B5071">
        <f>IF(INDEX(Transactions!$J:$J,ROW()-8)="",TODAY(),INDEX(Transactions!$G:$G,ROW()-8))</f>
      </c>
      <c r="F5071">
        <f>IF(INDEX(Transactions!$J:$J,ROW()-8)="",0,INDEX(Transactions!$O:$O,ROW()-8))</f>
      </c>
    </row>
    <row r="5072" spans="1:7">
      <c r="B5072">
        <f>IF(INDEX(Transactions!$J:$J,ROW()-8)="",TODAY(),INDEX(Transactions!$G:$G,ROW()-8))</f>
      </c>
      <c r="F5072">
        <f>IF(INDEX(Transactions!$J:$J,ROW()-8)="",0,INDEX(Transactions!$O:$O,ROW()-8))</f>
      </c>
    </row>
    <row r="5073" spans="1:7">
      <c r="B5073">
        <f>IF(INDEX(Transactions!$J:$J,ROW()-8)="",TODAY(),INDEX(Transactions!$G:$G,ROW()-8))</f>
      </c>
      <c r="F5073">
        <f>IF(INDEX(Transactions!$J:$J,ROW()-8)="",0,INDEX(Transactions!$O:$O,ROW()-8))</f>
      </c>
    </row>
    <row r="5074" spans="1:7">
      <c r="B5074">
        <f>IF(INDEX(Transactions!$J:$J,ROW()-8)="",TODAY(),INDEX(Transactions!$G:$G,ROW()-8))</f>
      </c>
      <c r="F5074">
        <f>IF(INDEX(Transactions!$J:$J,ROW()-8)="",0,INDEX(Transactions!$O:$O,ROW()-8))</f>
      </c>
    </row>
    <row r="5075" spans="1:7">
      <c r="B5075">
        <f>IF(INDEX(Transactions!$J:$J,ROW()-8)="",TODAY(),INDEX(Transactions!$G:$G,ROW()-8))</f>
      </c>
      <c r="F5075">
        <f>IF(INDEX(Transactions!$J:$J,ROW()-8)="",0,INDEX(Transactions!$O:$O,ROW()-8))</f>
      </c>
    </row>
    <row r="5076" spans="1:7">
      <c r="B5076">
        <f>IF(INDEX(Transactions!$J:$J,ROW()-8)="",TODAY(),INDEX(Transactions!$G:$G,ROW()-8))</f>
      </c>
      <c r="F5076">
        <f>IF(INDEX(Transactions!$J:$J,ROW()-8)="",0,INDEX(Transactions!$O:$O,ROW()-8))</f>
      </c>
    </row>
    <row r="5077" spans="1:7">
      <c r="B5077">
        <f>IF(INDEX(Transactions!$J:$J,ROW()-8)="",TODAY(),INDEX(Transactions!$G:$G,ROW()-8))</f>
      </c>
      <c r="F5077">
        <f>IF(INDEX(Transactions!$J:$J,ROW()-8)="",0,INDEX(Transactions!$O:$O,ROW()-8))</f>
      </c>
    </row>
    <row r="5078" spans="1:7">
      <c r="B5078">
        <f>IF(INDEX(Transactions!$J:$J,ROW()-8)="",TODAY(),INDEX(Transactions!$G:$G,ROW()-8))</f>
      </c>
      <c r="F5078">
        <f>IF(INDEX(Transactions!$J:$J,ROW()-8)="",0,INDEX(Transactions!$O:$O,ROW()-8))</f>
      </c>
    </row>
    <row r="5079" spans="1:7">
      <c r="B5079">
        <f>IF(INDEX(Transactions!$J:$J,ROW()-8)="",TODAY(),INDEX(Transactions!$G:$G,ROW()-8))</f>
      </c>
      <c r="F5079">
        <f>IF(INDEX(Transactions!$J:$J,ROW()-8)="",0,INDEX(Transactions!$O:$O,ROW()-8))</f>
      </c>
    </row>
    <row r="5080" spans="1:7">
      <c r="B5080">
        <f>IF(INDEX(Transactions!$J:$J,ROW()-8)="",TODAY(),INDEX(Transactions!$G:$G,ROW()-8))</f>
      </c>
      <c r="F5080">
        <f>IF(INDEX(Transactions!$J:$J,ROW()-8)="",0,INDEX(Transactions!$O:$O,ROW()-8))</f>
      </c>
    </row>
    <row r="5081" spans="1:7">
      <c r="B5081">
        <f>IF(INDEX(Transactions!$J:$J,ROW()-8)="",TODAY(),INDEX(Transactions!$G:$G,ROW()-8))</f>
      </c>
      <c r="F5081">
        <f>IF(INDEX(Transactions!$J:$J,ROW()-8)="",0,INDEX(Transactions!$O:$O,ROW()-8))</f>
      </c>
    </row>
    <row r="5082" spans="1:7">
      <c r="B5082">
        <f>IF(INDEX(Transactions!$J:$J,ROW()-8)="",TODAY(),INDEX(Transactions!$G:$G,ROW()-8))</f>
      </c>
      <c r="F5082">
        <f>IF(INDEX(Transactions!$J:$J,ROW()-8)="",0,INDEX(Transactions!$O:$O,ROW()-8))</f>
      </c>
    </row>
    <row r="5083" spans="1:7">
      <c r="B5083">
        <f>IF(INDEX(Transactions!$J:$J,ROW()-8)="",TODAY(),INDEX(Transactions!$G:$G,ROW()-8))</f>
      </c>
      <c r="F5083">
        <f>IF(INDEX(Transactions!$J:$J,ROW()-8)="",0,INDEX(Transactions!$O:$O,ROW()-8))</f>
      </c>
    </row>
    <row r="5084" spans="1:7">
      <c r="B5084">
        <f>IF(INDEX(Transactions!$J:$J,ROW()-8)="",TODAY(),INDEX(Transactions!$G:$G,ROW()-8))</f>
      </c>
      <c r="F5084">
        <f>IF(INDEX(Transactions!$J:$J,ROW()-8)="",0,INDEX(Transactions!$O:$O,ROW()-8))</f>
      </c>
    </row>
    <row r="5085" spans="1:7">
      <c r="B5085">
        <f>IF(INDEX(Transactions!$J:$J,ROW()-8)="",TODAY(),INDEX(Transactions!$G:$G,ROW()-8))</f>
      </c>
      <c r="F5085">
        <f>IF(INDEX(Transactions!$J:$J,ROW()-8)="",0,INDEX(Transactions!$O:$O,ROW()-8))</f>
      </c>
    </row>
    <row r="5086" spans="1:7">
      <c r="B5086">
        <f>IF(INDEX(Transactions!$J:$J,ROW()-8)="",TODAY(),INDEX(Transactions!$G:$G,ROW()-8))</f>
      </c>
      <c r="F5086">
        <f>IF(INDEX(Transactions!$J:$J,ROW()-8)="",0,INDEX(Transactions!$O:$O,ROW()-8))</f>
      </c>
    </row>
    <row r="5087" spans="1:7">
      <c r="B5087">
        <f>IF(INDEX(Transactions!$J:$J,ROW()-8)="",TODAY(),INDEX(Transactions!$G:$G,ROW()-8))</f>
      </c>
      <c r="F5087">
        <f>IF(INDEX(Transactions!$J:$J,ROW()-8)="",0,INDEX(Transactions!$O:$O,ROW()-8))</f>
      </c>
    </row>
    <row r="5088" spans="1:7">
      <c r="B5088">
        <f>IF(INDEX(Transactions!$J:$J,ROW()-8)="",TODAY(),INDEX(Transactions!$G:$G,ROW()-8))</f>
      </c>
      <c r="F5088">
        <f>IF(INDEX(Transactions!$J:$J,ROW()-8)="",0,INDEX(Transactions!$O:$O,ROW()-8))</f>
      </c>
    </row>
    <row r="5089" spans="1:7">
      <c r="B5089">
        <f>IF(INDEX(Transactions!$J:$J,ROW()-8)="",TODAY(),INDEX(Transactions!$G:$G,ROW()-8))</f>
      </c>
      <c r="F5089">
        <f>IF(INDEX(Transactions!$J:$J,ROW()-8)="",0,INDEX(Transactions!$O:$O,ROW()-8))</f>
      </c>
    </row>
    <row r="5090" spans="1:7">
      <c r="B5090">
        <f>IF(INDEX(Transactions!$J:$J,ROW()-8)="",TODAY(),INDEX(Transactions!$G:$G,ROW()-8))</f>
      </c>
      <c r="F5090">
        <f>IF(INDEX(Transactions!$J:$J,ROW()-8)="",0,INDEX(Transactions!$O:$O,ROW()-8))</f>
      </c>
    </row>
    <row r="5091" spans="1:7">
      <c r="B5091">
        <f>IF(INDEX(Transactions!$J:$J,ROW()-8)="",TODAY(),INDEX(Transactions!$G:$G,ROW()-8))</f>
      </c>
      <c r="F5091">
        <f>IF(INDEX(Transactions!$J:$J,ROW()-8)="",0,INDEX(Transactions!$O:$O,ROW()-8))</f>
      </c>
    </row>
    <row r="5092" spans="1:7">
      <c r="B5092">
        <f>IF(INDEX(Transactions!$J:$J,ROW()-8)="",TODAY(),INDEX(Transactions!$G:$G,ROW()-8))</f>
      </c>
      <c r="F5092">
        <f>IF(INDEX(Transactions!$J:$J,ROW()-8)="",0,INDEX(Transactions!$O:$O,ROW()-8))</f>
      </c>
    </row>
    <row r="5093" spans="1:7">
      <c r="B5093">
        <f>IF(INDEX(Transactions!$J:$J,ROW()-8)="",TODAY(),INDEX(Transactions!$G:$G,ROW()-8))</f>
      </c>
      <c r="F5093">
        <f>IF(INDEX(Transactions!$J:$J,ROW()-8)="",0,INDEX(Transactions!$O:$O,ROW()-8))</f>
      </c>
    </row>
    <row r="5094" spans="1:7">
      <c r="B5094">
        <f>IF(INDEX(Transactions!$J:$J,ROW()-8)="",TODAY(),INDEX(Transactions!$G:$G,ROW()-8))</f>
      </c>
      <c r="F5094">
        <f>IF(INDEX(Transactions!$J:$J,ROW()-8)="",0,INDEX(Transactions!$O:$O,ROW()-8))</f>
      </c>
    </row>
    <row r="5095" spans="1:7">
      <c r="B5095">
        <f>IF(INDEX(Transactions!$J:$J,ROW()-8)="",TODAY(),INDEX(Transactions!$G:$G,ROW()-8))</f>
      </c>
      <c r="F5095">
        <f>IF(INDEX(Transactions!$J:$J,ROW()-8)="",0,INDEX(Transactions!$O:$O,ROW()-8))</f>
      </c>
    </row>
    <row r="5096" spans="1:7">
      <c r="B5096">
        <f>IF(INDEX(Transactions!$J:$J,ROW()-8)="",TODAY(),INDEX(Transactions!$G:$G,ROW()-8))</f>
      </c>
      <c r="F5096">
        <f>IF(INDEX(Transactions!$J:$J,ROW()-8)="",0,INDEX(Transactions!$O:$O,ROW()-8))</f>
      </c>
    </row>
    <row r="5097" spans="1:7">
      <c r="B5097">
        <f>IF(INDEX(Transactions!$J:$J,ROW()-8)="",TODAY(),INDEX(Transactions!$G:$G,ROW()-8))</f>
      </c>
      <c r="F5097">
        <f>IF(INDEX(Transactions!$J:$J,ROW()-8)="",0,INDEX(Transactions!$O:$O,ROW()-8))</f>
      </c>
    </row>
    <row r="5098" spans="1:7">
      <c r="B5098">
        <f>IF(INDEX(Transactions!$J:$J,ROW()-8)="",TODAY(),INDEX(Transactions!$G:$G,ROW()-8))</f>
      </c>
      <c r="F5098">
        <f>IF(INDEX(Transactions!$J:$J,ROW()-8)="",0,INDEX(Transactions!$O:$O,ROW()-8))</f>
      </c>
    </row>
    <row r="5099" spans="1:7">
      <c r="B5099">
        <f>IF(INDEX(Transactions!$J:$J,ROW()-8)="",TODAY(),INDEX(Transactions!$G:$G,ROW()-8))</f>
      </c>
      <c r="F5099">
        <f>IF(INDEX(Transactions!$J:$J,ROW()-8)="",0,INDEX(Transactions!$O:$O,ROW()-8))</f>
      </c>
    </row>
    <row r="5100" spans="1:7">
      <c r="B5100">
        <f>IF(INDEX(Transactions!$J:$J,ROW()-8)="",TODAY(),INDEX(Transactions!$G:$G,ROW()-8))</f>
      </c>
      <c r="F5100">
        <f>IF(INDEX(Transactions!$J:$J,ROW()-8)="",0,INDEX(Transactions!$O:$O,ROW()-8))</f>
      </c>
    </row>
    <row r="5101" spans="1:7">
      <c r="B5101">
        <f>IF(INDEX(Transactions!$J:$J,ROW()-8)="",TODAY(),INDEX(Transactions!$G:$G,ROW()-8))</f>
      </c>
      <c r="F5101">
        <f>IF(INDEX(Transactions!$J:$J,ROW()-8)="",0,INDEX(Transactions!$O:$O,ROW()-8))</f>
      </c>
    </row>
    <row r="5102" spans="1:7">
      <c r="B5102">
        <f>IF(INDEX(Transactions!$J:$J,ROW()-8)="",TODAY(),INDEX(Transactions!$G:$G,ROW()-8))</f>
      </c>
      <c r="F5102">
        <f>IF(INDEX(Transactions!$J:$J,ROW()-8)="",0,INDEX(Transactions!$O:$O,ROW()-8))</f>
      </c>
    </row>
    <row r="5103" spans="1:7">
      <c r="B5103">
        <f>IF(INDEX(Transactions!$J:$J,ROW()-8)="",TODAY(),INDEX(Transactions!$G:$G,ROW()-8))</f>
      </c>
      <c r="F5103">
        <f>IF(INDEX(Transactions!$J:$J,ROW()-8)="",0,INDEX(Transactions!$O:$O,ROW()-8))</f>
      </c>
    </row>
    <row r="5104" spans="1:7">
      <c r="B5104">
        <f>IF(INDEX(Transactions!$J:$J,ROW()-8)="",TODAY(),INDEX(Transactions!$G:$G,ROW()-8))</f>
      </c>
      <c r="F5104">
        <f>IF(INDEX(Transactions!$J:$J,ROW()-8)="",0,INDEX(Transactions!$O:$O,ROW()-8))</f>
      </c>
    </row>
    <row r="5105" spans="1:7">
      <c r="B5105">
        <f>IF(INDEX(Transactions!$J:$J,ROW()-8)="",TODAY(),INDEX(Transactions!$G:$G,ROW()-8))</f>
      </c>
      <c r="F5105">
        <f>IF(INDEX(Transactions!$J:$J,ROW()-8)="",0,INDEX(Transactions!$O:$O,ROW()-8))</f>
      </c>
    </row>
    <row r="5106" spans="1:7">
      <c r="B5106">
        <f>IF(INDEX(Transactions!$J:$J,ROW()-8)="",TODAY(),INDEX(Transactions!$G:$G,ROW()-8))</f>
      </c>
      <c r="F5106">
        <f>IF(INDEX(Transactions!$J:$J,ROW()-8)="",0,INDEX(Transactions!$O:$O,ROW()-8))</f>
      </c>
    </row>
    <row r="5107" spans="1:7">
      <c r="B5107">
        <f>IF(INDEX(Transactions!$J:$J,ROW()-8)="",TODAY(),INDEX(Transactions!$G:$G,ROW()-8))</f>
      </c>
      <c r="F5107">
        <f>IF(INDEX(Transactions!$J:$J,ROW()-8)="",0,INDEX(Transactions!$O:$O,ROW()-8))</f>
      </c>
    </row>
    <row r="5108" spans="1:7">
      <c r="B5108">
        <f>IF(INDEX(Transactions!$J:$J,ROW()-8)="",TODAY(),INDEX(Transactions!$G:$G,ROW()-8))</f>
      </c>
      <c r="F5108">
        <f>IF(INDEX(Transactions!$J:$J,ROW()-8)="",0,INDEX(Transactions!$O:$O,ROW()-8))</f>
      </c>
    </row>
    <row r="5109" spans="1:7">
      <c r="B5109">
        <f>IF(INDEX(Transactions!$J:$J,ROW()-8)="",TODAY(),INDEX(Transactions!$G:$G,ROW()-8))</f>
      </c>
      <c r="F5109">
        <f>IF(INDEX(Transactions!$J:$J,ROW()-8)="",0,INDEX(Transactions!$O:$O,ROW()-8))</f>
      </c>
    </row>
    <row r="5110" spans="1:7">
      <c r="B5110">
        <f>IF(INDEX(Transactions!$J:$J,ROW()-8)="",TODAY(),INDEX(Transactions!$G:$G,ROW()-8))</f>
      </c>
      <c r="F5110">
        <f>IF(INDEX(Transactions!$J:$J,ROW()-8)="",0,INDEX(Transactions!$O:$O,ROW()-8))</f>
      </c>
    </row>
    <row r="5111" spans="1:7">
      <c r="B5111">
        <f>IF(INDEX(Transactions!$J:$J,ROW()-8)="",TODAY(),INDEX(Transactions!$G:$G,ROW()-8))</f>
      </c>
      <c r="F5111">
        <f>IF(INDEX(Transactions!$J:$J,ROW()-8)="",0,INDEX(Transactions!$O:$O,ROW()-8))</f>
      </c>
    </row>
    <row r="5112" spans="1:7">
      <c r="B5112">
        <f>IF(INDEX(Transactions!$J:$J,ROW()-8)="",TODAY(),INDEX(Transactions!$G:$G,ROW()-8))</f>
      </c>
      <c r="F5112">
        <f>IF(INDEX(Transactions!$J:$J,ROW()-8)="",0,INDEX(Transactions!$O:$O,ROW()-8))</f>
      </c>
    </row>
    <row r="5113" spans="1:7">
      <c r="B5113">
        <f>IF(INDEX(Transactions!$J:$J,ROW()-8)="",TODAY(),INDEX(Transactions!$G:$G,ROW()-8))</f>
      </c>
      <c r="F5113">
        <f>IF(INDEX(Transactions!$J:$J,ROW()-8)="",0,INDEX(Transactions!$O:$O,ROW()-8))</f>
      </c>
    </row>
    <row r="5114" spans="1:7">
      <c r="B5114">
        <f>IF(INDEX(Transactions!$J:$J,ROW()-8)="",TODAY(),INDEX(Transactions!$G:$G,ROW()-8))</f>
      </c>
      <c r="F5114">
        <f>IF(INDEX(Transactions!$J:$J,ROW()-8)="",0,INDEX(Transactions!$O:$O,ROW()-8))</f>
      </c>
    </row>
    <row r="5115" spans="1:7">
      <c r="B5115">
        <f>IF(INDEX(Transactions!$J:$J,ROW()-8)="",TODAY(),INDEX(Transactions!$G:$G,ROW()-8))</f>
      </c>
      <c r="F5115">
        <f>IF(INDEX(Transactions!$J:$J,ROW()-8)="",0,INDEX(Transactions!$O:$O,ROW()-8))</f>
      </c>
    </row>
    <row r="5116" spans="1:7">
      <c r="B5116">
        <f>IF(INDEX(Transactions!$J:$J,ROW()-8)="",TODAY(),INDEX(Transactions!$G:$G,ROW()-8))</f>
      </c>
      <c r="F5116">
        <f>IF(INDEX(Transactions!$J:$J,ROW()-8)="",0,INDEX(Transactions!$O:$O,ROW()-8))</f>
      </c>
    </row>
    <row r="5117" spans="1:7">
      <c r="B5117">
        <f>IF(INDEX(Transactions!$J:$J,ROW()-8)="",TODAY(),INDEX(Transactions!$G:$G,ROW()-8))</f>
      </c>
      <c r="F5117">
        <f>IF(INDEX(Transactions!$J:$J,ROW()-8)="",0,INDEX(Transactions!$O:$O,ROW()-8))</f>
      </c>
    </row>
    <row r="5118" spans="1:7">
      <c r="B5118">
        <f>IF(INDEX(Transactions!$J:$J,ROW()-8)="",TODAY(),INDEX(Transactions!$G:$G,ROW()-8))</f>
      </c>
      <c r="F5118">
        <f>IF(INDEX(Transactions!$J:$J,ROW()-8)="",0,INDEX(Transactions!$O:$O,ROW()-8))</f>
      </c>
    </row>
    <row r="5119" spans="1:7">
      <c r="B5119">
        <f>IF(INDEX(Transactions!$J:$J,ROW()-8)="",TODAY(),INDEX(Transactions!$G:$G,ROW()-8))</f>
      </c>
      <c r="F5119">
        <f>IF(INDEX(Transactions!$J:$J,ROW()-8)="",0,INDEX(Transactions!$O:$O,ROW()-8))</f>
      </c>
    </row>
    <row r="5120" spans="1:7">
      <c r="B5120">
        <f>IF(INDEX(Transactions!$J:$J,ROW()-8)="",TODAY(),INDEX(Transactions!$G:$G,ROW()-8))</f>
      </c>
      <c r="F5120">
        <f>IF(INDEX(Transactions!$J:$J,ROW()-8)="",0,INDEX(Transactions!$O:$O,ROW()-8))</f>
      </c>
    </row>
    <row r="5121" spans="1:7">
      <c r="B5121">
        <f>IF(INDEX(Transactions!$J:$J,ROW()-8)="",TODAY(),INDEX(Transactions!$G:$G,ROW()-8))</f>
      </c>
      <c r="F5121">
        <f>IF(INDEX(Transactions!$J:$J,ROW()-8)="",0,INDEX(Transactions!$O:$O,ROW()-8))</f>
      </c>
    </row>
    <row r="5122" spans="1:7">
      <c r="B5122">
        <f>IF(INDEX(Transactions!$J:$J,ROW()-8)="",TODAY(),INDEX(Transactions!$G:$G,ROW()-8))</f>
      </c>
      <c r="F5122">
        <f>IF(INDEX(Transactions!$J:$J,ROW()-8)="",0,INDEX(Transactions!$O:$O,ROW()-8))</f>
      </c>
    </row>
    <row r="5123" spans="1:7">
      <c r="B5123">
        <f>IF(INDEX(Transactions!$J:$J,ROW()-8)="",TODAY(),INDEX(Transactions!$G:$G,ROW()-8))</f>
      </c>
      <c r="F5123">
        <f>IF(INDEX(Transactions!$J:$J,ROW()-8)="",0,INDEX(Transactions!$O:$O,ROW()-8))</f>
      </c>
    </row>
    <row r="5124" spans="1:7">
      <c r="B5124">
        <f>IF(INDEX(Transactions!$J:$J,ROW()-8)="",TODAY(),INDEX(Transactions!$G:$G,ROW()-8))</f>
      </c>
      <c r="F5124">
        <f>IF(INDEX(Transactions!$J:$J,ROW()-8)="",0,INDEX(Transactions!$O:$O,ROW()-8))</f>
      </c>
    </row>
    <row r="5125" spans="1:7">
      <c r="B5125">
        <f>IF(INDEX(Transactions!$J:$J,ROW()-8)="",TODAY(),INDEX(Transactions!$G:$G,ROW()-8))</f>
      </c>
      <c r="F5125">
        <f>IF(INDEX(Transactions!$J:$J,ROW()-8)="",0,INDEX(Transactions!$O:$O,ROW()-8))</f>
      </c>
    </row>
    <row r="5126" spans="1:7">
      <c r="B5126">
        <f>IF(INDEX(Transactions!$J:$J,ROW()-8)="",TODAY(),INDEX(Transactions!$G:$G,ROW()-8))</f>
      </c>
      <c r="F5126">
        <f>IF(INDEX(Transactions!$J:$J,ROW()-8)="",0,INDEX(Transactions!$O:$O,ROW()-8))</f>
      </c>
    </row>
    <row r="5127" spans="1:7">
      <c r="B5127">
        <f>IF(INDEX(Transactions!$J:$J,ROW()-8)="",TODAY(),INDEX(Transactions!$G:$G,ROW()-8))</f>
      </c>
      <c r="F5127">
        <f>IF(INDEX(Transactions!$J:$J,ROW()-8)="",0,INDEX(Transactions!$O:$O,ROW()-8))</f>
      </c>
    </row>
    <row r="5128" spans="1:7">
      <c r="B5128">
        <f>IF(INDEX(Transactions!$J:$J,ROW()-8)="",TODAY(),INDEX(Transactions!$G:$G,ROW()-8))</f>
      </c>
      <c r="F5128">
        <f>IF(INDEX(Transactions!$J:$J,ROW()-8)="",0,INDEX(Transactions!$O:$O,ROW()-8))</f>
      </c>
    </row>
    <row r="5129" spans="1:7">
      <c r="B5129">
        <f>IF(INDEX(Transactions!$J:$J,ROW()-8)="",TODAY(),INDEX(Transactions!$G:$G,ROW()-8))</f>
      </c>
      <c r="F5129">
        <f>IF(INDEX(Transactions!$J:$J,ROW()-8)="",0,INDEX(Transactions!$O:$O,ROW()-8))</f>
      </c>
    </row>
    <row r="5130" spans="1:7">
      <c r="B5130">
        <f>IF(INDEX(Transactions!$J:$J,ROW()-8)="",TODAY(),INDEX(Transactions!$G:$G,ROW()-8))</f>
      </c>
      <c r="F5130">
        <f>IF(INDEX(Transactions!$J:$J,ROW()-8)="",0,INDEX(Transactions!$O:$O,ROW()-8))</f>
      </c>
    </row>
    <row r="5131" spans="1:7">
      <c r="B5131">
        <f>IF(INDEX(Transactions!$J:$J,ROW()-8)="",TODAY(),INDEX(Transactions!$G:$G,ROW()-8))</f>
      </c>
      <c r="F5131">
        <f>IF(INDEX(Transactions!$J:$J,ROW()-8)="",0,INDEX(Transactions!$O:$O,ROW()-8))</f>
      </c>
    </row>
    <row r="5132" spans="1:7">
      <c r="B5132">
        <f>IF(INDEX(Transactions!$J:$J,ROW()-8)="",TODAY(),INDEX(Transactions!$G:$G,ROW()-8))</f>
      </c>
      <c r="F5132">
        <f>IF(INDEX(Transactions!$J:$J,ROW()-8)="",0,INDEX(Transactions!$O:$O,ROW()-8))</f>
      </c>
    </row>
    <row r="5133" spans="1:7">
      <c r="B5133">
        <f>IF(INDEX(Transactions!$J:$J,ROW()-8)="",TODAY(),INDEX(Transactions!$G:$G,ROW()-8))</f>
      </c>
      <c r="F5133">
        <f>IF(INDEX(Transactions!$J:$J,ROW()-8)="",0,INDEX(Transactions!$O:$O,ROW()-8))</f>
      </c>
    </row>
    <row r="5134" spans="1:7">
      <c r="B5134">
        <f>IF(INDEX(Transactions!$J:$J,ROW()-8)="",TODAY(),INDEX(Transactions!$G:$G,ROW()-8))</f>
      </c>
      <c r="F5134">
        <f>IF(INDEX(Transactions!$J:$J,ROW()-8)="",0,INDEX(Transactions!$O:$O,ROW()-8))</f>
      </c>
    </row>
    <row r="5135" spans="1:7">
      <c r="B5135">
        <f>IF(INDEX(Transactions!$J:$J,ROW()-8)="",TODAY(),INDEX(Transactions!$G:$G,ROW()-8))</f>
      </c>
      <c r="F5135">
        <f>IF(INDEX(Transactions!$J:$J,ROW()-8)="",0,INDEX(Transactions!$O:$O,ROW()-8))</f>
      </c>
    </row>
    <row r="5136" spans="1:7">
      <c r="B5136">
        <f>IF(INDEX(Transactions!$J:$J,ROW()-8)="",TODAY(),INDEX(Transactions!$G:$G,ROW()-8))</f>
      </c>
      <c r="F5136">
        <f>IF(INDEX(Transactions!$J:$J,ROW()-8)="",0,INDEX(Transactions!$O:$O,ROW()-8))</f>
      </c>
    </row>
    <row r="5137" spans="1:7">
      <c r="B5137">
        <f>IF(INDEX(Transactions!$J:$J,ROW()-8)="",TODAY(),INDEX(Transactions!$G:$G,ROW()-8))</f>
      </c>
      <c r="F5137">
        <f>IF(INDEX(Transactions!$J:$J,ROW()-8)="",0,INDEX(Transactions!$O:$O,ROW()-8))</f>
      </c>
    </row>
    <row r="5138" spans="1:7">
      <c r="B5138">
        <f>IF(INDEX(Transactions!$J:$J,ROW()-8)="",TODAY(),INDEX(Transactions!$G:$G,ROW()-8))</f>
      </c>
      <c r="F5138">
        <f>IF(INDEX(Transactions!$J:$J,ROW()-8)="",0,INDEX(Transactions!$O:$O,ROW()-8))</f>
      </c>
    </row>
    <row r="5139" spans="1:7">
      <c r="B5139">
        <f>IF(INDEX(Transactions!$J:$J,ROW()-8)="",TODAY(),INDEX(Transactions!$G:$G,ROW()-8))</f>
      </c>
      <c r="F5139">
        <f>IF(INDEX(Transactions!$J:$J,ROW()-8)="",0,INDEX(Transactions!$O:$O,ROW()-8))</f>
      </c>
    </row>
    <row r="5140" spans="1:7">
      <c r="B5140">
        <f>IF(INDEX(Transactions!$J:$J,ROW()-8)="",TODAY(),INDEX(Transactions!$G:$G,ROW()-8))</f>
      </c>
      <c r="F5140">
        <f>IF(INDEX(Transactions!$J:$J,ROW()-8)="",0,INDEX(Transactions!$O:$O,ROW()-8))</f>
      </c>
    </row>
    <row r="5141" spans="1:7">
      <c r="B5141">
        <f>IF(INDEX(Transactions!$J:$J,ROW()-8)="",TODAY(),INDEX(Transactions!$G:$G,ROW()-8))</f>
      </c>
      <c r="F5141">
        <f>IF(INDEX(Transactions!$J:$J,ROW()-8)="",0,INDEX(Transactions!$O:$O,ROW()-8))</f>
      </c>
    </row>
    <row r="5142" spans="1:7">
      <c r="B5142">
        <f>IF(INDEX(Transactions!$J:$J,ROW()-8)="",TODAY(),INDEX(Transactions!$G:$G,ROW()-8))</f>
      </c>
      <c r="F5142">
        <f>IF(INDEX(Transactions!$J:$J,ROW()-8)="",0,INDEX(Transactions!$O:$O,ROW()-8))</f>
      </c>
    </row>
    <row r="5143" spans="1:7">
      <c r="B5143">
        <f>IF(INDEX(Transactions!$J:$J,ROW()-8)="",TODAY(),INDEX(Transactions!$G:$G,ROW()-8))</f>
      </c>
      <c r="F5143">
        <f>IF(INDEX(Transactions!$J:$J,ROW()-8)="",0,INDEX(Transactions!$O:$O,ROW()-8))</f>
      </c>
    </row>
    <row r="5144" spans="1:7">
      <c r="B5144">
        <f>IF(INDEX(Transactions!$J:$J,ROW()-8)="",TODAY(),INDEX(Transactions!$G:$G,ROW()-8))</f>
      </c>
      <c r="F5144">
        <f>IF(INDEX(Transactions!$J:$J,ROW()-8)="",0,INDEX(Transactions!$O:$O,ROW()-8))</f>
      </c>
    </row>
    <row r="5145" spans="1:7">
      <c r="B5145">
        <f>IF(INDEX(Transactions!$J:$J,ROW()-8)="",TODAY(),INDEX(Transactions!$G:$G,ROW()-8))</f>
      </c>
      <c r="F5145">
        <f>IF(INDEX(Transactions!$J:$J,ROW()-8)="",0,INDEX(Transactions!$O:$O,ROW()-8))</f>
      </c>
    </row>
    <row r="5146" spans="1:7">
      <c r="B5146">
        <f>IF(INDEX(Transactions!$J:$J,ROW()-8)="",TODAY(),INDEX(Transactions!$G:$G,ROW()-8))</f>
      </c>
      <c r="F5146">
        <f>IF(INDEX(Transactions!$J:$J,ROW()-8)="",0,INDEX(Transactions!$O:$O,ROW()-8))</f>
      </c>
    </row>
    <row r="5147" spans="1:7">
      <c r="B5147">
        <f>IF(INDEX(Transactions!$J:$J,ROW()-8)="",TODAY(),INDEX(Transactions!$G:$G,ROW()-8))</f>
      </c>
      <c r="F5147">
        <f>IF(INDEX(Transactions!$J:$J,ROW()-8)="",0,INDEX(Transactions!$O:$O,ROW()-8))</f>
      </c>
    </row>
    <row r="5148" spans="1:7">
      <c r="B5148">
        <f>IF(INDEX(Transactions!$J:$J,ROW()-8)="",TODAY(),INDEX(Transactions!$G:$G,ROW()-8))</f>
      </c>
      <c r="F5148">
        <f>IF(INDEX(Transactions!$J:$J,ROW()-8)="",0,INDEX(Transactions!$O:$O,ROW()-8))</f>
      </c>
    </row>
    <row r="5149" spans="1:7">
      <c r="B5149">
        <f>IF(INDEX(Transactions!$J:$J,ROW()-8)="",TODAY(),INDEX(Transactions!$G:$G,ROW()-8))</f>
      </c>
      <c r="F5149">
        <f>IF(INDEX(Transactions!$J:$J,ROW()-8)="",0,INDEX(Transactions!$O:$O,ROW()-8))</f>
      </c>
    </row>
    <row r="5150" spans="1:7">
      <c r="B5150">
        <f>IF(INDEX(Transactions!$J:$J,ROW()-8)="",TODAY(),INDEX(Transactions!$G:$G,ROW()-8))</f>
      </c>
      <c r="F5150">
        <f>IF(INDEX(Transactions!$J:$J,ROW()-8)="",0,INDEX(Transactions!$O:$O,ROW()-8))</f>
      </c>
    </row>
    <row r="5151" spans="1:7">
      <c r="B5151">
        <f>IF(INDEX(Transactions!$J:$J,ROW()-8)="",TODAY(),INDEX(Transactions!$G:$G,ROW()-8))</f>
      </c>
      <c r="F5151">
        <f>IF(INDEX(Transactions!$J:$J,ROW()-8)="",0,INDEX(Transactions!$O:$O,ROW()-8))</f>
      </c>
    </row>
    <row r="5152" spans="1:7">
      <c r="B5152">
        <f>IF(INDEX(Transactions!$J:$J,ROW()-8)="",TODAY(),INDEX(Transactions!$G:$G,ROW()-8))</f>
      </c>
      <c r="F5152">
        <f>IF(INDEX(Transactions!$J:$J,ROW()-8)="",0,INDEX(Transactions!$O:$O,ROW()-8))</f>
      </c>
    </row>
    <row r="5153" spans="1:7">
      <c r="B5153">
        <f>IF(INDEX(Transactions!$J:$J,ROW()-8)="",TODAY(),INDEX(Transactions!$G:$G,ROW()-8))</f>
      </c>
      <c r="F5153">
        <f>IF(INDEX(Transactions!$J:$J,ROW()-8)="",0,INDEX(Transactions!$O:$O,ROW()-8))</f>
      </c>
    </row>
    <row r="5154" spans="1:7">
      <c r="B5154">
        <f>IF(INDEX(Transactions!$J:$J,ROW()-8)="",TODAY(),INDEX(Transactions!$G:$G,ROW()-8))</f>
      </c>
      <c r="F5154">
        <f>IF(INDEX(Transactions!$J:$J,ROW()-8)="",0,INDEX(Transactions!$O:$O,ROW()-8))</f>
      </c>
    </row>
    <row r="5155" spans="1:7">
      <c r="B5155">
        <f>IF(INDEX(Transactions!$J:$J,ROW()-8)="",TODAY(),INDEX(Transactions!$G:$G,ROW()-8))</f>
      </c>
      <c r="F5155">
        <f>IF(INDEX(Transactions!$J:$J,ROW()-8)="",0,INDEX(Transactions!$O:$O,ROW()-8))</f>
      </c>
    </row>
    <row r="5156" spans="1:7">
      <c r="B5156">
        <f>IF(INDEX(Transactions!$J:$J,ROW()-8)="",TODAY(),INDEX(Transactions!$G:$G,ROW()-8))</f>
      </c>
      <c r="F5156">
        <f>IF(INDEX(Transactions!$J:$J,ROW()-8)="",0,INDEX(Transactions!$O:$O,ROW()-8))</f>
      </c>
    </row>
    <row r="5157" spans="1:7">
      <c r="B5157">
        <f>IF(INDEX(Transactions!$J:$J,ROW()-8)="",TODAY(),INDEX(Transactions!$G:$G,ROW()-8))</f>
      </c>
      <c r="F5157">
        <f>IF(INDEX(Transactions!$J:$J,ROW()-8)="",0,INDEX(Transactions!$O:$O,ROW()-8))</f>
      </c>
    </row>
    <row r="5158" spans="1:7">
      <c r="B5158">
        <f>IF(INDEX(Transactions!$J:$J,ROW()-8)="",TODAY(),INDEX(Transactions!$G:$G,ROW()-8))</f>
      </c>
      <c r="F5158">
        <f>IF(INDEX(Transactions!$J:$J,ROW()-8)="",0,INDEX(Transactions!$O:$O,ROW()-8))</f>
      </c>
    </row>
    <row r="5159" spans="1:7">
      <c r="B5159">
        <f>IF(INDEX(Transactions!$J:$J,ROW()-8)="",TODAY(),INDEX(Transactions!$G:$G,ROW()-8))</f>
      </c>
      <c r="F5159">
        <f>IF(INDEX(Transactions!$J:$J,ROW()-8)="",0,INDEX(Transactions!$O:$O,ROW()-8))</f>
      </c>
    </row>
    <row r="5160" spans="1:7">
      <c r="B5160">
        <f>IF(INDEX(Transactions!$J:$J,ROW()-8)="",TODAY(),INDEX(Transactions!$G:$G,ROW()-8))</f>
      </c>
      <c r="F5160">
        <f>IF(INDEX(Transactions!$J:$J,ROW()-8)="",0,INDEX(Transactions!$O:$O,ROW()-8))</f>
      </c>
    </row>
    <row r="5161" spans="1:7">
      <c r="B5161">
        <f>IF(INDEX(Transactions!$J:$J,ROW()-8)="",TODAY(),INDEX(Transactions!$G:$G,ROW()-8))</f>
      </c>
      <c r="F5161">
        <f>IF(INDEX(Transactions!$J:$J,ROW()-8)="",0,INDEX(Transactions!$O:$O,ROW()-8))</f>
      </c>
    </row>
    <row r="5162" spans="1:7">
      <c r="B5162">
        <f>IF(INDEX(Transactions!$J:$J,ROW()-8)="",TODAY(),INDEX(Transactions!$G:$G,ROW()-8))</f>
      </c>
      <c r="F5162">
        <f>IF(INDEX(Transactions!$J:$J,ROW()-8)="",0,INDEX(Transactions!$O:$O,ROW()-8))</f>
      </c>
    </row>
    <row r="5163" spans="1:7">
      <c r="B5163">
        <f>IF(INDEX(Transactions!$J:$J,ROW()-8)="",TODAY(),INDEX(Transactions!$G:$G,ROW()-8))</f>
      </c>
      <c r="F5163">
        <f>IF(INDEX(Transactions!$J:$J,ROW()-8)="",0,INDEX(Transactions!$O:$O,ROW()-8))</f>
      </c>
    </row>
    <row r="5164" spans="1:7">
      <c r="B5164">
        <f>IF(INDEX(Transactions!$J:$J,ROW()-8)="",TODAY(),INDEX(Transactions!$G:$G,ROW()-8))</f>
      </c>
      <c r="F5164">
        <f>IF(INDEX(Transactions!$J:$J,ROW()-8)="",0,INDEX(Transactions!$O:$O,ROW()-8))</f>
      </c>
    </row>
    <row r="5165" spans="1:7">
      <c r="B5165">
        <f>IF(INDEX(Transactions!$J:$J,ROW()-8)="",TODAY(),INDEX(Transactions!$G:$G,ROW()-8))</f>
      </c>
      <c r="F5165">
        <f>IF(INDEX(Transactions!$J:$J,ROW()-8)="",0,INDEX(Transactions!$O:$O,ROW()-8))</f>
      </c>
    </row>
    <row r="5166" spans="1:7">
      <c r="B5166">
        <f>IF(INDEX(Transactions!$J:$J,ROW()-8)="",TODAY(),INDEX(Transactions!$G:$G,ROW()-8))</f>
      </c>
      <c r="F5166">
        <f>IF(INDEX(Transactions!$J:$J,ROW()-8)="",0,INDEX(Transactions!$O:$O,ROW()-8))</f>
      </c>
    </row>
    <row r="5167" spans="1:7">
      <c r="B5167">
        <f>IF(INDEX(Transactions!$J:$J,ROW()-8)="",TODAY(),INDEX(Transactions!$G:$G,ROW()-8))</f>
      </c>
      <c r="F5167">
        <f>IF(INDEX(Transactions!$J:$J,ROW()-8)="",0,INDEX(Transactions!$O:$O,ROW()-8))</f>
      </c>
    </row>
    <row r="5168" spans="1:7">
      <c r="B5168">
        <f>IF(INDEX(Transactions!$J:$J,ROW()-8)="",TODAY(),INDEX(Transactions!$G:$G,ROW()-8))</f>
      </c>
      <c r="F5168">
        <f>IF(INDEX(Transactions!$J:$J,ROW()-8)="",0,INDEX(Transactions!$O:$O,ROW()-8))</f>
      </c>
    </row>
    <row r="5169" spans="1:7">
      <c r="B5169">
        <f>IF(INDEX(Transactions!$J:$J,ROW()-8)="",TODAY(),INDEX(Transactions!$G:$G,ROW()-8))</f>
      </c>
      <c r="F5169">
        <f>IF(INDEX(Transactions!$J:$J,ROW()-8)="",0,INDEX(Transactions!$O:$O,ROW()-8))</f>
      </c>
    </row>
    <row r="5170" spans="1:7">
      <c r="B5170">
        <f>IF(INDEX(Transactions!$J:$J,ROW()-8)="",TODAY(),INDEX(Transactions!$G:$G,ROW()-8))</f>
      </c>
      <c r="F5170">
        <f>IF(INDEX(Transactions!$J:$J,ROW()-8)="",0,INDEX(Transactions!$O:$O,ROW()-8))</f>
      </c>
    </row>
    <row r="5171" spans="1:7">
      <c r="B5171">
        <f>IF(INDEX(Transactions!$J:$J,ROW()-8)="",TODAY(),INDEX(Transactions!$G:$G,ROW()-8))</f>
      </c>
      <c r="F5171">
        <f>IF(INDEX(Transactions!$J:$J,ROW()-8)="",0,INDEX(Transactions!$O:$O,ROW()-8))</f>
      </c>
    </row>
    <row r="5172" spans="1:7">
      <c r="B5172">
        <f>IF(INDEX(Transactions!$J:$J,ROW()-8)="",TODAY(),INDEX(Transactions!$G:$G,ROW()-8))</f>
      </c>
      <c r="F5172">
        <f>IF(INDEX(Transactions!$J:$J,ROW()-8)="",0,INDEX(Transactions!$O:$O,ROW()-8))</f>
      </c>
    </row>
    <row r="5173" spans="1:7">
      <c r="B5173">
        <f>IF(INDEX(Transactions!$J:$J,ROW()-8)="",TODAY(),INDEX(Transactions!$G:$G,ROW()-8))</f>
      </c>
      <c r="F5173">
        <f>IF(INDEX(Transactions!$J:$J,ROW()-8)="",0,INDEX(Transactions!$O:$O,ROW()-8))</f>
      </c>
    </row>
    <row r="5174" spans="1:7">
      <c r="B5174">
        <f>IF(INDEX(Transactions!$J:$J,ROW()-8)="",TODAY(),INDEX(Transactions!$G:$G,ROW()-8))</f>
      </c>
      <c r="F5174">
        <f>IF(INDEX(Transactions!$J:$J,ROW()-8)="",0,INDEX(Transactions!$O:$O,ROW()-8))</f>
      </c>
    </row>
    <row r="5175" spans="1:7">
      <c r="B5175">
        <f>IF(INDEX(Transactions!$J:$J,ROW()-8)="",TODAY(),INDEX(Transactions!$G:$G,ROW()-8))</f>
      </c>
      <c r="F5175">
        <f>IF(INDEX(Transactions!$J:$J,ROW()-8)="",0,INDEX(Transactions!$O:$O,ROW()-8))</f>
      </c>
    </row>
    <row r="5176" spans="1:7">
      <c r="B5176">
        <f>IF(INDEX(Transactions!$J:$J,ROW()-8)="",TODAY(),INDEX(Transactions!$G:$G,ROW()-8))</f>
      </c>
      <c r="F5176">
        <f>IF(INDEX(Transactions!$J:$J,ROW()-8)="",0,INDEX(Transactions!$O:$O,ROW()-8))</f>
      </c>
    </row>
    <row r="5177" spans="1:7">
      <c r="B5177">
        <f>IF(INDEX(Transactions!$J:$J,ROW()-8)="",TODAY(),INDEX(Transactions!$G:$G,ROW()-8))</f>
      </c>
      <c r="F5177">
        <f>IF(INDEX(Transactions!$J:$J,ROW()-8)="",0,INDEX(Transactions!$O:$O,ROW()-8))</f>
      </c>
    </row>
    <row r="5178" spans="1:7">
      <c r="B5178">
        <f>IF(INDEX(Transactions!$J:$J,ROW()-8)="",TODAY(),INDEX(Transactions!$G:$G,ROW()-8))</f>
      </c>
      <c r="F5178">
        <f>IF(INDEX(Transactions!$J:$J,ROW()-8)="",0,INDEX(Transactions!$O:$O,ROW()-8))</f>
      </c>
    </row>
    <row r="5179" spans="1:7">
      <c r="B5179">
        <f>IF(INDEX(Transactions!$J:$J,ROW()-8)="",TODAY(),INDEX(Transactions!$G:$G,ROW()-8))</f>
      </c>
      <c r="F5179">
        <f>IF(INDEX(Transactions!$J:$J,ROW()-8)="",0,INDEX(Transactions!$O:$O,ROW()-8))</f>
      </c>
    </row>
    <row r="5180" spans="1:7">
      <c r="B5180">
        <f>IF(INDEX(Transactions!$J:$J,ROW()-8)="",TODAY(),INDEX(Transactions!$G:$G,ROW()-8))</f>
      </c>
      <c r="F5180">
        <f>IF(INDEX(Transactions!$J:$J,ROW()-8)="",0,INDEX(Transactions!$O:$O,ROW()-8))</f>
      </c>
    </row>
    <row r="5181" spans="1:7">
      <c r="B5181">
        <f>IF(INDEX(Transactions!$J:$J,ROW()-8)="",TODAY(),INDEX(Transactions!$G:$G,ROW()-8))</f>
      </c>
      <c r="F5181">
        <f>IF(INDEX(Transactions!$J:$J,ROW()-8)="",0,INDEX(Transactions!$O:$O,ROW()-8))</f>
      </c>
    </row>
    <row r="5182" spans="1:7">
      <c r="B5182">
        <f>IF(INDEX(Transactions!$J:$J,ROW()-8)="",TODAY(),INDEX(Transactions!$G:$G,ROW()-8))</f>
      </c>
      <c r="F5182">
        <f>IF(INDEX(Transactions!$J:$J,ROW()-8)="",0,INDEX(Transactions!$O:$O,ROW()-8))</f>
      </c>
    </row>
    <row r="5183" spans="1:7">
      <c r="B5183">
        <f>IF(INDEX(Transactions!$J:$J,ROW()-8)="",TODAY(),INDEX(Transactions!$G:$G,ROW()-8))</f>
      </c>
      <c r="F5183">
        <f>IF(INDEX(Transactions!$J:$J,ROW()-8)="",0,INDEX(Transactions!$O:$O,ROW()-8))</f>
      </c>
    </row>
    <row r="5184" spans="1:7">
      <c r="B5184">
        <f>IF(INDEX(Transactions!$J:$J,ROW()-8)="",TODAY(),INDEX(Transactions!$G:$G,ROW()-8))</f>
      </c>
      <c r="F5184">
        <f>IF(INDEX(Transactions!$J:$J,ROW()-8)="",0,INDEX(Transactions!$O:$O,ROW()-8))</f>
      </c>
    </row>
    <row r="5185" spans="1:7">
      <c r="B5185">
        <f>IF(INDEX(Transactions!$J:$J,ROW()-8)="",TODAY(),INDEX(Transactions!$G:$G,ROW()-8))</f>
      </c>
      <c r="F5185">
        <f>IF(INDEX(Transactions!$J:$J,ROW()-8)="",0,INDEX(Transactions!$O:$O,ROW()-8))</f>
      </c>
    </row>
    <row r="5186" spans="1:7">
      <c r="B5186">
        <f>IF(INDEX(Transactions!$J:$J,ROW()-8)="",TODAY(),INDEX(Transactions!$G:$G,ROW()-8))</f>
      </c>
      <c r="F5186">
        <f>IF(INDEX(Transactions!$J:$J,ROW()-8)="",0,INDEX(Transactions!$O:$O,ROW()-8))</f>
      </c>
    </row>
    <row r="5187" spans="1:7">
      <c r="B5187">
        <f>IF(INDEX(Transactions!$J:$J,ROW()-8)="",TODAY(),INDEX(Transactions!$G:$G,ROW()-8))</f>
      </c>
      <c r="F5187">
        <f>IF(INDEX(Transactions!$J:$J,ROW()-8)="",0,INDEX(Transactions!$O:$O,ROW()-8))</f>
      </c>
    </row>
    <row r="5188" spans="1:7">
      <c r="B5188">
        <f>IF(INDEX(Transactions!$J:$J,ROW()-8)="",TODAY(),INDEX(Transactions!$G:$G,ROW()-8))</f>
      </c>
      <c r="F5188">
        <f>IF(INDEX(Transactions!$J:$J,ROW()-8)="",0,INDEX(Transactions!$O:$O,ROW()-8))</f>
      </c>
    </row>
    <row r="5189" spans="1:7">
      <c r="B5189">
        <f>IF(INDEX(Transactions!$J:$J,ROW()-8)="",TODAY(),INDEX(Transactions!$G:$G,ROW()-8))</f>
      </c>
      <c r="F5189">
        <f>IF(INDEX(Transactions!$J:$J,ROW()-8)="",0,INDEX(Transactions!$O:$O,ROW()-8))</f>
      </c>
    </row>
    <row r="5190" spans="1:7">
      <c r="B5190">
        <f>IF(INDEX(Transactions!$J:$J,ROW()-8)="",TODAY(),INDEX(Transactions!$G:$G,ROW()-8))</f>
      </c>
      <c r="F5190">
        <f>IF(INDEX(Transactions!$J:$J,ROW()-8)="",0,INDEX(Transactions!$O:$O,ROW()-8))</f>
      </c>
    </row>
    <row r="5191" spans="1:7">
      <c r="B5191">
        <f>IF(INDEX(Transactions!$J:$J,ROW()-8)="",TODAY(),INDEX(Transactions!$G:$G,ROW()-8))</f>
      </c>
      <c r="F5191">
        <f>IF(INDEX(Transactions!$J:$J,ROW()-8)="",0,INDEX(Transactions!$O:$O,ROW()-8))</f>
      </c>
    </row>
    <row r="5192" spans="1:7">
      <c r="B5192">
        <f>IF(INDEX(Transactions!$J:$J,ROW()-8)="",TODAY(),INDEX(Transactions!$G:$G,ROW()-8))</f>
      </c>
      <c r="F5192">
        <f>IF(INDEX(Transactions!$J:$J,ROW()-8)="",0,INDEX(Transactions!$O:$O,ROW()-8))</f>
      </c>
    </row>
    <row r="5193" spans="1:7">
      <c r="B5193">
        <f>IF(INDEX(Transactions!$J:$J,ROW()-8)="",TODAY(),INDEX(Transactions!$G:$G,ROW()-8))</f>
      </c>
      <c r="F5193">
        <f>IF(INDEX(Transactions!$J:$J,ROW()-8)="",0,INDEX(Transactions!$O:$O,ROW()-8))</f>
      </c>
    </row>
    <row r="5194" spans="1:7">
      <c r="B5194">
        <f>IF(INDEX(Transactions!$J:$J,ROW()-8)="",TODAY(),INDEX(Transactions!$G:$G,ROW()-8))</f>
      </c>
      <c r="F5194">
        <f>IF(INDEX(Transactions!$J:$J,ROW()-8)="",0,INDEX(Transactions!$O:$O,ROW()-8))</f>
      </c>
    </row>
    <row r="5195" spans="1:7">
      <c r="B5195">
        <f>IF(INDEX(Transactions!$J:$J,ROW()-8)="",TODAY(),INDEX(Transactions!$G:$G,ROW()-8))</f>
      </c>
      <c r="F5195">
        <f>IF(INDEX(Transactions!$J:$J,ROW()-8)="",0,INDEX(Transactions!$O:$O,ROW()-8))</f>
      </c>
    </row>
    <row r="5196" spans="1:7">
      <c r="B5196">
        <f>IF(INDEX(Transactions!$J:$J,ROW()-8)="",TODAY(),INDEX(Transactions!$G:$G,ROW()-8))</f>
      </c>
      <c r="F5196">
        <f>IF(INDEX(Transactions!$J:$J,ROW()-8)="",0,INDEX(Transactions!$O:$O,ROW()-8))</f>
      </c>
    </row>
    <row r="5197" spans="1:7">
      <c r="B5197">
        <f>IF(INDEX(Transactions!$J:$J,ROW()-8)="",TODAY(),INDEX(Transactions!$G:$G,ROW()-8))</f>
      </c>
      <c r="F5197">
        <f>IF(INDEX(Transactions!$J:$J,ROW()-8)="",0,INDEX(Transactions!$O:$O,ROW()-8))</f>
      </c>
    </row>
    <row r="5198" spans="1:7">
      <c r="B5198">
        <f>IF(INDEX(Transactions!$J:$J,ROW()-8)="",TODAY(),INDEX(Transactions!$G:$G,ROW()-8))</f>
      </c>
      <c r="F5198">
        <f>IF(INDEX(Transactions!$J:$J,ROW()-8)="",0,INDEX(Transactions!$O:$O,ROW()-8))</f>
      </c>
    </row>
    <row r="5199" spans="1:7">
      <c r="B5199">
        <f>IF(INDEX(Transactions!$J:$J,ROW()-8)="",TODAY(),INDEX(Transactions!$G:$G,ROW()-8))</f>
      </c>
      <c r="F5199">
        <f>IF(INDEX(Transactions!$J:$J,ROW()-8)="",0,INDEX(Transactions!$O:$O,ROW()-8))</f>
      </c>
    </row>
    <row r="5200" spans="1:7">
      <c r="B5200">
        <f>IF(INDEX(Transactions!$J:$J,ROW()-8)="",TODAY(),INDEX(Transactions!$G:$G,ROW()-8))</f>
      </c>
      <c r="F5200">
        <f>IF(INDEX(Transactions!$J:$J,ROW()-8)="",0,INDEX(Transactions!$O:$O,ROW()-8))</f>
      </c>
    </row>
    <row r="5201" spans="1:7">
      <c r="B5201">
        <f>IF(INDEX(Transactions!$J:$J,ROW()-8)="",TODAY(),INDEX(Transactions!$G:$G,ROW()-8))</f>
      </c>
      <c r="F5201">
        <f>IF(INDEX(Transactions!$J:$J,ROW()-8)="",0,INDEX(Transactions!$O:$O,ROW()-8))</f>
      </c>
    </row>
    <row r="5202" spans="1:7">
      <c r="B5202">
        <f>IF(INDEX(Transactions!$J:$J,ROW()-8)="",TODAY(),INDEX(Transactions!$G:$G,ROW()-8))</f>
      </c>
      <c r="F5202">
        <f>IF(INDEX(Transactions!$J:$J,ROW()-8)="",0,INDEX(Transactions!$O:$O,ROW()-8))</f>
      </c>
    </row>
    <row r="5203" spans="1:7">
      <c r="B5203">
        <f>IF(INDEX(Transactions!$J:$J,ROW()-8)="",TODAY(),INDEX(Transactions!$G:$G,ROW()-8))</f>
      </c>
      <c r="F5203">
        <f>IF(INDEX(Transactions!$J:$J,ROW()-8)="",0,INDEX(Transactions!$O:$O,ROW()-8))</f>
      </c>
    </row>
    <row r="5204" spans="1:7">
      <c r="B5204">
        <f>IF(INDEX(Transactions!$J:$J,ROW()-8)="",TODAY(),INDEX(Transactions!$G:$G,ROW()-8))</f>
      </c>
      <c r="F5204">
        <f>IF(INDEX(Transactions!$J:$J,ROW()-8)="",0,INDEX(Transactions!$O:$O,ROW()-8))</f>
      </c>
    </row>
    <row r="5205" spans="1:7">
      <c r="B5205">
        <f>IF(INDEX(Transactions!$J:$J,ROW()-8)="",TODAY(),INDEX(Transactions!$G:$G,ROW()-8))</f>
      </c>
      <c r="F5205">
        <f>IF(INDEX(Transactions!$J:$J,ROW()-8)="",0,INDEX(Transactions!$O:$O,ROW()-8))</f>
      </c>
    </row>
    <row r="5206" spans="1:7">
      <c r="B5206">
        <f>IF(INDEX(Transactions!$J:$J,ROW()-8)="",TODAY(),INDEX(Transactions!$G:$G,ROW()-8))</f>
      </c>
      <c r="F5206">
        <f>IF(INDEX(Transactions!$J:$J,ROW()-8)="",0,INDEX(Transactions!$O:$O,ROW()-8))</f>
      </c>
    </row>
    <row r="5207" spans="1:7">
      <c r="B5207">
        <f>IF(INDEX(Transactions!$J:$J,ROW()-8)="",TODAY(),INDEX(Transactions!$G:$G,ROW()-8))</f>
      </c>
      <c r="F5207">
        <f>IF(INDEX(Transactions!$J:$J,ROW()-8)="",0,INDEX(Transactions!$O:$O,ROW()-8))</f>
      </c>
    </row>
    <row r="5208" spans="1:7">
      <c r="B5208">
        <f>IF(INDEX(Transactions!$J:$J,ROW()-8)="",TODAY(),INDEX(Transactions!$G:$G,ROW()-8))</f>
      </c>
      <c r="F5208">
        <f>IF(INDEX(Transactions!$J:$J,ROW()-8)="",0,INDEX(Transactions!$O:$O,ROW()-8))</f>
      </c>
    </row>
    <row r="5209" spans="1:7">
      <c r="B5209">
        <f>IF(INDEX(Transactions!$J:$J,ROW()-8)="",TODAY(),INDEX(Transactions!$G:$G,ROW()-8))</f>
      </c>
      <c r="F5209">
        <f>IF(INDEX(Transactions!$J:$J,ROW()-8)="",0,INDEX(Transactions!$O:$O,ROW()-8))</f>
      </c>
    </row>
    <row r="5210" spans="1:7">
      <c r="B5210">
        <f>IF(INDEX(Transactions!$J:$J,ROW()-8)="",TODAY(),INDEX(Transactions!$G:$G,ROW()-8))</f>
      </c>
      <c r="F5210">
        <f>IF(INDEX(Transactions!$J:$J,ROW()-8)="",0,INDEX(Transactions!$O:$O,ROW()-8))</f>
      </c>
    </row>
    <row r="5211" spans="1:7">
      <c r="B5211">
        <f>IF(INDEX(Transactions!$J:$J,ROW()-8)="",TODAY(),INDEX(Transactions!$G:$G,ROW()-8))</f>
      </c>
      <c r="F5211">
        <f>IF(INDEX(Transactions!$J:$J,ROW()-8)="",0,INDEX(Transactions!$O:$O,ROW()-8))</f>
      </c>
    </row>
    <row r="5212" spans="1:7">
      <c r="B5212">
        <f>IF(INDEX(Transactions!$J:$J,ROW()-8)="",TODAY(),INDEX(Transactions!$G:$G,ROW()-8))</f>
      </c>
      <c r="F5212">
        <f>IF(INDEX(Transactions!$J:$J,ROW()-8)="",0,INDEX(Transactions!$O:$O,ROW()-8))</f>
      </c>
    </row>
    <row r="5213" spans="1:7">
      <c r="B5213">
        <f>IF(INDEX(Transactions!$J:$J,ROW()-8)="",TODAY(),INDEX(Transactions!$G:$G,ROW()-8))</f>
      </c>
      <c r="F5213">
        <f>IF(INDEX(Transactions!$J:$J,ROW()-8)="",0,INDEX(Transactions!$O:$O,ROW()-8))</f>
      </c>
    </row>
    <row r="5214" spans="1:7">
      <c r="B5214">
        <f>IF(INDEX(Transactions!$J:$J,ROW()-8)="",TODAY(),INDEX(Transactions!$G:$G,ROW()-8))</f>
      </c>
      <c r="F5214">
        <f>IF(INDEX(Transactions!$J:$J,ROW()-8)="",0,INDEX(Transactions!$O:$O,ROW()-8))</f>
      </c>
    </row>
    <row r="5215" spans="1:7">
      <c r="B5215">
        <f>IF(INDEX(Transactions!$J:$J,ROW()-8)="",TODAY(),INDEX(Transactions!$G:$G,ROW()-8))</f>
      </c>
      <c r="F5215">
        <f>IF(INDEX(Transactions!$J:$J,ROW()-8)="",0,INDEX(Transactions!$O:$O,ROW()-8))</f>
      </c>
    </row>
    <row r="5216" spans="1:7">
      <c r="B5216">
        <f>IF(INDEX(Transactions!$J:$J,ROW()-8)="",TODAY(),INDEX(Transactions!$G:$G,ROW()-8))</f>
      </c>
      <c r="F5216">
        <f>IF(INDEX(Transactions!$J:$J,ROW()-8)="",0,INDEX(Transactions!$O:$O,ROW()-8))</f>
      </c>
    </row>
    <row r="5217" spans="1:7">
      <c r="B5217">
        <f>IF(INDEX(Transactions!$J:$J,ROW()-8)="",TODAY(),INDEX(Transactions!$G:$G,ROW()-8))</f>
      </c>
      <c r="F5217">
        <f>IF(INDEX(Transactions!$J:$J,ROW()-8)="",0,INDEX(Transactions!$O:$O,ROW()-8))</f>
      </c>
    </row>
    <row r="5218" spans="1:7">
      <c r="B5218">
        <f>IF(INDEX(Transactions!$J:$J,ROW()-8)="",TODAY(),INDEX(Transactions!$G:$G,ROW()-8))</f>
      </c>
      <c r="F5218">
        <f>IF(INDEX(Transactions!$J:$J,ROW()-8)="",0,INDEX(Transactions!$O:$O,ROW()-8))</f>
      </c>
    </row>
    <row r="5219" spans="1:7">
      <c r="B5219">
        <f>IF(INDEX(Transactions!$J:$J,ROW()-8)="",TODAY(),INDEX(Transactions!$G:$G,ROW()-8))</f>
      </c>
      <c r="F5219">
        <f>IF(INDEX(Transactions!$J:$J,ROW()-8)="",0,INDEX(Transactions!$O:$O,ROW()-8))</f>
      </c>
    </row>
    <row r="5220" spans="1:7">
      <c r="B5220">
        <f>IF(INDEX(Transactions!$J:$J,ROW()-8)="",TODAY(),INDEX(Transactions!$G:$G,ROW()-8))</f>
      </c>
      <c r="F5220">
        <f>IF(INDEX(Transactions!$J:$J,ROW()-8)="",0,INDEX(Transactions!$O:$O,ROW()-8))</f>
      </c>
    </row>
    <row r="5221" spans="1:7">
      <c r="B5221">
        <f>IF(INDEX(Transactions!$J:$J,ROW()-8)="",TODAY(),INDEX(Transactions!$G:$G,ROW()-8))</f>
      </c>
      <c r="F5221">
        <f>IF(INDEX(Transactions!$J:$J,ROW()-8)="",0,INDEX(Transactions!$O:$O,ROW()-8))</f>
      </c>
    </row>
    <row r="5222" spans="1:7">
      <c r="B5222">
        <f>IF(INDEX(Transactions!$J:$J,ROW()-8)="",TODAY(),INDEX(Transactions!$G:$G,ROW()-8))</f>
      </c>
      <c r="F5222">
        <f>IF(INDEX(Transactions!$J:$J,ROW()-8)="",0,INDEX(Transactions!$O:$O,ROW()-8))</f>
      </c>
    </row>
    <row r="5223" spans="1:7">
      <c r="B5223">
        <f>IF(INDEX(Transactions!$J:$J,ROW()-8)="",TODAY(),INDEX(Transactions!$G:$G,ROW()-8))</f>
      </c>
      <c r="F5223">
        <f>IF(INDEX(Transactions!$J:$J,ROW()-8)="",0,INDEX(Transactions!$O:$O,ROW()-8))</f>
      </c>
    </row>
    <row r="5224" spans="1:7">
      <c r="B5224">
        <f>IF(INDEX(Transactions!$J:$J,ROW()-8)="",TODAY(),INDEX(Transactions!$G:$G,ROW()-8))</f>
      </c>
      <c r="F5224">
        <f>IF(INDEX(Transactions!$J:$J,ROW()-8)="",0,INDEX(Transactions!$O:$O,ROW()-8))</f>
      </c>
    </row>
    <row r="5225" spans="1:7">
      <c r="B5225">
        <f>IF(INDEX(Transactions!$J:$J,ROW()-8)="",TODAY(),INDEX(Transactions!$G:$G,ROW()-8))</f>
      </c>
      <c r="F5225">
        <f>IF(INDEX(Transactions!$J:$J,ROW()-8)="",0,INDEX(Transactions!$O:$O,ROW()-8))</f>
      </c>
    </row>
    <row r="5226" spans="1:7">
      <c r="B5226">
        <f>IF(INDEX(Transactions!$J:$J,ROW()-8)="",TODAY(),INDEX(Transactions!$G:$G,ROW()-8))</f>
      </c>
      <c r="F5226">
        <f>IF(INDEX(Transactions!$J:$J,ROW()-8)="",0,INDEX(Transactions!$O:$O,ROW()-8))</f>
      </c>
    </row>
    <row r="5227" spans="1:7">
      <c r="B5227">
        <f>IF(INDEX(Transactions!$J:$J,ROW()-8)="",TODAY(),INDEX(Transactions!$G:$G,ROW()-8))</f>
      </c>
      <c r="F5227">
        <f>IF(INDEX(Transactions!$J:$J,ROW()-8)="",0,INDEX(Transactions!$O:$O,ROW()-8))</f>
      </c>
    </row>
    <row r="5228" spans="1:7">
      <c r="B5228">
        <f>IF(INDEX(Transactions!$J:$J,ROW()-8)="",TODAY(),INDEX(Transactions!$G:$G,ROW()-8))</f>
      </c>
      <c r="F5228">
        <f>IF(INDEX(Transactions!$J:$J,ROW()-8)="",0,INDEX(Transactions!$O:$O,ROW()-8))</f>
      </c>
    </row>
    <row r="5229" spans="1:7">
      <c r="B5229">
        <f>IF(INDEX(Transactions!$J:$J,ROW()-8)="",TODAY(),INDEX(Transactions!$G:$G,ROW()-8))</f>
      </c>
      <c r="F5229">
        <f>IF(INDEX(Transactions!$J:$J,ROW()-8)="",0,INDEX(Transactions!$O:$O,ROW()-8))</f>
      </c>
    </row>
    <row r="5230" spans="1:7">
      <c r="B5230">
        <f>IF(INDEX(Transactions!$J:$J,ROW()-8)="",TODAY(),INDEX(Transactions!$G:$G,ROW()-8))</f>
      </c>
      <c r="F5230">
        <f>IF(INDEX(Transactions!$J:$J,ROW()-8)="",0,INDEX(Transactions!$O:$O,ROW()-8))</f>
      </c>
    </row>
    <row r="5231" spans="1:7">
      <c r="B5231">
        <f>IF(INDEX(Transactions!$J:$J,ROW()-8)="",TODAY(),INDEX(Transactions!$G:$G,ROW()-8))</f>
      </c>
      <c r="F5231">
        <f>IF(INDEX(Transactions!$J:$J,ROW()-8)="",0,INDEX(Transactions!$O:$O,ROW()-8))</f>
      </c>
    </row>
    <row r="5232" spans="1:7">
      <c r="B5232">
        <f>IF(INDEX(Transactions!$J:$J,ROW()-8)="",TODAY(),INDEX(Transactions!$G:$G,ROW()-8))</f>
      </c>
      <c r="F5232">
        <f>IF(INDEX(Transactions!$J:$J,ROW()-8)="",0,INDEX(Transactions!$O:$O,ROW()-8))</f>
      </c>
    </row>
    <row r="5233" spans="1:7">
      <c r="B5233">
        <f>IF(INDEX(Transactions!$J:$J,ROW()-8)="",TODAY(),INDEX(Transactions!$G:$G,ROW()-8))</f>
      </c>
      <c r="F5233">
        <f>IF(INDEX(Transactions!$J:$J,ROW()-8)="",0,INDEX(Transactions!$O:$O,ROW()-8))</f>
      </c>
    </row>
    <row r="5234" spans="1:7">
      <c r="B5234">
        <f>IF(INDEX(Transactions!$J:$J,ROW()-8)="",TODAY(),INDEX(Transactions!$G:$G,ROW()-8))</f>
      </c>
      <c r="F5234">
        <f>IF(INDEX(Transactions!$J:$J,ROW()-8)="",0,INDEX(Transactions!$O:$O,ROW()-8))</f>
      </c>
    </row>
    <row r="5235" spans="1:7">
      <c r="B5235">
        <f>IF(INDEX(Transactions!$J:$J,ROW()-8)="",TODAY(),INDEX(Transactions!$G:$G,ROW()-8))</f>
      </c>
      <c r="F5235">
        <f>IF(INDEX(Transactions!$J:$J,ROW()-8)="",0,INDEX(Transactions!$O:$O,ROW()-8))</f>
      </c>
    </row>
    <row r="5236" spans="1:7">
      <c r="B5236">
        <f>IF(INDEX(Transactions!$J:$J,ROW()-8)="",TODAY(),INDEX(Transactions!$G:$G,ROW()-8))</f>
      </c>
      <c r="F5236">
        <f>IF(INDEX(Transactions!$J:$J,ROW()-8)="",0,INDEX(Transactions!$O:$O,ROW()-8))</f>
      </c>
    </row>
    <row r="5237" spans="1:7">
      <c r="B5237">
        <f>IF(INDEX(Transactions!$J:$J,ROW()-8)="",TODAY(),INDEX(Transactions!$G:$G,ROW()-8))</f>
      </c>
      <c r="F5237">
        <f>IF(INDEX(Transactions!$J:$J,ROW()-8)="",0,INDEX(Transactions!$O:$O,ROW()-8))</f>
      </c>
    </row>
    <row r="5238" spans="1:7">
      <c r="B5238">
        <f>IF(INDEX(Transactions!$J:$J,ROW()-8)="",TODAY(),INDEX(Transactions!$G:$G,ROW()-8))</f>
      </c>
      <c r="F5238">
        <f>IF(INDEX(Transactions!$J:$J,ROW()-8)="",0,INDEX(Transactions!$O:$O,ROW()-8))</f>
      </c>
    </row>
    <row r="5239" spans="1:7">
      <c r="B5239">
        <f>IF(INDEX(Transactions!$J:$J,ROW()-8)="",TODAY(),INDEX(Transactions!$G:$G,ROW()-8))</f>
      </c>
      <c r="F5239">
        <f>IF(INDEX(Transactions!$J:$J,ROW()-8)="",0,INDEX(Transactions!$O:$O,ROW()-8))</f>
      </c>
    </row>
    <row r="5240" spans="1:7">
      <c r="B5240">
        <f>IF(INDEX(Transactions!$J:$J,ROW()-8)="",TODAY(),INDEX(Transactions!$G:$G,ROW()-8))</f>
      </c>
      <c r="F5240">
        <f>IF(INDEX(Transactions!$J:$J,ROW()-8)="",0,INDEX(Transactions!$O:$O,ROW()-8))</f>
      </c>
    </row>
    <row r="5241" spans="1:7">
      <c r="B5241">
        <f>IF(INDEX(Transactions!$J:$J,ROW()-8)="",TODAY(),INDEX(Transactions!$G:$G,ROW()-8))</f>
      </c>
      <c r="F5241">
        <f>IF(INDEX(Transactions!$J:$J,ROW()-8)="",0,INDEX(Transactions!$O:$O,ROW()-8))</f>
      </c>
    </row>
    <row r="5242" spans="1:7">
      <c r="B5242">
        <f>IF(INDEX(Transactions!$J:$J,ROW()-8)="",TODAY(),INDEX(Transactions!$G:$G,ROW()-8))</f>
      </c>
      <c r="F5242">
        <f>IF(INDEX(Transactions!$J:$J,ROW()-8)="",0,INDEX(Transactions!$O:$O,ROW()-8))</f>
      </c>
    </row>
    <row r="5243" spans="1:7">
      <c r="B5243">
        <f>IF(INDEX(Transactions!$J:$J,ROW()-8)="",TODAY(),INDEX(Transactions!$G:$G,ROW()-8))</f>
      </c>
      <c r="F5243">
        <f>IF(INDEX(Transactions!$J:$J,ROW()-8)="",0,INDEX(Transactions!$O:$O,ROW()-8))</f>
      </c>
    </row>
    <row r="5244" spans="1:7">
      <c r="B5244">
        <f>IF(INDEX(Transactions!$J:$J,ROW()-8)="",TODAY(),INDEX(Transactions!$G:$G,ROW()-8))</f>
      </c>
      <c r="F5244">
        <f>IF(INDEX(Transactions!$J:$J,ROW()-8)="",0,INDEX(Transactions!$O:$O,ROW()-8))</f>
      </c>
    </row>
    <row r="5245" spans="1:7">
      <c r="B5245">
        <f>IF(INDEX(Transactions!$J:$J,ROW()-8)="",TODAY(),INDEX(Transactions!$G:$G,ROW()-8))</f>
      </c>
      <c r="F5245">
        <f>IF(INDEX(Transactions!$J:$J,ROW()-8)="",0,INDEX(Transactions!$O:$O,ROW()-8))</f>
      </c>
    </row>
    <row r="5246" spans="1:7">
      <c r="B5246">
        <f>IF(INDEX(Transactions!$J:$J,ROW()-8)="",TODAY(),INDEX(Transactions!$G:$G,ROW()-8))</f>
      </c>
      <c r="F5246">
        <f>IF(INDEX(Transactions!$J:$J,ROW()-8)="",0,INDEX(Transactions!$O:$O,ROW()-8))</f>
      </c>
    </row>
    <row r="5247" spans="1:7">
      <c r="B5247">
        <f>IF(INDEX(Transactions!$J:$J,ROW()-8)="",TODAY(),INDEX(Transactions!$G:$G,ROW()-8))</f>
      </c>
      <c r="F5247">
        <f>IF(INDEX(Transactions!$J:$J,ROW()-8)="",0,INDEX(Transactions!$O:$O,ROW()-8))</f>
      </c>
    </row>
    <row r="5248" spans="1:7">
      <c r="B5248">
        <f>IF(INDEX(Transactions!$J:$J,ROW()-8)="",TODAY(),INDEX(Transactions!$G:$G,ROW()-8))</f>
      </c>
      <c r="F5248">
        <f>IF(INDEX(Transactions!$J:$J,ROW()-8)="",0,INDEX(Transactions!$O:$O,ROW()-8))</f>
      </c>
    </row>
    <row r="5249" spans="1:7">
      <c r="B5249">
        <f>IF(INDEX(Transactions!$J:$J,ROW()-8)="",TODAY(),INDEX(Transactions!$G:$G,ROW()-8))</f>
      </c>
      <c r="F5249">
        <f>IF(INDEX(Transactions!$J:$J,ROW()-8)="",0,INDEX(Transactions!$O:$O,ROW()-8))</f>
      </c>
    </row>
    <row r="5250" spans="1:7">
      <c r="B5250">
        <f>IF(INDEX(Transactions!$J:$J,ROW()-8)="",TODAY(),INDEX(Transactions!$G:$G,ROW()-8))</f>
      </c>
      <c r="F5250">
        <f>IF(INDEX(Transactions!$J:$J,ROW()-8)="",0,INDEX(Transactions!$O:$O,ROW()-8))</f>
      </c>
    </row>
    <row r="5251" spans="1:7">
      <c r="B5251">
        <f>IF(INDEX(Transactions!$J:$J,ROW()-8)="",TODAY(),INDEX(Transactions!$G:$G,ROW()-8))</f>
      </c>
      <c r="F5251">
        <f>IF(INDEX(Transactions!$J:$J,ROW()-8)="",0,INDEX(Transactions!$O:$O,ROW()-8))</f>
      </c>
    </row>
    <row r="5252" spans="1:7">
      <c r="B5252">
        <f>IF(INDEX(Transactions!$J:$J,ROW()-8)="",TODAY(),INDEX(Transactions!$G:$G,ROW()-8))</f>
      </c>
      <c r="F5252">
        <f>IF(INDEX(Transactions!$J:$J,ROW()-8)="",0,INDEX(Transactions!$O:$O,ROW()-8))</f>
      </c>
    </row>
    <row r="5253" spans="1:7">
      <c r="B5253">
        <f>IF(INDEX(Transactions!$J:$J,ROW()-8)="",TODAY(),INDEX(Transactions!$G:$G,ROW()-8))</f>
      </c>
      <c r="F5253">
        <f>IF(INDEX(Transactions!$J:$J,ROW()-8)="",0,INDEX(Transactions!$O:$O,ROW()-8))</f>
      </c>
    </row>
    <row r="5254" spans="1:7">
      <c r="B5254">
        <f>IF(INDEX(Transactions!$J:$J,ROW()-8)="",TODAY(),INDEX(Transactions!$G:$G,ROW()-8))</f>
      </c>
      <c r="F5254">
        <f>IF(INDEX(Transactions!$J:$J,ROW()-8)="",0,INDEX(Transactions!$O:$O,ROW()-8))</f>
      </c>
    </row>
    <row r="5255" spans="1:7">
      <c r="B5255">
        <f>IF(INDEX(Transactions!$J:$J,ROW()-8)="",TODAY(),INDEX(Transactions!$G:$G,ROW()-8))</f>
      </c>
      <c r="F5255">
        <f>IF(INDEX(Transactions!$J:$J,ROW()-8)="",0,INDEX(Transactions!$O:$O,ROW()-8))</f>
      </c>
    </row>
    <row r="5256" spans="1:7">
      <c r="B5256">
        <f>IF(INDEX(Transactions!$J:$J,ROW()-8)="",TODAY(),INDEX(Transactions!$G:$G,ROW()-8))</f>
      </c>
      <c r="F5256">
        <f>IF(INDEX(Transactions!$J:$J,ROW()-8)="",0,INDEX(Transactions!$O:$O,ROW()-8))</f>
      </c>
    </row>
    <row r="5257" spans="1:7">
      <c r="B5257">
        <f>IF(INDEX(Transactions!$J:$J,ROW()-8)="",TODAY(),INDEX(Transactions!$G:$G,ROW()-8))</f>
      </c>
      <c r="F5257">
        <f>IF(INDEX(Transactions!$J:$J,ROW()-8)="",0,INDEX(Transactions!$O:$O,ROW()-8))</f>
      </c>
    </row>
    <row r="5258" spans="1:7">
      <c r="B5258">
        <f>IF(INDEX(Transactions!$J:$J,ROW()-8)="",TODAY(),INDEX(Transactions!$G:$G,ROW()-8))</f>
      </c>
      <c r="F5258">
        <f>IF(INDEX(Transactions!$J:$J,ROW()-8)="",0,INDEX(Transactions!$O:$O,ROW()-8))</f>
      </c>
    </row>
    <row r="5259" spans="1:7">
      <c r="B5259">
        <f>IF(INDEX(Transactions!$J:$J,ROW()-8)="",TODAY(),INDEX(Transactions!$G:$G,ROW()-8))</f>
      </c>
      <c r="F5259">
        <f>IF(INDEX(Transactions!$J:$J,ROW()-8)="",0,INDEX(Transactions!$O:$O,ROW()-8))</f>
      </c>
    </row>
    <row r="5260" spans="1:7">
      <c r="B5260">
        <f>IF(INDEX(Transactions!$J:$J,ROW()-8)="",TODAY(),INDEX(Transactions!$G:$G,ROW()-8))</f>
      </c>
      <c r="F5260">
        <f>IF(INDEX(Transactions!$J:$J,ROW()-8)="",0,INDEX(Transactions!$O:$O,ROW()-8))</f>
      </c>
    </row>
    <row r="5261" spans="1:7">
      <c r="B5261">
        <f>IF(INDEX(Transactions!$J:$J,ROW()-8)="",TODAY(),INDEX(Transactions!$G:$G,ROW()-8))</f>
      </c>
      <c r="F5261">
        <f>IF(INDEX(Transactions!$J:$J,ROW()-8)="",0,INDEX(Transactions!$O:$O,ROW()-8))</f>
      </c>
    </row>
    <row r="5262" spans="1:7">
      <c r="B5262">
        <f>IF(INDEX(Transactions!$J:$J,ROW()-8)="",TODAY(),INDEX(Transactions!$G:$G,ROW()-8))</f>
      </c>
      <c r="F5262">
        <f>IF(INDEX(Transactions!$J:$J,ROW()-8)="",0,INDEX(Transactions!$O:$O,ROW()-8))</f>
      </c>
    </row>
    <row r="5263" spans="1:7">
      <c r="B5263">
        <f>IF(INDEX(Transactions!$J:$J,ROW()-8)="",TODAY(),INDEX(Transactions!$G:$G,ROW()-8))</f>
      </c>
      <c r="F5263">
        <f>IF(INDEX(Transactions!$J:$J,ROW()-8)="",0,INDEX(Transactions!$O:$O,ROW()-8))</f>
      </c>
    </row>
    <row r="5264" spans="1:7">
      <c r="B5264">
        <f>IF(INDEX(Transactions!$J:$J,ROW()-8)="",TODAY(),INDEX(Transactions!$G:$G,ROW()-8))</f>
      </c>
      <c r="F5264">
        <f>IF(INDEX(Transactions!$J:$J,ROW()-8)="",0,INDEX(Transactions!$O:$O,ROW()-8))</f>
      </c>
    </row>
    <row r="5265" spans="1:7">
      <c r="B5265">
        <f>IF(INDEX(Transactions!$J:$J,ROW()-8)="",TODAY(),INDEX(Transactions!$G:$G,ROW()-8))</f>
      </c>
      <c r="F5265">
        <f>IF(INDEX(Transactions!$J:$J,ROW()-8)="",0,INDEX(Transactions!$O:$O,ROW()-8))</f>
      </c>
    </row>
    <row r="5266" spans="1:7">
      <c r="B5266">
        <f>IF(INDEX(Transactions!$J:$J,ROW()-8)="",TODAY(),INDEX(Transactions!$G:$G,ROW()-8))</f>
      </c>
      <c r="F5266">
        <f>IF(INDEX(Transactions!$J:$J,ROW()-8)="",0,INDEX(Transactions!$O:$O,ROW()-8))</f>
      </c>
    </row>
    <row r="5267" spans="1:7">
      <c r="B5267">
        <f>IF(INDEX(Transactions!$J:$J,ROW()-8)="",TODAY(),INDEX(Transactions!$G:$G,ROW()-8))</f>
      </c>
      <c r="F5267">
        <f>IF(INDEX(Transactions!$J:$J,ROW()-8)="",0,INDEX(Transactions!$O:$O,ROW()-8))</f>
      </c>
    </row>
    <row r="5268" spans="1:7">
      <c r="B5268">
        <f>IF(INDEX(Transactions!$J:$J,ROW()-8)="",TODAY(),INDEX(Transactions!$G:$G,ROW()-8))</f>
      </c>
      <c r="F5268">
        <f>IF(INDEX(Transactions!$J:$J,ROW()-8)="",0,INDEX(Transactions!$O:$O,ROW()-8))</f>
      </c>
    </row>
    <row r="5269" spans="1:7">
      <c r="B5269">
        <f>IF(INDEX(Transactions!$J:$J,ROW()-8)="",TODAY(),INDEX(Transactions!$G:$G,ROW()-8))</f>
      </c>
      <c r="F5269">
        <f>IF(INDEX(Transactions!$J:$J,ROW()-8)="",0,INDEX(Transactions!$O:$O,ROW()-8))</f>
      </c>
    </row>
    <row r="5270" spans="1:7">
      <c r="B5270">
        <f>IF(INDEX(Transactions!$J:$J,ROW()-8)="",TODAY(),INDEX(Transactions!$G:$G,ROW()-8))</f>
      </c>
      <c r="F5270">
        <f>IF(INDEX(Transactions!$J:$J,ROW()-8)="",0,INDEX(Transactions!$O:$O,ROW()-8))</f>
      </c>
    </row>
    <row r="5271" spans="1:7">
      <c r="B5271">
        <f>IF(INDEX(Transactions!$J:$J,ROW()-8)="",TODAY(),INDEX(Transactions!$G:$G,ROW()-8))</f>
      </c>
      <c r="F5271">
        <f>IF(INDEX(Transactions!$J:$J,ROW()-8)="",0,INDEX(Transactions!$O:$O,ROW()-8))</f>
      </c>
    </row>
    <row r="5272" spans="1:7">
      <c r="B5272">
        <f>IF(INDEX(Transactions!$J:$J,ROW()-8)="",TODAY(),INDEX(Transactions!$G:$G,ROW()-8))</f>
      </c>
      <c r="F5272">
        <f>IF(INDEX(Transactions!$J:$J,ROW()-8)="",0,INDEX(Transactions!$O:$O,ROW()-8))</f>
      </c>
    </row>
    <row r="5273" spans="1:7">
      <c r="B5273">
        <f>IF(INDEX(Transactions!$J:$J,ROW()-8)="",TODAY(),INDEX(Transactions!$G:$G,ROW()-8))</f>
      </c>
      <c r="F5273">
        <f>IF(INDEX(Transactions!$J:$J,ROW()-8)="",0,INDEX(Transactions!$O:$O,ROW()-8))</f>
      </c>
    </row>
    <row r="5274" spans="1:7">
      <c r="B5274">
        <f>IF(INDEX(Transactions!$J:$J,ROW()-8)="",TODAY(),INDEX(Transactions!$G:$G,ROW()-8))</f>
      </c>
      <c r="F5274">
        <f>IF(INDEX(Transactions!$J:$J,ROW()-8)="",0,INDEX(Transactions!$O:$O,ROW()-8))</f>
      </c>
    </row>
    <row r="5275" spans="1:7">
      <c r="B5275">
        <f>IF(INDEX(Transactions!$J:$J,ROW()-8)="",TODAY(),INDEX(Transactions!$G:$G,ROW()-8))</f>
      </c>
      <c r="F5275">
        <f>IF(INDEX(Transactions!$J:$J,ROW()-8)="",0,INDEX(Transactions!$O:$O,ROW()-8))</f>
      </c>
    </row>
    <row r="5276" spans="1:7">
      <c r="B5276">
        <f>IF(INDEX(Transactions!$J:$J,ROW()-8)="",TODAY(),INDEX(Transactions!$G:$G,ROW()-8))</f>
      </c>
      <c r="F5276">
        <f>IF(INDEX(Transactions!$J:$J,ROW()-8)="",0,INDEX(Transactions!$O:$O,ROW()-8))</f>
      </c>
    </row>
    <row r="5277" spans="1:7">
      <c r="B5277">
        <f>IF(INDEX(Transactions!$J:$J,ROW()-8)="",TODAY(),INDEX(Transactions!$G:$G,ROW()-8))</f>
      </c>
      <c r="F5277">
        <f>IF(INDEX(Transactions!$J:$J,ROW()-8)="",0,INDEX(Transactions!$O:$O,ROW()-8))</f>
      </c>
    </row>
    <row r="5278" spans="1:7">
      <c r="B5278">
        <f>IF(INDEX(Transactions!$J:$J,ROW()-8)="",TODAY(),INDEX(Transactions!$G:$G,ROW()-8))</f>
      </c>
      <c r="F5278">
        <f>IF(INDEX(Transactions!$J:$J,ROW()-8)="",0,INDEX(Transactions!$O:$O,ROW()-8))</f>
      </c>
    </row>
    <row r="5279" spans="1:7">
      <c r="B5279">
        <f>IF(INDEX(Transactions!$J:$J,ROW()-8)="",TODAY(),INDEX(Transactions!$G:$G,ROW()-8))</f>
      </c>
      <c r="F5279">
        <f>IF(INDEX(Transactions!$J:$J,ROW()-8)="",0,INDEX(Transactions!$O:$O,ROW()-8))</f>
      </c>
    </row>
    <row r="5280" spans="1:7">
      <c r="B5280">
        <f>IF(INDEX(Transactions!$J:$J,ROW()-8)="",TODAY(),INDEX(Transactions!$G:$G,ROW()-8))</f>
      </c>
      <c r="F5280">
        <f>IF(INDEX(Transactions!$J:$J,ROW()-8)="",0,INDEX(Transactions!$O:$O,ROW()-8))</f>
      </c>
    </row>
    <row r="5281" spans="1:7">
      <c r="B5281">
        <f>IF(INDEX(Transactions!$J:$J,ROW()-8)="",TODAY(),INDEX(Transactions!$G:$G,ROW()-8))</f>
      </c>
      <c r="F5281">
        <f>IF(INDEX(Transactions!$J:$J,ROW()-8)="",0,INDEX(Transactions!$O:$O,ROW()-8))</f>
      </c>
    </row>
    <row r="5282" spans="1:7">
      <c r="B5282">
        <f>IF(INDEX(Transactions!$J:$J,ROW()-8)="",TODAY(),INDEX(Transactions!$G:$G,ROW()-8))</f>
      </c>
      <c r="F5282">
        <f>IF(INDEX(Transactions!$J:$J,ROW()-8)="",0,INDEX(Transactions!$O:$O,ROW()-8))</f>
      </c>
    </row>
    <row r="5283" spans="1:7">
      <c r="B5283">
        <f>IF(INDEX(Transactions!$J:$J,ROW()-8)="",TODAY(),INDEX(Transactions!$G:$G,ROW()-8))</f>
      </c>
      <c r="F5283">
        <f>IF(INDEX(Transactions!$J:$J,ROW()-8)="",0,INDEX(Transactions!$O:$O,ROW()-8))</f>
      </c>
    </row>
    <row r="5284" spans="1:7">
      <c r="B5284">
        <f>IF(INDEX(Transactions!$J:$J,ROW()-8)="",TODAY(),INDEX(Transactions!$G:$G,ROW()-8))</f>
      </c>
      <c r="F5284">
        <f>IF(INDEX(Transactions!$J:$J,ROW()-8)="",0,INDEX(Transactions!$O:$O,ROW()-8))</f>
      </c>
    </row>
    <row r="5285" spans="1:7">
      <c r="B5285">
        <f>IF(INDEX(Transactions!$J:$J,ROW()-8)="",TODAY(),INDEX(Transactions!$G:$G,ROW()-8))</f>
      </c>
      <c r="F5285">
        <f>IF(INDEX(Transactions!$J:$J,ROW()-8)="",0,INDEX(Transactions!$O:$O,ROW()-8))</f>
      </c>
    </row>
    <row r="5286" spans="1:7">
      <c r="B5286">
        <f>IF(INDEX(Transactions!$J:$J,ROW()-8)="",TODAY(),INDEX(Transactions!$G:$G,ROW()-8))</f>
      </c>
      <c r="F5286">
        <f>IF(INDEX(Transactions!$J:$J,ROW()-8)="",0,INDEX(Transactions!$O:$O,ROW()-8))</f>
      </c>
    </row>
    <row r="5287" spans="1:7">
      <c r="B5287">
        <f>IF(INDEX(Transactions!$J:$J,ROW()-8)="",TODAY(),INDEX(Transactions!$G:$G,ROW()-8))</f>
      </c>
      <c r="F5287">
        <f>IF(INDEX(Transactions!$J:$J,ROW()-8)="",0,INDEX(Transactions!$O:$O,ROW()-8))</f>
      </c>
    </row>
    <row r="5288" spans="1:7">
      <c r="B5288">
        <f>IF(INDEX(Transactions!$J:$J,ROW()-8)="",TODAY(),INDEX(Transactions!$G:$G,ROW()-8))</f>
      </c>
      <c r="F5288">
        <f>IF(INDEX(Transactions!$J:$J,ROW()-8)="",0,INDEX(Transactions!$O:$O,ROW()-8))</f>
      </c>
    </row>
    <row r="5289" spans="1:7">
      <c r="B5289">
        <f>IF(INDEX(Transactions!$J:$J,ROW()-8)="",TODAY(),INDEX(Transactions!$G:$G,ROW()-8))</f>
      </c>
      <c r="F5289">
        <f>IF(INDEX(Transactions!$J:$J,ROW()-8)="",0,INDEX(Transactions!$O:$O,ROW()-8))</f>
      </c>
    </row>
    <row r="5290" spans="1:7">
      <c r="B5290">
        <f>IF(INDEX(Transactions!$J:$J,ROW()-8)="",TODAY(),INDEX(Transactions!$G:$G,ROW()-8))</f>
      </c>
      <c r="F5290">
        <f>IF(INDEX(Transactions!$J:$J,ROW()-8)="",0,INDEX(Transactions!$O:$O,ROW()-8))</f>
      </c>
    </row>
    <row r="5291" spans="1:7">
      <c r="B5291">
        <f>IF(INDEX(Transactions!$J:$J,ROW()-8)="",TODAY(),INDEX(Transactions!$G:$G,ROW()-8))</f>
      </c>
      <c r="F5291">
        <f>IF(INDEX(Transactions!$J:$J,ROW()-8)="",0,INDEX(Transactions!$O:$O,ROW()-8))</f>
      </c>
    </row>
    <row r="5292" spans="1:7">
      <c r="B5292">
        <f>IF(INDEX(Transactions!$J:$J,ROW()-8)="",TODAY(),INDEX(Transactions!$G:$G,ROW()-8))</f>
      </c>
      <c r="F5292">
        <f>IF(INDEX(Transactions!$J:$J,ROW()-8)="",0,INDEX(Transactions!$O:$O,ROW()-8))</f>
      </c>
    </row>
    <row r="5293" spans="1:7">
      <c r="B5293">
        <f>IF(INDEX(Transactions!$J:$J,ROW()-8)="",TODAY(),INDEX(Transactions!$G:$G,ROW()-8))</f>
      </c>
      <c r="F5293">
        <f>IF(INDEX(Transactions!$J:$J,ROW()-8)="",0,INDEX(Transactions!$O:$O,ROW()-8))</f>
      </c>
    </row>
    <row r="5294" spans="1:7">
      <c r="B5294">
        <f>IF(INDEX(Transactions!$J:$J,ROW()-8)="",TODAY(),INDEX(Transactions!$G:$G,ROW()-8))</f>
      </c>
      <c r="F5294">
        <f>IF(INDEX(Transactions!$J:$J,ROW()-8)="",0,INDEX(Transactions!$O:$O,ROW()-8))</f>
      </c>
    </row>
    <row r="5295" spans="1:7">
      <c r="B5295">
        <f>IF(INDEX(Transactions!$J:$J,ROW()-8)="",TODAY(),INDEX(Transactions!$G:$G,ROW()-8))</f>
      </c>
      <c r="F5295">
        <f>IF(INDEX(Transactions!$J:$J,ROW()-8)="",0,INDEX(Transactions!$O:$O,ROW()-8))</f>
      </c>
    </row>
    <row r="5296" spans="1:7">
      <c r="B5296">
        <f>IF(INDEX(Transactions!$J:$J,ROW()-8)="",TODAY(),INDEX(Transactions!$G:$G,ROW()-8))</f>
      </c>
      <c r="F5296">
        <f>IF(INDEX(Transactions!$J:$J,ROW()-8)="",0,INDEX(Transactions!$O:$O,ROW()-8))</f>
      </c>
    </row>
    <row r="5297" spans="1:7">
      <c r="B5297">
        <f>IF(INDEX(Transactions!$J:$J,ROW()-8)="",TODAY(),INDEX(Transactions!$G:$G,ROW()-8))</f>
      </c>
      <c r="F5297">
        <f>IF(INDEX(Transactions!$J:$J,ROW()-8)="",0,INDEX(Transactions!$O:$O,ROW()-8))</f>
      </c>
    </row>
    <row r="5298" spans="1:7">
      <c r="B5298">
        <f>IF(INDEX(Transactions!$J:$J,ROW()-8)="",TODAY(),INDEX(Transactions!$G:$G,ROW()-8))</f>
      </c>
      <c r="F5298">
        <f>IF(INDEX(Transactions!$J:$J,ROW()-8)="",0,INDEX(Transactions!$O:$O,ROW()-8))</f>
      </c>
    </row>
    <row r="5299" spans="1:7">
      <c r="B5299">
        <f>IF(INDEX(Transactions!$J:$J,ROW()-8)="",TODAY(),INDEX(Transactions!$G:$G,ROW()-8))</f>
      </c>
      <c r="F5299">
        <f>IF(INDEX(Transactions!$J:$J,ROW()-8)="",0,INDEX(Transactions!$O:$O,ROW()-8))</f>
      </c>
    </row>
    <row r="5300" spans="1:7">
      <c r="B5300">
        <f>IF(INDEX(Transactions!$J:$J,ROW()-8)="",TODAY(),INDEX(Transactions!$G:$G,ROW()-8))</f>
      </c>
      <c r="F5300">
        <f>IF(INDEX(Transactions!$J:$J,ROW()-8)="",0,INDEX(Transactions!$O:$O,ROW()-8))</f>
      </c>
    </row>
    <row r="5301" spans="1:7">
      <c r="B5301">
        <f>IF(INDEX(Transactions!$J:$J,ROW()-8)="",TODAY(),INDEX(Transactions!$G:$G,ROW()-8))</f>
      </c>
      <c r="F5301">
        <f>IF(INDEX(Transactions!$J:$J,ROW()-8)="",0,INDEX(Transactions!$O:$O,ROW()-8))</f>
      </c>
    </row>
    <row r="5302" spans="1:7">
      <c r="B5302">
        <f>IF(INDEX(Transactions!$J:$J,ROW()-8)="",TODAY(),INDEX(Transactions!$G:$G,ROW()-8))</f>
      </c>
      <c r="F5302">
        <f>IF(INDEX(Transactions!$J:$J,ROW()-8)="",0,INDEX(Transactions!$O:$O,ROW()-8))</f>
      </c>
    </row>
    <row r="5303" spans="1:7">
      <c r="B5303">
        <f>IF(INDEX(Transactions!$J:$J,ROW()-8)="",TODAY(),INDEX(Transactions!$G:$G,ROW()-8))</f>
      </c>
      <c r="F5303">
        <f>IF(INDEX(Transactions!$J:$J,ROW()-8)="",0,INDEX(Transactions!$O:$O,ROW()-8))</f>
      </c>
    </row>
    <row r="5304" spans="1:7">
      <c r="B5304">
        <f>IF(INDEX(Transactions!$J:$J,ROW()-8)="",TODAY(),INDEX(Transactions!$G:$G,ROW()-8))</f>
      </c>
      <c r="F5304">
        <f>IF(INDEX(Transactions!$J:$J,ROW()-8)="",0,INDEX(Transactions!$O:$O,ROW()-8))</f>
      </c>
    </row>
    <row r="5305" spans="1:7">
      <c r="B5305">
        <f>IF(INDEX(Transactions!$J:$J,ROW()-8)="",TODAY(),INDEX(Transactions!$G:$G,ROW()-8))</f>
      </c>
      <c r="F5305">
        <f>IF(INDEX(Transactions!$J:$J,ROW()-8)="",0,INDEX(Transactions!$O:$O,ROW()-8))</f>
      </c>
    </row>
    <row r="5306" spans="1:7">
      <c r="B5306">
        <f>IF(INDEX(Transactions!$J:$J,ROW()-8)="",TODAY(),INDEX(Transactions!$G:$G,ROW()-8))</f>
      </c>
      <c r="F5306">
        <f>IF(INDEX(Transactions!$J:$J,ROW()-8)="",0,INDEX(Transactions!$O:$O,ROW()-8))</f>
      </c>
    </row>
    <row r="5307" spans="1:7">
      <c r="B5307">
        <f>IF(INDEX(Transactions!$J:$J,ROW()-8)="",TODAY(),INDEX(Transactions!$G:$G,ROW()-8))</f>
      </c>
      <c r="F5307">
        <f>IF(INDEX(Transactions!$J:$J,ROW()-8)="",0,INDEX(Transactions!$O:$O,ROW()-8))</f>
      </c>
    </row>
    <row r="5308" spans="1:7">
      <c r="B5308">
        <f>IF(INDEX(Transactions!$J:$J,ROW()-8)="",TODAY(),INDEX(Transactions!$G:$G,ROW()-8))</f>
      </c>
      <c r="F5308">
        <f>IF(INDEX(Transactions!$J:$J,ROW()-8)="",0,INDEX(Transactions!$O:$O,ROW()-8))</f>
      </c>
    </row>
    <row r="5309" spans="1:7">
      <c r="B5309">
        <f>IF(INDEX(Transactions!$J:$J,ROW()-8)="",TODAY(),INDEX(Transactions!$G:$G,ROW()-8))</f>
      </c>
      <c r="F5309">
        <f>IF(INDEX(Transactions!$J:$J,ROW()-8)="",0,INDEX(Transactions!$O:$O,ROW()-8))</f>
      </c>
    </row>
    <row r="5310" spans="1:7">
      <c r="B5310">
        <f>IF(INDEX(Transactions!$J:$J,ROW()-8)="",TODAY(),INDEX(Transactions!$G:$G,ROW()-8))</f>
      </c>
      <c r="F5310">
        <f>IF(INDEX(Transactions!$J:$J,ROW()-8)="",0,INDEX(Transactions!$O:$O,ROW()-8))</f>
      </c>
    </row>
    <row r="5311" spans="1:7">
      <c r="B5311">
        <f>IF(INDEX(Transactions!$J:$J,ROW()-8)="",TODAY(),INDEX(Transactions!$G:$G,ROW()-8))</f>
      </c>
      <c r="F5311">
        <f>IF(INDEX(Transactions!$J:$J,ROW()-8)="",0,INDEX(Transactions!$O:$O,ROW()-8))</f>
      </c>
    </row>
    <row r="5312" spans="1:7">
      <c r="B5312">
        <f>IF(INDEX(Transactions!$J:$J,ROW()-8)="",TODAY(),INDEX(Transactions!$G:$G,ROW()-8))</f>
      </c>
      <c r="F5312">
        <f>IF(INDEX(Transactions!$J:$J,ROW()-8)="",0,INDEX(Transactions!$O:$O,ROW()-8))</f>
      </c>
    </row>
    <row r="5313" spans="1:7">
      <c r="B5313">
        <f>IF(INDEX(Transactions!$J:$J,ROW()-8)="",TODAY(),INDEX(Transactions!$G:$G,ROW()-8))</f>
      </c>
      <c r="F5313">
        <f>IF(INDEX(Transactions!$J:$J,ROW()-8)="",0,INDEX(Transactions!$O:$O,ROW()-8))</f>
      </c>
    </row>
    <row r="5314" spans="1:7">
      <c r="B5314">
        <f>IF(INDEX(Transactions!$J:$J,ROW()-8)="",TODAY(),INDEX(Transactions!$G:$G,ROW()-8))</f>
      </c>
      <c r="F5314">
        <f>IF(INDEX(Transactions!$J:$J,ROW()-8)="",0,INDEX(Transactions!$O:$O,ROW()-8))</f>
      </c>
    </row>
    <row r="5315" spans="1:7">
      <c r="B5315">
        <f>IF(INDEX(Transactions!$J:$J,ROW()-8)="",TODAY(),INDEX(Transactions!$G:$G,ROW()-8))</f>
      </c>
      <c r="F5315">
        <f>IF(INDEX(Transactions!$J:$J,ROW()-8)="",0,INDEX(Transactions!$O:$O,ROW()-8))</f>
      </c>
    </row>
    <row r="5316" spans="1:7">
      <c r="B5316">
        <f>IF(INDEX(Transactions!$J:$J,ROW()-8)="",TODAY(),INDEX(Transactions!$G:$G,ROW()-8))</f>
      </c>
      <c r="F5316">
        <f>IF(INDEX(Transactions!$J:$J,ROW()-8)="",0,INDEX(Transactions!$O:$O,ROW()-8))</f>
      </c>
    </row>
    <row r="5317" spans="1:7">
      <c r="B5317">
        <f>IF(INDEX(Transactions!$J:$J,ROW()-8)="",TODAY(),INDEX(Transactions!$G:$G,ROW()-8))</f>
      </c>
      <c r="F5317">
        <f>IF(INDEX(Transactions!$J:$J,ROW()-8)="",0,INDEX(Transactions!$O:$O,ROW()-8))</f>
      </c>
    </row>
    <row r="5318" spans="1:7">
      <c r="B5318">
        <f>IF(INDEX(Transactions!$J:$J,ROW()-8)="",TODAY(),INDEX(Transactions!$G:$G,ROW()-8))</f>
      </c>
      <c r="F5318">
        <f>IF(INDEX(Transactions!$J:$J,ROW()-8)="",0,INDEX(Transactions!$O:$O,ROW()-8))</f>
      </c>
    </row>
    <row r="5319" spans="1:7">
      <c r="B5319">
        <f>IF(INDEX(Transactions!$J:$J,ROW()-8)="",TODAY(),INDEX(Transactions!$G:$G,ROW()-8))</f>
      </c>
      <c r="F5319">
        <f>IF(INDEX(Transactions!$J:$J,ROW()-8)="",0,INDEX(Transactions!$O:$O,ROW()-8))</f>
      </c>
    </row>
    <row r="5320" spans="1:7">
      <c r="B5320">
        <f>IF(INDEX(Transactions!$J:$J,ROW()-8)="",TODAY(),INDEX(Transactions!$G:$G,ROW()-8))</f>
      </c>
      <c r="F5320">
        <f>IF(INDEX(Transactions!$J:$J,ROW()-8)="",0,INDEX(Transactions!$O:$O,ROW()-8))</f>
      </c>
    </row>
    <row r="5321" spans="1:7">
      <c r="B5321">
        <f>IF(INDEX(Transactions!$J:$J,ROW()-8)="",TODAY(),INDEX(Transactions!$G:$G,ROW()-8))</f>
      </c>
      <c r="F5321">
        <f>IF(INDEX(Transactions!$J:$J,ROW()-8)="",0,INDEX(Transactions!$O:$O,ROW()-8))</f>
      </c>
    </row>
    <row r="5322" spans="1:7">
      <c r="B5322">
        <f>IF(INDEX(Transactions!$J:$J,ROW()-8)="",TODAY(),INDEX(Transactions!$G:$G,ROW()-8))</f>
      </c>
      <c r="F5322">
        <f>IF(INDEX(Transactions!$J:$J,ROW()-8)="",0,INDEX(Transactions!$O:$O,ROW()-8))</f>
      </c>
    </row>
    <row r="5323" spans="1:7">
      <c r="B5323">
        <f>IF(INDEX(Transactions!$J:$J,ROW()-8)="",TODAY(),INDEX(Transactions!$G:$G,ROW()-8))</f>
      </c>
      <c r="F5323">
        <f>IF(INDEX(Transactions!$J:$J,ROW()-8)="",0,INDEX(Transactions!$O:$O,ROW()-8))</f>
      </c>
    </row>
    <row r="5324" spans="1:7">
      <c r="B5324">
        <f>IF(INDEX(Transactions!$J:$J,ROW()-8)="",TODAY(),INDEX(Transactions!$G:$G,ROW()-8))</f>
      </c>
      <c r="F5324">
        <f>IF(INDEX(Transactions!$J:$J,ROW()-8)="",0,INDEX(Transactions!$O:$O,ROW()-8))</f>
      </c>
    </row>
    <row r="5325" spans="1:7">
      <c r="B5325">
        <f>IF(INDEX(Transactions!$J:$J,ROW()-8)="",TODAY(),INDEX(Transactions!$G:$G,ROW()-8))</f>
      </c>
      <c r="F5325">
        <f>IF(INDEX(Transactions!$J:$J,ROW()-8)="",0,INDEX(Transactions!$O:$O,ROW()-8))</f>
      </c>
    </row>
    <row r="5326" spans="1:7">
      <c r="B5326">
        <f>IF(INDEX(Transactions!$J:$J,ROW()-8)="",TODAY(),INDEX(Transactions!$G:$G,ROW()-8))</f>
      </c>
      <c r="F5326">
        <f>IF(INDEX(Transactions!$J:$J,ROW()-8)="",0,INDEX(Transactions!$O:$O,ROW()-8))</f>
      </c>
    </row>
    <row r="5327" spans="1:7">
      <c r="B5327">
        <f>IF(INDEX(Transactions!$J:$J,ROW()-8)="",TODAY(),INDEX(Transactions!$G:$G,ROW()-8))</f>
      </c>
      <c r="F5327">
        <f>IF(INDEX(Transactions!$J:$J,ROW()-8)="",0,INDEX(Transactions!$O:$O,ROW()-8))</f>
      </c>
    </row>
    <row r="5328" spans="1:7">
      <c r="B5328">
        <f>IF(INDEX(Transactions!$J:$J,ROW()-8)="",TODAY(),INDEX(Transactions!$G:$G,ROW()-8))</f>
      </c>
      <c r="F5328">
        <f>IF(INDEX(Transactions!$J:$J,ROW()-8)="",0,INDEX(Transactions!$O:$O,ROW()-8))</f>
      </c>
    </row>
    <row r="5329" spans="1:7">
      <c r="B5329">
        <f>IF(INDEX(Transactions!$J:$J,ROW()-8)="",TODAY(),INDEX(Transactions!$G:$G,ROW()-8))</f>
      </c>
      <c r="F5329">
        <f>IF(INDEX(Transactions!$J:$J,ROW()-8)="",0,INDEX(Transactions!$O:$O,ROW()-8))</f>
      </c>
    </row>
    <row r="5330" spans="1:7">
      <c r="B5330">
        <f>IF(INDEX(Transactions!$J:$J,ROW()-8)="",TODAY(),INDEX(Transactions!$G:$G,ROW()-8))</f>
      </c>
      <c r="F5330">
        <f>IF(INDEX(Transactions!$J:$J,ROW()-8)="",0,INDEX(Transactions!$O:$O,ROW()-8))</f>
      </c>
    </row>
    <row r="5331" spans="1:7">
      <c r="B5331">
        <f>IF(INDEX(Transactions!$J:$J,ROW()-8)="",TODAY(),INDEX(Transactions!$G:$G,ROW()-8))</f>
      </c>
      <c r="F5331">
        <f>IF(INDEX(Transactions!$J:$J,ROW()-8)="",0,INDEX(Transactions!$O:$O,ROW()-8))</f>
      </c>
    </row>
    <row r="5332" spans="1:7">
      <c r="B5332">
        <f>IF(INDEX(Transactions!$J:$J,ROW()-8)="",TODAY(),INDEX(Transactions!$G:$G,ROW()-8))</f>
      </c>
      <c r="F5332">
        <f>IF(INDEX(Transactions!$J:$J,ROW()-8)="",0,INDEX(Transactions!$O:$O,ROW()-8))</f>
      </c>
    </row>
    <row r="5333" spans="1:7">
      <c r="B5333">
        <f>IF(INDEX(Transactions!$J:$J,ROW()-8)="",TODAY(),INDEX(Transactions!$G:$G,ROW()-8))</f>
      </c>
      <c r="F5333">
        <f>IF(INDEX(Transactions!$J:$J,ROW()-8)="",0,INDEX(Transactions!$O:$O,ROW()-8))</f>
      </c>
    </row>
    <row r="5334" spans="1:7">
      <c r="B5334">
        <f>IF(INDEX(Transactions!$J:$J,ROW()-8)="",TODAY(),INDEX(Transactions!$G:$G,ROW()-8))</f>
      </c>
      <c r="F5334">
        <f>IF(INDEX(Transactions!$J:$J,ROW()-8)="",0,INDEX(Transactions!$O:$O,ROW()-8))</f>
      </c>
    </row>
    <row r="5335" spans="1:7">
      <c r="B5335">
        <f>IF(INDEX(Transactions!$J:$J,ROW()-8)="",TODAY(),INDEX(Transactions!$G:$G,ROW()-8))</f>
      </c>
      <c r="F5335">
        <f>IF(INDEX(Transactions!$J:$J,ROW()-8)="",0,INDEX(Transactions!$O:$O,ROW()-8))</f>
      </c>
    </row>
    <row r="5336" spans="1:7">
      <c r="B5336">
        <f>IF(INDEX(Transactions!$J:$J,ROW()-8)="",TODAY(),INDEX(Transactions!$G:$G,ROW()-8))</f>
      </c>
      <c r="F5336">
        <f>IF(INDEX(Transactions!$J:$J,ROW()-8)="",0,INDEX(Transactions!$O:$O,ROW()-8))</f>
      </c>
    </row>
    <row r="5337" spans="1:7">
      <c r="B5337">
        <f>IF(INDEX(Transactions!$J:$J,ROW()-8)="",TODAY(),INDEX(Transactions!$G:$G,ROW()-8))</f>
      </c>
      <c r="F5337">
        <f>IF(INDEX(Transactions!$J:$J,ROW()-8)="",0,INDEX(Transactions!$O:$O,ROW()-8))</f>
      </c>
    </row>
    <row r="5338" spans="1:7">
      <c r="B5338">
        <f>IF(INDEX(Transactions!$J:$J,ROW()-8)="",TODAY(),INDEX(Transactions!$G:$G,ROW()-8))</f>
      </c>
      <c r="F5338">
        <f>IF(INDEX(Transactions!$J:$J,ROW()-8)="",0,INDEX(Transactions!$O:$O,ROW()-8))</f>
      </c>
    </row>
    <row r="5339" spans="1:7">
      <c r="B5339">
        <f>IF(INDEX(Transactions!$J:$J,ROW()-8)="",TODAY(),INDEX(Transactions!$G:$G,ROW()-8))</f>
      </c>
      <c r="F5339">
        <f>IF(INDEX(Transactions!$J:$J,ROW()-8)="",0,INDEX(Transactions!$O:$O,ROW()-8))</f>
      </c>
    </row>
    <row r="5340" spans="1:7">
      <c r="B5340">
        <f>IF(INDEX(Transactions!$J:$J,ROW()-8)="",TODAY(),INDEX(Transactions!$G:$G,ROW()-8))</f>
      </c>
      <c r="F5340">
        <f>IF(INDEX(Transactions!$J:$J,ROW()-8)="",0,INDEX(Transactions!$O:$O,ROW()-8))</f>
      </c>
    </row>
    <row r="5341" spans="1:7">
      <c r="B5341">
        <f>IF(INDEX(Transactions!$J:$J,ROW()-8)="",TODAY(),INDEX(Transactions!$G:$G,ROW()-8))</f>
      </c>
      <c r="F5341">
        <f>IF(INDEX(Transactions!$J:$J,ROW()-8)="",0,INDEX(Transactions!$O:$O,ROW()-8))</f>
      </c>
    </row>
    <row r="5342" spans="1:7">
      <c r="B5342">
        <f>IF(INDEX(Transactions!$J:$J,ROW()-8)="",TODAY(),INDEX(Transactions!$G:$G,ROW()-8))</f>
      </c>
      <c r="F5342">
        <f>IF(INDEX(Transactions!$J:$J,ROW()-8)="",0,INDEX(Transactions!$O:$O,ROW()-8))</f>
      </c>
    </row>
    <row r="5343" spans="1:7">
      <c r="B5343">
        <f>IF(INDEX(Transactions!$J:$J,ROW()-8)="",TODAY(),INDEX(Transactions!$G:$G,ROW()-8))</f>
      </c>
      <c r="F5343">
        <f>IF(INDEX(Transactions!$J:$J,ROW()-8)="",0,INDEX(Transactions!$O:$O,ROW()-8))</f>
      </c>
    </row>
    <row r="5344" spans="1:7">
      <c r="B5344">
        <f>IF(INDEX(Transactions!$J:$J,ROW()-8)="",TODAY(),INDEX(Transactions!$G:$G,ROW()-8))</f>
      </c>
      <c r="F5344">
        <f>IF(INDEX(Transactions!$J:$J,ROW()-8)="",0,INDEX(Transactions!$O:$O,ROW()-8))</f>
      </c>
    </row>
    <row r="5345" spans="1:7">
      <c r="B5345">
        <f>IF(INDEX(Transactions!$J:$J,ROW()-8)="",TODAY(),INDEX(Transactions!$G:$G,ROW()-8))</f>
      </c>
      <c r="F5345">
        <f>IF(INDEX(Transactions!$J:$J,ROW()-8)="",0,INDEX(Transactions!$O:$O,ROW()-8))</f>
      </c>
    </row>
    <row r="5346" spans="1:7">
      <c r="B5346">
        <f>IF(INDEX(Transactions!$J:$J,ROW()-8)="",TODAY(),INDEX(Transactions!$G:$G,ROW()-8))</f>
      </c>
      <c r="F5346">
        <f>IF(INDEX(Transactions!$J:$J,ROW()-8)="",0,INDEX(Transactions!$O:$O,ROW()-8))</f>
      </c>
    </row>
    <row r="5347" spans="1:7">
      <c r="B5347">
        <f>IF(INDEX(Transactions!$J:$J,ROW()-8)="",TODAY(),INDEX(Transactions!$G:$G,ROW()-8))</f>
      </c>
      <c r="F5347">
        <f>IF(INDEX(Transactions!$J:$J,ROW()-8)="",0,INDEX(Transactions!$O:$O,ROW()-8))</f>
      </c>
    </row>
    <row r="5348" spans="1:7">
      <c r="B5348">
        <f>IF(INDEX(Transactions!$J:$J,ROW()-8)="",TODAY(),INDEX(Transactions!$G:$G,ROW()-8))</f>
      </c>
      <c r="F5348">
        <f>IF(INDEX(Transactions!$J:$J,ROW()-8)="",0,INDEX(Transactions!$O:$O,ROW()-8))</f>
      </c>
    </row>
    <row r="5349" spans="1:7">
      <c r="B5349">
        <f>IF(INDEX(Transactions!$J:$J,ROW()-8)="",TODAY(),INDEX(Transactions!$G:$G,ROW()-8))</f>
      </c>
      <c r="F5349">
        <f>IF(INDEX(Transactions!$J:$J,ROW()-8)="",0,INDEX(Transactions!$O:$O,ROW()-8))</f>
      </c>
    </row>
    <row r="5350" spans="1:7">
      <c r="B5350">
        <f>IF(INDEX(Transactions!$J:$J,ROW()-8)="",TODAY(),INDEX(Transactions!$G:$G,ROW()-8))</f>
      </c>
      <c r="F5350">
        <f>IF(INDEX(Transactions!$J:$J,ROW()-8)="",0,INDEX(Transactions!$O:$O,ROW()-8))</f>
      </c>
    </row>
    <row r="5351" spans="1:7">
      <c r="B5351">
        <f>IF(INDEX(Transactions!$J:$J,ROW()-8)="",TODAY(),INDEX(Transactions!$G:$G,ROW()-8))</f>
      </c>
      <c r="F5351">
        <f>IF(INDEX(Transactions!$J:$J,ROW()-8)="",0,INDEX(Transactions!$O:$O,ROW()-8))</f>
      </c>
    </row>
    <row r="5352" spans="1:7">
      <c r="B5352">
        <f>IF(INDEX(Transactions!$J:$J,ROW()-8)="",TODAY(),INDEX(Transactions!$G:$G,ROW()-8))</f>
      </c>
      <c r="F5352">
        <f>IF(INDEX(Transactions!$J:$J,ROW()-8)="",0,INDEX(Transactions!$O:$O,ROW()-8))</f>
      </c>
    </row>
    <row r="5353" spans="1:7">
      <c r="B5353">
        <f>IF(INDEX(Transactions!$J:$J,ROW()-8)="",TODAY(),INDEX(Transactions!$G:$G,ROW()-8))</f>
      </c>
      <c r="F5353">
        <f>IF(INDEX(Transactions!$J:$J,ROW()-8)="",0,INDEX(Transactions!$O:$O,ROW()-8))</f>
      </c>
    </row>
    <row r="5354" spans="1:7">
      <c r="B5354">
        <f>IF(INDEX(Transactions!$J:$J,ROW()-8)="",TODAY(),INDEX(Transactions!$G:$G,ROW()-8))</f>
      </c>
      <c r="F5354">
        <f>IF(INDEX(Transactions!$J:$J,ROW()-8)="",0,INDEX(Transactions!$O:$O,ROW()-8))</f>
      </c>
    </row>
    <row r="5355" spans="1:7">
      <c r="B5355">
        <f>IF(INDEX(Transactions!$J:$J,ROW()-8)="",TODAY(),INDEX(Transactions!$G:$G,ROW()-8))</f>
      </c>
      <c r="F5355">
        <f>IF(INDEX(Transactions!$J:$J,ROW()-8)="",0,INDEX(Transactions!$O:$O,ROW()-8))</f>
      </c>
    </row>
    <row r="5356" spans="1:7">
      <c r="B5356">
        <f>IF(INDEX(Transactions!$J:$J,ROW()-8)="",TODAY(),INDEX(Transactions!$G:$G,ROW()-8))</f>
      </c>
      <c r="F5356">
        <f>IF(INDEX(Transactions!$J:$J,ROW()-8)="",0,INDEX(Transactions!$O:$O,ROW()-8))</f>
      </c>
    </row>
    <row r="5357" spans="1:7">
      <c r="B5357">
        <f>IF(INDEX(Transactions!$J:$J,ROW()-8)="",TODAY(),INDEX(Transactions!$G:$G,ROW()-8))</f>
      </c>
      <c r="F5357">
        <f>IF(INDEX(Transactions!$J:$J,ROW()-8)="",0,INDEX(Transactions!$O:$O,ROW()-8))</f>
      </c>
    </row>
    <row r="5358" spans="1:7">
      <c r="B5358">
        <f>IF(INDEX(Transactions!$J:$J,ROW()-8)="",TODAY(),INDEX(Transactions!$G:$G,ROW()-8))</f>
      </c>
      <c r="F5358">
        <f>IF(INDEX(Transactions!$J:$J,ROW()-8)="",0,INDEX(Transactions!$O:$O,ROW()-8))</f>
      </c>
    </row>
    <row r="5359" spans="1:7">
      <c r="B5359">
        <f>IF(INDEX(Transactions!$J:$J,ROW()-8)="",TODAY(),INDEX(Transactions!$G:$G,ROW()-8))</f>
      </c>
      <c r="F5359">
        <f>IF(INDEX(Transactions!$J:$J,ROW()-8)="",0,INDEX(Transactions!$O:$O,ROW()-8))</f>
      </c>
    </row>
    <row r="5360" spans="1:7">
      <c r="B5360">
        <f>IF(INDEX(Transactions!$J:$J,ROW()-8)="",TODAY(),INDEX(Transactions!$G:$G,ROW()-8))</f>
      </c>
      <c r="F5360">
        <f>IF(INDEX(Transactions!$J:$J,ROW()-8)="",0,INDEX(Transactions!$O:$O,ROW()-8))</f>
      </c>
    </row>
    <row r="5361" spans="1:7">
      <c r="B5361">
        <f>IF(INDEX(Transactions!$J:$J,ROW()-8)="",TODAY(),INDEX(Transactions!$G:$G,ROW()-8))</f>
      </c>
      <c r="F5361">
        <f>IF(INDEX(Transactions!$J:$J,ROW()-8)="",0,INDEX(Transactions!$O:$O,ROW()-8))</f>
      </c>
    </row>
    <row r="5362" spans="1:7">
      <c r="B5362">
        <f>IF(INDEX(Transactions!$J:$J,ROW()-8)="",TODAY(),INDEX(Transactions!$G:$G,ROW()-8))</f>
      </c>
      <c r="F5362">
        <f>IF(INDEX(Transactions!$J:$J,ROW()-8)="",0,INDEX(Transactions!$O:$O,ROW()-8))</f>
      </c>
    </row>
    <row r="5363" spans="1:7">
      <c r="B5363">
        <f>IF(INDEX(Transactions!$J:$J,ROW()-8)="",TODAY(),INDEX(Transactions!$G:$G,ROW()-8))</f>
      </c>
      <c r="F5363">
        <f>IF(INDEX(Transactions!$J:$J,ROW()-8)="",0,INDEX(Transactions!$O:$O,ROW()-8))</f>
      </c>
    </row>
    <row r="5364" spans="1:7">
      <c r="B5364">
        <f>IF(INDEX(Transactions!$J:$J,ROW()-8)="",TODAY(),INDEX(Transactions!$G:$G,ROW()-8))</f>
      </c>
      <c r="F5364">
        <f>IF(INDEX(Transactions!$J:$J,ROW()-8)="",0,INDEX(Transactions!$O:$O,ROW()-8))</f>
      </c>
    </row>
    <row r="5365" spans="1:7">
      <c r="B5365">
        <f>IF(INDEX(Transactions!$J:$J,ROW()-8)="",TODAY(),INDEX(Transactions!$G:$G,ROW()-8))</f>
      </c>
      <c r="F5365">
        <f>IF(INDEX(Transactions!$J:$J,ROW()-8)="",0,INDEX(Transactions!$O:$O,ROW()-8))</f>
      </c>
    </row>
    <row r="5366" spans="1:7">
      <c r="B5366">
        <f>IF(INDEX(Transactions!$J:$J,ROW()-8)="",TODAY(),INDEX(Transactions!$G:$G,ROW()-8))</f>
      </c>
      <c r="F5366">
        <f>IF(INDEX(Transactions!$J:$J,ROW()-8)="",0,INDEX(Transactions!$O:$O,ROW()-8))</f>
      </c>
    </row>
    <row r="5367" spans="1:7">
      <c r="B5367">
        <f>IF(INDEX(Transactions!$J:$J,ROW()-8)="",TODAY(),INDEX(Transactions!$G:$G,ROW()-8))</f>
      </c>
      <c r="F5367">
        <f>IF(INDEX(Transactions!$J:$J,ROW()-8)="",0,INDEX(Transactions!$O:$O,ROW()-8))</f>
      </c>
    </row>
    <row r="5368" spans="1:7">
      <c r="B5368">
        <f>IF(INDEX(Transactions!$J:$J,ROW()-8)="",TODAY(),INDEX(Transactions!$G:$G,ROW()-8))</f>
      </c>
      <c r="F5368">
        <f>IF(INDEX(Transactions!$J:$J,ROW()-8)="",0,INDEX(Transactions!$O:$O,ROW()-8))</f>
      </c>
    </row>
    <row r="5369" spans="1:7">
      <c r="B5369">
        <f>IF(INDEX(Transactions!$J:$J,ROW()-8)="",TODAY(),INDEX(Transactions!$G:$G,ROW()-8))</f>
      </c>
      <c r="F5369">
        <f>IF(INDEX(Transactions!$J:$J,ROW()-8)="",0,INDEX(Transactions!$O:$O,ROW()-8))</f>
      </c>
    </row>
    <row r="5370" spans="1:7">
      <c r="B5370">
        <f>IF(INDEX(Transactions!$J:$J,ROW()-8)="",TODAY(),INDEX(Transactions!$G:$G,ROW()-8))</f>
      </c>
      <c r="F5370">
        <f>IF(INDEX(Transactions!$J:$J,ROW()-8)="",0,INDEX(Transactions!$O:$O,ROW()-8))</f>
      </c>
    </row>
    <row r="5371" spans="1:7">
      <c r="B5371">
        <f>IF(INDEX(Transactions!$J:$J,ROW()-8)="",TODAY(),INDEX(Transactions!$G:$G,ROW()-8))</f>
      </c>
      <c r="F5371">
        <f>IF(INDEX(Transactions!$J:$J,ROW()-8)="",0,INDEX(Transactions!$O:$O,ROW()-8))</f>
      </c>
    </row>
    <row r="5372" spans="1:7">
      <c r="B5372">
        <f>IF(INDEX(Transactions!$J:$J,ROW()-8)="",TODAY(),INDEX(Transactions!$G:$G,ROW()-8))</f>
      </c>
      <c r="F5372">
        <f>IF(INDEX(Transactions!$J:$J,ROW()-8)="",0,INDEX(Transactions!$O:$O,ROW()-8))</f>
      </c>
    </row>
    <row r="5373" spans="1:7">
      <c r="B5373">
        <f>IF(INDEX(Transactions!$J:$J,ROW()-8)="",TODAY(),INDEX(Transactions!$G:$G,ROW()-8))</f>
      </c>
      <c r="F5373">
        <f>IF(INDEX(Transactions!$J:$J,ROW()-8)="",0,INDEX(Transactions!$O:$O,ROW()-8))</f>
      </c>
    </row>
    <row r="5374" spans="1:7">
      <c r="B5374">
        <f>IF(INDEX(Transactions!$J:$J,ROW()-8)="",TODAY(),INDEX(Transactions!$G:$G,ROW()-8))</f>
      </c>
      <c r="F5374">
        <f>IF(INDEX(Transactions!$J:$J,ROW()-8)="",0,INDEX(Transactions!$O:$O,ROW()-8))</f>
      </c>
    </row>
    <row r="5375" spans="1:7">
      <c r="B5375">
        <f>IF(INDEX(Transactions!$J:$J,ROW()-8)="",TODAY(),INDEX(Transactions!$G:$G,ROW()-8))</f>
      </c>
      <c r="F5375">
        <f>IF(INDEX(Transactions!$J:$J,ROW()-8)="",0,INDEX(Transactions!$O:$O,ROW()-8))</f>
      </c>
    </row>
    <row r="5376" spans="1:7">
      <c r="B5376">
        <f>IF(INDEX(Transactions!$J:$J,ROW()-8)="",TODAY(),INDEX(Transactions!$G:$G,ROW()-8))</f>
      </c>
      <c r="F5376">
        <f>IF(INDEX(Transactions!$J:$J,ROW()-8)="",0,INDEX(Transactions!$O:$O,ROW()-8))</f>
      </c>
    </row>
    <row r="5377" spans="1:7">
      <c r="B5377">
        <f>IF(INDEX(Transactions!$J:$J,ROW()-8)="",TODAY(),INDEX(Transactions!$G:$G,ROW()-8))</f>
      </c>
      <c r="F5377">
        <f>IF(INDEX(Transactions!$J:$J,ROW()-8)="",0,INDEX(Transactions!$O:$O,ROW()-8))</f>
      </c>
    </row>
    <row r="5378" spans="1:7">
      <c r="B5378">
        <f>IF(INDEX(Transactions!$J:$J,ROW()-8)="",TODAY(),INDEX(Transactions!$G:$G,ROW()-8))</f>
      </c>
      <c r="F5378">
        <f>IF(INDEX(Transactions!$J:$J,ROW()-8)="",0,INDEX(Transactions!$O:$O,ROW()-8))</f>
      </c>
    </row>
    <row r="5379" spans="1:7">
      <c r="B5379">
        <f>IF(INDEX(Transactions!$J:$J,ROW()-8)="",TODAY(),INDEX(Transactions!$G:$G,ROW()-8))</f>
      </c>
      <c r="F5379">
        <f>IF(INDEX(Transactions!$J:$J,ROW()-8)="",0,INDEX(Transactions!$O:$O,ROW()-8))</f>
      </c>
    </row>
    <row r="5380" spans="1:7">
      <c r="B5380">
        <f>IF(INDEX(Transactions!$J:$J,ROW()-8)="",TODAY(),INDEX(Transactions!$G:$G,ROW()-8))</f>
      </c>
      <c r="F5380">
        <f>IF(INDEX(Transactions!$J:$J,ROW()-8)="",0,INDEX(Transactions!$O:$O,ROW()-8))</f>
      </c>
    </row>
    <row r="5381" spans="1:7">
      <c r="B5381">
        <f>IF(INDEX(Transactions!$J:$J,ROW()-8)="",TODAY(),INDEX(Transactions!$G:$G,ROW()-8))</f>
      </c>
      <c r="F5381">
        <f>IF(INDEX(Transactions!$J:$J,ROW()-8)="",0,INDEX(Transactions!$O:$O,ROW()-8))</f>
      </c>
    </row>
    <row r="5382" spans="1:7">
      <c r="B5382">
        <f>IF(INDEX(Transactions!$J:$J,ROW()-8)="",TODAY(),INDEX(Transactions!$G:$G,ROW()-8))</f>
      </c>
      <c r="F5382">
        <f>IF(INDEX(Transactions!$J:$J,ROW()-8)="",0,INDEX(Transactions!$O:$O,ROW()-8))</f>
      </c>
    </row>
    <row r="5383" spans="1:7">
      <c r="B5383">
        <f>IF(INDEX(Transactions!$J:$J,ROW()-8)="",TODAY(),INDEX(Transactions!$G:$G,ROW()-8))</f>
      </c>
      <c r="F5383">
        <f>IF(INDEX(Transactions!$J:$J,ROW()-8)="",0,INDEX(Transactions!$O:$O,ROW()-8))</f>
      </c>
    </row>
    <row r="5384" spans="1:7">
      <c r="B5384">
        <f>IF(INDEX(Transactions!$J:$J,ROW()-8)="",TODAY(),INDEX(Transactions!$G:$G,ROW()-8))</f>
      </c>
      <c r="F5384">
        <f>IF(INDEX(Transactions!$J:$J,ROW()-8)="",0,INDEX(Transactions!$O:$O,ROW()-8))</f>
      </c>
    </row>
    <row r="5385" spans="1:7">
      <c r="B5385">
        <f>IF(INDEX(Transactions!$J:$J,ROW()-8)="",TODAY(),INDEX(Transactions!$G:$G,ROW()-8))</f>
      </c>
      <c r="F5385">
        <f>IF(INDEX(Transactions!$J:$J,ROW()-8)="",0,INDEX(Transactions!$O:$O,ROW()-8))</f>
      </c>
    </row>
    <row r="5386" spans="1:7">
      <c r="B5386">
        <f>IF(INDEX(Transactions!$J:$J,ROW()-8)="",TODAY(),INDEX(Transactions!$G:$G,ROW()-8))</f>
      </c>
      <c r="F5386">
        <f>IF(INDEX(Transactions!$J:$J,ROW()-8)="",0,INDEX(Transactions!$O:$O,ROW()-8))</f>
      </c>
    </row>
    <row r="5387" spans="1:7">
      <c r="B5387">
        <f>IF(INDEX(Transactions!$J:$J,ROW()-8)="",TODAY(),INDEX(Transactions!$G:$G,ROW()-8))</f>
      </c>
      <c r="F5387">
        <f>IF(INDEX(Transactions!$J:$J,ROW()-8)="",0,INDEX(Transactions!$O:$O,ROW()-8))</f>
      </c>
    </row>
    <row r="5388" spans="1:7">
      <c r="B5388">
        <f>IF(INDEX(Transactions!$J:$J,ROW()-8)="",TODAY(),INDEX(Transactions!$G:$G,ROW()-8))</f>
      </c>
      <c r="F5388">
        <f>IF(INDEX(Transactions!$J:$J,ROW()-8)="",0,INDEX(Transactions!$O:$O,ROW()-8))</f>
      </c>
    </row>
    <row r="5389" spans="1:7">
      <c r="B5389">
        <f>IF(INDEX(Transactions!$J:$J,ROW()-8)="",TODAY(),INDEX(Transactions!$G:$G,ROW()-8))</f>
      </c>
      <c r="F5389">
        <f>IF(INDEX(Transactions!$J:$J,ROW()-8)="",0,INDEX(Transactions!$O:$O,ROW()-8))</f>
      </c>
    </row>
    <row r="5390" spans="1:7">
      <c r="B5390">
        <f>IF(INDEX(Transactions!$J:$J,ROW()-8)="",TODAY(),INDEX(Transactions!$G:$G,ROW()-8))</f>
      </c>
      <c r="F5390">
        <f>IF(INDEX(Transactions!$J:$J,ROW()-8)="",0,INDEX(Transactions!$O:$O,ROW()-8))</f>
      </c>
    </row>
    <row r="5391" spans="1:7">
      <c r="B5391">
        <f>IF(INDEX(Transactions!$J:$J,ROW()-8)="",TODAY(),INDEX(Transactions!$G:$G,ROW()-8))</f>
      </c>
      <c r="F5391">
        <f>IF(INDEX(Transactions!$J:$J,ROW()-8)="",0,INDEX(Transactions!$O:$O,ROW()-8))</f>
      </c>
    </row>
    <row r="5392" spans="1:7">
      <c r="B5392">
        <f>IF(INDEX(Transactions!$J:$J,ROW()-8)="",TODAY(),INDEX(Transactions!$G:$G,ROW()-8))</f>
      </c>
      <c r="F5392">
        <f>IF(INDEX(Transactions!$J:$J,ROW()-8)="",0,INDEX(Transactions!$O:$O,ROW()-8))</f>
      </c>
    </row>
    <row r="5393" spans="1:7">
      <c r="B5393">
        <f>IF(INDEX(Transactions!$J:$J,ROW()-8)="",TODAY(),INDEX(Transactions!$G:$G,ROW()-8))</f>
      </c>
      <c r="F5393">
        <f>IF(INDEX(Transactions!$J:$J,ROW()-8)="",0,INDEX(Transactions!$O:$O,ROW()-8))</f>
      </c>
    </row>
    <row r="5394" spans="1:7">
      <c r="B5394">
        <f>IF(INDEX(Transactions!$J:$J,ROW()-8)="",TODAY(),INDEX(Transactions!$G:$G,ROW()-8))</f>
      </c>
      <c r="F5394">
        <f>IF(INDEX(Transactions!$J:$J,ROW()-8)="",0,INDEX(Transactions!$O:$O,ROW()-8))</f>
      </c>
    </row>
    <row r="5395" spans="1:7">
      <c r="B5395">
        <f>IF(INDEX(Transactions!$J:$J,ROW()-8)="",TODAY(),INDEX(Transactions!$G:$G,ROW()-8))</f>
      </c>
      <c r="F5395">
        <f>IF(INDEX(Transactions!$J:$J,ROW()-8)="",0,INDEX(Transactions!$O:$O,ROW()-8))</f>
      </c>
    </row>
    <row r="5396" spans="1:7">
      <c r="B5396">
        <f>IF(INDEX(Transactions!$J:$J,ROW()-8)="",TODAY(),INDEX(Transactions!$G:$G,ROW()-8))</f>
      </c>
      <c r="F5396">
        <f>IF(INDEX(Transactions!$J:$J,ROW()-8)="",0,INDEX(Transactions!$O:$O,ROW()-8))</f>
      </c>
    </row>
    <row r="5397" spans="1:7">
      <c r="B5397">
        <f>IF(INDEX(Transactions!$J:$J,ROW()-8)="",TODAY(),INDEX(Transactions!$G:$G,ROW()-8))</f>
      </c>
      <c r="F5397">
        <f>IF(INDEX(Transactions!$J:$J,ROW()-8)="",0,INDEX(Transactions!$O:$O,ROW()-8))</f>
      </c>
    </row>
    <row r="5398" spans="1:7">
      <c r="B5398">
        <f>IF(INDEX(Transactions!$J:$J,ROW()-8)="",TODAY(),INDEX(Transactions!$G:$G,ROW()-8))</f>
      </c>
      <c r="F5398">
        <f>IF(INDEX(Transactions!$J:$J,ROW()-8)="",0,INDEX(Transactions!$O:$O,ROW()-8))</f>
      </c>
    </row>
    <row r="5399" spans="1:7">
      <c r="B5399">
        <f>IF(INDEX(Transactions!$J:$J,ROW()-8)="",TODAY(),INDEX(Transactions!$G:$G,ROW()-8))</f>
      </c>
      <c r="F5399">
        <f>IF(INDEX(Transactions!$J:$J,ROW()-8)="",0,INDEX(Transactions!$O:$O,ROW()-8))</f>
      </c>
    </row>
    <row r="5400" spans="1:7">
      <c r="B5400">
        <f>IF(INDEX(Transactions!$J:$J,ROW()-8)="",TODAY(),INDEX(Transactions!$G:$G,ROW()-8))</f>
      </c>
      <c r="F5400">
        <f>IF(INDEX(Transactions!$J:$J,ROW()-8)="",0,INDEX(Transactions!$O:$O,ROW()-8))</f>
      </c>
    </row>
    <row r="5401" spans="1:7">
      <c r="B5401">
        <f>IF(INDEX(Transactions!$J:$J,ROW()-8)="",TODAY(),INDEX(Transactions!$G:$G,ROW()-8))</f>
      </c>
      <c r="F5401">
        <f>IF(INDEX(Transactions!$J:$J,ROW()-8)="",0,INDEX(Transactions!$O:$O,ROW()-8))</f>
      </c>
    </row>
    <row r="5402" spans="1:7">
      <c r="B5402">
        <f>IF(INDEX(Transactions!$J:$J,ROW()-8)="",TODAY(),INDEX(Transactions!$G:$G,ROW()-8))</f>
      </c>
      <c r="F5402">
        <f>IF(INDEX(Transactions!$J:$J,ROW()-8)="",0,INDEX(Transactions!$O:$O,ROW()-8))</f>
      </c>
    </row>
    <row r="5403" spans="1:7">
      <c r="B5403">
        <f>IF(INDEX(Transactions!$J:$J,ROW()-8)="",TODAY(),INDEX(Transactions!$G:$G,ROW()-8))</f>
      </c>
      <c r="F5403">
        <f>IF(INDEX(Transactions!$J:$J,ROW()-8)="",0,INDEX(Transactions!$O:$O,ROW()-8))</f>
      </c>
    </row>
    <row r="5404" spans="1:7">
      <c r="B5404">
        <f>IF(INDEX(Transactions!$J:$J,ROW()-8)="",TODAY(),INDEX(Transactions!$G:$G,ROW()-8))</f>
      </c>
      <c r="F5404">
        <f>IF(INDEX(Transactions!$J:$J,ROW()-8)="",0,INDEX(Transactions!$O:$O,ROW()-8))</f>
      </c>
    </row>
    <row r="5405" spans="1:7">
      <c r="B5405">
        <f>IF(INDEX(Transactions!$J:$J,ROW()-8)="",TODAY(),INDEX(Transactions!$G:$G,ROW()-8))</f>
      </c>
      <c r="F5405">
        <f>IF(INDEX(Transactions!$J:$J,ROW()-8)="",0,INDEX(Transactions!$O:$O,ROW()-8))</f>
      </c>
    </row>
    <row r="5406" spans="1:7">
      <c r="B5406">
        <f>IF(INDEX(Transactions!$J:$J,ROW()-8)="",TODAY(),INDEX(Transactions!$G:$G,ROW()-8))</f>
      </c>
      <c r="F5406">
        <f>IF(INDEX(Transactions!$J:$J,ROW()-8)="",0,INDEX(Transactions!$O:$O,ROW()-8))</f>
      </c>
    </row>
    <row r="5407" spans="1:7">
      <c r="B5407">
        <f>IF(INDEX(Transactions!$J:$J,ROW()-8)="",TODAY(),INDEX(Transactions!$G:$G,ROW()-8))</f>
      </c>
      <c r="F5407">
        <f>IF(INDEX(Transactions!$J:$J,ROW()-8)="",0,INDEX(Transactions!$O:$O,ROW()-8))</f>
      </c>
    </row>
    <row r="5408" spans="1:7">
      <c r="B5408">
        <f>IF(INDEX(Transactions!$J:$J,ROW()-8)="",TODAY(),INDEX(Transactions!$G:$G,ROW()-8))</f>
      </c>
      <c r="F5408">
        <f>IF(INDEX(Transactions!$J:$J,ROW()-8)="",0,INDEX(Transactions!$O:$O,ROW()-8))</f>
      </c>
    </row>
    <row r="5409" spans="1:7">
      <c r="B5409">
        <f>IF(INDEX(Transactions!$J:$J,ROW()-8)="",TODAY(),INDEX(Transactions!$G:$G,ROW()-8))</f>
      </c>
      <c r="F5409">
        <f>IF(INDEX(Transactions!$J:$J,ROW()-8)="",0,INDEX(Transactions!$O:$O,ROW()-8))</f>
      </c>
    </row>
    <row r="5410" spans="1:7">
      <c r="B5410">
        <f>IF(INDEX(Transactions!$J:$J,ROW()-8)="",TODAY(),INDEX(Transactions!$G:$G,ROW()-8))</f>
      </c>
      <c r="F5410">
        <f>IF(INDEX(Transactions!$J:$J,ROW()-8)="",0,INDEX(Transactions!$O:$O,ROW()-8))</f>
      </c>
    </row>
    <row r="5411" spans="1:7">
      <c r="B5411">
        <f>IF(INDEX(Transactions!$J:$J,ROW()-8)="",TODAY(),INDEX(Transactions!$G:$G,ROW()-8))</f>
      </c>
      <c r="F5411">
        <f>IF(INDEX(Transactions!$J:$J,ROW()-8)="",0,INDEX(Transactions!$O:$O,ROW()-8))</f>
      </c>
    </row>
    <row r="5412" spans="1:7">
      <c r="B5412">
        <f>IF(INDEX(Transactions!$J:$J,ROW()-8)="",TODAY(),INDEX(Transactions!$G:$G,ROW()-8))</f>
      </c>
      <c r="F5412">
        <f>IF(INDEX(Transactions!$J:$J,ROW()-8)="",0,INDEX(Transactions!$O:$O,ROW()-8))</f>
      </c>
    </row>
    <row r="5413" spans="1:7">
      <c r="B5413">
        <f>IF(INDEX(Transactions!$J:$J,ROW()-8)="",TODAY(),INDEX(Transactions!$G:$G,ROW()-8))</f>
      </c>
      <c r="F5413">
        <f>IF(INDEX(Transactions!$J:$J,ROW()-8)="",0,INDEX(Transactions!$O:$O,ROW()-8))</f>
      </c>
    </row>
    <row r="5414" spans="1:7">
      <c r="B5414">
        <f>IF(INDEX(Transactions!$J:$J,ROW()-8)="",TODAY(),INDEX(Transactions!$G:$G,ROW()-8))</f>
      </c>
      <c r="F5414">
        <f>IF(INDEX(Transactions!$J:$J,ROW()-8)="",0,INDEX(Transactions!$O:$O,ROW()-8))</f>
      </c>
    </row>
    <row r="5415" spans="1:7">
      <c r="B5415">
        <f>IF(INDEX(Transactions!$J:$J,ROW()-8)="",TODAY(),INDEX(Transactions!$G:$G,ROW()-8))</f>
      </c>
      <c r="F5415">
        <f>IF(INDEX(Transactions!$J:$J,ROW()-8)="",0,INDEX(Transactions!$O:$O,ROW()-8))</f>
      </c>
    </row>
    <row r="5416" spans="1:7">
      <c r="B5416">
        <f>IF(INDEX(Transactions!$J:$J,ROW()-8)="",TODAY(),INDEX(Transactions!$G:$G,ROW()-8))</f>
      </c>
      <c r="F5416">
        <f>IF(INDEX(Transactions!$J:$J,ROW()-8)="",0,INDEX(Transactions!$O:$O,ROW()-8))</f>
      </c>
    </row>
    <row r="5417" spans="1:7">
      <c r="B5417">
        <f>IF(INDEX(Transactions!$J:$J,ROW()-8)="",TODAY(),INDEX(Transactions!$G:$G,ROW()-8))</f>
      </c>
      <c r="F5417">
        <f>IF(INDEX(Transactions!$J:$J,ROW()-8)="",0,INDEX(Transactions!$O:$O,ROW()-8))</f>
      </c>
    </row>
    <row r="5418" spans="1:7">
      <c r="B5418">
        <f>IF(INDEX(Transactions!$J:$J,ROW()-8)="",TODAY(),INDEX(Transactions!$G:$G,ROW()-8))</f>
      </c>
      <c r="F5418">
        <f>IF(INDEX(Transactions!$J:$J,ROW()-8)="",0,INDEX(Transactions!$O:$O,ROW()-8))</f>
      </c>
    </row>
    <row r="5419" spans="1:7">
      <c r="B5419">
        <f>IF(INDEX(Transactions!$J:$J,ROW()-8)="",TODAY(),INDEX(Transactions!$G:$G,ROW()-8))</f>
      </c>
      <c r="F5419">
        <f>IF(INDEX(Transactions!$J:$J,ROW()-8)="",0,INDEX(Transactions!$O:$O,ROW()-8))</f>
      </c>
    </row>
    <row r="5420" spans="1:7">
      <c r="B5420">
        <f>IF(INDEX(Transactions!$J:$J,ROW()-8)="",TODAY(),INDEX(Transactions!$G:$G,ROW()-8))</f>
      </c>
      <c r="F5420">
        <f>IF(INDEX(Transactions!$J:$J,ROW()-8)="",0,INDEX(Transactions!$O:$O,ROW()-8))</f>
      </c>
    </row>
    <row r="5421" spans="1:7">
      <c r="B5421">
        <f>IF(INDEX(Transactions!$J:$J,ROW()-8)="",TODAY(),INDEX(Transactions!$G:$G,ROW()-8))</f>
      </c>
      <c r="F5421">
        <f>IF(INDEX(Transactions!$J:$J,ROW()-8)="",0,INDEX(Transactions!$O:$O,ROW()-8))</f>
      </c>
    </row>
    <row r="5422" spans="1:7">
      <c r="B5422">
        <f>IF(INDEX(Transactions!$J:$J,ROW()-8)="",TODAY(),INDEX(Transactions!$G:$G,ROW()-8))</f>
      </c>
      <c r="F5422">
        <f>IF(INDEX(Transactions!$J:$J,ROW()-8)="",0,INDEX(Transactions!$O:$O,ROW()-8))</f>
      </c>
    </row>
    <row r="5423" spans="1:7">
      <c r="B5423">
        <f>IF(INDEX(Transactions!$J:$J,ROW()-8)="",TODAY(),INDEX(Transactions!$G:$G,ROW()-8))</f>
      </c>
      <c r="F5423">
        <f>IF(INDEX(Transactions!$J:$J,ROW()-8)="",0,INDEX(Transactions!$O:$O,ROW()-8))</f>
      </c>
    </row>
    <row r="5424" spans="1:7">
      <c r="B5424">
        <f>IF(INDEX(Transactions!$J:$J,ROW()-8)="",TODAY(),INDEX(Transactions!$G:$G,ROW()-8))</f>
      </c>
      <c r="F5424">
        <f>IF(INDEX(Transactions!$J:$J,ROW()-8)="",0,INDEX(Transactions!$O:$O,ROW()-8))</f>
      </c>
    </row>
    <row r="5425" spans="1:7">
      <c r="B5425">
        <f>IF(INDEX(Transactions!$J:$J,ROW()-8)="",TODAY(),INDEX(Transactions!$G:$G,ROW()-8))</f>
      </c>
      <c r="F5425">
        <f>IF(INDEX(Transactions!$J:$J,ROW()-8)="",0,INDEX(Transactions!$O:$O,ROW()-8))</f>
      </c>
    </row>
    <row r="5426" spans="1:7">
      <c r="B5426">
        <f>IF(INDEX(Transactions!$J:$J,ROW()-8)="",TODAY(),INDEX(Transactions!$G:$G,ROW()-8))</f>
      </c>
      <c r="F5426">
        <f>IF(INDEX(Transactions!$J:$J,ROW()-8)="",0,INDEX(Transactions!$O:$O,ROW()-8))</f>
      </c>
    </row>
    <row r="5427" spans="1:7">
      <c r="B5427">
        <f>IF(INDEX(Transactions!$J:$J,ROW()-8)="",TODAY(),INDEX(Transactions!$G:$G,ROW()-8))</f>
      </c>
      <c r="F5427">
        <f>IF(INDEX(Transactions!$J:$J,ROW()-8)="",0,INDEX(Transactions!$O:$O,ROW()-8))</f>
      </c>
    </row>
    <row r="5428" spans="1:7">
      <c r="B5428">
        <f>IF(INDEX(Transactions!$J:$J,ROW()-8)="",TODAY(),INDEX(Transactions!$G:$G,ROW()-8))</f>
      </c>
      <c r="F5428">
        <f>IF(INDEX(Transactions!$J:$J,ROW()-8)="",0,INDEX(Transactions!$O:$O,ROW()-8))</f>
      </c>
    </row>
    <row r="5429" spans="1:7">
      <c r="B5429">
        <f>IF(INDEX(Transactions!$J:$J,ROW()-8)="",TODAY(),INDEX(Transactions!$G:$G,ROW()-8))</f>
      </c>
      <c r="F5429">
        <f>IF(INDEX(Transactions!$J:$J,ROW()-8)="",0,INDEX(Transactions!$O:$O,ROW()-8))</f>
      </c>
    </row>
    <row r="5430" spans="1:7">
      <c r="B5430">
        <f>IF(INDEX(Transactions!$J:$J,ROW()-8)="",TODAY(),INDEX(Transactions!$G:$G,ROW()-8))</f>
      </c>
      <c r="F5430">
        <f>IF(INDEX(Transactions!$J:$J,ROW()-8)="",0,INDEX(Transactions!$O:$O,ROW()-8))</f>
      </c>
    </row>
    <row r="5431" spans="1:7">
      <c r="B5431">
        <f>IF(INDEX(Transactions!$J:$J,ROW()-8)="",TODAY(),INDEX(Transactions!$G:$G,ROW()-8))</f>
      </c>
      <c r="F5431">
        <f>IF(INDEX(Transactions!$J:$J,ROW()-8)="",0,INDEX(Transactions!$O:$O,ROW()-8))</f>
      </c>
    </row>
    <row r="5432" spans="1:7">
      <c r="B5432">
        <f>IF(INDEX(Transactions!$J:$J,ROW()-8)="",TODAY(),INDEX(Transactions!$G:$G,ROW()-8))</f>
      </c>
      <c r="F5432">
        <f>IF(INDEX(Transactions!$J:$J,ROW()-8)="",0,INDEX(Transactions!$O:$O,ROW()-8))</f>
      </c>
    </row>
    <row r="5433" spans="1:7">
      <c r="B5433">
        <f>IF(INDEX(Transactions!$J:$J,ROW()-8)="",TODAY(),INDEX(Transactions!$G:$G,ROW()-8))</f>
      </c>
      <c r="F5433">
        <f>IF(INDEX(Transactions!$J:$J,ROW()-8)="",0,INDEX(Transactions!$O:$O,ROW()-8))</f>
      </c>
    </row>
    <row r="5434" spans="1:7">
      <c r="B5434">
        <f>IF(INDEX(Transactions!$J:$J,ROW()-8)="",TODAY(),INDEX(Transactions!$G:$G,ROW()-8))</f>
      </c>
      <c r="F5434">
        <f>IF(INDEX(Transactions!$J:$J,ROW()-8)="",0,INDEX(Transactions!$O:$O,ROW()-8))</f>
      </c>
    </row>
    <row r="5435" spans="1:7">
      <c r="B5435">
        <f>IF(INDEX(Transactions!$J:$J,ROW()-8)="",TODAY(),INDEX(Transactions!$G:$G,ROW()-8))</f>
      </c>
      <c r="F5435">
        <f>IF(INDEX(Transactions!$J:$J,ROW()-8)="",0,INDEX(Transactions!$O:$O,ROW()-8))</f>
      </c>
    </row>
    <row r="5436" spans="1:7">
      <c r="B5436">
        <f>IF(INDEX(Transactions!$J:$J,ROW()-8)="",TODAY(),INDEX(Transactions!$G:$G,ROW()-8))</f>
      </c>
      <c r="F5436">
        <f>IF(INDEX(Transactions!$J:$J,ROW()-8)="",0,INDEX(Transactions!$O:$O,ROW()-8))</f>
      </c>
    </row>
    <row r="5437" spans="1:7">
      <c r="B5437">
        <f>IF(INDEX(Transactions!$J:$J,ROW()-8)="",TODAY(),INDEX(Transactions!$G:$G,ROW()-8))</f>
      </c>
      <c r="F5437">
        <f>IF(INDEX(Transactions!$J:$J,ROW()-8)="",0,INDEX(Transactions!$O:$O,ROW()-8))</f>
      </c>
    </row>
    <row r="5438" spans="1:7">
      <c r="B5438">
        <f>IF(INDEX(Transactions!$J:$J,ROW()-8)="",TODAY(),INDEX(Transactions!$G:$G,ROW()-8))</f>
      </c>
      <c r="F5438">
        <f>IF(INDEX(Transactions!$J:$J,ROW()-8)="",0,INDEX(Transactions!$O:$O,ROW()-8))</f>
      </c>
    </row>
    <row r="5439" spans="1:7">
      <c r="B5439">
        <f>IF(INDEX(Transactions!$J:$J,ROW()-8)="",TODAY(),INDEX(Transactions!$G:$G,ROW()-8))</f>
      </c>
      <c r="F5439">
        <f>IF(INDEX(Transactions!$J:$J,ROW()-8)="",0,INDEX(Transactions!$O:$O,ROW()-8))</f>
      </c>
    </row>
    <row r="5440" spans="1:7">
      <c r="B5440">
        <f>IF(INDEX(Transactions!$J:$J,ROW()-8)="",TODAY(),INDEX(Transactions!$G:$G,ROW()-8))</f>
      </c>
      <c r="F5440">
        <f>IF(INDEX(Transactions!$J:$J,ROW()-8)="",0,INDEX(Transactions!$O:$O,ROW()-8))</f>
      </c>
    </row>
    <row r="5441" spans="1:7">
      <c r="B5441">
        <f>IF(INDEX(Transactions!$J:$J,ROW()-8)="",TODAY(),INDEX(Transactions!$G:$G,ROW()-8))</f>
      </c>
      <c r="F5441">
        <f>IF(INDEX(Transactions!$J:$J,ROW()-8)="",0,INDEX(Transactions!$O:$O,ROW()-8))</f>
      </c>
    </row>
    <row r="5442" spans="1:7">
      <c r="B5442">
        <f>IF(INDEX(Transactions!$J:$J,ROW()-8)="",TODAY(),INDEX(Transactions!$G:$G,ROW()-8))</f>
      </c>
      <c r="F5442">
        <f>IF(INDEX(Transactions!$J:$J,ROW()-8)="",0,INDEX(Transactions!$O:$O,ROW()-8))</f>
      </c>
    </row>
    <row r="5443" spans="1:7">
      <c r="B5443">
        <f>IF(INDEX(Transactions!$J:$J,ROW()-8)="",TODAY(),INDEX(Transactions!$G:$G,ROW()-8))</f>
      </c>
      <c r="F5443">
        <f>IF(INDEX(Transactions!$J:$J,ROW()-8)="",0,INDEX(Transactions!$O:$O,ROW()-8))</f>
      </c>
    </row>
    <row r="5444" spans="1:7">
      <c r="B5444">
        <f>IF(INDEX(Transactions!$J:$J,ROW()-8)="",TODAY(),INDEX(Transactions!$G:$G,ROW()-8))</f>
      </c>
      <c r="F5444">
        <f>IF(INDEX(Transactions!$J:$J,ROW()-8)="",0,INDEX(Transactions!$O:$O,ROW()-8))</f>
      </c>
    </row>
    <row r="5445" spans="1:7">
      <c r="B5445">
        <f>IF(INDEX(Transactions!$J:$J,ROW()-8)="",TODAY(),INDEX(Transactions!$G:$G,ROW()-8))</f>
      </c>
      <c r="F5445">
        <f>IF(INDEX(Transactions!$J:$J,ROW()-8)="",0,INDEX(Transactions!$O:$O,ROW()-8))</f>
      </c>
    </row>
    <row r="5446" spans="1:7">
      <c r="B5446">
        <f>IF(INDEX(Transactions!$J:$J,ROW()-8)="",TODAY(),INDEX(Transactions!$G:$G,ROW()-8))</f>
      </c>
      <c r="F5446">
        <f>IF(INDEX(Transactions!$J:$J,ROW()-8)="",0,INDEX(Transactions!$O:$O,ROW()-8))</f>
      </c>
    </row>
    <row r="5447" spans="1:7">
      <c r="B5447">
        <f>IF(INDEX(Transactions!$J:$J,ROW()-8)="",TODAY(),INDEX(Transactions!$G:$G,ROW()-8))</f>
      </c>
      <c r="F5447">
        <f>IF(INDEX(Transactions!$J:$J,ROW()-8)="",0,INDEX(Transactions!$O:$O,ROW()-8))</f>
      </c>
    </row>
    <row r="5448" spans="1:7">
      <c r="B5448">
        <f>IF(INDEX(Transactions!$J:$J,ROW()-8)="",TODAY(),INDEX(Transactions!$G:$G,ROW()-8))</f>
      </c>
      <c r="F5448">
        <f>IF(INDEX(Transactions!$J:$J,ROW()-8)="",0,INDEX(Transactions!$O:$O,ROW()-8))</f>
      </c>
    </row>
    <row r="5449" spans="1:7">
      <c r="B5449">
        <f>IF(INDEX(Transactions!$J:$J,ROW()-8)="",TODAY(),INDEX(Transactions!$G:$G,ROW()-8))</f>
      </c>
      <c r="F5449">
        <f>IF(INDEX(Transactions!$J:$J,ROW()-8)="",0,INDEX(Transactions!$O:$O,ROW()-8))</f>
      </c>
    </row>
    <row r="5450" spans="1:7">
      <c r="B5450">
        <f>IF(INDEX(Transactions!$J:$J,ROW()-8)="",TODAY(),INDEX(Transactions!$G:$G,ROW()-8))</f>
      </c>
      <c r="F5450">
        <f>IF(INDEX(Transactions!$J:$J,ROW()-8)="",0,INDEX(Transactions!$O:$O,ROW()-8))</f>
      </c>
    </row>
    <row r="5451" spans="1:7">
      <c r="B5451">
        <f>IF(INDEX(Transactions!$J:$J,ROW()-8)="",TODAY(),INDEX(Transactions!$G:$G,ROW()-8))</f>
      </c>
      <c r="F5451">
        <f>IF(INDEX(Transactions!$J:$J,ROW()-8)="",0,INDEX(Transactions!$O:$O,ROW()-8))</f>
      </c>
    </row>
    <row r="5452" spans="1:7">
      <c r="B5452">
        <f>IF(INDEX(Transactions!$J:$J,ROW()-8)="",TODAY(),INDEX(Transactions!$G:$G,ROW()-8))</f>
      </c>
      <c r="F5452">
        <f>IF(INDEX(Transactions!$J:$J,ROW()-8)="",0,INDEX(Transactions!$O:$O,ROW()-8))</f>
      </c>
    </row>
    <row r="5453" spans="1:7">
      <c r="B5453">
        <f>IF(INDEX(Transactions!$J:$J,ROW()-8)="",TODAY(),INDEX(Transactions!$G:$G,ROW()-8))</f>
      </c>
      <c r="F5453">
        <f>IF(INDEX(Transactions!$J:$J,ROW()-8)="",0,INDEX(Transactions!$O:$O,ROW()-8))</f>
      </c>
    </row>
    <row r="5454" spans="1:7">
      <c r="B5454">
        <f>IF(INDEX(Transactions!$J:$J,ROW()-8)="",TODAY(),INDEX(Transactions!$G:$G,ROW()-8))</f>
      </c>
      <c r="F5454">
        <f>IF(INDEX(Transactions!$J:$J,ROW()-8)="",0,INDEX(Transactions!$O:$O,ROW()-8))</f>
      </c>
    </row>
    <row r="5455" spans="1:7">
      <c r="B5455">
        <f>IF(INDEX(Transactions!$J:$J,ROW()-8)="",TODAY(),INDEX(Transactions!$G:$G,ROW()-8))</f>
      </c>
      <c r="F5455">
        <f>IF(INDEX(Transactions!$J:$J,ROW()-8)="",0,INDEX(Transactions!$O:$O,ROW()-8))</f>
      </c>
    </row>
    <row r="5456" spans="1:7">
      <c r="B5456">
        <f>IF(INDEX(Transactions!$J:$J,ROW()-8)="",TODAY(),INDEX(Transactions!$G:$G,ROW()-8))</f>
      </c>
      <c r="F5456">
        <f>IF(INDEX(Transactions!$J:$J,ROW()-8)="",0,INDEX(Transactions!$O:$O,ROW()-8))</f>
      </c>
    </row>
    <row r="5457" spans="1:7">
      <c r="B5457">
        <f>IF(INDEX(Transactions!$J:$J,ROW()-8)="",TODAY(),INDEX(Transactions!$G:$G,ROW()-8))</f>
      </c>
      <c r="F5457">
        <f>IF(INDEX(Transactions!$J:$J,ROW()-8)="",0,INDEX(Transactions!$O:$O,ROW()-8))</f>
      </c>
    </row>
    <row r="5458" spans="1:7">
      <c r="B5458">
        <f>IF(INDEX(Transactions!$J:$J,ROW()-8)="",TODAY(),INDEX(Transactions!$G:$G,ROW()-8))</f>
      </c>
      <c r="F5458">
        <f>IF(INDEX(Transactions!$J:$J,ROW()-8)="",0,INDEX(Transactions!$O:$O,ROW()-8))</f>
      </c>
    </row>
    <row r="5459" spans="1:7">
      <c r="B5459">
        <f>IF(INDEX(Transactions!$J:$J,ROW()-8)="",TODAY(),INDEX(Transactions!$G:$G,ROW()-8))</f>
      </c>
      <c r="F5459">
        <f>IF(INDEX(Transactions!$J:$J,ROW()-8)="",0,INDEX(Transactions!$O:$O,ROW()-8))</f>
      </c>
    </row>
    <row r="5460" spans="1:7">
      <c r="B5460">
        <f>IF(INDEX(Transactions!$J:$J,ROW()-8)="",TODAY(),INDEX(Transactions!$G:$G,ROW()-8))</f>
      </c>
      <c r="F5460">
        <f>IF(INDEX(Transactions!$J:$J,ROW()-8)="",0,INDEX(Transactions!$O:$O,ROW()-8))</f>
      </c>
    </row>
    <row r="5461" spans="1:7">
      <c r="B5461">
        <f>IF(INDEX(Transactions!$J:$J,ROW()-8)="",TODAY(),INDEX(Transactions!$G:$G,ROW()-8))</f>
      </c>
      <c r="F5461">
        <f>IF(INDEX(Transactions!$J:$J,ROW()-8)="",0,INDEX(Transactions!$O:$O,ROW()-8))</f>
      </c>
    </row>
    <row r="5462" spans="1:7">
      <c r="B5462">
        <f>IF(INDEX(Transactions!$J:$J,ROW()-8)="",TODAY(),INDEX(Transactions!$G:$G,ROW()-8))</f>
      </c>
      <c r="F5462">
        <f>IF(INDEX(Transactions!$J:$J,ROW()-8)="",0,INDEX(Transactions!$O:$O,ROW()-8))</f>
      </c>
    </row>
    <row r="5463" spans="1:7">
      <c r="B5463">
        <f>IF(INDEX(Transactions!$J:$J,ROW()-8)="",TODAY(),INDEX(Transactions!$G:$G,ROW()-8))</f>
      </c>
      <c r="F5463">
        <f>IF(INDEX(Transactions!$J:$J,ROW()-8)="",0,INDEX(Transactions!$O:$O,ROW()-8))</f>
      </c>
    </row>
    <row r="5464" spans="1:7">
      <c r="B5464">
        <f>IF(INDEX(Transactions!$J:$J,ROW()-8)="",TODAY(),INDEX(Transactions!$G:$G,ROW()-8))</f>
      </c>
      <c r="F5464">
        <f>IF(INDEX(Transactions!$J:$J,ROW()-8)="",0,INDEX(Transactions!$O:$O,ROW()-8))</f>
      </c>
    </row>
    <row r="5465" spans="1:7">
      <c r="B5465">
        <f>IF(INDEX(Transactions!$J:$J,ROW()-8)="",TODAY(),INDEX(Transactions!$G:$G,ROW()-8))</f>
      </c>
      <c r="F5465">
        <f>IF(INDEX(Transactions!$J:$J,ROW()-8)="",0,INDEX(Transactions!$O:$O,ROW()-8))</f>
      </c>
    </row>
    <row r="5466" spans="1:7">
      <c r="B5466">
        <f>IF(INDEX(Transactions!$J:$J,ROW()-8)="",TODAY(),INDEX(Transactions!$G:$G,ROW()-8))</f>
      </c>
      <c r="F5466">
        <f>IF(INDEX(Transactions!$J:$J,ROW()-8)="",0,INDEX(Transactions!$O:$O,ROW()-8))</f>
      </c>
    </row>
    <row r="5467" spans="1:7">
      <c r="B5467">
        <f>IF(INDEX(Transactions!$J:$J,ROW()-8)="",TODAY(),INDEX(Transactions!$G:$G,ROW()-8))</f>
      </c>
      <c r="F5467">
        <f>IF(INDEX(Transactions!$J:$J,ROW()-8)="",0,INDEX(Transactions!$O:$O,ROW()-8))</f>
      </c>
    </row>
    <row r="5468" spans="1:7">
      <c r="B5468">
        <f>IF(INDEX(Transactions!$J:$J,ROW()-8)="",TODAY(),INDEX(Transactions!$G:$G,ROW()-8))</f>
      </c>
      <c r="F5468">
        <f>IF(INDEX(Transactions!$J:$J,ROW()-8)="",0,INDEX(Transactions!$O:$O,ROW()-8))</f>
      </c>
    </row>
    <row r="5469" spans="1:7">
      <c r="B5469">
        <f>IF(INDEX(Transactions!$J:$J,ROW()-8)="",TODAY(),INDEX(Transactions!$G:$G,ROW()-8))</f>
      </c>
      <c r="F5469">
        <f>IF(INDEX(Transactions!$J:$J,ROW()-8)="",0,INDEX(Transactions!$O:$O,ROW()-8))</f>
      </c>
    </row>
    <row r="5470" spans="1:7">
      <c r="B5470">
        <f>IF(INDEX(Transactions!$J:$J,ROW()-8)="",TODAY(),INDEX(Transactions!$G:$G,ROW()-8))</f>
      </c>
      <c r="F5470">
        <f>IF(INDEX(Transactions!$J:$J,ROW()-8)="",0,INDEX(Transactions!$O:$O,ROW()-8))</f>
      </c>
    </row>
    <row r="5471" spans="1:7">
      <c r="B5471">
        <f>IF(INDEX(Transactions!$J:$J,ROW()-8)="",TODAY(),INDEX(Transactions!$G:$G,ROW()-8))</f>
      </c>
      <c r="F5471">
        <f>IF(INDEX(Transactions!$J:$J,ROW()-8)="",0,INDEX(Transactions!$O:$O,ROW()-8))</f>
      </c>
    </row>
    <row r="5472" spans="1:7">
      <c r="B5472">
        <f>IF(INDEX(Transactions!$J:$J,ROW()-8)="",TODAY(),INDEX(Transactions!$G:$G,ROW()-8))</f>
      </c>
      <c r="F5472">
        <f>IF(INDEX(Transactions!$J:$J,ROW()-8)="",0,INDEX(Transactions!$O:$O,ROW()-8))</f>
      </c>
    </row>
    <row r="5473" spans="1:7">
      <c r="B5473">
        <f>IF(INDEX(Transactions!$J:$J,ROW()-8)="",TODAY(),INDEX(Transactions!$G:$G,ROW()-8))</f>
      </c>
      <c r="F5473">
        <f>IF(INDEX(Transactions!$J:$J,ROW()-8)="",0,INDEX(Transactions!$O:$O,ROW()-8))</f>
      </c>
    </row>
    <row r="5474" spans="1:7">
      <c r="B5474">
        <f>IF(INDEX(Transactions!$J:$J,ROW()-8)="",TODAY(),INDEX(Transactions!$G:$G,ROW()-8))</f>
      </c>
      <c r="F5474">
        <f>IF(INDEX(Transactions!$J:$J,ROW()-8)="",0,INDEX(Transactions!$O:$O,ROW()-8))</f>
      </c>
    </row>
    <row r="5475" spans="1:7">
      <c r="B5475">
        <f>IF(INDEX(Transactions!$J:$J,ROW()-8)="",TODAY(),INDEX(Transactions!$G:$G,ROW()-8))</f>
      </c>
      <c r="F5475">
        <f>IF(INDEX(Transactions!$J:$J,ROW()-8)="",0,INDEX(Transactions!$O:$O,ROW()-8))</f>
      </c>
    </row>
    <row r="5476" spans="1:7">
      <c r="B5476">
        <f>IF(INDEX(Transactions!$J:$J,ROW()-8)="",TODAY(),INDEX(Transactions!$G:$G,ROW()-8))</f>
      </c>
      <c r="F5476">
        <f>IF(INDEX(Transactions!$J:$J,ROW()-8)="",0,INDEX(Transactions!$O:$O,ROW()-8))</f>
      </c>
    </row>
    <row r="5477" spans="1:7">
      <c r="B5477">
        <f>IF(INDEX(Transactions!$J:$J,ROW()-8)="",TODAY(),INDEX(Transactions!$G:$G,ROW()-8))</f>
      </c>
      <c r="F5477">
        <f>IF(INDEX(Transactions!$J:$J,ROW()-8)="",0,INDEX(Transactions!$O:$O,ROW()-8))</f>
      </c>
    </row>
    <row r="5478" spans="1:7">
      <c r="B5478">
        <f>IF(INDEX(Transactions!$J:$J,ROW()-8)="",TODAY(),INDEX(Transactions!$G:$G,ROW()-8))</f>
      </c>
      <c r="F5478">
        <f>IF(INDEX(Transactions!$J:$J,ROW()-8)="",0,INDEX(Transactions!$O:$O,ROW()-8))</f>
      </c>
    </row>
    <row r="5479" spans="1:7">
      <c r="B5479">
        <f>IF(INDEX(Transactions!$J:$J,ROW()-8)="",TODAY(),INDEX(Transactions!$G:$G,ROW()-8))</f>
      </c>
      <c r="F5479">
        <f>IF(INDEX(Transactions!$J:$J,ROW()-8)="",0,INDEX(Transactions!$O:$O,ROW()-8))</f>
      </c>
    </row>
    <row r="5480" spans="1:7">
      <c r="B5480">
        <f>IF(INDEX(Transactions!$J:$J,ROW()-8)="",TODAY(),INDEX(Transactions!$G:$G,ROW()-8))</f>
      </c>
      <c r="F5480">
        <f>IF(INDEX(Transactions!$J:$J,ROW()-8)="",0,INDEX(Transactions!$O:$O,ROW()-8))</f>
      </c>
    </row>
    <row r="5481" spans="1:7">
      <c r="B5481">
        <f>IF(INDEX(Transactions!$J:$J,ROW()-8)="",TODAY(),INDEX(Transactions!$G:$G,ROW()-8))</f>
      </c>
      <c r="F5481">
        <f>IF(INDEX(Transactions!$J:$J,ROW()-8)="",0,INDEX(Transactions!$O:$O,ROW()-8))</f>
      </c>
    </row>
    <row r="5482" spans="1:7">
      <c r="B5482">
        <f>IF(INDEX(Transactions!$J:$J,ROW()-8)="",TODAY(),INDEX(Transactions!$G:$G,ROW()-8))</f>
      </c>
      <c r="F5482">
        <f>IF(INDEX(Transactions!$J:$J,ROW()-8)="",0,INDEX(Transactions!$O:$O,ROW()-8))</f>
      </c>
    </row>
    <row r="5483" spans="1:7">
      <c r="B5483">
        <f>IF(INDEX(Transactions!$J:$J,ROW()-8)="",TODAY(),INDEX(Transactions!$G:$G,ROW()-8))</f>
      </c>
      <c r="F5483">
        <f>IF(INDEX(Transactions!$J:$J,ROW()-8)="",0,INDEX(Transactions!$O:$O,ROW()-8))</f>
      </c>
    </row>
    <row r="5484" spans="1:7">
      <c r="B5484">
        <f>IF(INDEX(Transactions!$J:$J,ROW()-8)="",TODAY(),INDEX(Transactions!$G:$G,ROW()-8))</f>
      </c>
      <c r="F5484">
        <f>IF(INDEX(Transactions!$J:$J,ROW()-8)="",0,INDEX(Transactions!$O:$O,ROW()-8))</f>
      </c>
    </row>
    <row r="5485" spans="1:7">
      <c r="B5485">
        <f>IF(INDEX(Transactions!$J:$J,ROW()-8)="",TODAY(),INDEX(Transactions!$G:$G,ROW()-8))</f>
      </c>
      <c r="F5485">
        <f>IF(INDEX(Transactions!$J:$J,ROW()-8)="",0,INDEX(Transactions!$O:$O,ROW()-8))</f>
      </c>
    </row>
    <row r="5486" spans="1:7">
      <c r="B5486">
        <f>IF(INDEX(Transactions!$J:$J,ROW()-8)="",TODAY(),INDEX(Transactions!$G:$G,ROW()-8))</f>
      </c>
      <c r="F5486">
        <f>IF(INDEX(Transactions!$J:$J,ROW()-8)="",0,INDEX(Transactions!$O:$O,ROW()-8))</f>
      </c>
    </row>
    <row r="5487" spans="1:7">
      <c r="B5487">
        <f>IF(INDEX(Transactions!$J:$J,ROW()-8)="",TODAY(),INDEX(Transactions!$G:$G,ROW()-8))</f>
      </c>
      <c r="F5487">
        <f>IF(INDEX(Transactions!$J:$J,ROW()-8)="",0,INDEX(Transactions!$O:$O,ROW()-8))</f>
      </c>
    </row>
    <row r="5488" spans="1:7">
      <c r="B5488">
        <f>IF(INDEX(Transactions!$J:$J,ROW()-8)="",TODAY(),INDEX(Transactions!$G:$G,ROW()-8))</f>
      </c>
      <c r="F5488">
        <f>IF(INDEX(Transactions!$J:$J,ROW()-8)="",0,INDEX(Transactions!$O:$O,ROW()-8))</f>
      </c>
    </row>
    <row r="5489" spans="1:7">
      <c r="B5489">
        <f>IF(INDEX(Transactions!$J:$J,ROW()-8)="",TODAY(),INDEX(Transactions!$G:$G,ROW()-8))</f>
      </c>
      <c r="F5489">
        <f>IF(INDEX(Transactions!$J:$J,ROW()-8)="",0,INDEX(Transactions!$O:$O,ROW()-8))</f>
      </c>
    </row>
    <row r="5490" spans="1:7">
      <c r="B5490">
        <f>IF(INDEX(Transactions!$J:$J,ROW()-8)="",TODAY(),INDEX(Transactions!$G:$G,ROW()-8))</f>
      </c>
      <c r="F5490">
        <f>IF(INDEX(Transactions!$J:$J,ROW()-8)="",0,INDEX(Transactions!$O:$O,ROW()-8))</f>
      </c>
    </row>
    <row r="5491" spans="1:7">
      <c r="B5491">
        <f>IF(INDEX(Transactions!$J:$J,ROW()-8)="",TODAY(),INDEX(Transactions!$G:$G,ROW()-8))</f>
      </c>
      <c r="F5491">
        <f>IF(INDEX(Transactions!$J:$J,ROW()-8)="",0,INDEX(Transactions!$O:$O,ROW()-8))</f>
      </c>
    </row>
    <row r="5492" spans="1:7">
      <c r="B5492">
        <f>IF(INDEX(Transactions!$J:$J,ROW()-8)="",TODAY(),INDEX(Transactions!$G:$G,ROW()-8))</f>
      </c>
      <c r="F5492">
        <f>IF(INDEX(Transactions!$J:$J,ROW()-8)="",0,INDEX(Transactions!$O:$O,ROW()-8))</f>
      </c>
    </row>
    <row r="5493" spans="1:7">
      <c r="B5493">
        <f>IF(INDEX(Transactions!$J:$J,ROW()-8)="",TODAY(),INDEX(Transactions!$G:$G,ROW()-8))</f>
      </c>
      <c r="F5493">
        <f>IF(INDEX(Transactions!$J:$J,ROW()-8)="",0,INDEX(Transactions!$O:$O,ROW()-8))</f>
      </c>
    </row>
    <row r="5494" spans="1:7">
      <c r="B5494">
        <f>IF(INDEX(Transactions!$J:$J,ROW()-8)="",TODAY(),INDEX(Transactions!$G:$G,ROW()-8))</f>
      </c>
      <c r="F5494">
        <f>IF(INDEX(Transactions!$J:$J,ROW()-8)="",0,INDEX(Transactions!$O:$O,ROW()-8))</f>
      </c>
    </row>
    <row r="5495" spans="1:7">
      <c r="B5495">
        <f>IF(INDEX(Transactions!$J:$J,ROW()-8)="",TODAY(),INDEX(Transactions!$G:$G,ROW()-8))</f>
      </c>
      <c r="F5495">
        <f>IF(INDEX(Transactions!$J:$J,ROW()-8)="",0,INDEX(Transactions!$O:$O,ROW()-8))</f>
      </c>
    </row>
    <row r="5496" spans="1:7">
      <c r="B5496">
        <f>IF(INDEX(Transactions!$J:$J,ROW()-8)="",TODAY(),INDEX(Transactions!$G:$G,ROW()-8))</f>
      </c>
      <c r="F5496">
        <f>IF(INDEX(Transactions!$J:$J,ROW()-8)="",0,INDEX(Transactions!$O:$O,ROW()-8))</f>
      </c>
    </row>
    <row r="5497" spans="1:7">
      <c r="B5497">
        <f>IF(INDEX(Transactions!$J:$J,ROW()-8)="",TODAY(),INDEX(Transactions!$G:$G,ROW()-8))</f>
      </c>
      <c r="F5497">
        <f>IF(INDEX(Transactions!$J:$J,ROW()-8)="",0,INDEX(Transactions!$O:$O,ROW()-8))</f>
      </c>
    </row>
    <row r="5498" spans="1:7">
      <c r="B5498">
        <f>IF(INDEX(Transactions!$J:$J,ROW()-8)="",TODAY(),INDEX(Transactions!$G:$G,ROW()-8))</f>
      </c>
      <c r="F5498">
        <f>IF(INDEX(Transactions!$J:$J,ROW()-8)="",0,INDEX(Transactions!$O:$O,ROW()-8))</f>
      </c>
    </row>
    <row r="5499" spans="1:7">
      <c r="B5499">
        <f>IF(INDEX(Transactions!$J:$J,ROW()-8)="",TODAY(),INDEX(Transactions!$G:$G,ROW()-8))</f>
      </c>
      <c r="F5499">
        <f>IF(INDEX(Transactions!$J:$J,ROW()-8)="",0,INDEX(Transactions!$O:$O,ROW()-8))</f>
      </c>
    </row>
    <row r="5500" spans="1:7">
      <c r="B5500">
        <f>IF(INDEX(Transactions!$J:$J,ROW()-8)="",TODAY(),INDEX(Transactions!$G:$G,ROW()-8))</f>
      </c>
      <c r="F5500">
        <f>IF(INDEX(Transactions!$J:$J,ROW()-8)="",0,INDEX(Transactions!$O:$O,ROW()-8))</f>
      </c>
    </row>
    <row r="5501" spans="1:7">
      <c r="B5501">
        <f>IF(INDEX(Transactions!$J:$J,ROW()-8)="",TODAY(),INDEX(Transactions!$G:$G,ROW()-8))</f>
      </c>
      <c r="F5501">
        <f>IF(INDEX(Transactions!$J:$J,ROW()-8)="",0,INDEX(Transactions!$O:$O,ROW()-8))</f>
      </c>
    </row>
    <row r="5502" spans="1:7">
      <c r="B5502">
        <f>IF(INDEX(Transactions!$J:$J,ROW()-8)="",TODAY(),INDEX(Transactions!$G:$G,ROW()-8))</f>
      </c>
      <c r="F5502">
        <f>IF(INDEX(Transactions!$J:$J,ROW()-8)="",0,INDEX(Transactions!$O:$O,ROW()-8))</f>
      </c>
    </row>
    <row r="5503" spans="1:7">
      <c r="B5503">
        <f>IF(INDEX(Transactions!$J:$J,ROW()-8)="",TODAY(),INDEX(Transactions!$G:$G,ROW()-8))</f>
      </c>
      <c r="F5503">
        <f>IF(INDEX(Transactions!$J:$J,ROW()-8)="",0,INDEX(Transactions!$O:$O,ROW()-8))</f>
      </c>
    </row>
    <row r="5504" spans="1:7">
      <c r="B5504">
        <f>IF(INDEX(Transactions!$J:$J,ROW()-8)="",TODAY(),INDEX(Transactions!$G:$G,ROW()-8))</f>
      </c>
      <c r="F5504">
        <f>IF(INDEX(Transactions!$J:$J,ROW()-8)="",0,INDEX(Transactions!$O:$O,ROW()-8))</f>
      </c>
    </row>
    <row r="5505" spans="1:7">
      <c r="B5505">
        <f>IF(INDEX(Transactions!$J:$J,ROW()-8)="",TODAY(),INDEX(Transactions!$G:$G,ROW()-8))</f>
      </c>
      <c r="F5505">
        <f>IF(INDEX(Transactions!$J:$J,ROW()-8)="",0,INDEX(Transactions!$O:$O,ROW()-8))</f>
      </c>
    </row>
    <row r="5506" spans="1:7">
      <c r="B5506">
        <f>IF(INDEX(Transactions!$J:$J,ROW()-8)="",TODAY(),INDEX(Transactions!$G:$G,ROW()-8))</f>
      </c>
      <c r="F5506">
        <f>IF(INDEX(Transactions!$J:$J,ROW()-8)="",0,INDEX(Transactions!$O:$O,ROW()-8))</f>
      </c>
    </row>
    <row r="5507" spans="1:7">
      <c r="B5507">
        <f>IF(INDEX(Transactions!$J:$J,ROW()-8)="",TODAY(),INDEX(Transactions!$G:$G,ROW()-8))</f>
      </c>
      <c r="F5507">
        <f>IF(INDEX(Transactions!$J:$J,ROW()-8)="",0,INDEX(Transactions!$O:$O,ROW()-8))</f>
      </c>
    </row>
    <row r="5508" spans="1:7">
      <c r="B5508">
        <f>IF(INDEX(Transactions!$J:$J,ROW()-8)="",TODAY(),INDEX(Transactions!$G:$G,ROW()-8))</f>
      </c>
      <c r="F5508">
        <f>IF(INDEX(Transactions!$J:$J,ROW()-8)="",0,INDEX(Transactions!$O:$O,ROW()-8))</f>
      </c>
    </row>
    <row r="5509" spans="1:7">
      <c r="B5509">
        <f>IF(INDEX(Transactions!$J:$J,ROW()-8)="",TODAY(),INDEX(Transactions!$G:$G,ROW()-8))</f>
      </c>
      <c r="F5509">
        <f>IF(INDEX(Transactions!$J:$J,ROW()-8)="",0,INDEX(Transactions!$O:$O,ROW()-8))</f>
      </c>
    </row>
    <row r="5510" spans="1:7">
      <c r="B5510">
        <f>IF(INDEX(Transactions!$J:$J,ROW()-8)="",TODAY(),INDEX(Transactions!$G:$G,ROW()-8))</f>
      </c>
      <c r="F5510">
        <f>IF(INDEX(Transactions!$J:$J,ROW()-8)="",0,INDEX(Transactions!$O:$O,ROW()-8))</f>
      </c>
    </row>
    <row r="5511" spans="1:7">
      <c r="B5511">
        <f>IF(INDEX(Transactions!$J:$J,ROW()-8)="",TODAY(),INDEX(Transactions!$G:$G,ROW()-8))</f>
      </c>
      <c r="F5511">
        <f>IF(INDEX(Transactions!$J:$J,ROW()-8)="",0,INDEX(Transactions!$O:$O,ROW()-8))</f>
      </c>
    </row>
    <row r="5512" spans="1:7">
      <c r="B5512">
        <f>IF(INDEX(Transactions!$J:$J,ROW()-8)="",TODAY(),INDEX(Transactions!$G:$G,ROW()-8))</f>
      </c>
      <c r="F5512">
        <f>IF(INDEX(Transactions!$J:$J,ROW()-8)="",0,INDEX(Transactions!$O:$O,ROW()-8))</f>
      </c>
    </row>
    <row r="5513" spans="1:7">
      <c r="B5513">
        <f>IF(INDEX(Transactions!$J:$J,ROW()-8)="",TODAY(),INDEX(Transactions!$G:$G,ROW()-8))</f>
      </c>
      <c r="F5513">
        <f>IF(INDEX(Transactions!$J:$J,ROW()-8)="",0,INDEX(Transactions!$O:$O,ROW()-8))</f>
      </c>
    </row>
    <row r="5514" spans="1:7">
      <c r="B5514">
        <f>IF(INDEX(Transactions!$J:$J,ROW()-8)="",TODAY(),INDEX(Transactions!$G:$G,ROW()-8))</f>
      </c>
      <c r="F5514">
        <f>IF(INDEX(Transactions!$J:$J,ROW()-8)="",0,INDEX(Transactions!$O:$O,ROW()-8))</f>
      </c>
    </row>
    <row r="5515" spans="1:7">
      <c r="B5515">
        <f>IF(INDEX(Transactions!$J:$J,ROW()-8)="",TODAY(),INDEX(Transactions!$G:$G,ROW()-8))</f>
      </c>
      <c r="F5515">
        <f>IF(INDEX(Transactions!$J:$J,ROW()-8)="",0,INDEX(Transactions!$O:$O,ROW()-8))</f>
      </c>
    </row>
    <row r="5516" spans="1:7">
      <c r="B5516">
        <f>IF(INDEX(Transactions!$J:$J,ROW()-8)="",TODAY(),INDEX(Transactions!$G:$G,ROW()-8))</f>
      </c>
      <c r="F5516">
        <f>IF(INDEX(Transactions!$J:$J,ROW()-8)="",0,INDEX(Transactions!$O:$O,ROW()-8))</f>
      </c>
    </row>
    <row r="5517" spans="1:7">
      <c r="B5517">
        <f>IF(INDEX(Transactions!$J:$J,ROW()-8)="",TODAY(),INDEX(Transactions!$G:$G,ROW()-8))</f>
      </c>
      <c r="F5517">
        <f>IF(INDEX(Transactions!$J:$J,ROW()-8)="",0,INDEX(Transactions!$O:$O,ROW()-8))</f>
      </c>
    </row>
    <row r="5518" spans="1:7">
      <c r="B5518">
        <f>IF(INDEX(Transactions!$J:$J,ROW()-8)="",TODAY(),INDEX(Transactions!$G:$G,ROW()-8))</f>
      </c>
      <c r="F5518">
        <f>IF(INDEX(Transactions!$J:$J,ROW()-8)="",0,INDEX(Transactions!$O:$O,ROW()-8))</f>
      </c>
    </row>
    <row r="5519" spans="1:7">
      <c r="B5519">
        <f>IF(INDEX(Transactions!$J:$J,ROW()-8)="",TODAY(),INDEX(Transactions!$G:$G,ROW()-8))</f>
      </c>
      <c r="F5519">
        <f>IF(INDEX(Transactions!$J:$J,ROW()-8)="",0,INDEX(Transactions!$O:$O,ROW()-8))</f>
      </c>
    </row>
    <row r="5520" spans="1:7">
      <c r="B5520">
        <f>IF(INDEX(Transactions!$J:$J,ROW()-8)="",TODAY(),INDEX(Transactions!$G:$G,ROW()-8))</f>
      </c>
      <c r="F5520">
        <f>IF(INDEX(Transactions!$J:$J,ROW()-8)="",0,INDEX(Transactions!$O:$O,ROW()-8))</f>
      </c>
    </row>
    <row r="5521" spans="1:7">
      <c r="B5521">
        <f>IF(INDEX(Transactions!$J:$J,ROW()-8)="",TODAY(),INDEX(Transactions!$G:$G,ROW()-8))</f>
      </c>
      <c r="F5521">
        <f>IF(INDEX(Transactions!$J:$J,ROW()-8)="",0,INDEX(Transactions!$O:$O,ROW()-8))</f>
      </c>
    </row>
    <row r="5522" spans="1:7">
      <c r="B5522">
        <f>IF(INDEX(Transactions!$J:$J,ROW()-8)="",TODAY(),INDEX(Transactions!$G:$G,ROW()-8))</f>
      </c>
      <c r="F5522">
        <f>IF(INDEX(Transactions!$J:$J,ROW()-8)="",0,INDEX(Transactions!$O:$O,ROW()-8))</f>
      </c>
    </row>
    <row r="5523" spans="1:7">
      <c r="B5523">
        <f>IF(INDEX(Transactions!$J:$J,ROW()-8)="",TODAY(),INDEX(Transactions!$G:$G,ROW()-8))</f>
      </c>
      <c r="F5523">
        <f>IF(INDEX(Transactions!$J:$J,ROW()-8)="",0,INDEX(Transactions!$O:$O,ROW()-8))</f>
      </c>
    </row>
    <row r="5524" spans="1:7">
      <c r="B5524">
        <f>IF(INDEX(Transactions!$J:$J,ROW()-8)="",TODAY(),INDEX(Transactions!$G:$G,ROW()-8))</f>
      </c>
      <c r="F5524">
        <f>IF(INDEX(Transactions!$J:$J,ROW()-8)="",0,INDEX(Transactions!$O:$O,ROW()-8))</f>
      </c>
    </row>
    <row r="5525" spans="1:7">
      <c r="B5525">
        <f>IF(INDEX(Transactions!$J:$J,ROW()-8)="",TODAY(),INDEX(Transactions!$G:$G,ROW()-8))</f>
      </c>
      <c r="F5525">
        <f>IF(INDEX(Transactions!$J:$J,ROW()-8)="",0,INDEX(Transactions!$O:$O,ROW()-8))</f>
      </c>
    </row>
    <row r="5526" spans="1:7">
      <c r="B5526">
        <f>IF(INDEX(Transactions!$J:$J,ROW()-8)="",TODAY(),INDEX(Transactions!$G:$G,ROW()-8))</f>
      </c>
      <c r="F5526">
        <f>IF(INDEX(Transactions!$J:$J,ROW()-8)="",0,INDEX(Transactions!$O:$O,ROW()-8))</f>
      </c>
    </row>
    <row r="5527" spans="1:7">
      <c r="B5527">
        <f>IF(INDEX(Transactions!$J:$J,ROW()-8)="",TODAY(),INDEX(Transactions!$G:$G,ROW()-8))</f>
      </c>
      <c r="F5527">
        <f>IF(INDEX(Transactions!$J:$J,ROW()-8)="",0,INDEX(Transactions!$O:$O,ROW()-8))</f>
      </c>
    </row>
    <row r="5528" spans="1:7">
      <c r="B5528">
        <f>IF(INDEX(Transactions!$J:$J,ROW()-8)="",TODAY(),INDEX(Transactions!$G:$G,ROW()-8))</f>
      </c>
      <c r="F5528">
        <f>IF(INDEX(Transactions!$J:$J,ROW()-8)="",0,INDEX(Transactions!$O:$O,ROW()-8))</f>
      </c>
    </row>
    <row r="5529" spans="1:7">
      <c r="B5529">
        <f>IF(INDEX(Transactions!$J:$J,ROW()-8)="",TODAY(),INDEX(Transactions!$G:$G,ROW()-8))</f>
      </c>
      <c r="F5529">
        <f>IF(INDEX(Transactions!$J:$J,ROW()-8)="",0,INDEX(Transactions!$O:$O,ROW()-8))</f>
      </c>
    </row>
    <row r="5530" spans="1:7">
      <c r="B5530">
        <f>IF(INDEX(Transactions!$J:$J,ROW()-8)="",TODAY(),INDEX(Transactions!$G:$G,ROW()-8))</f>
      </c>
      <c r="F5530">
        <f>IF(INDEX(Transactions!$J:$J,ROW()-8)="",0,INDEX(Transactions!$O:$O,ROW()-8))</f>
      </c>
    </row>
    <row r="5531" spans="1:7">
      <c r="B5531">
        <f>IF(INDEX(Transactions!$J:$J,ROW()-8)="",TODAY(),INDEX(Transactions!$G:$G,ROW()-8))</f>
      </c>
      <c r="F5531">
        <f>IF(INDEX(Transactions!$J:$J,ROW()-8)="",0,INDEX(Transactions!$O:$O,ROW()-8))</f>
      </c>
    </row>
    <row r="5532" spans="1:7">
      <c r="B5532">
        <f>IF(INDEX(Transactions!$J:$J,ROW()-8)="",TODAY(),INDEX(Transactions!$G:$G,ROW()-8))</f>
      </c>
      <c r="F5532">
        <f>IF(INDEX(Transactions!$J:$J,ROW()-8)="",0,INDEX(Transactions!$O:$O,ROW()-8))</f>
      </c>
    </row>
    <row r="5533" spans="1:7">
      <c r="B5533">
        <f>IF(INDEX(Transactions!$J:$J,ROW()-8)="",TODAY(),INDEX(Transactions!$G:$G,ROW()-8))</f>
      </c>
      <c r="F5533">
        <f>IF(INDEX(Transactions!$J:$J,ROW()-8)="",0,INDEX(Transactions!$O:$O,ROW()-8))</f>
      </c>
    </row>
    <row r="5534" spans="1:7">
      <c r="B5534">
        <f>IF(INDEX(Transactions!$J:$J,ROW()-8)="",TODAY(),INDEX(Transactions!$G:$G,ROW()-8))</f>
      </c>
      <c r="F5534">
        <f>IF(INDEX(Transactions!$J:$J,ROW()-8)="",0,INDEX(Transactions!$O:$O,ROW()-8))</f>
      </c>
    </row>
    <row r="5535" spans="1:7">
      <c r="B5535">
        <f>IF(INDEX(Transactions!$J:$J,ROW()-8)="",TODAY(),INDEX(Transactions!$G:$G,ROW()-8))</f>
      </c>
      <c r="F5535">
        <f>IF(INDEX(Transactions!$J:$J,ROW()-8)="",0,INDEX(Transactions!$O:$O,ROW()-8))</f>
      </c>
    </row>
    <row r="5536" spans="1:7">
      <c r="B5536">
        <f>IF(INDEX(Transactions!$J:$J,ROW()-8)="",TODAY(),INDEX(Transactions!$G:$G,ROW()-8))</f>
      </c>
      <c r="F5536">
        <f>IF(INDEX(Transactions!$J:$J,ROW()-8)="",0,INDEX(Transactions!$O:$O,ROW()-8))</f>
      </c>
    </row>
    <row r="5537" spans="1:7">
      <c r="B5537">
        <f>IF(INDEX(Transactions!$J:$J,ROW()-8)="",TODAY(),INDEX(Transactions!$G:$G,ROW()-8))</f>
      </c>
      <c r="F5537">
        <f>IF(INDEX(Transactions!$J:$J,ROW()-8)="",0,INDEX(Transactions!$O:$O,ROW()-8))</f>
      </c>
    </row>
    <row r="5538" spans="1:7">
      <c r="B5538">
        <f>IF(INDEX(Transactions!$J:$J,ROW()-8)="",TODAY(),INDEX(Transactions!$G:$G,ROW()-8))</f>
      </c>
      <c r="F5538">
        <f>IF(INDEX(Transactions!$J:$J,ROW()-8)="",0,INDEX(Transactions!$O:$O,ROW()-8))</f>
      </c>
    </row>
    <row r="5539" spans="1:7">
      <c r="B5539">
        <f>IF(INDEX(Transactions!$J:$J,ROW()-8)="",TODAY(),INDEX(Transactions!$G:$G,ROW()-8))</f>
      </c>
      <c r="F5539">
        <f>IF(INDEX(Transactions!$J:$J,ROW()-8)="",0,INDEX(Transactions!$O:$O,ROW()-8))</f>
      </c>
    </row>
    <row r="5540" spans="1:7">
      <c r="B5540">
        <f>IF(INDEX(Transactions!$J:$J,ROW()-8)="",TODAY(),INDEX(Transactions!$G:$G,ROW()-8))</f>
      </c>
      <c r="F5540">
        <f>IF(INDEX(Transactions!$J:$J,ROW()-8)="",0,INDEX(Transactions!$O:$O,ROW()-8))</f>
      </c>
    </row>
    <row r="5541" spans="1:7">
      <c r="B5541">
        <f>IF(INDEX(Transactions!$J:$J,ROW()-8)="",TODAY(),INDEX(Transactions!$G:$G,ROW()-8))</f>
      </c>
      <c r="F5541">
        <f>IF(INDEX(Transactions!$J:$J,ROW()-8)="",0,INDEX(Transactions!$O:$O,ROW()-8))</f>
      </c>
    </row>
    <row r="5542" spans="1:7">
      <c r="B5542">
        <f>IF(INDEX(Transactions!$J:$J,ROW()-8)="",TODAY(),INDEX(Transactions!$G:$G,ROW()-8))</f>
      </c>
      <c r="F5542">
        <f>IF(INDEX(Transactions!$J:$J,ROW()-8)="",0,INDEX(Transactions!$O:$O,ROW()-8))</f>
      </c>
    </row>
    <row r="5543" spans="1:7">
      <c r="B5543">
        <f>IF(INDEX(Transactions!$J:$J,ROW()-8)="",TODAY(),INDEX(Transactions!$G:$G,ROW()-8))</f>
      </c>
      <c r="F5543">
        <f>IF(INDEX(Transactions!$J:$J,ROW()-8)="",0,INDEX(Transactions!$O:$O,ROW()-8))</f>
      </c>
    </row>
    <row r="5544" spans="1:7">
      <c r="B5544">
        <f>IF(INDEX(Transactions!$J:$J,ROW()-8)="",TODAY(),INDEX(Transactions!$G:$G,ROW()-8))</f>
      </c>
      <c r="F5544">
        <f>IF(INDEX(Transactions!$J:$J,ROW()-8)="",0,INDEX(Transactions!$O:$O,ROW()-8))</f>
      </c>
    </row>
    <row r="5545" spans="1:7">
      <c r="B5545">
        <f>IF(INDEX(Transactions!$J:$J,ROW()-8)="",TODAY(),INDEX(Transactions!$G:$G,ROW()-8))</f>
      </c>
      <c r="F5545">
        <f>IF(INDEX(Transactions!$J:$J,ROW()-8)="",0,INDEX(Transactions!$O:$O,ROW()-8))</f>
      </c>
    </row>
    <row r="5546" spans="1:7">
      <c r="B5546">
        <f>IF(INDEX(Transactions!$J:$J,ROW()-8)="",TODAY(),INDEX(Transactions!$G:$G,ROW()-8))</f>
      </c>
      <c r="F5546">
        <f>IF(INDEX(Transactions!$J:$J,ROW()-8)="",0,INDEX(Transactions!$O:$O,ROW()-8))</f>
      </c>
    </row>
    <row r="5547" spans="1:7">
      <c r="B5547">
        <f>IF(INDEX(Transactions!$J:$J,ROW()-8)="",TODAY(),INDEX(Transactions!$G:$G,ROW()-8))</f>
      </c>
      <c r="F5547">
        <f>IF(INDEX(Transactions!$J:$J,ROW()-8)="",0,INDEX(Transactions!$O:$O,ROW()-8))</f>
      </c>
    </row>
    <row r="5548" spans="1:7">
      <c r="B5548">
        <f>IF(INDEX(Transactions!$J:$J,ROW()-8)="",TODAY(),INDEX(Transactions!$G:$G,ROW()-8))</f>
      </c>
      <c r="F5548">
        <f>IF(INDEX(Transactions!$J:$J,ROW()-8)="",0,INDEX(Transactions!$O:$O,ROW()-8))</f>
      </c>
    </row>
    <row r="5549" spans="1:7">
      <c r="B5549">
        <f>IF(INDEX(Transactions!$J:$J,ROW()-8)="",TODAY(),INDEX(Transactions!$G:$G,ROW()-8))</f>
      </c>
      <c r="F5549">
        <f>IF(INDEX(Transactions!$J:$J,ROW()-8)="",0,INDEX(Transactions!$O:$O,ROW()-8))</f>
      </c>
    </row>
    <row r="5550" spans="1:7">
      <c r="B5550">
        <f>IF(INDEX(Transactions!$J:$J,ROW()-8)="",TODAY(),INDEX(Transactions!$G:$G,ROW()-8))</f>
      </c>
      <c r="F5550">
        <f>IF(INDEX(Transactions!$J:$J,ROW()-8)="",0,INDEX(Transactions!$O:$O,ROW()-8))</f>
      </c>
    </row>
    <row r="5551" spans="1:7">
      <c r="B5551">
        <f>IF(INDEX(Transactions!$J:$J,ROW()-8)="",TODAY(),INDEX(Transactions!$G:$G,ROW()-8))</f>
      </c>
      <c r="F5551">
        <f>IF(INDEX(Transactions!$J:$J,ROW()-8)="",0,INDEX(Transactions!$O:$O,ROW()-8))</f>
      </c>
    </row>
    <row r="5552" spans="1:7">
      <c r="B5552">
        <f>IF(INDEX(Transactions!$J:$J,ROW()-8)="",TODAY(),INDEX(Transactions!$G:$G,ROW()-8))</f>
      </c>
      <c r="F5552">
        <f>IF(INDEX(Transactions!$J:$J,ROW()-8)="",0,INDEX(Transactions!$O:$O,ROW()-8))</f>
      </c>
    </row>
    <row r="5553" spans="1:7">
      <c r="B5553">
        <f>IF(INDEX(Transactions!$J:$J,ROW()-8)="",TODAY(),INDEX(Transactions!$G:$G,ROW()-8))</f>
      </c>
      <c r="F5553">
        <f>IF(INDEX(Transactions!$J:$J,ROW()-8)="",0,INDEX(Transactions!$O:$O,ROW()-8))</f>
      </c>
    </row>
    <row r="5554" spans="1:7">
      <c r="B5554">
        <f>IF(INDEX(Transactions!$J:$J,ROW()-8)="",TODAY(),INDEX(Transactions!$G:$G,ROW()-8))</f>
      </c>
      <c r="F5554">
        <f>IF(INDEX(Transactions!$J:$J,ROW()-8)="",0,INDEX(Transactions!$O:$O,ROW()-8))</f>
      </c>
    </row>
    <row r="5555" spans="1:7">
      <c r="B5555">
        <f>IF(INDEX(Transactions!$J:$J,ROW()-8)="",TODAY(),INDEX(Transactions!$G:$G,ROW()-8))</f>
      </c>
      <c r="F5555">
        <f>IF(INDEX(Transactions!$J:$J,ROW()-8)="",0,INDEX(Transactions!$O:$O,ROW()-8))</f>
      </c>
    </row>
    <row r="5556" spans="1:7">
      <c r="B5556">
        <f>IF(INDEX(Transactions!$J:$J,ROW()-8)="",TODAY(),INDEX(Transactions!$G:$G,ROW()-8))</f>
      </c>
      <c r="F5556">
        <f>IF(INDEX(Transactions!$J:$J,ROW()-8)="",0,INDEX(Transactions!$O:$O,ROW()-8))</f>
      </c>
    </row>
    <row r="5557" spans="1:7">
      <c r="B5557">
        <f>IF(INDEX(Transactions!$J:$J,ROW()-8)="",TODAY(),INDEX(Transactions!$G:$G,ROW()-8))</f>
      </c>
      <c r="F5557">
        <f>IF(INDEX(Transactions!$J:$J,ROW()-8)="",0,INDEX(Transactions!$O:$O,ROW()-8))</f>
      </c>
    </row>
    <row r="5558" spans="1:7">
      <c r="B5558">
        <f>IF(INDEX(Transactions!$J:$J,ROW()-8)="",TODAY(),INDEX(Transactions!$G:$G,ROW()-8))</f>
      </c>
      <c r="F5558">
        <f>IF(INDEX(Transactions!$J:$J,ROW()-8)="",0,INDEX(Transactions!$O:$O,ROW()-8))</f>
      </c>
    </row>
    <row r="5559" spans="1:7">
      <c r="B5559">
        <f>IF(INDEX(Transactions!$J:$J,ROW()-8)="",TODAY(),INDEX(Transactions!$G:$G,ROW()-8))</f>
      </c>
      <c r="F5559">
        <f>IF(INDEX(Transactions!$J:$J,ROW()-8)="",0,INDEX(Transactions!$O:$O,ROW()-8))</f>
      </c>
    </row>
    <row r="5560" spans="1:7">
      <c r="B5560">
        <f>IF(INDEX(Transactions!$J:$J,ROW()-8)="",TODAY(),INDEX(Transactions!$G:$G,ROW()-8))</f>
      </c>
      <c r="F5560">
        <f>IF(INDEX(Transactions!$J:$J,ROW()-8)="",0,INDEX(Transactions!$O:$O,ROW()-8))</f>
      </c>
    </row>
    <row r="5561" spans="1:7">
      <c r="B5561">
        <f>IF(INDEX(Transactions!$J:$J,ROW()-8)="",TODAY(),INDEX(Transactions!$G:$G,ROW()-8))</f>
      </c>
      <c r="F5561">
        <f>IF(INDEX(Transactions!$J:$J,ROW()-8)="",0,INDEX(Transactions!$O:$O,ROW()-8))</f>
      </c>
    </row>
    <row r="5562" spans="1:7">
      <c r="B5562">
        <f>IF(INDEX(Transactions!$J:$J,ROW()-8)="",TODAY(),INDEX(Transactions!$G:$G,ROW()-8))</f>
      </c>
      <c r="F5562">
        <f>IF(INDEX(Transactions!$J:$J,ROW()-8)="",0,INDEX(Transactions!$O:$O,ROW()-8))</f>
      </c>
    </row>
    <row r="5563" spans="1:7">
      <c r="B5563">
        <f>IF(INDEX(Transactions!$J:$J,ROW()-8)="",TODAY(),INDEX(Transactions!$G:$G,ROW()-8))</f>
      </c>
      <c r="F5563">
        <f>IF(INDEX(Transactions!$J:$J,ROW()-8)="",0,INDEX(Transactions!$O:$O,ROW()-8))</f>
      </c>
    </row>
    <row r="5564" spans="1:7">
      <c r="B5564">
        <f>IF(INDEX(Transactions!$J:$J,ROW()-8)="",TODAY(),INDEX(Transactions!$G:$G,ROW()-8))</f>
      </c>
      <c r="F5564">
        <f>IF(INDEX(Transactions!$J:$J,ROW()-8)="",0,INDEX(Transactions!$O:$O,ROW()-8))</f>
      </c>
    </row>
    <row r="5565" spans="1:7">
      <c r="B5565">
        <f>IF(INDEX(Transactions!$J:$J,ROW()-8)="",TODAY(),INDEX(Transactions!$G:$G,ROW()-8))</f>
      </c>
      <c r="F5565">
        <f>IF(INDEX(Transactions!$J:$J,ROW()-8)="",0,INDEX(Transactions!$O:$O,ROW()-8))</f>
      </c>
    </row>
    <row r="5566" spans="1:7">
      <c r="B5566">
        <f>IF(INDEX(Transactions!$J:$J,ROW()-8)="",TODAY(),INDEX(Transactions!$G:$G,ROW()-8))</f>
      </c>
      <c r="F5566">
        <f>IF(INDEX(Transactions!$J:$J,ROW()-8)="",0,INDEX(Transactions!$O:$O,ROW()-8))</f>
      </c>
    </row>
    <row r="5567" spans="1:7">
      <c r="B5567">
        <f>IF(INDEX(Transactions!$J:$J,ROW()-8)="",TODAY(),INDEX(Transactions!$G:$G,ROW()-8))</f>
      </c>
      <c r="F5567">
        <f>IF(INDEX(Transactions!$J:$J,ROW()-8)="",0,INDEX(Transactions!$O:$O,ROW()-8))</f>
      </c>
    </row>
    <row r="5568" spans="1:7">
      <c r="B5568">
        <f>IF(INDEX(Transactions!$J:$J,ROW()-8)="",TODAY(),INDEX(Transactions!$G:$G,ROW()-8))</f>
      </c>
      <c r="F5568">
        <f>IF(INDEX(Transactions!$J:$J,ROW()-8)="",0,INDEX(Transactions!$O:$O,ROW()-8))</f>
      </c>
    </row>
    <row r="5569" spans="1:7">
      <c r="B5569">
        <f>IF(INDEX(Transactions!$J:$J,ROW()-8)="",TODAY(),INDEX(Transactions!$G:$G,ROW()-8))</f>
      </c>
      <c r="F5569">
        <f>IF(INDEX(Transactions!$J:$J,ROW()-8)="",0,INDEX(Transactions!$O:$O,ROW()-8))</f>
      </c>
    </row>
    <row r="5570" spans="1:7">
      <c r="B5570">
        <f>IF(INDEX(Transactions!$J:$J,ROW()-8)="",TODAY(),INDEX(Transactions!$G:$G,ROW()-8))</f>
      </c>
      <c r="F5570">
        <f>IF(INDEX(Transactions!$J:$J,ROW()-8)="",0,INDEX(Transactions!$O:$O,ROW()-8))</f>
      </c>
    </row>
    <row r="5571" spans="1:7">
      <c r="B5571">
        <f>IF(INDEX(Transactions!$J:$J,ROW()-8)="",TODAY(),INDEX(Transactions!$G:$G,ROW()-8))</f>
      </c>
      <c r="F5571">
        <f>IF(INDEX(Transactions!$J:$J,ROW()-8)="",0,INDEX(Transactions!$O:$O,ROW()-8))</f>
      </c>
    </row>
    <row r="5572" spans="1:7">
      <c r="B5572">
        <f>IF(INDEX(Transactions!$J:$J,ROW()-8)="",TODAY(),INDEX(Transactions!$G:$G,ROW()-8))</f>
      </c>
      <c r="F5572">
        <f>IF(INDEX(Transactions!$J:$J,ROW()-8)="",0,INDEX(Transactions!$O:$O,ROW()-8))</f>
      </c>
    </row>
    <row r="5573" spans="1:7">
      <c r="B5573">
        <f>IF(INDEX(Transactions!$J:$J,ROW()-8)="",TODAY(),INDEX(Transactions!$G:$G,ROW()-8))</f>
      </c>
      <c r="F5573">
        <f>IF(INDEX(Transactions!$J:$J,ROW()-8)="",0,INDEX(Transactions!$O:$O,ROW()-8))</f>
      </c>
    </row>
    <row r="5574" spans="1:7">
      <c r="B5574">
        <f>IF(INDEX(Transactions!$J:$J,ROW()-8)="",TODAY(),INDEX(Transactions!$G:$G,ROW()-8))</f>
      </c>
      <c r="F5574">
        <f>IF(INDEX(Transactions!$J:$J,ROW()-8)="",0,INDEX(Transactions!$O:$O,ROW()-8))</f>
      </c>
    </row>
    <row r="5575" spans="1:7">
      <c r="B5575">
        <f>IF(INDEX(Transactions!$J:$J,ROW()-8)="",TODAY(),INDEX(Transactions!$G:$G,ROW()-8))</f>
      </c>
      <c r="F5575">
        <f>IF(INDEX(Transactions!$J:$J,ROW()-8)="",0,INDEX(Transactions!$O:$O,ROW()-8))</f>
      </c>
    </row>
    <row r="5576" spans="1:7">
      <c r="B5576">
        <f>IF(INDEX(Transactions!$J:$J,ROW()-8)="",TODAY(),INDEX(Transactions!$G:$G,ROW()-8))</f>
      </c>
      <c r="F5576">
        <f>IF(INDEX(Transactions!$J:$J,ROW()-8)="",0,INDEX(Transactions!$O:$O,ROW()-8))</f>
      </c>
    </row>
    <row r="5577" spans="1:7">
      <c r="B5577">
        <f>IF(INDEX(Transactions!$J:$J,ROW()-8)="",TODAY(),INDEX(Transactions!$G:$G,ROW()-8))</f>
      </c>
      <c r="F5577">
        <f>IF(INDEX(Transactions!$J:$J,ROW()-8)="",0,INDEX(Transactions!$O:$O,ROW()-8))</f>
      </c>
    </row>
    <row r="5578" spans="1:7">
      <c r="B5578">
        <f>IF(INDEX(Transactions!$J:$J,ROW()-8)="",TODAY(),INDEX(Transactions!$G:$G,ROW()-8))</f>
      </c>
      <c r="F5578">
        <f>IF(INDEX(Transactions!$J:$J,ROW()-8)="",0,INDEX(Transactions!$O:$O,ROW()-8))</f>
      </c>
    </row>
    <row r="5579" spans="1:7">
      <c r="B5579">
        <f>IF(INDEX(Transactions!$J:$J,ROW()-8)="",TODAY(),INDEX(Transactions!$G:$G,ROW()-8))</f>
      </c>
      <c r="F5579">
        <f>IF(INDEX(Transactions!$J:$J,ROW()-8)="",0,INDEX(Transactions!$O:$O,ROW()-8))</f>
      </c>
    </row>
    <row r="5580" spans="1:7">
      <c r="B5580">
        <f>IF(INDEX(Transactions!$J:$J,ROW()-8)="",TODAY(),INDEX(Transactions!$G:$G,ROW()-8))</f>
      </c>
      <c r="F5580">
        <f>IF(INDEX(Transactions!$J:$J,ROW()-8)="",0,INDEX(Transactions!$O:$O,ROW()-8))</f>
      </c>
    </row>
    <row r="5581" spans="1:7">
      <c r="B5581">
        <f>IF(INDEX(Transactions!$J:$J,ROW()-8)="",TODAY(),INDEX(Transactions!$G:$G,ROW()-8))</f>
      </c>
      <c r="F5581">
        <f>IF(INDEX(Transactions!$J:$J,ROW()-8)="",0,INDEX(Transactions!$O:$O,ROW()-8))</f>
      </c>
    </row>
    <row r="5582" spans="1:7">
      <c r="B5582">
        <f>IF(INDEX(Transactions!$J:$J,ROW()-8)="",TODAY(),INDEX(Transactions!$G:$G,ROW()-8))</f>
      </c>
      <c r="F5582">
        <f>IF(INDEX(Transactions!$J:$J,ROW()-8)="",0,INDEX(Transactions!$O:$O,ROW()-8))</f>
      </c>
    </row>
    <row r="5583" spans="1:7">
      <c r="B5583">
        <f>IF(INDEX(Transactions!$J:$J,ROW()-8)="",TODAY(),INDEX(Transactions!$G:$G,ROW()-8))</f>
      </c>
      <c r="F5583">
        <f>IF(INDEX(Transactions!$J:$J,ROW()-8)="",0,INDEX(Transactions!$O:$O,ROW()-8))</f>
      </c>
    </row>
    <row r="5584" spans="1:7">
      <c r="B5584">
        <f>IF(INDEX(Transactions!$J:$J,ROW()-8)="",TODAY(),INDEX(Transactions!$G:$G,ROW()-8))</f>
      </c>
      <c r="F5584">
        <f>IF(INDEX(Transactions!$J:$J,ROW()-8)="",0,INDEX(Transactions!$O:$O,ROW()-8))</f>
      </c>
    </row>
    <row r="5585" spans="1:7">
      <c r="B5585">
        <f>IF(INDEX(Transactions!$J:$J,ROW()-8)="",TODAY(),INDEX(Transactions!$G:$G,ROW()-8))</f>
      </c>
      <c r="F5585">
        <f>IF(INDEX(Transactions!$J:$J,ROW()-8)="",0,INDEX(Transactions!$O:$O,ROW()-8))</f>
      </c>
    </row>
    <row r="5586" spans="1:7">
      <c r="B5586">
        <f>IF(INDEX(Transactions!$J:$J,ROW()-8)="",TODAY(),INDEX(Transactions!$G:$G,ROW()-8))</f>
      </c>
      <c r="F5586">
        <f>IF(INDEX(Transactions!$J:$J,ROW()-8)="",0,INDEX(Transactions!$O:$O,ROW()-8))</f>
      </c>
    </row>
    <row r="5587" spans="1:7">
      <c r="B5587">
        <f>IF(INDEX(Transactions!$J:$J,ROW()-8)="",TODAY(),INDEX(Transactions!$G:$G,ROW()-8))</f>
      </c>
      <c r="F5587">
        <f>IF(INDEX(Transactions!$J:$J,ROW()-8)="",0,INDEX(Transactions!$O:$O,ROW()-8))</f>
      </c>
    </row>
    <row r="5588" spans="1:7">
      <c r="B5588">
        <f>IF(INDEX(Transactions!$J:$J,ROW()-8)="",TODAY(),INDEX(Transactions!$G:$G,ROW()-8))</f>
      </c>
      <c r="F5588">
        <f>IF(INDEX(Transactions!$J:$J,ROW()-8)="",0,INDEX(Transactions!$O:$O,ROW()-8))</f>
      </c>
    </row>
    <row r="5589" spans="1:7">
      <c r="B5589">
        <f>IF(INDEX(Transactions!$J:$J,ROW()-8)="",TODAY(),INDEX(Transactions!$G:$G,ROW()-8))</f>
      </c>
      <c r="F5589">
        <f>IF(INDEX(Transactions!$J:$J,ROW()-8)="",0,INDEX(Transactions!$O:$O,ROW()-8))</f>
      </c>
    </row>
    <row r="5590" spans="1:7">
      <c r="B5590">
        <f>IF(INDEX(Transactions!$J:$J,ROW()-8)="",TODAY(),INDEX(Transactions!$G:$G,ROW()-8))</f>
      </c>
      <c r="F5590">
        <f>IF(INDEX(Transactions!$J:$J,ROW()-8)="",0,INDEX(Transactions!$O:$O,ROW()-8))</f>
      </c>
    </row>
    <row r="5591" spans="1:7">
      <c r="B5591">
        <f>IF(INDEX(Transactions!$J:$J,ROW()-8)="",TODAY(),INDEX(Transactions!$G:$G,ROW()-8))</f>
      </c>
      <c r="F5591">
        <f>IF(INDEX(Transactions!$J:$J,ROW()-8)="",0,INDEX(Transactions!$O:$O,ROW()-8))</f>
      </c>
    </row>
    <row r="5592" spans="1:7">
      <c r="B5592">
        <f>IF(INDEX(Transactions!$J:$J,ROW()-8)="",TODAY(),INDEX(Transactions!$G:$G,ROW()-8))</f>
      </c>
      <c r="F5592">
        <f>IF(INDEX(Transactions!$J:$J,ROW()-8)="",0,INDEX(Transactions!$O:$O,ROW()-8))</f>
      </c>
    </row>
    <row r="5593" spans="1:7">
      <c r="B5593">
        <f>IF(INDEX(Transactions!$J:$J,ROW()-8)="",TODAY(),INDEX(Transactions!$G:$G,ROW()-8))</f>
      </c>
      <c r="F5593">
        <f>IF(INDEX(Transactions!$J:$J,ROW()-8)="",0,INDEX(Transactions!$O:$O,ROW()-8))</f>
      </c>
    </row>
    <row r="5594" spans="1:7">
      <c r="B5594">
        <f>IF(INDEX(Transactions!$J:$J,ROW()-8)="",TODAY(),INDEX(Transactions!$G:$G,ROW()-8))</f>
      </c>
      <c r="F5594">
        <f>IF(INDEX(Transactions!$J:$J,ROW()-8)="",0,INDEX(Transactions!$O:$O,ROW()-8))</f>
      </c>
    </row>
    <row r="5595" spans="1:7">
      <c r="B5595">
        <f>IF(INDEX(Transactions!$J:$J,ROW()-8)="",TODAY(),INDEX(Transactions!$G:$G,ROW()-8))</f>
      </c>
      <c r="F5595">
        <f>IF(INDEX(Transactions!$J:$J,ROW()-8)="",0,INDEX(Transactions!$O:$O,ROW()-8))</f>
      </c>
    </row>
    <row r="5596" spans="1:7">
      <c r="B5596">
        <f>IF(INDEX(Transactions!$J:$J,ROW()-8)="",TODAY(),INDEX(Transactions!$G:$G,ROW()-8))</f>
      </c>
      <c r="F5596">
        <f>IF(INDEX(Transactions!$J:$J,ROW()-8)="",0,INDEX(Transactions!$O:$O,ROW()-8))</f>
      </c>
    </row>
    <row r="5597" spans="1:7">
      <c r="B5597">
        <f>IF(INDEX(Transactions!$J:$J,ROW()-8)="",TODAY(),INDEX(Transactions!$G:$G,ROW()-8))</f>
      </c>
      <c r="F5597">
        <f>IF(INDEX(Transactions!$J:$J,ROW()-8)="",0,INDEX(Transactions!$O:$O,ROW()-8))</f>
      </c>
    </row>
    <row r="5598" spans="1:7">
      <c r="B5598">
        <f>IF(INDEX(Transactions!$J:$J,ROW()-8)="",TODAY(),INDEX(Transactions!$G:$G,ROW()-8))</f>
      </c>
      <c r="F5598">
        <f>IF(INDEX(Transactions!$J:$J,ROW()-8)="",0,INDEX(Transactions!$O:$O,ROW()-8))</f>
      </c>
    </row>
    <row r="5599" spans="1:7">
      <c r="B5599">
        <f>IF(INDEX(Transactions!$J:$J,ROW()-8)="",TODAY(),INDEX(Transactions!$G:$G,ROW()-8))</f>
      </c>
      <c r="F5599">
        <f>IF(INDEX(Transactions!$J:$J,ROW()-8)="",0,INDEX(Transactions!$O:$O,ROW()-8))</f>
      </c>
    </row>
    <row r="5600" spans="1:7">
      <c r="B5600">
        <f>IF(INDEX(Transactions!$J:$J,ROW()-8)="",TODAY(),INDEX(Transactions!$G:$G,ROW()-8))</f>
      </c>
      <c r="F5600">
        <f>IF(INDEX(Transactions!$J:$J,ROW()-8)="",0,INDEX(Transactions!$O:$O,ROW()-8))</f>
      </c>
    </row>
    <row r="5601" spans="1:7">
      <c r="B5601">
        <f>IF(INDEX(Transactions!$J:$J,ROW()-8)="",TODAY(),INDEX(Transactions!$G:$G,ROW()-8))</f>
      </c>
      <c r="F5601">
        <f>IF(INDEX(Transactions!$J:$J,ROW()-8)="",0,INDEX(Transactions!$O:$O,ROW()-8))</f>
      </c>
    </row>
    <row r="5602" spans="1:7">
      <c r="B5602">
        <f>IF(INDEX(Transactions!$J:$J,ROW()-8)="",TODAY(),INDEX(Transactions!$G:$G,ROW()-8))</f>
      </c>
      <c r="F5602">
        <f>IF(INDEX(Transactions!$J:$J,ROW()-8)="",0,INDEX(Transactions!$O:$O,ROW()-8))</f>
      </c>
    </row>
    <row r="5603" spans="1:7">
      <c r="B5603">
        <f>IF(INDEX(Transactions!$J:$J,ROW()-8)="",TODAY(),INDEX(Transactions!$G:$G,ROW()-8))</f>
      </c>
      <c r="F5603">
        <f>IF(INDEX(Transactions!$J:$J,ROW()-8)="",0,INDEX(Transactions!$O:$O,ROW()-8))</f>
      </c>
    </row>
    <row r="5604" spans="1:7">
      <c r="B5604">
        <f>IF(INDEX(Transactions!$J:$J,ROW()-8)="",TODAY(),INDEX(Transactions!$G:$G,ROW()-8))</f>
      </c>
      <c r="F5604">
        <f>IF(INDEX(Transactions!$J:$J,ROW()-8)="",0,INDEX(Transactions!$O:$O,ROW()-8))</f>
      </c>
    </row>
    <row r="5605" spans="1:7">
      <c r="B5605">
        <f>IF(INDEX(Transactions!$J:$J,ROW()-8)="",TODAY(),INDEX(Transactions!$G:$G,ROW()-8))</f>
      </c>
      <c r="F5605">
        <f>IF(INDEX(Transactions!$J:$J,ROW()-8)="",0,INDEX(Transactions!$O:$O,ROW()-8))</f>
      </c>
    </row>
    <row r="5606" spans="1:7">
      <c r="B5606">
        <f>IF(INDEX(Transactions!$J:$J,ROW()-8)="",TODAY(),INDEX(Transactions!$G:$G,ROW()-8))</f>
      </c>
      <c r="F5606">
        <f>IF(INDEX(Transactions!$J:$J,ROW()-8)="",0,INDEX(Transactions!$O:$O,ROW()-8))</f>
      </c>
    </row>
    <row r="5607" spans="1:7">
      <c r="B5607">
        <f>IF(INDEX(Transactions!$J:$J,ROW()-8)="",TODAY(),INDEX(Transactions!$G:$G,ROW()-8))</f>
      </c>
      <c r="F5607">
        <f>IF(INDEX(Transactions!$J:$J,ROW()-8)="",0,INDEX(Transactions!$O:$O,ROW()-8))</f>
      </c>
    </row>
    <row r="5608" spans="1:7">
      <c r="B5608">
        <f>IF(INDEX(Transactions!$J:$J,ROW()-8)="",TODAY(),INDEX(Transactions!$G:$G,ROW()-8))</f>
      </c>
      <c r="F5608">
        <f>IF(INDEX(Transactions!$J:$J,ROW()-8)="",0,INDEX(Transactions!$O:$O,ROW()-8))</f>
      </c>
    </row>
    <row r="5609" spans="1:7">
      <c r="B5609">
        <f>IF(INDEX(Transactions!$J:$J,ROW()-8)="",TODAY(),INDEX(Transactions!$G:$G,ROW()-8))</f>
      </c>
      <c r="F5609">
        <f>IF(INDEX(Transactions!$J:$J,ROW()-8)="",0,INDEX(Transactions!$O:$O,ROW()-8))</f>
      </c>
    </row>
    <row r="5610" spans="1:7">
      <c r="B5610">
        <f>IF(INDEX(Transactions!$J:$J,ROW()-8)="",TODAY(),INDEX(Transactions!$G:$G,ROW()-8))</f>
      </c>
      <c r="F5610">
        <f>IF(INDEX(Transactions!$J:$J,ROW()-8)="",0,INDEX(Transactions!$O:$O,ROW()-8))</f>
      </c>
    </row>
    <row r="5611" spans="1:7">
      <c r="B5611">
        <f>IF(INDEX(Transactions!$J:$J,ROW()-8)="",TODAY(),INDEX(Transactions!$G:$G,ROW()-8))</f>
      </c>
      <c r="F5611">
        <f>IF(INDEX(Transactions!$J:$J,ROW()-8)="",0,INDEX(Transactions!$O:$O,ROW()-8))</f>
      </c>
    </row>
    <row r="5612" spans="1:7">
      <c r="B5612">
        <f>IF(INDEX(Transactions!$J:$J,ROW()-8)="",TODAY(),INDEX(Transactions!$G:$G,ROW()-8))</f>
      </c>
      <c r="F5612">
        <f>IF(INDEX(Transactions!$J:$J,ROW()-8)="",0,INDEX(Transactions!$O:$O,ROW()-8))</f>
      </c>
    </row>
    <row r="5613" spans="1:7">
      <c r="B5613">
        <f>IF(INDEX(Transactions!$J:$J,ROW()-8)="",TODAY(),INDEX(Transactions!$G:$G,ROW()-8))</f>
      </c>
      <c r="F5613">
        <f>IF(INDEX(Transactions!$J:$J,ROW()-8)="",0,INDEX(Transactions!$O:$O,ROW()-8))</f>
      </c>
    </row>
    <row r="5614" spans="1:7">
      <c r="B5614">
        <f>IF(INDEX(Transactions!$J:$J,ROW()-8)="",TODAY(),INDEX(Transactions!$G:$G,ROW()-8))</f>
      </c>
      <c r="F5614">
        <f>IF(INDEX(Transactions!$J:$J,ROW()-8)="",0,INDEX(Transactions!$O:$O,ROW()-8))</f>
      </c>
    </row>
    <row r="5615" spans="1:7">
      <c r="B5615">
        <f>IF(INDEX(Transactions!$J:$J,ROW()-8)="",TODAY(),INDEX(Transactions!$G:$G,ROW()-8))</f>
      </c>
      <c r="F5615">
        <f>IF(INDEX(Transactions!$J:$J,ROW()-8)="",0,INDEX(Transactions!$O:$O,ROW()-8))</f>
      </c>
    </row>
    <row r="5616" spans="1:7">
      <c r="B5616">
        <f>IF(INDEX(Transactions!$J:$J,ROW()-8)="",TODAY(),INDEX(Transactions!$G:$G,ROW()-8))</f>
      </c>
      <c r="F5616">
        <f>IF(INDEX(Transactions!$J:$J,ROW()-8)="",0,INDEX(Transactions!$O:$O,ROW()-8))</f>
      </c>
    </row>
    <row r="5617" spans="1:7">
      <c r="B5617">
        <f>IF(INDEX(Transactions!$J:$J,ROW()-8)="",TODAY(),INDEX(Transactions!$G:$G,ROW()-8))</f>
      </c>
      <c r="F5617">
        <f>IF(INDEX(Transactions!$J:$J,ROW()-8)="",0,INDEX(Transactions!$O:$O,ROW()-8))</f>
      </c>
    </row>
    <row r="5618" spans="1:7">
      <c r="B5618">
        <f>IF(INDEX(Transactions!$J:$J,ROW()-8)="",TODAY(),INDEX(Transactions!$G:$G,ROW()-8))</f>
      </c>
      <c r="F5618">
        <f>IF(INDEX(Transactions!$J:$J,ROW()-8)="",0,INDEX(Transactions!$O:$O,ROW()-8))</f>
      </c>
    </row>
    <row r="5619" spans="1:7">
      <c r="B5619">
        <f>IF(INDEX(Transactions!$J:$J,ROW()-8)="",TODAY(),INDEX(Transactions!$G:$G,ROW()-8))</f>
      </c>
      <c r="F5619">
        <f>IF(INDEX(Transactions!$J:$J,ROW()-8)="",0,INDEX(Transactions!$O:$O,ROW()-8))</f>
      </c>
    </row>
    <row r="5620" spans="1:7">
      <c r="B5620">
        <f>IF(INDEX(Transactions!$J:$J,ROW()-8)="",TODAY(),INDEX(Transactions!$G:$G,ROW()-8))</f>
      </c>
      <c r="F5620">
        <f>IF(INDEX(Transactions!$J:$J,ROW()-8)="",0,INDEX(Transactions!$O:$O,ROW()-8))</f>
      </c>
    </row>
    <row r="5621" spans="1:7">
      <c r="B5621">
        <f>IF(INDEX(Transactions!$J:$J,ROW()-8)="",TODAY(),INDEX(Transactions!$G:$G,ROW()-8))</f>
      </c>
      <c r="F5621">
        <f>IF(INDEX(Transactions!$J:$J,ROW()-8)="",0,INDEX(Transactions!$O:$O,ROW()-8))</f>
      </c>
    </row>
    <row r="5622" spans="1:7">
      <c r="B5622">
        <f>IF(INDEX(Transactions!$J:$J,ROW()-8)="",TODAY(),INDEX(Transactions!$G:$G,ROW()-8))</f>
      </c>
      <c r="F5622">
        <f>IF(INDEX(Transactions!$J:$J,ROW()-8)="",0,INDEX(Transactions!$O:$O,ROW()-8))</f>
      </c>
    </row>
    <row r="5623" spans="1:7">
      <c r="B5623">
        <f>IF(INDEX(Transactions!$J:$J,ROW()-8)="",TODAY(),INDEX(Transactions!$G:$G,ROW()-8))</f>
      </c>
      <c r="F5623">
        <f>IF(INDEX(Transactions!$J:$J,ROW()-8)="",0,INDEX(Transactions!$O:$O,ROW()-8))</f>
      </c>
    </row>
    <row r="5624" spans="1:7">
      <c r="B5624">
        <f>IF(INDEX(Transactions!$J:$J,ROW()-8)="",TODAY(),INDEX(Transactions!$G:$G,ROW()-8))</f>
      </c>
      <c r="F5624">
        <f>IF(INDEX(Transactions!$J:$J,ROW()-8)="",0,INDEX(Transactions!$O:$O,ROW()-8))</f>
      </c>
    </row>
    <row r="5625" spans="1:7">
      <c r="B5625">
        <f>IF(INDEX(Transactions!$J:$J,ROW()-8)="",TODAY(),INDEX(Transactions!$G:$G,ROW()-8))</f>
      </c>
      <c r="F5625">
        <f>IF(INDEX(Transactions!$J:$J,ROW()-8)="",0,INDEX(Transactions!$O:$O,ROW()-8))</f>
      </c>
    </row>
    <row r="5626" spans="1:7">
      <c r="B5626">
        <f>IF(INDEX(Transactions!$J:$J,ROW()-8)="",TODAY(),INDEX(Transactions!$G:$G,ROW()-8))</f>
      </c>
      <c r="F5626">
        <f>IF(INDEX(Transactions!$J:$J,ROW()-8)="",0,INDEX(Transactions!$O:$O,ROW()-8))</f>
      </c>
    </row>
    <row r="5627" spans="1:7">
      <c r="B5627">
        <f>IF(INDEX(Transactions!$J:$J,ROW()-8)="",TODAY(),INDEX(Transactions!$G:$G,ROW()-8))</f>
      </c>
      <c r="F5627">
        <f>IF(INDEX(Transactions!$J:$J,ROW()-8)="",0,INDEX(Transactions!$O:$O,ROW()-8))</f>
      </c>
    </row>
    <row r="5628" spans="1:7">
      <c r="B5628">
        <f>IF(INDEX(Transactions!$J:$J,ROW()-8)="",TODAY(),INDEX(Transactions!$G:$G,ROW()-8))</f>
      </c>
      <c r="F5628">
        <f>IF(INDEX(Transactions!$J:$J,ROW()-8)="",0,INDEX(Transactions!$O:$O,ROW()-8))</f>
      </c>
    </row>
    <row r="5629" spans="1:7">
      <c r="B5629">
        <f>IF(INDEX(Transactions!$J:$J,ROW()-8)="",TODAY(),INDEX(Transactions!$G:$G,ROW()-8))</f>
      </c>
      <c r="F5629">
        <f>IF(INDEX(Transactions!$J:$J,ROW()-8)="",0,INDEX(Transactions!$O:$O,ROW()-8))</f>
      </c>
    </row>
    <row r="5630" spans="1:7">
      <c r="B5630">
        <f>IF(INDEX(Transactions!$J:$J,ROW()-8)="",TODAY(),INDEX(Transactions!$G:$G,ROW()-8))</f>
      </c>
      <c r="F5630">
        <f>IF(INDEX(Transactions!$J:$J,ROW()-8)="",0,INDEX(Transactions!$O:$O,ROW()-8))</f>
      </c>
    </row>
    <row r="5631" spans="1:7">
      <c r="B5631">
        <f>IF(INDEX(Transactions!$J:$J,ROW()-8)="",TODAY(),INDEX(Transactions!$G:$G,ROW()-8))</f>
      </c>
      <c r="F5631">
        <f>IF(INDEX(Transactions!$J:$J,ROW()-8)="",0,INDEX(Transactions!$O:$O,ROW()-8))</f>
      </c>
    </row>
    <row r="5632" spans="1:7">
      <c r="B5632">
        <f>IF(INDEX(Transactions!$J:$J,ROW()-8)="",TODAY(),INDEX(Transactions!$G:$G,ROW()-8))</f>
      </c>
      <c r="F5632">
        <f>IF(INDEX(Transactions!$J:$J,ROW()-8)="",0,INDEX(Transactions!$O:$O,ROW()-8))</f>
      </c>
    </row>
    <row r="5633" spans="1:7">
      <c r="B5633">
        <f>IF(INDEX(Transactions!$J:$J,ROW()-8)="",TODAY(),INDEX(Transactions!$G:$G,ROW()-8))</f>
      </c>
      <c r="F5633">
        <f>IF(INDEX(Transactions!$J:$J,ROW()-8)="",0,INDEX(Transactions!$O:$O,ROW()-8))</f>
      </c>
    </row>
    <row r="5634" spans="1:7">
      <c r="B5634">
        <f>IF(INDEX(Transactions!$J:$J,ROW()-8)="",TODAY(),INDEX(Transactions!$G:$G,ROW()-8))</f>
      </c>
      <c r="F5634">
        <f>IF(INDEX(Transactions!$J:$J,ROW()-8)="",0,INDEX(Transactions!$O:$O,ROW()-8))</f>
      </c>
    </row>
    <row r="5635" spans="1:7">
      <c r="B5635">
        <f>IF(INDEX(Transactions!$J:$J,ROW()-8)="",TODAY(),INDEX(Transactions!$G:$G,ROW()-8))</f>
      </c>
      <c r="F5635">
        <f>IF(INDEX(Transactions!$J:$J,ROW()-8)="",0,INDEX(Transactions!$O:$O,ROW()-8))</f>
      </c>
    </row>
    <row r="5636" spans="1:7">
      <c r="B5636">
        <f>IF(INDEX(Transactions!$J:$J,ROW()-8)="",TODAY(),INDEX(Transactions!$G:$G,ROW()-8))</f>
      </c>
      <c r="F5636">
        <f>IF(INDEX(Transactions!$J:$J,ROW()-8)="",0,INDEX(Transactions!$O:$O,ROW()-8))</f>
      </c>
    </row>
    <row r="5637" spans="1:7">
      <c r="B5637">
        <f>IF(INDEX(Transactions!$J:$J,ROW()-8)="",TODAY(),INDEX(Transactions!$G:$G,ROW()-8))</f>
      </c>
      <c r="F5637">
        <f>IF(INDEX(Transactions!$J:$J,ROW()-8)="",0,INDEX(Transactions!$O:$O,ROW()-8))</f>
      </c>
    </row>
    <row r="5638" spans="1:7">
      <c r="B5638">
        <f>IF(INDEX(Transactions!$J:$J,ROW()-8)="",TODAY(),INDEX(Transactions!$G:$G,ROW()-8))</f>
      </c>
      <c r="F5638">
        <f>IF(INDEX(Transactions!$J:$J,ROW()-8)="",0,INDEX(Transactions!$O:$O,ROW()-8))</f>
      </c>
    </row>
    <row r="5639" spans="1:7">
      <c r="B5639">
        <f>IF(INDEX(Transactions!$J:$J,ROW()-8)="",TODAY(),INDEX(Transactions!$G:$G,ROW()-8))</f>
      </c>
      <c r="F5639">
        <f>IF(INDEX(Transactions!$J:$J,ROW()-8)="",0,INDEX(Transactions!$O:$O,ROW()-8))</f>
      </c>
    </row>
    <row r="5640" spans="1:7">
      <c r="B5640">
        <f>IF(INDEX(Transactions!$J:$J,ROW()-8)="",TODAY(),INDEX(Transactions!$G:$G,ROW()-8))</f>
      </c>
      <c r="F5640">
        <f>IF(INDEX(Transactions!$J:$J,ROW()-8)="",0,INDEX(Transactions!$O:$O,ROW()-8))</f>
      </c>
    </row>
    <row r="5641" spans="1:7">
      <c r="B5641">
        <f>IF(INDEX(Transactions!$J:$J,ROW()-8)="",TODAY(),INDEX(Transactions!$G:$G,ROW()-8))</f>
      </c>
      <c r="F5641">
        <f>IF(INDEX(Transactions!$J:$J,ROW()-8)="",0,INDEX(Transactions!$O:$O,ROW()-8))</f>
      </c>
    </row>
    <row r="5642" spans="1:7">
      <c r="B5642">
        <f>IF(INDEX(Transactions!$J:$J,ROW()-8)="",TODAY(),INDEX(Transactions!$G:$G,ROW()-8))</f>
      </c>
      <c r="F5642">
        <f>IF(INDEX(Transactions!$J:$J,ROW()-8)="",0,INDEX(Transactions!$O:$O,ROW()-8))</f>
      </c>
    </row>
    <row r="5643" spans="1:7">
      <c r="B5643">
        <f>IF(INDEX(Transactions!$J:$J,ROW()-8)="",TODAY(),INDEX(Transactions!$G:$G,ROW()-8))</f>
      </c>
      <c r="F5643">
        <f>IF(INDEX(Transactions!$J:$J,ROW()-8)="",0,INDEX(Transactions!$O:$O,ROW()-8))</f>
      </c>
    </row>
    <row r="5644" spans="1:7">
      <c r="B5644">
        <f>IF(INDEX(Transactions!$J:$J,ROW()-8)="",TODAY(),INDEX(Transactions!$G:$G,ROW()-8))</f>
      </c>
      <c r="F5644">
        <f>IF(INDEX(Transactions!$J:$J,ROW()-8)="",0,INDEX(Transactions!$O:$O,ROW()-8))</f>
      </c>
    </row>
    <row r="5645" spans="1:7">
      <c r="B5645">
        <f>IF(INDEX(Transactions!$J:$J,ROW()-8)="",TODAY(),INDEX(Transactions!$G:$G,ROW()-8))</f>
      </c>
      <c r="F5645">
        <f>IF(INDEX(Transactions!$J:$J,ROW()-8)="",0,INDEX(Transactions!$O:$O,ROW()-8))</f>
      </c>
    </row>
    <row r="5646" spans="1:7">
      <c r="B5646">
        <f>IF(INDEX(Transactions!$J:$J,ROW()-8)="",TODAY(),INDEX(Transactions!$G:$G,ROW()-8))</f>
      </c>
      <c r="F5646">
        <f>IF(INDEX(Transactions!$J:$J,ROW()-8)="",0,INDEX(Transactions!$O:$O,ROW()-8))</f>
      </c>
    </row>
    <row r="5647" spans="1:7">
      <c r="B5647">
        <f>IF(INDEX(Transactions!$J:$J,ROW()-8)="",TODAY(),INDEX(Transactions!$G:$G,ROW()-8))</f>
      </c>
      <c r="F5647">
        <f>IF(INDEX(Transactions!$J:$J,ROW()-8)="",0,INDEX(Transactions!$O:$O,ROW()-8))</f>
      </c>
    </row>
    <row r="5648" spans="1:7">
      <c r="B5648">
        <f>IF(INDEX(Transactions!$J:$J,ROW()-8)="",TODAY(),INDEX(Transactions!$G:$G,ROW()-8))</f>
      </c>
      <c r="F5648">
        <f>IF(INDEX(Transactions!$J:$J,ROW()-8)="",0,INDEX(Transactions!$O:$O,ROW()-8))</f>
      </c>
    </row>
    <row r="5649" spans="1:7">
      <c r="B5649">
        <f>IF(INDEX(Transactions!$J:$J,ROW()-8)="",TODAY(),INDEX(Transactions!$G:$G,ROW()-8))</f>
      </c>
      <c r="F5649">
        <f>IF(INDEX(Transactions!$J:$J,ROW()-8)="",0,INDEX(Transactions!$O:$O,ROW()-8))</f>
      </c>
    </row>
    <row r="5650" spans="1:7">
      <c r="B5650">
        <f>IF(INDEX(Transactions!$J:$J,ROW()-8)="",TODAY(),INDEX(Transactions!$G:$G,ROW()-8))</f>
      </c>
      <c r="F5650">
        <f>IF(INDEX(Transactions!$J:$J,ROW()-8)="",0,INDEX(Transactions!$O:$O,ROW()-8))</f>
      </c>
    </row>
    <row r="5651" spans="1:7">
      <c r="B5651">
        <f>IF(INDEX(Transactions!$J:$J,ROW()-8)="",TODAY(),INDEX(Transactions!$G:$G,ROW()-8))</f>
      </c>
      <c r="F5651">
        <f>IF(INDEX(Transactions!$J:$J,ROW()-8)="",0,INDEX(Transactions!$O:$O,ROW()-8))</f>
      </c>
    </row>
    <row r="5652" spans="1:7">
      <c r="B5652">
        <f>IF(INDEX(Transactions!$J:$J,ROW()-8)="",TODAY(),INDEX(Transactions!$G:$G,ROW()-8))</f>
      </c>
      <c r="F5652">
        <f>IF(INDEX(Transactions!$J:$J,ROW()-8)="",0,INDEX(Transactions!$O:$O,ROW()-8))</f>
      </c>
    </row>
    <row r="5653" spans="1:7">
      <c r="B5653">
        <f>IF(INDEX(Transactions!$J:$J,ROW()-8)="",TODAY(),INDEX(Transactions!$G:$G,ROW()-8))</f>
      </c>
      <c r="F5653">
        <f>IF(INDEX(Transactions!$J:$J,ROW()-8)="",0,INDEX(Transactions!$O:$O,ROW()-8))</f>
      </c>
    </row>
    <row r="5654" spans="1:7">
      <c r="B5654">
        <f>IF(INDEX(Transactions!$J:$J,ROW()-8)="",TODAY(),INDEX(Transactions!$G:$G,ROW()-8))</f>
      </c>
      <c r="F5654">
        <f>IF(INDEX(Transactions!$J:$J,ROW()-8)="",0,INDEX(Transactions!$O:$O,ROW()-8))</f>
      </c>
    </row>
    <row r="5655" spans="1:7">
      <c r="B5655">
        <f>IF(INDEX(Transactions!$J:$J,ROW()-8)="",TODAY(),INDEX(Transactions!$G:$G,ROW()-8))</f>
      </c>
      <c r="F5655">
        <f>IF(INDEX(Transactions!$J:$J,ROW()-8)="",0,INDEX(Transactions!$O:$O,ROW()-8))</f>
      </c>
    </row>
    <row r="5656" spans="1:7">
      <c r="B5656">
        <f>IF(INDEX(Transactions!$J:$J,ROW()-8)="",TODAY(),INDEX(Transactions!$G:$G,ROW()-8))</f>
      </c>
      <c r="F5656">
        <f>IF(INDEX(Transactions!$J:$J,ROW()-8)="",0,INDEX(Transactions!$O:$O,ROW()-8))</f>
      </c>
    </row>
    <row r="5657" spans="1:7">
      <c r="B5657">
        <f>IF(INDEX(Transactions!$J:$J,ROW()-8)="",TODAY(),INDEX(Transactions!$G:$G,ROW()-8))</f>
      </c>
      <c r="F5657">
        <f>IF(INDEX(Transactions!$J:$J,ROW()-8)="",0,INDEX(Transactions!$O:$O,ROW()-8))</f>
      </c>
    </row>
    <row r="5658" spans="1:7">
      <c r="B5658">
        <f>IF(INDEX(Transactions!$J:$J,ROW()-8)="",TODAY(),INDEX(Transactions!$G:$G,ROW()-8))</f>
      </c>
      <c r="F5658">
        <f>IF(INDEX(Transactions!$J:$J,ROW()-8)="",0,INDEX(Transactions!$O:$O,ROW()-8))</f>
      </c>
    </row>
    <row r="5659" spans="1:7">
      <c r="B5659">
        <f>IF(INDEX(Transactions!$J:$J,ROW()-8)="",TODAY(),INDEX(Transactions!$G:$G,ROW()-8))</f>
      </c>
      <c r="F5659">
        <f>IF(INDEX(Transactions!$J:$J,ROW()-8)="",0,INDEX(Transactions!$O:$O,ROW()-8))</f>
      </c>
    </row>
    <row r="5660" spans="1:7">
      <c r="B5660">
        <f>IF(INDEX(Transactions!$J:$J,ROW()-8)="",TODAY(),INDEX(Transactions!$G:$G,ROW()-8))</f>
      </c>
      <c r="F5660">
        <f>IF(INDEX(Transactions!$J:$J,ROW()-8)="",0,INDEX(Transactions!$O:$O,ROW()-8))</f>
      </c>
    </row>
    <row r="5661" spans="1:7">
      <c r="B5661">
        <f>IF(INDEX(Transactions!$J:$J,ROW()-8)="",TODAY(),INDEX(Transactions!$G:$G,ROW()-8))</f>
      </c>
      <c r="F5661">
        <f>IF(INDEX(Transactions!$J:$J,ROW()-8)="",0,INDEX(Transactions!$O:$O,ROW()-8))</f>
      </c>
    </row>
    <row r="5662" spans="1:7">
      <c r="B5662">
        <f>IF(INDEX(Transactions!$J:$J,ROW()-8)="",TODAY(),INDEX(Transactions!$G:$G,ROW()-8))</f>
      </c>
      <c r="F5662">
        <f>IF(INDEX(Transactions!$J:$J,ROW()-8)="",0,INDEX(Transactions!$O:$O,ROW()-8))</f>
      </c>
    </row>
    <row r="5663" spans="1:7">
      <c r="B5663">
        <f>IF(INDEX(Transactions!$J:$J,ROW()-8)="",TODAY(),INDEX(Transactions!$G:$G,ROW()-8))</f>
      </c>
      <c r="F5663">
        <f>IF(INDEX(Transactions!$J:$J,ROW()-8)="",0,INDEX(Transactions!$O:$O,ROW()-8))</f>
      </c>
    </row>
    <row r="5664" spans="1:7">
      <c r="B5664">
        <f>IF(INDEX(Transactions!$J:$J,ROW()-8)="",TODAY(),INDEX(Transactions!$G:$G,ROW()-8))</f>
      </c>
      <c r="F5664">
        <f>IF(INDEX(Transactions!$J:$J,ROW()-8)="",0,INDEX(Transactions!$O:$O,ROW()-8))</f>
      </c>
    </row>
    <row r="5665" spans="1:7">
      <c r="B5665">
        <f>IF(INDEX(Transactions!$J:$J,ROW()-8)="",TODAY(),INDEX(Transactions!$G:$G,ROW()-8))</f>
      </c>
      <c r="F5665">
        <f>IF(INDEX(Transactions!$J:$J,ROW()-8)="",0,INDEX(Transactions!$O:$O,ROW()-8))</f>
      </c>
    </row>
    <row r="5666" spans="1:7">
      <c r="B5666">
        <f>IF(INDEX(Transactions!$J:$J,ROW()-8)="",TODAY(),INDEX(Transactions!$G:$G,ROW()-8))</f>
      </c>
      <c r="F5666">
        <f>IF(INDEX(Transactions!$J:$J,ROW()-8)="",0,INDEX(Transactions!$O:$O,ROW()-8))</f>
      </c>
    </row>
    <row r="5667" spans="1:7">
      <c r="B5667">
        <f>IF(INDEX(Transactions!$J:$J,ROW()-8)="",TODAY(),INDEX(Transactions!$G:$G,ROW()-8))</f>
      </c>
      <c r="F5667">
        <f>IF(INDEX(Transactions!$J:$J,ROW()-8)="",0,INDEX(Transactions!$O:$O,ROW()-8))</f>
      </c>
    </row>
    <row r="5668" spans="1:7">
      <c r="B5668">
        <f>IF(INDEX(Transactions!$J:$J,ROW()-8)="",TODAY(),INDEX(Transactions!$G:$G,ROW()-8))</f>
      </c>
      <c r="F5668">
        <f>IF(INDEX(Transactions!$J:$J,ROW()-8)="",0,INDEX(Transactions!$O:$O,ROW()-8))</f>
      </c>
    </row>
    <row r="5669" spans="1:7">
      <c r="B5669">
        <f>IF(INDEX(Transactions!$J:$J,ROW()-8)="",TODAY(),INDEX(Transactions!$G:$G,ROW()-8))</f>
      </c>
      <c r="F5669">
        <f>IF(INDEX(Transactions!$J:$J,ROW()-8)="",0,INDEX(Transactions!$O:$O,ROW()-8))</f>
      </c>
    </row>
    <row r="5670" spans="1:7">
      <c r="B5670">
        <f>IF(INDEX(Transactions!$J:$J,ROW()-8)="",TODAY(),INDEX(Transactions!$G:$G,ROW()-8))</f>
      </c>
      <c r="F5670">
        <f>IF(INDEX(Transactions!$J:$J,ROW()-8)="",0,INDEX(Transactions!$O:$O,ROW()-8))</f>
      </c>
    </row>
    <row r="5671" spans="1:7">
      <c r="B5671">
        <f>IF(INDEX(Transactions!$J:$J,ROW()-8)="",TODAY(),INDEX(Transactions!$G:$G,ROW()-8))</f>
      </c>
      <c r="F5671">
        <f>IF(INDEX(Transactions!$J:$J,ROW()-8)="",0,INDEX(Transactions!$O:$O,ROW()-8))</f>
      </c>
    </row>
    <row r="5672" spans="1:7">
      <c r="B5672">
        <f>IF(INDEX(Transactions!$J:$J,ROW()-8)="",TODAY(),INDEX(Transactions!$G:$G,ROW()-8))</f>
      </c>
      <c r="F5672">
        <f>IF(INDEX(Transactions!$J:$J,ROW()-8)="",0,INDEX(Transactions!$O:$O,ROW()-8))</f>
      </c>
    </row>
    <row r="5673" spans="1:7">
      <c r="B5673">
        <f>IF(INDEX(Transactions!$J:$J,ROW()-8)="",TODAY(),INDEX(Transactions!$G:$G,ROW()-8))</f>
      </c>
      <c r="F5673">
        <f>IF(INDEX(Transactions!$J:$J,ROW()-8)="",0,INDEX(Transactions!$O:$O,ROW()-8))</f>
      </c>
    </row>
    <row r="5674" spans="1:7">
      <c r="B5674">
        <f>IF(INDEX(Transactions!$J:$J,ROW()-8)="",TODAY(),INDEX(Transactions!$G:$G,ROW()-8))</f>
      </c>
      <c r="F5674">
        <f>IF(INDEX(Transactions!$J:$J,ROW()-8)="",0,INDEX(Transactions!$O:$O,ROW()-8))</f>
      </c>
    </row>
    <row r="5675" spans="1:7">
      <c r="B5675">
        <f>IF(INDEX(Transactions!$J:$J,ROW()-8)="",TODAY(),INDEX(Transactions!$G:$G,ROW()-8))</f>
      </c>
      <c r="F5675">
        <f>IF(INDEX(Transactions!$J:$J,ROW()-8)="",0,INDEX(Transactions!$O:$O,ROW()-8))</f>
      </c>
    </row>
    <row r="5676" spans="1:7">
      <c r="B5676">
        <f>IF(INDEX(Transactions!$J:$J,ROW()-8)="",TODAY(),INDEX(Transactions!$G:$G,ROW()-8))</f>
      </c>
      <c r="F5676">
        <f>IF(INDEX(Transactions!$J:$J,ROW()-8)="",0,INDEX(Transactions!$O:$O,ROW()-8))</f>
      </c>
    </row>
    <row r="5677" spans="1:7">
      <c r="B5677">
        <f>IF(INDEX(Transactions!$J:$J,ROW()-8)="",TODAY(),INDEX(Transactions!$G:$G,ROW()-8))</f>
      </c>
      <c r="F5677">
        <f>IF(INDEX(Transactions!$J:$J,ROW()-8)="",0,INDEX(Transactions!$O:$O,ROW()-8))</f>
      </c>
    </row>
    <row r="5678" spans="1:7">
      <c r="B5678">
        <f>IF(INDEX(Transactions!$J:$J,ROW()-8)="",TODAY(),INDEX(Transactions!$G:$G,ROW()-8))</f>
      </c>
      <c r="F5678">
        <f>IF(INDEX(Transactions!$J:$J,ROW()-8)="",0,INDEX(Transactions!$O:$O,ROW()-8))</f>
      </c>
    </row>
    <row r="5679" spans="1:7">
      <c r="B5679">
        <f>IF(INDEX(Transactions!$J:$J,ROW()-8)="",TODAY(),INDEX(Transactions!$G:$G,ROW()-8))</f>
      </c>
      <c r="F5679">
        <f>IF(INDEX(Transactions!$J:$J,ROW()-8)="",0,INDEX(Transactions!$O:$O,ROW()-8))</f>
      </c>
    </row>
    <row r="5680" spans="1:7">
      <c r="B5680">
        <f>IF(INDEX(Transactions!$J:$J,ROW()-8)="",TODAY(),INDEX(Transactions!$G:$G,ROW()-8))</f>
      </c>
      <c r="F5680">
        <f>IF(INDEX(Transactions!$J:$J,ROW()-8)="",0,INDEX(Transactions!$O:$O,ROW()-8))</f>
      </c>
    </row>
    <row r="5681" spans="1:7">
      <c r="B5681">
        <f>IF(INDEX(Transactions!$J:$J,ROW()-8)="",TODAY(),INDEX(Transactions!$G:$G,ROW()-8))</f>
      </c>
      <c r="F5681">
        <f>IF(INDEX(Transactions!$J:$J,ROW()-8)="",0,INDEX(Transactions!$O:$O,ROW()-8))</f>
      </c>
    </row>
    <row r="5682" spans="1:7">
      <c r="B5682">
        <f>IF(INDEX(Transactions!$J:$J,ROW()-8)="",TODAY(),INDEX(Transactions!$G:$G,ROW()-8))</f>
      </c>
      <c r="F5682">
        <f>IF(INDEX(Transactions!$J:$J,ROW()-8)="",0,INDEX(Transactions!$O:$O,ROW()-8))</f>
      </c>
    </row>
    <row r="5683" spans="1:7">
      <c r="B5683">
        <f>IF(INDEX(Transactions!$J:$J,ROW()-8)="",TODAY(),INDEX(Transactions!$G:$G,ROW()-8))</f>
      </c>
      <c r="F5683">
        <f>IF(INDEX(Transactions!$J:$J,ROW()-8)="",0,INDEX(Transactions!$O:$O,ROW()-8))</f>
      </c>
    </row>
    <row r="5684" spans="1:7">
      <c r="B5684">
        <f>IF(INDEX(Transactions!$J:$J,ROW()-8)="",TODAY(),INDEX(Transactions!$G:$G,ROW()-8))</f>
      </c>
      <c r="F5684">
        <f>IF(INDEX(Transactions!$J:$J,ROW()-8)="",0,INDEX(Transactions!$O:$O,ROW()-8))</f>
      </c>
    </row>
    <row r="5685" spans="1:7">
      <c r="B5685">
        <f>IF(INDEX(Transactions!$J:$J,ROW()-8)="",TODAY(),INDEX(Transactions!$G:$G,ROW()-8))</f>
      </c>
      <c r="F5685">
        <f>IF(INDEX(Transactions!$J:$J,ROW()-8)="",0,INDEX(Transactions!$O:$O,ROW()-8))</f>
      </c>
    </row>
    <row r="5686" spans="1:7">
      <c r="B5686">
        <f>IF(INDEX(Transactions!$J:$J,ROW()-8)="",TODAY(),INDEX(Transactions!$G:$G,ROW()-8))</f>
      </c>
      <c r="F5686">
        <f>IF(INDEX(Transactions!$J:$J,ROW()-8)="",0,INDEX(Transactions!$O:$O,ROW()-8))</f>
      </c>
    </row>
    <row r="5687" spans="1:7">
      <c r="B5687">
        <f>IF(INDEX(Transactions!$J:$J,ROW()-8)="",TODAY(),INDEX(Transactions!$G:$G,ROW()-8))</f>
      </c>
      <c r="F5687">
        <f>IF(INDEX(Transactions!$J:$J,ROW()-8)="",0,INDEX(Transactions!$O:$O,ROW()-8))</f>
      </c>
    </row>
    <row r="5688" spans="1:7">
      <c r="B5688">
        <f>IF(INDEX(Transactions!$J:$J,ROW()-8)="",TODAY(),INDEX(Transactions!$G:$G,ROW()-8))</f>
      </c>
      <c r="F5688">
        <f>IF(INDEX(Transactions!$J:$J,ROW()-8)="",0,INDEX(Transactions!$O:$O,ROW()-8))</f>
      </c>
    </row>
    <row r="5689" spans="1:7">
      <c r="B5689">
        <f>IF(INDEX(Transactions!$J:$J,ROW()-8)="",TODAY(),INDEX(Transactions!$G:$G,ROW()-8))</f>
      </c>
      <c r="F5689">
        <f>IF(INDEX(Transactions!$J:$J,ROW()-8)="",0,INDEX(Transactions!$O:$O,ROW()-8))</f>
      </c>
    </row>
    <row r="5690" spans="1:7">
      <c r="B5690">
        <f>IF(INDEX(Transactions!$J:$J,ROW()-8)="",TODAY(),INDEX(Transactions!$G:$G,ROW()-8))</f>
      </c>
      <c r="F5690">
        <f>IF(INDEX(Transactions!$J:$J,ROW()-8)="",0,INDEX(Transactions!$O:$O,ROW()-8))</f>
      </c>
    </row>
    <row r="5691" spans="1:7">
      <c r="B5691">
        <f>IF(INDEX(Transactions!$J:$J,ROW()-8)="",TODAY(),INDEX(Transactions!$G:$G,ROW()-8))</f>
      </c>
      <c r="F5691">
        <f>IF(INDEX(Transactions!$J:$J,ROW()-8)="",0,INDEX(Transactions!$O:$O,ROW()-8))</f>
      </c>
    </row>
    <row r="5692" spans="1:7">
      <c r="B5692">
        <f>IF(INDEX(Transactions!$J:$J,ROW()-8)="",TODAY(),INDEX(Transactions!$G:$G,ROW()-8))</f>
      </c>
      <c r="F5692">
        <f>IF(INDEX(Transactions!$J:$J,ROW()-8)="",0,INDEX(Transactions!$O:$O,ROW()-8))</f>
      </c>
    </row>
    <row r="5693" spans="1:7">
      <c r="B5693">
        <f>IF(INDEX(Transactions!$J:$J,ROW()-8)="",TODAY(),INDEX(Transactions!$G:$G,ROW()-8))</f>
      </c>
      <c r="F5693">
        <f>IF(INDEX(Transactions!$J:$J,ROW()-8)="",0,INDEX(Transactions!$O:$O,ROW()-8))</f>
      </c>
    </row>
    <row r="5694" spans="1:7">
      <c r="B5694">
        <f>IF(INDEX(Transactions!$J:$J,ROW()-8)="",TODAY(),INDEX(Transactions!$G:$G,ROW()-8))</f>
      </c>
      <c r="F5694">
        <f>IF(INDEX(Transactions!$J:$J,ROW()-8)="",0,INDEX(Transactions!$O:$O,ROW()-8))</f>
      </c>
    </row>
    <row r="5695" spans="1:7">
      <c r="B5695">
        <f>IF(INDEX(Transactions!$J:$J,ROW()-8)="",TODAY(),INDEX(Transactions!$G:$G,ROW()-8))</f>
      </c>
      <c r="F5695">
        <f>IF(INDEX(Transactions!$J:$J,ROW()-8)="",0,INDEX(Transactions!$O:$O,ROW()-8))</f>
      </c>
    </row>
    <row r="5696" spans="1:7">
      <c r="B5696">
        <f>IF(INDEX(Transactions!$J:$J,ROW()-8)="",TODAY(),INDEX(Transactions!$G:$G,ROW()-8))</f>
      </c>
      <c r="F5696">
        <f>IF(INDEX(Transactions!$J:$J,ROW()-8)="",0,INDEX(Transactions!$O:$O,ROW()-8))</f>
      </c>
    </row>
    <row r="5697" spans="1:7">
      <c r="B5697">
        <f>IF(INDEX(Transactions!$J:$J,ROW()-8)="",TODAY(),INDEX(Transactions!$G:$G,ROW()-8))</f>
      </c>
      <c r="F5697">
        <f>IF(INDEX(Transactions!$J:$J,ROW()-8)="",0,INDEX(Transactions!$O:$O,ROW()-8))</f>
      </c>
    </row>
    <row r="5698" spans="1:7">
      <c r="B5698">
        <f>IF(INDEX(Transactions!$J:$J,ROW()-8)="",TODAY(),INDEX(Transactions!$G:$G,ROW()-8))</f>
      </c>
      <c r="F5698">
        <f>IF(INDEX(Transactions!$J:$J,ROW()-8)="",0,INDEX(Transactions!$O:$O,ROW()-8))</f>
      </c>
    </row>
    <row r="5699" spans="1:7">
      <c r="B5699">
        <f>IF(INDEX(Transactions!$J:$J,ROW()-8)="",TODAY(),INDEX(Transactions!$G:$G,ROW()-8))</f>
      </c>
      <c r="F5699">
        <f>IF(INDEX(Transactions!$J:$J,ROW()-8)="",0,INDEX(Transactions!$O:$O,ROW()-8))</f>
      </c>
    </row>
    <row r="5700" spans="1:7">
      <c r="B5700">
        <f>IF(INDEX(Transactions!$J:$J,ROW()-8)="",TODAY(),INDEX(Transactions!$G:$G,ROW()-8))</f>
      </c>
      <c r="F5700">
        <f>IF(INDEX(Transactions!$J:$J,ROW()-8)="",0,INDEX(Transactions!$O:$O,ROW()-8))</f>
      </c>
    </row>
    <row r="5701" spans="1:7">
      <c r="B5701">
        <f>IF(INDEX(Transactions!$J:$J,ROW()-8)="",TODAY(),INDEX(Transactions!$G:$G,ROW()-8))</f>
      </c>
      <c r="F5701">
        <f>IF(INDEX(Transactions!$J:$J,ROW()-8)="",0,INDEX(Transactions!$O:$O,ROW()-8))</f>
      </c>
    </row>
    <row r="5702" spans="1:7">
      <c r="B5702">
        <f>IF(INDEX(Transactions!$J:$J,ROW()-8)="",TODAY(),INDEX(Transactions!$G:$G,ROW()-8))</f>
      </c>
      <c r="F5702">
        <f>IF(INDEX(Transactions!$J:$J,ROW()-8)="",0,INDEX(Transactions!$O:$O,ROW()-8))</f>
      </c>
    </row>
    <row r="5703" spans="1:7">
      <c r="B5703">
        <f>IF(INDEX(Transactions!$J:$J,ROW()-8)="",TODAY(),INDEX(Transactions!$G:$G,ROW()-8))</f>
      </c>
      <c r="F5703">
        <f>IF(INDEX(Transactions!$J:$J,ROW()-8)="",0,INDEX(Transactions!$O:$O,ROW()-8))</f>
      </c>
    </row>
    <row r="5704" spans="1:7">
      <c r="B5704">
        <f>IF(INDEX(Transactions!$J:$J,ROW()-8)="",TODAY(),INDEX(Transactions!$G:$G,ROW()-8))</f>
      </c>
      <c r="F5704">
        <f>IF(INDEX(Transactions!$J:$J,ROW()-8)="",0,INDEX(Transactions!$O:$O,ROW()-8))</f>
      </c>
    </row>
    <row r="5705" spans="1:7">
      <c r="B5705">
        <f>IF(INDEX(Transactions!$J:$J,ROW()-8)="",TODAY(),INDEX(Transactions!$G:$G,ROW()-8))</f>
      </c>
      <c r="F5705">
        <f>IF(INDEX(Transactions!$J:$J,ROW()-8)="",0,INDEX(Transactions!$O:$O,ROW()-8))</f>
      </c>
    </row>
    <row r="5706" spans="1:7">
      <c r="B5706">
        <f>IF(INDEX(Transactions!$J:$J,ROW()-8)="",TODAY(),INDEX(Transactions!$G:$G,ROW()-8))</f>
      </c>
      <c r="F5706">
        <f>IF(INDEX(Transactions!$J:$J,ROW()-8)="",0,INDEX(Transactions!$O:$O,ROW()-8))</f>
      </c>
    </row>
    <row r="5707" spans="1:7">
      <c r="B5707">
        <f>IF(INDEX(Transactions!$J:$J,ROW()-8)="",TODAY(),INDEX(Transactions!$G:$G,ROW()-8))</f>
      </c>
      <c r="F5707">
        <f>IF(INDEX(Transactions!$J:$J,ROW()-8)="",0,INDEX(Transactions!$O:$O,ROW()-8))</f>
      </c>
    </row>
    <row r="5708" spans="1:7">
      <c r="B5708">
        <f>IF(INDEX(Transactions!$J:$J,ROW()-8)="",TODAY(),INDEX(Transactions!$G:$G,ROW()-8))</f>
      </c>
      <c r="F5708">
        <f>IF(INDEX(Transactions!$J:$J,ROW()-8)="",0,INDEX(Transactions!$O:$O,ROW()-8))</f>
      </c>
    </row>
    <row r="5709" spans="1:7">
      <c r="B5709">
        <f>IF(INDEX(Transactions!$J:$J,ROW()-8)="",TODAY(),INDEX(Transactions!$G:$G,ROW()-8))</f>
      </c>
      <c r="F5709">
        <f>IF(INDEX(Transactions!$J:$J,ROW()-8)="",0,INDEX(Transactions!$O:$O,ROW()-8))</f>
      </c>
    </row>
    <row r="5710" spans="1:7">
      <c r="B5710">
        <f>IF(INDEX(Transactions!$J:$J,ROW()-8)="",TODAY(),INDEX(Transactions!$G:$G,ROW()-8))</f>
      </c>
      <c r="F5710">
        <f>IF(INDEX(Transactions!$J:$J,ROW()-8)="",0,INDEX(Transactions!$O:$O,ROW()-8))</f>
      </c>
    </row>
    <row r="5711" spans="1:7">
      <c r="B5711">
        <f>IF(INDEX(Transactions!$J:$J,ROW()-8)="",TODAY(),INDEX(Transactions!$G:$G,ROW()-8))</f>
      </c>
      <c r="F5711">
        <f>IF(INDEX(Transactions!$J:$J,ROW()-8)="",0,INDEX(Transactions!$O:$O,ROW()-8))</f>
      </c>
    </row>
    <row r="5712" spans="1:7">
      <c r="B5712">
        <f>IF(INDEX(Transactions!$J:$J,ROW()-8)="",TODAY(),INDEX(Transactions!$G:$G,ROW()-8))</f>
      </c>
      <c r="F5712">
        <f>IF(INDEX(Transactions!$J:$J,ROW()-8)="",0,INDEX(Transactions!$O:$O,ROW()-8))</f>
      </c>
    </row>
    <row r="5713" spans="1:7">
      <c r="B5713">
        <f>IF(INDEX(Transactions!$J:$J,ROW()-8)="",TODAY(),INDEX(Transactions!$G:$G,ROW()-8))</f>
      </c>
      <c r="F5713">
        <f>IF(INDEX(Transactions!$J:$J,ROW()-8)="",0,INDEX(Transactions!$O:$O,ROW()-8))</f>
      </c>
    </row>
    <row r="5714" spans="1:7">
      <c r="B5714">
        <f>IF(INDEX(Transactions!$J:$J,ROW()-8)="",TODAY(),INDEX(Transactions!$G:$G,ROW()-8))</f>
      </c>
      <c r="F5714">
        <f>IF(INDEX(Transactions!$J:$J,ROW()-8)="",0,INDEX(Transactions!$O:$O,ROW()-8))</f>
      </c>
    </row>
    <row r="5715" spans="1:7">
      <c r="B5715">
        <f>IF(INDEX(Transactions!$J:$J,ROW()-8)="",TODAY(),INDEX(Transactions!$G:$G,ROW()-8))</f>
      </c>
      <c r="F5715">
        <f>IF(INDEX(Transactions!$J:$J,ROW()-8)="",0,INDEX(Transactions!$O:$O,ROW()-8))</f>
      </c>
    </row>
    <row r="5716" spans="1:7">
      <c r="B5716">
        <f>IF(INDEX(Transactions!$J:$J,ROW()-8)="",TODAY(),INDEX(Transactions!$G:$G,ROW()-8))</f>
      </c>
      <c r="F5716">
        <f>IF(INDEX(Transactions!$J:$J,ROW()-8)="",0,INDEX(Transactions!$O:$O,ROW()-8))</f>
      </c>
    </row>
    <row r="5717" spans="1:7">
      <c r="B5717">
        <f>IF(INDEX(Transactions!$J:$J,ROW()-8)="",TODAY(),INDEX(Transactions!$G:$G,ROW()-8))</f>
      </c>
      <c r="F5717">
        <f>IF(INDEX(Transactions!$J:$J,ROW()-8)="",0,INDEX(Transactions!$O:$O,ROW()-8))</f>
      </c>
    </row>
    <row r="5718" spans="1:7">
      <c r="B5718">
        <f>IF(INDEX(Transactions!$J:$J,ROW()-8)="",TODAY(),INDEX(Transactions!$G:$G,ROW()-8))</f>
      </c>
      <c r="F5718">
        <f>IF(INDEX(Transactions!$J:$J,ROW()-8)="",0,INDEX(Transactions!$O:$O,ROW()-8))</f>
      </c>
    </row>
    <row r="5719" spans="1:7">
      <c r="B5719">
        <f>IF(INDEX(Transactions!$J:$J,ROW()-8)="",TODAY(),INDEX(Transactions!$G:$G,ROW()-8))</f>
      </c>
      <c r="F5719">
        <f>IF(INDEX(Transactions!$J:$J,ROW()-8)="",0,INDEX(Transactions!$O:$O,ROW()-8))</f>
      </c>
    </row>
    <row r="5720" spans="1:7">
      <c r="B5720">
        <f>IF(INDEX(Transactions!$J:$J,ROW()-8)="",TODAY(),INDEX(Transactions!$G:$G,ROW()-8))</f>
      </c>
      <c r="F5720">
        <f>IF(INDEX(Transactions!$J:$J,ROW()-8)="",0,INDEX(Transactions!$O:$O,ROW()-8))</f>
      </c>
    </row>
    <row r="5721" spans="1:7">
      <c r="B5721">
        <f>IF(INDEX(Transactions!$J:$J,ROW()-8)="",TODAY(),INDEX(Transactions!$G:$G,ROW()-8))</f>
      </c>
      <c r="F5721">
        <f>IF(INDEX(Transactions!$J:$J,ROW()-8)="",0,INDEX(Transactions!$O:$O,ROW()-8))</f>
      </c>
    </row>
    <row r="5722" spans="1:7">
      <c r="B5722">
        <f>IF(INDEX(Transactions!$J:$J,ROW()-8)="",TODAY(),INDEX(Transactions!$G:$G,ROW()-8))</f>
      </c>
      <c r="F5722">
        <f>IF(INDEX(Transactions!$J:$J,ROW()-8)="",0,INDEX(Transactions!$O:$O,ROW()-8))</f>
      </c>
    </row>
    <row r="5723" spans="1:7">
      <c r="B5723">
        <f>IF(INDEX(Transactions!$J:$J,ROW()-8)="",TODAY(),INDEX(Transactions!$G:$G,ROW()-8))</f>
      </c>
      <c r="F5723">
        <f>IF(INDEX(Transactions!$J:$J,ROW()-8)="",0,INDEX(Transactions!$O:$O,ROW()-8))</f>
      </c>
    </row>
    <row r="5724" spans="1:7">
      <c r="B5724">
        <f>IF(INDEX(Transactions!$J:$J,ROW()-8)="",TODAY(),INDEX(Transactions!$G:$G,ROW()-8))</f>
      </c>
      <c r="F5724">
        <f>IF(INDEX(Transactions!$J:$J,ROW()-8)="",0,INDEX(Transactions!$O:$O,ROW()-8))</f>
      </c>
    </row>
    <row r="5725" spans="1:7">
      <c r="B5725">
        <f>IF(INDEX(Transactions!$J:$J,ROW()-8)="",TODAY(),INDEX(Transactions!$G:$G,ROW()-8))</f>
      </c>
      <c r="F5725">
        <f>IF(INDEX(Transactions!$J:$J,ROW()-8)="",0,INDEX(Transactions!$O:$O,ROW()-8))</f>
      </c>
    </row>
    <row r="5726" spans="1:7">
      <c r="B5726">
        <f>IF(INDEX(Transactions!$J:$J,ROW()-8)="",TODAY(),INDEX(Transactions!$G:$G,ROW()-8))</f>
      </c>
      <c r="F5726">
        <f>IF(INDEX(Transactions!$J:$J,ROW()-8)="",0,INDEX(Transactions!$O:$O,ROW()-8))</f>
      </c>
    </row>
    <row r="5727" spans="1:7">
      <c r="B5727">
        <f>IF(INDEX(Transactions!$J:$J,ROW()-8)="",TODAY(),INDEX(Transactions!$G:$G,ROW()-8))</f>
      </c>
      <c r="F5727">
        <f>IF(INDEX(Transactions!$J:$J,ROW()-8)="",0,INDEX(Transactions!$O:$O,ROW()-8))</f>
      </c>
    </row>
    <row r="5728" spans="1:7">
      <c r="B5728">
        <f>IF(INDEX(Transactions!$J:$J,ROW()-8)="",TODAY(),INDEX(Transactions!$G:$G,ROW()-8))</f>
      </c>
      <c r="F5728">
        <f>IF(INDEX(Transactions!$J:$J,ROW()-8)="",0,INDEX(Transactions!$O:$O,ROW()-8))</f>
      </c>
    </row>
    <row r="5729" spans="1:7">
      <c r="B5729">
        <f>IF(INDEX(Transactions!$J:$J,ROW()-8)="",TODAY(),INDEX(Transactions!$G:$G,ROW()-8))</f>
      </c>
      <c r="F5729">
        <f>IF(INDEX(Transactions!$J:$J,ROW()-8)="",0,INDEX(Transactions!$O:$O,ROW()-8))</f>
      </c>
    </row>
    <row r="5730" spans="1:7">
      <c r="B5730">
        <f>IF(INDEX(Transactions!$J:$J,ROW()-8)="",TODAY(),INDEX(Transactions!$G:$G,ROW()-8))</f>
      </c>
      <c r="F5730">
        <f>IF(INDEX(Transactions!$J:$J,ROW()-8)="",0,INDEX(Transactions!$O:$O,ROW()-8))</f>
      </c>
    </row>
    <row r="5731" spans="1:7">
      <c r="B5731">
        <f>IF(INDEX(Transactions!$J:$J,ROW()-8)="",TODAY(),INDEX(Transactions!$G:$G,ROW()-8))</f>
      </c>
      <c r="F5731">
        <f>IF(INDEX(Transactions!$J:$J,ROW()-8)="",0,INDEX(Transactions!$O:$O,ROW()-8))</f>
      </c>
    </row>
    <row r="5732" spans="1:7">
      <c r="B5732">
        <f>IF(INDEX(Transactions!$J:$J,ROW()-8)="",TODAY(),INDEX(Transactions!$G:$G,ROW()-8))</f>
      </c>
      <c r="F5732">
        <f>IF(INDEX(Transactions!$J:$J,ROW()-8)="",0,INDEX(Transactions!$O:$O,ROW()-8))</f>
      </c>
    </row>
    <row r="5733" spans="1:7">
      <c r="B5733">
        <f>IF(INDEX(Transactions!$J:$J,ROW()-8)="",TODAY(),INDEX(Transactions!$G:$G,ROW()-8))</f>
      </c>
      <c r="F5733">
        <f>IF(INDEX(Transactions!$J:$J,ROW()-8)="",0,INDEX(Transactions!$O:$O,ROW()-8))</f>
      </c>
    </row>
    <row r="5734" spans="1:7">
      <c r="B5734">
        <f>IF(INDEX(Transactions!$J:$J,ROW()-8)="",TODAY(),INDEX(Transactions!$G:$G,ROW()-8))</f>
      </c>
      <c r="F5734">
        <f>IF(INDEX(Transactions!$J:$J,ROW()-8)="",0,INDEX(Transactions!$O:$O,ROW()-8))</f>
      </c>
    </row>
    <row r="5735" spans="1:7">
      <c r="B5735">
        <f>IF(INDEX(Transactions!$J:$J,ROW()-8)="",TODAY(),INDEX(Transactions!$G:$G,ROW()-8))</f>
      </c>
      <c r="F5735">
        <f>IF(INDEX(Transactions!$J:$J,ROW()-8)="",0,INDEX(Transactions!$O:$O,ROW()-8))</f>
      </c>
    </row>
    <row r="5736" spans="1:7">
      <c r="B5736">
        <f>IF(INDEX(Transactions!$J:$J,ROW()-8)="",TODAY(),INDEX(Transactions!$G:$G,ROW()-8))</f>
      </c>
      <c r="F5736">
        <f>IF(INDEX(Transactions!$J:$J,ROW()-8)="",0,INDEX(Transactions!$O:$O,ROW()-8))</f>
      </c>
    </row>
    <row r="5737" spans="1:7">
      <c r="B5737">
        <f>IF(INDEX(Transactions!$J:$J,ROW()-8)="",TODAY(),INDEX(Transactions!$G:$G,ROW()-8))</f>
      </c>
      <c r="F5737">
        <f>IF(INDEX(Transactions!$J:$J,ROW()-8)="",0,INDEX(Transactions!$O:$O,ROW()-8))</f>
      </c>
    </row>
    <row r="5738" spans="1:7">
      <c r="B5738">
        <f>IF(INDEX(Transactions!$J:$J,ROW()-8)="",TODAY(),INDEX(Transactions!$G:$G,ROW()-8))</f>
      </c>
      <c r="F5738">
        <f>IF(INDEX(Transactions!$J:$J,ROW()-8)="",0,INDEX(Transactions!$O:$O,ROW()-8))</f>
      </c>
    </row>
    <row r="5739" spans="1:7">
      <c r="B5739">
        <f>IF(INDEX(Transactions!$J:$J,ROW()-8)="",TODAY(),INDEX(Transactions!$G:$G,ROW()-8))</f>
      </c>
      <c r="F5739">
        <f>IF(INDEX(Transactions!$J:$J,ROW()-8)="",0,INDEX(Transactions!$O:$O,ROW()-8))</f>
      </c>
    </row>
    <row r="5740" spans="1:7">
      <c r="B5740">
        <f>IF(INDEX(Transactions!$J:$J,ROW()-8)="",TODAY(),INDEX(Transactions!$G:$G,ROW()-8))</f>
      </c>
      <c r="F5740">
        <f>IF(INDEX(Transactions!$J:$J,ROW()-8)="",0,INDEX(Transactions!$O:$O,ROW()-8))</f>
      </c>
    </row>
    <row r="5741" spans="1:7">
      <c r="B5741">
        <f>IF(INDEX(Transactions!$J:$J,ROW()-8)="",TODAY(),INDEX(Transactions!$G:$G,ROW()-8))</f>
      </c>
      <c r="F5741">
        <f>IF(INDEX(Transactions!$J:$J,ROW()-8)="",0,INDEX(Transactions!$O:$O,ROW()-8))</f>
      </c>
    </row>
    <row r="5742" spans="1:7">
      <c r="B5742">
        <f>IF(INDEX(Transactions!$J:$J,ROW()-8)="",TODAY(),INDEX(Transactions!$G:$G,ROW()-8))</f>
      </c>
      <c r="F5742">
        <f>IF(INDEX(Transactions!$J:$J,ROW()-8)="",0,INDEX(Transactions!$O:$O,ROW()-8))</f>
      </c>
    </row>
    <row r="5743" spans="1:7">
      <c r="B5743">
        <f>IF(INDEX(Transactions!$J:$J,ROW()-8)="",TODAY(),INDEX(Transactions!$G:$G,ROW()-8))</f>
      </c>
      <c r="F5743">
        <f>IF(INDEX(Transactions!$J:$J,ROW()-8)="",0,INDEX(Transactions!$O:$O,ROW()-8))</f>
      </c>
    </row>
    <row r="5744" spans="1:7">
      <c r="B5744">
        <f>IF(INDEX(Transactions!$J:$J,ROW()-8)="",TODAY(),INDEX(Transactions!$G:$G,ROW()-8))</f>
      </c>
      <c r="F5744">
        <f>IF(INDEX(Transactions!$J:$J,ROW()-8)="",0,INDEX(Transactions!$O:$O,ROW()-8))</f>
      </c>
    </row>
    <row r="5745" spans="1:7">
      <c r="B5745">
        <f>IF(INDEX(Transactions!$J:$J,ROW()-8)="",TODAY(),INDEX(Transactions!$G:$G,ROW()-8))</f>
      </c>
      <c r="F5745">
        <f>IF(INDEX(Transactions!$J:$J,ROW()-8)="",0,INDEX(Transactions!$O:$O,ROW()-8))</f>
      </c>
    </row>
    <row r="5746" spans="1:7">
      <c r="B5746">
        <f>IF(INDEX(Transactions!$J:$J,ROW()-8)="",TODAY(),INDEX(Transactions!$G:$G,ROW()-8))</f>
      </c>
      <c r="F5746">
        <f>IF(INDEX(Transactions!$J:$J,ROW()-8)="",0,INDEX(Transactions!$O:$O,ROW()-8))</f>
      </c>
    </row>
    <row r="5747" spans="1:7">
      <c r="B5747">
        <f>IF(INDEX(Transactions!$J:$J,ROW()-8)="",TODAY(),INDEX(Transactions!$G:$G,ROW()-8))</f>
      </c>
      <c r="F5747">
        <f>IF(INDEX(Transactions!$J:$J,ROW()-8)="",0,INDEX(Transactions!$O:$O,ROW()-8))</f>
      </c>
    </row>
    <row r="5748" spans="1:7">
      <c r="B5748">
        <f>IF(INDEX(Transactions!$J:$J,ROW()-8)="",TODAY(),INDEX(Transactions!$G:$G,ROW()-8))</f>
      </c>
      <c r="F5748">
        <f>IF(INDEX(Transactions!$J:$J,ROW()-8)="",0,INDEX(Transactions!$O:$O,ROW()-8))</f>
      </c>
    </row>
    <row r="5749" spans="1:7">
      <c r="B5749">
        <f>IF(INDEX(Transactions!$J:$J,ROW()-8)="",TODAY(),INDEX(Transactions!$G:$G,ROW()-8))</f>
      </c>
      <c r="F5749">
        <f>IF(INDEX(Transactions!$J:$J,ROW()-8)="",0,INDEX(Transactions!$O:$O,ROW()-8))</f>
      </c>
    </row>
    <row r="5750" spans="1:7">
      <c r="B5750">
        <f>IF(INDEX(Transactions!$J:$J,ROW()-8)="",TODAY(),INDEX(Transactions!$G:$G,ROW()-8))</f>
      </c>
      <c r="F5750">
        <f>IF(INDEX(Transactions!$J:$J,ROW()-8)="",0,INDEX(Transactions!$O:$O,ROW()-8))</f>
      </c>
    </row>
    <row r="5751" spans="1:7">
      <c r="B5751">
        <f>IF(INDEX(Transactions!$J:$J,ROW()-8)="",TODAY(),INDEX(Transactions!$G:$G,ROW()-8))</f>
      </c>
      <c r="F5751">
        <f>IF(INDEX(Transactions!$J:$J,ROW()-8)="",0,INDEX(Transactions!$O:$O,ROW()-8))</f>
      </c>
    </row>
    <row r="5752" spans="1:7">
      <c r="B5752">
        <f>IF(INDEX(Transactions!$J:$J,ROW()-8)="",TODAY(),INDEX(Transactions!$G:$G,ROW()-8))</f>
      </c>
      <c r="F5752">
        <f>IF(INDEX(Transactions!$J:$J,ROW()-8)="",0,INDEX(Transactions!$O:$O,ROW()-8))</f>
      </c>
    </row>
    <row r="5753" spans="1:7">
      <c r="B5753">
        <f>IF(INDEX(Transactions!$J:$J,ROW()-8)="",TODAY(),INDEX(Transactions!$G:$G,ROW()-8))</f>
      </c>
      <c r="F5753">
        <f>IF(INDEX(Transactions!$J:$J,ROW()-8)="",0,INDEX(Transactions!$O:$O,ROW()-8))</f>
      </c>
    </row>
    <row r="5754" spans="1:7">
      <c r="B5754">
        <f>IF(INDEX(Transactions!$J:$J,ROW()-8)="",TODAY(),INDEX(Transactions!$G:$G,ROW()-8))</f>
      </c>
      <c r="F5754">
        <f>IF(INDEX(Transactions!$J:$J,ROW()-8)="",0,INDEX(Transactions!$O:$O,ROW()-8))</f>
      </c>
    </row>
    <row r="5755" spans="1:7">
      <c r="B5755">
        <f>IF(INDEX(Transactions!$J:$J,ROW()-8)="",TODAY(),INDEX(Transactions!$G:$G,ROW()-8))</f>
      </c>
      <c r="F5755">
        <f>IF(INDEX(Transactions!$J:$J,ROW()-8)="",0,INDEX(Transactions!$O:$O,ROW()-8))</f>
      </c>
    </row>
    <row r="5756" spans="1:7">
      <c r="B5756">
        <f>IF(INDEX(Transactions!$J:$J,ROW()-8)="",TODAY(),INDEX(Transactions!$G:$G,ROW()-8))</f>
      </c>
      <c r="F5756">
        <f>IF(INDEX(Transactions!$J:$J,ROW()-8)="",0,INDEX(Transactions!$O:$O,ROW()-8))</f>
      </c>
    </row>
    <row r="5757" spans="1:7">
      <c r="B5757">
        <f>IF(INDEX(Transactions!$J:$J,ROW()-8)="",TODAY(),INDEX(Transactions!$G:$G,ROW()-8))</f>
      </c>
      <c r="F5757">
        <f>IF(INDEX(Transactions!$J:$J,ROW()-8)="",0,INDEX(Transactions!$O:$O,ROW()-8))</f>
      </c>
    </row>
    <row r="5758" spans="1:7">
      <c r="B5758">
        <f>IF(INDEX(Transactions!$J:$J,ROW()-8)="",TODAY(),INDEX(Transactions!$G:$G,ROW()-8))</f>
      </c>
      <c r="F5758">
        <f>IF(INDEX(Transactions!$J:$J,ROW()-8)="",0,INDEX(Transactions!$O:$O,ROW()-8))</f>
      </c>
    </row>
    <row r="5759" spans="1:7">
      <c r="B5759">
        <f>IF(INDEX(Transactions!$J:$J,ROW()-8)="",TODAY(),INDEX(Transactions!$G:$G,ROW()-8))</f>
      </c>
      <c r="F5759">
        <f>IF(INDEX(Transactions!$J:$J,ROW()-8)="",0,INDEX(Transactions!$O:$O,ROW()-8))</f>
      </c>
    </row>
    <row r="5760" spans="1:7">
      <c r="B5760">
        <f>IF(INDEX(Transactions!$J:$J,ROW()-8)="",TODAY(),INDEX(Transactions!$G:$G,ROW()-8))</f>
      </c>
      <c r="F5760">
        <f>IF(INDEX(Transactions!$J:$J,ROW()-8)="",0,INDEX(Transactions!$O:$O,ROW()-8))</f>
      </c>
    </row>
    <row r="5761" spans="1:7">
      <c r="B5761">
        <f>IF(INDEX(Transactions!$J:$J,ROW()-8)="",TODAY(),INDEX(Transactions!$G:$G,ROW()-8))</f>
      </c>
      <c r="F5761">
        <f>IF(INDEX(Transactions!$J:$J,ROW()-8)="",0,INDEX(Transactions!$O:$O,ROW()-8))</f>
      </c>
    </row>
    <row r="5762" spans="1:7">
      <c r="B5762">
        <f>IF(INDEX(Transactions!$J:$J,ROW()-8)="",TODAY(),INDEX(Transactions!$G:$G,ROW()-8))</f>
      </c>
      <c r="F5762">
        <f>IF(INDEX(Transactions!$J:$J,ROW()-8)="",0,INDEX(Transactions!$O:$O,ROW()-8))</f>
      </c>
    </row>
    <row r="5763" spans="1:7">
      <c r="B5763">
        <f>IF(INDEX(Transactions!$J:$J,ROW()-8)="",TODAY(),INDEX(Transactions!$G:$G,ROW()-8))</f>
      </c>
      <c r="F5763">
        <f>IF(INDEX(Transactions!$J:$J,ROW()-8)="",0,INDEX(Transactions!$O:$O,ROW()-8))</f>
      </c>
    </row>
    <row r="5764" spans="1:7">
      <c r="B5764">
        <f>IF(INDEX(Transactions!$J:$J,ROW()-8)="",TODAY(),INDEX(Transactions!$G:$G,ROW()-8))</f>
      </c>
      <c r="F5764">
        <f>IF(INDEX(Transactions!$J:$J,ROW()-8)="",0,INDEX(Transactions!$O:$O,ROW()-8))</f>
      </c>
    </row>
    <row r="5765" spans="1:7">
      <c r="B5765">
        <f>IF(INDEX(Transactions!$J:$J,ROW()-8)="",TODAY(),INDEX(Transactions!$G:$G,ROW()-8))</f>
      </c>
      <c r="F5765">
        <f>IF(INDEX(Transactions!$J:$J,ROW()-8)="",0,INDEX(Transactions!$O:$O,ROW()-8))</f>
      </c>
    </row>
    <row r="5766" spans="1:7">
      <c r="B5766">
        <f>IF(INDEX(Transactions!$J:$J,ROW()-8)="",TODAY(),INDEX(Transactions!$G:$G,ROW()-8))</f>
      </c>
      <c r="F5766">
        <f>IF(INDEX(Transactions!$J:$J,ROW()-8)="",0,INDEX(Transactions!$O:$O,ROW()-8))</f>
      </c>
    </row>
    <row r="5767" spans="1:7">
      <c r="B5767">
        <f>IF(INDEX(Transactions!$J:$J,ROW()-8)="",TODAY(),INDEX(Transactions!$G:$G,ROW()-8))</f>
      </c>
      <c r="F5767">
        <f>IF(INDEX(Transactions!$J:$J,ROW()-8)="",0,INDEX(Transactions!$O:$O,ROW()-8))</f>
      </c>
    </row>
    <row r="5768" spans="1:7">
      <c r="B5768">
        <f>IF(INDEX(Transactions!$J:$J,ROW()-8)="",TODAY(),INDEX(Transactions!$G:$G,ROW()-8))</f>
      </c>
      <c r="F5768">
        <f>IF(INDEX(Transactions!$J:$J,ROW()-8)="",0,INDEX(Transactions!$O:$O,ROW()-8))</f>
      </c>
    </row>
    <row r="5769" spans="1:7">
      <c r="B5769">
        <f>IF(INDEX(Transactions!$J:$J,ROW()-8)="",TODAY(),INDEX(Transactions!$G:$G,ROW()-8))</f>
      </c>
      <c r="F5769">
        <f>IF(INDEX(Transactions!$J:$J,ROW()-8)="",0,INDEX(Transactions!$O:$O,ROW()-8))</f>
      </c>
    </row>
    <row r="5770" spans="1:7">
      <c r="B5770">
        <f>IF(INDEX(Transactions!$J:$J,ROW()-8)="",TODAY(),INDEX(Transactions!$G:$G,ROW()-8))</f>
      </c>
      <c r="F5770">
        <f>IF(INDEX(Transactions!$J:$J,ROW()-8)="",0,INDEX(Transactions!$O:$O,ROW()-8))</f>
      </c>
    </row>
    <row r="5771" spans="1:7">
      <c r="B5771">
        <f>IF(INDEX(Transactions!$J:$J,ROW()-8)="",TODAY(),INDEX(Transactions!$G:$G,ROW()-8))</f>
      </c>
      <c r="F5771">
        <f>IF(INDEX(Transactions!$J:$J,ROW()-8)="",0,INDEX(Transactions!$O:$O,ROW()-8))</f>
      </c>
    </row>
    <row r="5772" spans="1:7">
      <c r="B5772">
        <f>IF(INDEX(Transactions!$J:$J,ROW()-8)="",TODAY(),INDEX(Transactions!$G:$G,ROW()-8))</f>
      </c>
      <c r="F5772">
        <f>IF(INDEX(Transactions!$J:$J,ROW()-8)="",0,INDEX(Transactions!$O:$O,ROW()-8))</f>
      </c>
    </row>
    <row r="5773" spans="1:7">
      <c r="B5773">
        <f>IF(INDEX(Transactions!$J:$J,ROW()-8)="",TODAY(),INDEX(Transactions!$G:$G,ROW()-8))</f>
      </c>
      <c r="F5773">
        <f>IF(INDEX(Transactions!$J:$J,ROW()-8)="",0,INDEX(Transactions!$O:$O,ROW()-8))</f>
      </c>
    </row>
    <row r="5774" spans="1:7">
      <c r="B5774">
        <f>IF(INDEX(Transactions!$J:$J,ROW()-8)="",TODAY(),INDEX(Transactions!$G:$G,ROW()-8))</f>
      </c>
      <c r="F5774">
        <f>IF(INDEX(Transactions!$J:$J,ROW()-8)="",0,INDEX(Transactions!$O:$O,ROW()-8))</f>
      </c>
    </row>
    <row r="5775" spans="1:7">
      <c r="B5775">
        <f>IF(INDEX(Transactions!$J:$J,ROW()-8)="",TODAY(),INDEX(Transactions!$G:$G,ROW()-8))</f>
      </c>
      <c r="F5775">
        <f>IF(INDEX(Transactions!$J:$J,ROW()-8)="",0,INDEX(Transactions!$O:$O,ROW()-8))</f>
      </c>
    </row>
    <row r="5776" spans="1:7">
      <c r="B5776">
        <f>IF(INDEX(Transactions!$J:$J,ROW()-8)="",TODAY(),INDEX(Transactions!$G:$G,ROW()-8))</f>
      </c>
      <c r="F5776">
        <f>IF(INDEX(Transactions!$J:$J,ROW()-8)="",0,INDEX(Transactions!$O:$O,ROW()-8))</f>
      </c>
    </row>
    <row r="5777" spans="1:7">
      <c r="B5777">
        <f>IF(INDEX(Transactions!$J:$J,ROW()-8)="",TODAY(),INDEX(Transactions!$G:$G,ROW()-8))</f>
      </c>
      <c r="F5777">
        <f>IF(INDEX(Transactions!$J:$J,ROW()-8)="",0,INDEX(Transactions!$O:$O,ROW()-8))</f>
      </c>
    </row>
    <row r="5778" spans="1:7">
      <c r="B5778">
        <f>IF(INDEX(Transactions!$J:$J,ROW()-8)="",TODAY(),INDEX(Transactions!$G:$G,ROW()-8))</f>
      </c>
      <c r="F5778">
        <f>IF(INDEX(Transactions!$J:$J,ROW()-8)="",0,INDEX(Transactions!$O:$O,ROW()-8))</f>
      </c>
    </row>
    <row r="5779" spans="1:7">
      <c r="B5779">
        <f>IF(INDEX(Transactions!$J:$J,ROW()-8)="",TODAY(),INDEX(Transactions!$G:$G,ROW()-8))</f>
      </c>
      <c r="F5779">
        <f>IF(INDEX(Transactions!$J:$J,ROW()-8)="",0,INDEX(Transactions!$O:$O,ROW()-8))</f>
      </c>
    </row>
    <row r="5780" spans="1:7">
      <c r="B5780">
        <f>IF(INDEX(Transactions!$J:$J,ROW()-8)="",TODAY(),INDEX(Transactions!$G:$G,ROW()-8))</f>
      </c>
      <c r="F5780">
        <f>IF(INDEX(Transactions!$J:$J,ROW()-8)="",0,INDEX(Transactions!$O:$O,ROW()-8))</f>
      </c>
    </row>
    <row r="5781" spans="1:7">
      <c r="B5781">
        <f>IF(INDEX(Transactions!$J:$J,ROW()-8)="",TODAY(),INDEX(Transactions!$G:$G,ROW()-8))</f>
      </c>
      <c r="F5781">
        <f>IF(INDEX(Transactions!$J:$J,ROW()-8)="",0,INDEX(Transactions!$O:$O,ROW()-8))</f>
      </c>
    </row>
    <row r="5782" spans="1:7">
      <c r="B5782">
        <f>IF(INDEX(Transactions!$J:$J,ROW()-8)="",TODAY(),INDEX(Transactions!$G:$G,ROW()-8))</f>
      </c>
      <c r="F5782">
        <f>IF(INDEX(Transactions!$J:$J,ROW()-8)="",0,INDEX(Transactions!$O:$O,ROW()-8))</f>
      </c>
    </row>
    <row r="5783" spans="1:7">
      <c r="B5783">
        <f>IF(INDEX(Transactions!$J:$J,ROW()-8)="",TODAY(),INDEX(Transactions!$G:$G,ROW()-8))</f>
      </c>
      <c r="F5783">
        <f>IF(INDEX(Transactions!$J:$J,ROW()-8)="",0,INDEX(Transactions!$O:$O,ROW()-8))</f>
      </c>
    </row>
    <row r="5784" spans="1:7">
      <c r="B5784">
        <f>IF(INDEX(Transactions!$J:$J,ROW()-8)="",TODAY(),INDEX(Transactions!$G:$G,ROW()-8))</f>
      </c>
      <c r="F5784">
        <f>IF(INDEX(Transactions!$J:$J,ROW()-8)="",0,INDEX(Transactions!$O:$O,ROW()-8))</f>
      </c>
    </row>
    <row r="5785" spans="1:7">
      <c r="B5785">
        <f>IF(INDEX(Transactions!$J:$J,ROW()-8)="",TODAY(),INDEX(Transactions!$G:$G,ROW()-8))</f>
      </c>
      <c r="F5785">
        <f>IF(INDEX(Transactions!$J:$J,ROW()-8)="",0,INDEX(Transactions!$O:$O,ROW()-8))</f>
      </c>
    </row>
    <row r="5786" spans="1:7">
      <c r="B5786">
        <f>IF(INDEX(Transactions!$J:$J,ROW()-8)="",TODAY(),INDEX(Transactions!$G:$G,ROW()-8))</f>
      </c>
      <c r="F5786">
        <f>IF(INDEX(Transactions!$J:$J,ROW()-8)="",0,INDEX(Transactions!$O:$O,ROW()-8))</f>
      </c>
    </row>
    <row r="5787" spans="1:7">
      <c r="B5787">
        <f>IF(INDEX(Transactions!$J:$J,ROW()-8)="",TODAY(),INDEX(Transactions!$G:$G,ROW()-8))</f>
      </c>
      <c r="F5787">
        <f>IF(INDEX(Transactions!$J:$J,ROW()-8)="",0,INDEX(Transactions!$O:$O,ROW()-8))</f>
      </c>
    </row>
    <row r="5788" spans="1:7">
      <c r="B5788">
        <f>IF(INDEX(Transactions!$J:$J,ROW()-8)="",TODAY(),INDEX(Transactions!$G:$G,ROW()-8))</f>
      </c>
      <c r="F5788">
        <f>IF(INDEX(Transactions!$J:$J,ROW()-8)="",0,INDEX(Transactions!$O:$O,ROW()-8))</f>
      </c>
    </row>
    <row r="5789" spans="1:7">
      <c r="B5789">
        <f>IF(INDEX(Transactions!$J:$J,ROW()-8)="",TODAY(),INDEX(Transactions!$G:$G,ROW()-8))</f>
      </c>
      <c r="F5789">
        <f>IF(INDEX(Transactions!$J:$J,ROW()-8)="",0,INDEX(Transactions!$O:$O,ROW()-8))</f>
      </c>
    </row>
    <row r="5790" spans="1:7">
      <c r="B5790">
        <f>IF(INDEX(Transactions!$J:$J,ROW()-8)="",TODAY(),INDEX(Transactions!$G:$G,ROW()-8))</f>
      </c>
      <c r="F5790">
        <f>IF(INDEX(Transactions!$J:$J,ROW()-8)="",0,INDEX(Transactions!$O:$O,ROW()-8))</f>
      </c>
    </row>
    <row r="5791" spans="1:7">
      <c r="B5791">
        <f>IF(INDEX(Transactions!$J:$J,ROW()-8)="",TODAY(),INDEX(Transactions!$G:$G,ROW()-8))</f>
      </c>
      <c r="F5791">
        <f>IF(INDEX(Transactions!$J:$J,ROW()-8)="",0,INDEX(Transactions!$O:$O,ROW()-8))</f>
      </c>
    </row>
    <row r="5792" spans="1:7">
      <c r="B5792">
        <f>IF(INDEX(Transactions!$J:$J,ROW()-8)="",TODAY(),INDEX(Transactions!$G:$G,ROW()-8))</f>
      </c>
      <c r="F5792">
        <f>IF(INDEX(Transactions!$J:$J,ROW()-8)="",0,INDEX(Transactions!$O:$O,ROW()-8))</f>
      </c>
    </row>
    <row r="5793" spans="1:7">
      <c r="B5793">
        <f>IF(INDEX(Transactions!$J:$J,ROW()-8)="",TODAY(),INDEX(Transactions!$G:$G,ROW()-8))</f>
      </c>
      <c r="F5793">
        <f>IF(INDEX(Transactions!$J:$J,ROW()-8)="",0,INDEX(Transactions!$O:$O,ROW()-8))</f>
      </c>
    </row>
    <row r="5794" spans="1:7">
      <c r="B5794">
        <f>IF(INDEX(Transactions!$J:$J,ROW()-8)="",TODAY(),INDEX(Transactions!$G:$G,ROW()-8))</f>
      </c>
      <c r="F5794">
        <f>IF(INDEX(Transactions!$J:$J,ROW()-8)="",0,INDEX(Transactions!$O:$O,ROW()-8))</f>
      </c>
    </row>
    <row r="5795" spans="1:7">
      <c r="B5795">
        <f>IF(INDEX(Transactions!$J:$J,ROW()-8)="",TODAY(),INDEX(Transactions!$G:$G,ROW()-8))</f>
      </c>
      <c r="F5795">
        <f>IF(INDEX(Transactions!$J:$J,ROW()-8)="",0,INDEX(Transactions!$O:$O,ROW()-8))</f>
      </c>
    </row>
    <row r="5796" spans="1:7">
      <c r="B5796">
        <f>IF(INDEX(Transactions!$J:$J,ROW()-8)="",TODAY(),INDEX(Transactions!$G:$G,ROW()-8))</f>
      </c>
      <c r="F5796">
        <f>IF(INDEX(Transactions!$J:$J,ROW()-8)="",0,INDEX(Transactions!$O:$O,ROW()-8))</f>
      </c>
    </row>
    <row r="5797" spans="1:7">
      <c r="B5797">
        <f>IF(INDEX(Transactions!$J:$J,ROW()-8)="",TODAY(),INDEX(Transactions!$G:$G,ROW()-8))</f>
      </c>
      <c r="F5797">
        <f>IF(INDEX(Transactions!$J:$J,ROW()-8)="",0,INDEX(Transactions!$O:$O,ROW()-8))</f>
      </c>
    </row>
    <row r="5798" spans="1:7">
      <c r="B5798">
        <f>IF(INDEX(Transactions!$J:$J,ROW()-8)="",TODAY(),INDEX(Transactions!$G:$G,ROW()-8))</f>
      </c>
      <c r="F5798">
        <f>IF(INDEX(Transactions!$J:$J,ROW()-8)="",0,INDEX(Transactions!$O:$O,ROW()-8))</f>
      </c>
    </row>
    <row r="5799" spans="1:7">
      <c r="B5799">
        <f>IF(INDEX(Transactions!$J:$J,ROW()-8)="",TODAY(),INDEX(Transactions!$G:$G,ROW()-8))</f>
      </c>
      <c r="F5799">
        <f>IF(INDEX(Transactions!$J:$J,ROW()-8)="",0,INDEX(Transactions!$O:$O,ROW()-8))</f>
      </c>
    </row>
    <row r="5800" spans="1:7">
      <c r="B5800">
        <f>IF(INDEX(Transactions!$J:$J,ROW()-8)="",TODAY(),INDEX(Transactions!$G:$G,ROW()-8))</f>
      </c>
      <c r="F5800">
        <f>IF(INDEX(Transactions!$J:$J,ROW()-8)="",0,INDEX(Transactions!$O:$O,ROW()-8))</f>
      </c>
    </row>
    <row r="5801" spans="1:7">
      <c r="B5801">
        <f>IF(INDEX(Transactions!$J:$J,ROW()-8)="",TODAY(),INDEX(Transactions!$G:$G,ROW()-8))</f>
      </c>
      <c r="F5801">
        <f>IF(INDEX(Transactions!$J:$J,ROW()-8)="",0,INDEX(Transactions!$O:$O,ROW()-8))</f>
      </c>
    </row>
    <row r="5802" spans="1:7">
      <c r="B5802">
        <f>IF(INDEX(Transactions!$J:$J,ROW()-8)="",TODAY(),INDEX(Transactions!$G:$G,ROW()-8))</f>
      </c>
      <c r="F5802">
        <f>IF(INDEX(Transactions!$J:$J,ROW()-8)="",0,INDEX(Transactions!$O:$O,ROW()-8))</f>
      </c>
    </row>
    <row r="5803" spans="1:7">
      <c r="B5803">
        <f>IF(INDEX(Transactions!$J:$J,ROW()-8)="",TODAY(),INDEX(Transactions!$G:$G,ROW()-8))</f>
      </c>
      <c r="F5803">
        <f>IF(INDEX(Transactions!$J:$J,ROW()-8)="",0,INDEX(Transactions!$O:$O,ROW()-8))</f>
      </c>
    </row>
    <row r="5804" spans="1:7">
      <c r="B5804">
        <f>IF(INDEX(Transactions!$J:$J,ROW()-8)="",TODAY(),INDEX(Transactions!$G:$G,ROW()-8))</f>
      </c>
      <c r="F5804">
        <f>IF(INDEX(Transactions!$J:$J,ROW()-8)="",0,INDEX(Transactions!$O:$O,ROW()-8))</f>
      </c>
    </row>
    <row r="5805" spans="1:7">
      <c r="B5805">
        <f>IF(INDEX(Transactions!$J:$J,ROW()-8)="",TODAY(),INDEX(Transactions!$G:$G,ROW()-8))</f>
      </c>
      <c r="F5805">
        <f>IF(INDEX(Transactions!$J:$J,ROW()-8)="",0,INDEX(Transactions!$O:$O,ROW()-8))</f>
      </c>
    </row>
    <row r="5806" spans="1:7">
      <c r="B5806">
        <f>IF(INDEX(Transactions!$J:$J,ROW()-8)="",TODAY(),INDEX(Transactions!$G:$G,ROW()-8))</f>
      </c>
      <c r="F5806">
        <f>IF(INDEX(Transactions!$J:$J,ROW()-8)="",0,INDEX(Transactions!$O:$O,ROW()-8))</f>
      </c>
    </row>
    <row r="5807" spans="1:7">
      <c r="B5807">
        <f>IF(INDEX(Transactions!$J:$J,ROW()-8)="",TODAY(),INDEX(Transactions!$G:$G,ROW()-8))</f>
      </c>
      <c r="F5807">
        <f>IF(INDEX(Transactions!$J:$J,ROW()-8)="",0,INDEX(Transactions!$O:$O,ROW()-8))</f>
      </c>
    </row>
    <row r="5808" spans="1:7">
      <c r="B5808">
        <f>IF(INDEX(Transactions!$J:$J,ROW()-8)="",TODAY(),INDEX(Transactions!$G:$G,ROW()-8))</f>
      </c>
      <c r="F5808">
        <f>IF(INDEX(Transactions!$J:$J,ROW()-8)="",0,INDEX(Transactions!$O:$O,ROW()-8))</f>
      </c>
    </row>
    <row r="5809" spans="1:7">
      <c r="B5809">
        <f>IF(INDEX(Transactions!$J:$J,ROW()-8)="",TODAY(),INDEX(Transactions!$G:$G,ROW()-8))</f>
      </c>
      <c r="F5809">
        <f>IF(INDEX(Transactions!$J:$J,ROW()-8)="",0,INDEX(Transactions!$O:$O,ROW()-8))</f>
      </c>
    </row>
    <row r="5810" spans="1:7">
      <c r="B5810">
        <f>IF(INDEX(Transactions!$J:$J,ROW()-8)="",TODAY(),INDEX(Transactions!$G:$G,ROW()-8))</f>
      </c>
      <c r="F5810">
        <f>IF(INDEX(Transactions!$J:$J,ROW()-8)="",0,INDEX(Transactions!$O:$O,ROW()-8))</f>
      </c>
    </row>
    <row r="5811" spans="1:7">
      <c r="B5811">
        <f>IF(INDEX(Transactions!$J:$J,ROW()-8)="",TODAY(),INDEX(Transactions!$G:$G,ROW()-8))</f>
      </c>
      <c r="F5811">
        <f>IF(INDEX(Transactions!$J:$J,ROW()-8)="",0,INDEX(Transactions!$O:$O,ROW()-8))</f>
      </c>
    </row>
    <row r="5812" spans="1:7">
      <c r="B5812">
        <f>IF(INDEX(Transactions!$J:$J,ROW()-8)="",TODAY(),INDEX(Transactions!$G:$G,ROW()-8))</f>
      </c>
      <c r="F5812">
        <f>IF(INDEX(Transactions!$J:$J,ROW()-8)="",0,INDEX(Transactions!$O:$O,ROW()-8))</f>
      </c>
    </row>
    <row r="5813" spans="1:7">
      <c r="B5813">
        <f>IF(INDEX(Transactions!$J:$J,ROW()-8)="",TODAY(),INDEX(Transactions!$G:$G,ROW()-8))</f>
      </c>
      <c r="F5813">
        <f>IF(INDEX(Transactions!$J:$J,ROW()-8)="",0,INDEX(Transactions!$O:$O,ROW()-8))</f>
      </c>
    </row>
    <row r="5814" spans="1:7">
      <c r="B5814">
        <f>IF(INDEX(Transactions!$J:$J,ROW()-8)="",TODAY(),INDEX(Transactions!$G:$G,ROW()-8))</f>
      </c>
      <c r="F5814">
        <f>IF(INDEX(Transactions!$J:$J,ROW()-8)="",0,INDEX(Transactions!$O:$O,ROW()-8))</f>
      </c>
    </row>
    <row r="5815" spans="1:7">
      <c r="B5815">
        <f>IF(INDEX(Transactions!$J:$J,ROW()-8)="",TODAY(),INDEX(Transactions!$G:$G,ROW()-8))</f>
      </c>
      <c r="F5815">
        <f>IF(INDEX(Transactions!$J:$J,ROW()-8)="",0,INDEX(Transactions!$O:$O,ROW()-8))</f>
      </c>
    </row>
    <row r="5816" spans="1:7">
      <c r="B5816">
        <f>IF(INDEX(Transactions!$J:$J,ROW()-8)="",TODAY(),INDEX(Transactions!$G:$G,ROW()-8))</f>
      </c>
      <c r="F5816">
        <f>IF(INDEX(Transactions!$J:$J,ROW()-8)="",0,INDEX(Transactions!$O:$O,ROW()-8))</f>
      </c>
    </row>
    <row r="5817" spans="1:7">
      <c r="B5817">
        <f>IF(INDEX(Transactions!$J:$J,ROW()-8)="",TODAY(),INDEX(Transactions!$G:$G,ROW()-8))</f>
      </c>
      <c r="F5817">
        <f>IF(INDEX(Transactions!$J:$J,ROW()-8)="",0,INDEX(Transactions!$O:$O,ROW()-8))</f>
      </c>
    </row>
    <row r="5818" spans="1:7">
      <c r="B5818">
        <f>IF(INDEX(Transactions!$J:$J,ROW()-8)="",TODAY(),INDEX(Transactions!$G:$G,ROW()-8))</f>
      </c>
      <c r="F5818">
        <f>IF(INDEX(Transactions!$J:$J,ROW()-8)="",0,INDEX(Transactions!$O:$O,ROW()-8))</f>
      </c>
    </row>
    <row r="5819" spans="1:7">
      <c r="B5819">
        <f>IF(INDEX(Transactions!$J:$J,ROW()-8)="",TODAY(),INDEX(Transactions!$G:$G,ROW()-8))</f>
      </c>
      <c r="F5819">
        <f>IF(INDEX(Transactions!$J:$J,ROW()-8)="",0,INDEX(Transactions!$O:$O,ROW()-8))</f>
      </c>
    </row>
    <row r="5820" spans="1:7">
      <c r="B5820">
        <f>IF(INDEX(Transactions!$J:$J,ROW()-8)="",TODAY(),INDEX(Transactions!$G:$G,ROW()-8))</f>
      </c>
      <c r="F5820">
        <f>IF(INDEX(Transactions!$J:$J,ROW()-8)="",0,INDEX(Transactions!$O:$O,ROW()-8))</f>
      </c>
    </row>
    <row r="5821" spans="1:7">
      <c r="B5821">
        <f>IF(INDEX(Transactions!$J:$J,ROW()-8)="",TODAY(),INDEX(Transactions!$G:$G,ROW()-8))</f>
      </c>
      <c r="F5821">
        <f>IF(INDEX(Transactions!$J:$J,ROW()-8)="",0,INDEX(Transactions!$O:$O,ROW()-8))</f>
      </c>
    </row>
    <row r="5822" spans="1:7">
      <c r="B5822">
        <f>IF(INDEX(Transactions!$J:$J,ROW()-8)="",TODAY(),INDEX(Transactions!$G:$G,ROW()-8))</f>
      </c>
      <c r="F5822">
        <f>IF(INDEX(Transactions!$J:$J,ROW()-8)="",0,INDEX(Transactions!$O:$O,ROW()-8))</f>
      </c>
    </row>
    <row r="5823" spans="1:7">
      <c r="B5823">
        <f>IF(INDEX(Transactions!$J:$J,ROW()-8)="",TODAY(),INDEX(Transactions!$G:$G,ROW()-8))</f>
      </c>
      <c r="F5823">
        <f>IF(INDEX(Transactions!$J:$J,ROW()-8)="",0,INDEX(Transactions!$O:$O,ROW()-8))</f>
      </c>
    </row>
    <row r="5824" spans="1:7">
      <c r="B5824">
        <f>IF(INDEX(Transactions!$J:$J,ROW()-8)="",TODAY(),INDEX(Transactions!$G:$G,ROW()-8))</f>
      </c>
      <c r="F5824">
        <f>IF(INDEX(Transactions!$J:$J,ROW()-8)="",0,INDEX(Transactions!$O:$O,ROW()-8))</f>
      </c>
    </row>
    <row r="5825" spans="1:7">
      <c r="B5825">
        <f>IF(INDEX(Transactions!$J:$J,ROW()-8)="",TODAY(),INDEX(Transactions!$G:$G,ROW()-8))</f>
      </c>
      <c r="F5825">
        <f>IF(INDEX(Transactions!$J:$J,ROW()-8)="",0,INDEX(Transactions!$O:$O,ROW()-8))</f>
      </c>
    </row>
    <row r="5826" spans="1:7">
      <c r="B5826">
        <f>IF(INDEX(Transactions!$J:$J,ROW()-8)="",TODAY(),INDEX(Transactions!$G:$G,ROW()-8))</f>
      </c>
      <c r="F5826">
        <f>IF(INDEX(Transactions!$J:$J,ROW()-8)="",0,INDEX(Transactions!$O:$O,ROW()-8))</f>
      </c>
    </row>
    <row r="5827" spans="1:7">
      <c r="B5827">
        <f>IF(INDEX(Transactions!$J:$J,ROW()-8)="",TODAY(),INDEX(Transactions!$G:$G,ROW()-8))</f>
      </c>
      <c r="F5827">
        <f>IF(INDEX(Transactions!$J:$J,ROW()-8)="",0,INDEX(Transactions!$O:$O,ROW()-8))</f>
      </c>
    </row>
    <row r="5828" spans="1:7">
      <c r="B5828">
        <f>IF(INDEX(Transactions!$J:$J,ROW()-8)="",TODAY(),INDEX(Transactions!$G:$G,ROW()-8))</f>
      </c>
      <c r="F5828">
        <f>IF(INDEX(Transactions!$J:$J,ROW()-8)="",0,INDEX(Transactions!$O:$O,ROW()-8))</f>
      </c>
    </row>
    <row r="5829" spans="1:7">
      <c r="B5829">
        <f>IF(INDEX(Transactions!$J:$J,ROW()-8)="",TODAY(),INDEX(Transactions!$G:$G,ROW()-8))</f>
      </c>
      <c r="F5829">
        <f>IF(INDEX(Transactions!$J:$J,ROW()-8)="",0,INDEX(Transactions!$O:$O,ROW()-8))</f>
      </c>
    </row>
    <row r="5830" spans="1:7">
      <c r="B5830">
        <f>IF(INDEX(Transactions!$J:$J,ROW()-8)="",TODAY(),INDEX(Transactions!$G:$G,ROW()-8))</f>
      </c>
      <c r="F5830">
        <f>IF(INDEX(Transactions!$J:$J,ROW()-8)="",0,INDEX(Transactions!$O:$O,ROW()-8))</f>
      </c>
    </row>
    <row r="5831" spans="1:7">
      <c r="B5831">
        <f>IF(INDEX(Transactions!$J:$J,ROW()-8)="",TODAY(),INDEX(Transactions!$G:$G,ROW()-8))</f>
      </c>
      <c r="F5831">
        <f>IF(INDEX(Transactions!$J:$J,ROW()-8)="",0,INDEX(Transactions!$O:$O,ROW()-8))</f>
      </c>
    </row>
    <row r="5832" spans="1:7">
      <c r="B5832">
        <f>IF(INDEX(Transactions!$J:$J,ROW()-8)="",TODAY(),INDEX(Transactions!$G:$G,ROW()-8))</f>
      </c>
      <c r="F5832">
        <f>IF(INDEX(Transactions!$J:$J,ROW()-8)="",0,INDEX(Transactions!$O:$O,ROW()-8))</f>
      </c>
    </row>
    <row r="5833" spans="1:7">
      <c r="B5833">
        <f>IF(INDEX(Transactions!$J:$J,ROW()-8)="",TODAY(),INDEX(Transactions!$G:$G,ROW()-8))</f>
      </c>
      <c r="F5833">
        <f>IF(INDEX(Transactions!$J:$J,ROW()-8)="",0,INDEX(Transactions!$O:$O,ROW()-8))</f>
      </c>
    </row>
    <row r="5834" spans="1:7">
      <c r="B5834">
        <f>IF(INDEX(Transactions!$J:$J,ROW()-8)="",TODAY(),INDEX(Transactions!$G:$G,ROW()-8))</f>
      </c>
      <c r="F5834">
        <f>IF(INDEX(Transactions!$J:$J,ROW()-8)="",0,INDEX(Transactions!$O:$O,ROW()-8))</f>
      </c>
    </row>
    <row r="5835" spans="1:7">
      <c r="B5835">
        <f>IF(INDEX(Transactions!$J:$J,ROW()-8)="",TODAY(),INDEX(Transactions!$G:$G,ROW()-8))</f>
      </c>
      <c r="F5835">
        <f>IF(INDEX(Transactions!$J:$J,ROW()-8)="",0,INDEX(Transactions!$O:$O,ROW()-8))</f>
      </c>
    </row>
    <row r="5836" spans="1:7">
      <c r="B5836">
        <f>IF(INDEX(Transactions!$J:$J,ROW()-8)="",TODAY(),INDEX(Transactions!$G:$G,ROW()-8))</f>
      </c>
      <c r="F5836">
        <f>IF(INDEX(Transactions!$J:$J,ROW()-8)="",0,INDEX(Transactions!$O:$O,ROW()-8))</f>
      </c>
    </row>
    <row r="5837" spans="1:7">
      <c r="B5837">
        <f>IF(INDEX(Transactions!$J:$J,ROW()-8)="",TODAY(),INDEX(Transactions!$G:$G,ROW()-8))</f>
      </c>
      <c r="F5837">
        <f>IF(INDEX(Transactions!$J:$J,ROW()-8)="",0,INDEX(Transactions!$O:$O,ROW()-8))</f>
      </c>
    </row>
    <row r="5838" spans="1:7">
      <c r="B5838">
        <f>IF(INDEX(Transactions!$J:$J,ROW()-8)="",TODAY(),INDEX(Transactions!$G:$G,ROW()-8))</f>
      </c>
      <c r="F5838">
        <f>IF(INDEX(Transactions!$J:$J,ROW()-8)="",0,INDEX(Transactions!$O:$O,ROW()-8))</f>
      </c>
    </row>
    <row r="5839" spans="1:7">
      <c r="B5839">
        <f>IF(INDEX(Transactions!$J:$J,ROW()-8)="",TODAY(),INDEX(Transactions!$G:$G,ROW()-8))</f>
      </c>
      <c r="F5839">
        <f>IF(INDEX(Transactions!$J:$J,ROW()-8)="",0,INDEX(Transactions!$O:$O,ROW()-8))</f>
      </c>
    </row>
    <row r="5840" spans="1:7">
      <c r="B5840">
        <f>IF(INDEX(Transactions!$J:$J,ROW()-8)="",TODAY(),INDEX(Transactions!$G:$G,ROW()-8))</f>
      </c>
      <c r="F5840">
        <f>IF(INDEX(Transactions!$J:$J,ROW()-8)="",0,INDEX(Transactions!$O:$O,ROW()-8))</f>
      </c>
    </row>
    <row r="5841" spans="1:7">
      <c r="B5841">
        <f>IF(INDEX(Transactions!$J:$J,ROW()-8)="",TODAY(),INDEX(Transactions!$G:$G,ROW()-8))</f>
      </c>
      <c r="F5841">
        <f>IF(INDEX(Transactions!$J:$J,ROW()-8)="",0,INDEX(Transactions!$O:$O,ROW()-8))</f>
      </c>
    </row>
    <row r="5842" spans="1:7">
      <c r="B5842">
        <f>IF(INDEX(Transactions!$J:$J,ROW()-8)="",TODAY(),INDEX(Transactions!$G:$G,ROW()-8))</f>
      </c>
      <c r="F5842">
        <f>IF(INDEX(Transactions!$J:$J,ROW()-8)="",0,INDEX(Transactions!$O:$O,ROW()-8))</f>
      </c>
    </row>
    <row r="5843" spans="1:7">
      <c r="B5843">
        <f>IF(INDEX(Transactions!$J:$J,ROW()-8)="",TODAY(),INDEX(Transactions!$G:$G,ROW()-8))</f>
      </c>
      <c r="F5843">
        <f>IF(INDEX(Transactions!$J:$J,ROW()-8)="",0,INDEX(Transactions!$O:$O,ROW()-8))</f>
      </c>
    </row>
    <row r="5844" spans="1:7">
      <c r="B5844">
        <f>IF(INDEX(Transactions!$J:$J,ROW()-8)="",TODAY(),INDEX(Transactions!$G:$G,ROW()-8))</f>
      </c>
      <c r="F5844">
        <f>IF(INDEX(Transactions!$J:$J,ROW()-8)="",0,INDEX(Transactions!$O:$O,ROW()-8))</f>
      </c>
    </row>
    <row r="5845" spans="1:7">
      <c r="B5845">
        <f>IF(INDEX(Transactions!$J:$J,ROW()-8)="",TODAY(),INDEX(Transactions!$G:$G,ROW()-8))</f>
      </c>
      <c r="F5845">
        <f>IF(INDEX(Transactions!$J:$J,ROW()-8)="",0,INDEX(Transactions!$O:$O,ROW()-8))</f>
      </c>
    </row>
    <row r="5846" spans="1:7">
      <c r="B5846">
        <f>IF(INDEX(Transactions!$J:$J,ROW()-8)="",TODAY(),INDEX(Transactions!$G:$G,ROW()-8))</f>
      </c>
      <c r="F5846">
        <f>IF(INDEX(Transactions!$J:$J,ROW()-8)="",0,INDEX(Transactions!$O:$O,ROW()-8))</f>
      </c>
    </row>
    <row r="5847" spans="1:7">
      <c r="B5847">
        <f>IF(INDEX(Transactions!$J:$J,ROW()-8)="",TODAY(),INDEX(Transactions!$G:$G,ROW()-8))</f>
      </c>
      <c r="F5847">
        <f>IF(INDEX(Transactions!$J:$J,ROW()-8)="",0,INDEX(Transactions!$O:$O,ROW()-8))</f>
      </c>
    </row>
    <row r="5848" spans="1:7">
      <c r="B5848">
        <f>IF(INDEX(Transactions!$J:$J,ROW()-8)="",TODAY(),INDEX(Transactions!$G:$G,ROW()-8))</f>
      </c>
      <c r="F5848">
        <f>IF(INDEX(Transactions!$J:$J,ROW()-8)="",0,INDEX(Transactions!$O:$O,ROW()-8))</f>
      </c>
    </row>
    <row r="5849" spans="1:7">
      <c r="B5849">
        <f>IF(INDEX(Transactions!$J:$J,ROW()-8)="",TODAY(),INDEX(Transactions!$G:$G,ROW()-8))</f>
      </c>
      <c r="F5849">
        <f>IF(INDEX(Transactions!$J:$J,ROW()-8)="",0,INDEX(Transactions!$O:$O,ROW()-8))</f>
      </c>
    </row>
    <row r="5850" spans="1:7">
      <c r="B5850">
        <f>IF(INDEX(Transactions!$J:$J,ROW()-8)="",TODAY(),INDEX(Transactions!$G:$G,ROW()-8))</f>
      </c>
      <c r="F5850">
        <f>IF(INDEX(Transactions!$J:$J,ROW()-8)="",0,INDEX(Transactions!$O:$O,ROW()-8))</f>
      </c>
    </row>
    <row r="5851" spans="1:7">
      <c r="B5851">
        <f>IF(INDEX(Transactions!$J:$J,ROW()-8)="",TODAY(),INDEX(Transactions!$G:$G,ROW()-8))</f>
      </c>
      <c r="F5851">
        <f>IF(INDEX(Transactions!$J:$J,ROW()-8)="",0,INDEX(Transactions!$O:$O,ROW()-8))</f>
      </c>
    </row>
    <row r="5852" spans="1:7">
      <c r="B5852">
        <f>IF(INDEX(Transactions!$J:$J,ROW()-8)="",TODAY(),INDEX(Transactions!$G:$G,ROW()-8))</f>
      </c>
      <c r="F5852">
        <f>IF(INDEX(Transactions!$J:$J,ROW()-8)="",0,INDEX(Transactions!$O:$O,ROW()-8))</f>
      </c>
    </row>
    <row r="5853" spans="1:7">
      <c r="B5853">
        <f>IF(INDEX(Transactions!$J:$J,ROW()-8)="",TODAY(),INDEX(Transactions!$G:$G,ROW()-8))</f>
      </c>
      <c r="F5853">
        <f>IF(INDEX(Transactions!$J:$J,ROW()-8)="",0,INDEX(Transactions!$O:$O,ROW()-8))</f>
      </c>
    </row>
    <row r="5854" spans="1:7">
      <c r="B5854">
        <f>IF(INDEX(Transactions!$J:$J,ROW()-8)="",TODAY(),INDEX(Transactions!$G:$G,ROW()-8))</f>
      </c>
      <c r="F5854">
        <f>IF(INDEX(Transactions!$J:$J,ROW()-8)="",0,INDEX(Transactions!$O:$O,ROW()-8))</f>
      </c>
    </row>
    <row r="5855" spans="1:7">
      <c r="B5855">
        <f>IF(INDEX(Transactions!$J:$J,ROW()-8)="",TODAY(),INDEX(Transactions!$G:$G,ROW()-8))</f>
      </c>
      <c r="F5855">
        <f>IF(INDEX(Transactions!$J:$J,ROW()-8)="",0,INDEX(Transactions!$O:$O,ROW()-8))</f>
      </c>
    </row>
    <row r="5856" spans="1:7">
      <c r="B5856">
        <f>IF(INDEX(Transactions!$J:$J,ROW()-8)="",TODAY(),INDEX(Transactions!$G:$G,ROW()-8))</f>
      </c>
      <c r="F5856">
        <f>IF(INDEX(Transactions!$J:$J,ROW()-8)="",0,INDEX(Transactions!$O:$O,ROW()-8))</f>
      </c>
    </row>
    <row r="5857" spans="1:7">
      <c r="B5857">
        <f>IF(INDEX(Transactions!$J:$J,ROW()-8)="",TODAY(),INDEX(Transactions!$G:$G,ROW()-8))</f>
      </c>
      <c r="F5857">
        <f>IF(INDEX(Transactions!$J:$J,ROW()-8)="",0,INDEX(Transactions!$O:$O,ROW()-8))</f>
      </c>
    </row>
    <row r="5858" spans="1:7">
      <c r="B5858">
        <f>IF(INDEX(Transactions!$J:$J,ROW()-8)="",TODAY(),INDEX(Transactions!$G:$G,ROW()-8))</f>
      </c>
      <c r="F5858">
        <f>IF(INDEX(Transactions!$J:$J,ROW()-8)="",0,INDEX(Transactions!$O:$O,ROW()-8))</f>
      </c>
    </row>
    <row r="5859" spans="1:7">
      <c r="B5859">
        <f>IF(INDEX(Transactions!$J:$J,ROW()-8)="",TODAY(),INDEX(Transactions!$G:$G,ROW()-8))</f>
      </c>
      <c r="F5859">
        <f>IF(INDEX(Transactions!$J:$J,ROW()-8)="",0,INDEX(Transactions!$O:$O,ROW()-8))</f>
      </c>
    </row>
    <row r="5860" spans="1:7">
      <c r="B5860">
        <f>IF(INDEX(Transactions!$J:$J,ROW()-8)="",TODAY(),INDEX(Transactions!$G:$G,ROW()-8))</f>
      </c>
      <c r="F5860">
        <f>IF(INDEX(Transactions!$J:$J,ROW()-8)="",0,INDEX(Transactions!$O:$O,ROW()-8))</f>
      </c>
    </row>
    <row r="5861" spans="1:7">
      <c r="B5861">
        <f>IF(INDEX(Transactions!$J:$J,ROW()-8)="",TODAY(),INDEX(Transactions!$G:$G,ROW()-8))</f>
      </c>
      <c r="F5861">
        <f>IF(INDEX(Transactions!$J:$J,ROW()-8)="",0,INDEX(Transactions!$O:$O,ROW()-8))</f>
      </c>
    </row>
    <row r="5862" spans="1:7">
      <c r="B5862">
        <f>IF(INDEX(Transactions!$J:$J,ROW()-8)="",TODAY(),INDEX(Transactions!$G:$G,ROW()-8))</f>
      </c>
      <c r="F5862">
        <f>IF(INDEX(Transactions!$J:$J,ROW()-8)="",0,INDEX(Transactions!$O:$O,ROW()-8))</f>
      </c>
    </row>
    <row r="5863" spans="1:7">
      <c r="B5863">
        <f>IF(INDEX(Transactions!$J:$J,ROW()-8)="",TODAY(),INDEX(Transactions!$G:$G,ROW()-8))</f>
      </c>
      <c r="F5863">
        <f>IF(INDEX(Transactions!$J:$J,ROW()-8)="",0,INDEX(Transactions!$O:$O,ROW()-8))</f>
      </c>
    </row>
    <row r="5864" spans="1:7">
      <c r="B5864">
        <f>IF(INDEX(Transactions!$J:$J,ROW()-8)="",TODAY(),INDEX(Transactions!$G:$G,ROW()-8))</f>
      </c>
      <c r="F5864">
        <f>IF(INDEX(Transactions!$J:$J,ROW()-8)="",0,INDEX(Transactions!$O:$O,ROW()-8))</f>
      </c>
    </row>
    <row r="5865" spans="1:7">
      <c r="B5865">
        <f>IF(INDEX(Transactions!$J:$J,ROW()-8)="",TODAY(),INDEX(Transactions!$G:$G,ROW()-8))</f>
      </c>
      <c r="F5865">
        <f>IF(INDEX(Transactions!$J:$J,ROW()-8)="",0,INDEX(Transactions!$O:$O,ROW()-8))</f>
      </c>
    </row>
    <row r="5866" spans="1:7">
      <c r="B5866">
        <f>IF(INDEX(Transactions!$J:$J,ROW()-8)="",TODAY(),INDEX(Transactions!$G:$G,ROW()-8))</f>
      </c>
      <c r="F5866">
        <f>IF(INDEX(Transactions!$J:$J,ROW()-8)="",0,INDEX(Transactions!$O:$O,ROW()-8))</f>
      </c>
    </row>
    <row r="5867" spans="1:7">
      <c r="B5867">
        <f>IF(INDEX(Transactions!$J:$J,ROW()-8)="",TODAY(),INDEX(Transactions!$G:$G,ROW()-8))</f>
      </c>
      <c r="F5867">
        <f>IF(INDEX(Transactions!$J:$J,ROW()-8)="",0,INDEX(Transactions!$O:$O,ROW()-8))</f>
      </c>
    </row>
    <row r="5868" spans="1:7">
      <c r="B5868">
        <f>IF(INDEX(Transactions!$J:$J,ROW()-8)="",TODAY(),INDEX(Transactions!$G:$G,ROW()-8))</f>
      </c>
      <c r="F5868">
        <f>IF(INDEX(Transactions!$J:$J,ROW()-8)="",0,INDEX(Transactions!$O:$O,ROW()-8))</f>
      </c>
    </row>
    <row r="5869" spans="1:7">
      <c r="B5869">
        <f>IF(INDEX(Transactions!$J:$J,ROW()-8)="",TODAY(),INDEX(Transactions!$G:$G,ROW()-8))</f>
      </c>
      <c r="F5869">
        <f>IF(INDEX(Transactions!$J:$J,ROW()-8)="",0,INDEX(Transactions!$O:$O,ROW()-8))</f>
      </c>
    </row>
    <row r="5870" spans="1:7">
      <c r="B5870">
        <f>IF(INDEX(Transactions!$J:$J,ROW()-8)="",TODAY(),INDEX(Transactions!$G:$G,ROW()-8))</f>
      </c>
      <c r="F5870">
        <f>IF(INDEX(Transactions!$J:$J,ROW()-8)="",0,INDEX(Transactions!$O:$O,ROW()-8))</f>
      </c>
    </row>
    <row r="5871" spans="1:7">
      <c r="B5871">
        <f>IF(INDEX(Transactions!$J:$J,ROW()-8)="",TODAY(),INDEX(Transactions!$G:$G,ROW()-8))</f>
      </c>
      <c r="F5871">
        <f>IF(INDEX(Transactions!$J:$J,ROW()-8)="",0,INDEX(Transactions!$O:$O,ROW()-8))</f>
      </c>
    </row>
    <row r="5872" spans="1:7">
      <c r="B5872">
        <f>IF(INDEX(Transactions!$J:$J,ROW()-8)="",TODAY(),INDEX(Transactions!$G:$G,ROW()-8))</f>
      </c>
      <c r="F5872">
        <f>IF(INDEX(Transactions!$J:$J,ROW()-8)="",0,INDEX(Transactions!$O:$O,ROW()-8))</f>
      </c>
    </row>
    <row r="5873" spans="1:7">
      <c r="B5873">
        <f>IF(INDEX(Transactions!$J:$J,ROW()-8)="",TODAY(),INDEX(Transactions!$G:$G,ROW()-8))</f>
      </c>
      <c r="F5873">
        <f>IF(INDEX(Transactions!$J:$J,ROW()-8)="",0,INDEX(Transactions!$O:$O,ROW()-8))</f>
      </c>
    </row>
    <row r="5874" spans="1:7">
      <c r="B5874">
        <f>IF(INDEX(Transactions!$J:$J,ROW()-8)="",TODAY(),INDEX(Transactions!$G:$G,ROW()-8))</f>
      </c>
      <c r="F5874">
        <f>IF(INDEX(Transactions!$J:$J,ROW()-8)="",0,INDEX(Transactions!$O:$O,ROW()-8))</f>
      </c>
    </row>
    <row r="5875" spans="1:7">
      <c r="B5875">
        <f>IF(INDEX(Transactions!$J:$J,ROW()-8)="",TODAY(),INDEX(Transactions!$G:$G,ROW()-8))</f>
      </c>
      <c r="F5875">
        <f>IF(INDEX(Transactions!$J:$J,ROW()-8)="",0,INDEX(Transactions!$O:$O,ROW()-8))</f>
      </c>
    </row>
    <row r="5876" spans="1:7">
      <c r="B5876">
        <f>IF(INDEX(Transactions!$J:$J,ROW()-8)="",TODAY(),INDEX(Transactions!$G:$G,ROW()-8))</f>
      </c>
      <c r="F5876">
        <f>IF(INDEX(Transactions!$J:$J,ROW()-8)="",0,INDEX(Transactions!$O:$O,ROW()-8))</f>
      </c>
    </row>
    <row r="5877" spans="1:7">
      <c r="B5877">
        <f>IF(INDEX(Transactions!$J:$J,ROW()-8)="",TODAY(),INDEX(Transactions!$G:$G,ROW()-8))</f>
      </c>
      <c r="F5877">
        <f>IF(INDEX(Transactions!$J:$J,ROW()-8)="",0,INDEX(Transactions!$O:$O,ROW()-8))</f>
      </c>
    </row>
    <row r="5878" spans="1:7">
      <c r="B5878">
        <f>IF(INDEX(Transactions!$J:$J,ROW()-8)="",TODAY(),INDEX(Transactions!$G:$G,ROW()-8))</f>
      </c>
      <c r="F5878">
        <f>IF(INDEX(Transactions!$J:$J,ROW()-8)="",0,INDEX(Transactions!$O:$O,ROW()-8))</f>
      </c>
    </row>
    <row r="5879" spans="1:7">
      <c r="B5879">
        <f>IF(INDEX(Transactions!$J:$J,ROW()-8)="",TODAY(),INDEX(Transactions!$G:$G,ROW()-8))</f>
      </c>
      <c r="F5879">
        <f>IF(INDEX(Transactions!$J:$J,ROW()-8)="",0,INDEX(Transactions!$O:$O,ROW()-8))</f>
      </c>
    </row>
    <row r="5880" spans="1:7">
      <c r="B5880">
        <f>IF(INDEX(Transactions!$J:$J,ROW()-8)="",TODAY(),INDEX(Transactions!$G:$G,ROW()-8))</f>
      </c>
      <c r="F5880">
        <f>IF(INDEX(Transactions!$J:$J,ROW()-8)="",0,INDEX(Transactions!$O:$O,ROW()-8))</f>
      </c>
    </row>
    <row r="5881" spans="1:7">
      <c r="B5881">
        <f>IF(INDEX(Transactions!$J:$J,ROW()-8)="",TODAY(),INDEX(Transactions!$G:$G,ROW()-8))</f>
      </c>
      <c r="F5881">
        <f>IF(INDEX(Transactions!$J:$J,ROW()-8)="",0,INDEX(Transactions!$O:$O,ROW()-8))</f>
      </c>
    </row>
    <row r="5882" spans="1:7">
      <c r="B5882">
        <f>IF(INDEX(Transactions!$J:$J,ROW()-8)="",TODAY(),INDEX(Transactions!$G:$G,ROW()-8))</f>
      </c>
      <c r="F5882">
        <f>IF(INDEX(Transactions!$J:$J,ROW()-8)="",0,INDEX(Transactions!$O:$O,ROW()-8))</f>
      </c>
    </row>
    <row r="5883" spans="1:7">
      <c r="B5883">
        <f>IF(INDEX(Transactions!$J:$J,ROW()-8)="",TODAY(),INDEX(Transactions!$G:$G,ROW()-8))</f>
      </c>
      <c r="F5883">
        <f>IF(INDEX(Transactions!$J:$J,ROW()-8)="",0,INDEX(Transactions!$O:$O,ROW()-8))</f>
      </c>
    </row>
    <row r="5884" spans="1:7">
      <c r="B5884">
        <f>IF(INDEX(Transactions!$J:$J,ROW()-8)="",TODAY(),INDEX(Transactions!$G:$G,ROW()-8))</f>
      </c>
      <c r="F5884">
        <f>IF(INDEX(Transactions!$J:$J,ROW()-8)="",0,INDEX(Transactions!$O:$O,ROW()-8))</f>
      </c>
    </row>
    <row r="5885" spans="1:7">
      <c r="B5885">
        <f>IF(INDEX(Transactions!$J:$J,ROW()-8)="",TODAY(),INDEX(Transactions!$G:$G,ROW()-8))</f>
      </c>
      <c r="F5885">
        <f>IF(INDEX(Transactions!$J:$J,ROW()-8)="",0,INDEX(Transactions!$O:$O,ROW()-8))</f>
      </c>
    </row>
    <row r="5886" spans="1:7">
      <c r="B5886">
        <f>IF(INDEX(Transactions!$J:$J,ROW()-8)="",TODAY(),INDEX(Transactions!$G:$G,ROW()-8))</f>
      </c>
      <c r="F5886">
        <f>IF(INDEX(Transactions!$J:$J,ROW()-8)="",0,INDEX(Transactions!$O:$O,ROW()-8))</f>
      </c>
    </row>
    <row r="5887" spans="1:7">
      <c r="B5887">
        <f>IF(INDEX(Transactions!$J:$J,ROW()-8)="",TODAY(),INDEX(Transactions!$G:$G,ROW()-8))</f>
      </c>
      <c r="F5887">
        <f>IF(INDEX(Transactions!$J:$J,ROW()-8)="",0,INDEX(Transactions!$O:$O,ROW()-8))</f>
      </c>
    </row>
    <row r="5888" spans="1:7">
      <c r="B5888">
        <f>IF(INDEX(Transactions!$J:$J,ROW()-8)="",TODAY(),INDEX(Transactions!$G:$G,ROW()-8))</f>
      </c>
      <c r="F5888">
        <f>IF(INDEX(Transactions!$J:$J,ROW()-8)="",0,INDEX(Transactions!$O:$O,ROW()-8))</f>
      </c>
    </row>
    <row r="5889" spans="1:7">
      <c r="B5889">
        <f>IF(INDEX(Transactions!$J:$J,ROW()-8)="",TODAY(),INDEX(Transactions!$G:$G,ROW()-8))</f>
      </c>
      <c r="F5889">
        <f>IF(INDEX(Transactions!$J:$J,ROW()-8)="",0,INDEX(Transactions!$O:$O,ROW()-8))</f>
      </c>
    </row>
    <row r="5890" spans="1:7">
      <c r="B5890">
        <f>IF(INDEX(Transactions!$J:$J,ROW()-8)="",TODAY(),INDEX(Transactions!$G:$G,ROW()-8))</f>
      </c>
      <c r="F5890">
        <f>IF(INDEX(Transactions!$J:$J,ROW()-8)="",0,INDEX(Transactions!$O:$O,ROW()-8))</f>
      </c>
    </row>
    <row r="5891" spans="1:7">
      <c r="B5891">
        <f>IF(INDEX(Transactions!$J:$J,ROW()-8)="",TODAY(),INDEX(Transactions!$G:$G,ROW()-8))</f>
      </c>
      <c r="F5891">
        <f>IF(INDEX(Transactions!$J:$J,ROW()-8)="",0,INDEX(Transactions!$O:$O,ROW()-8))</f>
      </c>
    </row>
    <row r="5892" spans="1:7">
      <c r="B5892">
        <f>IF(INDEX(Transactions!$J:$J,ROW()-8)="",TODAY(),INDEX(Transactions!$G:$G,ROW()-8))</f>
      </c>
      <c r="F5892">
        <f>IF(INDEX(Transactions!$J:$J,ROW()-8)="",0,INDEX(Transactions!$O:$O,ROW()-8))</f>
      </c>
    </row>
    <row r="5893" spans="1:7">
      <c r="B5893">
        <f>IF(INDEX(Transactions!$J:$J,ROW()-8)="",TODAY(),INDEX(Transactions!$G:$G,ROW()-8))</f>
      </c>
      <c r="F5893">
        <f>IF(INDEX(Transactions!$J:$J,ROW()-8)="",0,INDEX(Transactions!$O:$O,ROW()-8))</f>
      </c>
    </row>
    <row r="5894" spans="1:7">
      <c r="B5894">
        <f>IF(INDEX(Transactions!$J:$J,ROW()-8)="",TODAY(),INDEX(Transactions!$G:$G,ROW()-8))</f>
      </c>
      <c r="F5894">
        <f>IF(INDEX(Transactions!$J:$J,ROW()-8)="",0,INDEX(Transactions!$O:$O,ROW()-8))</f>
      </c>
    </row>
    <row r="5895" spans="1:7">
      <c r="B5895">
        <f>IF(INDEX(Transactions!$J:$J,ROW()-8)="",TODAY(),INDEX(Transactions!$G:$G,ROW()-8))</f>
      </c>
      <c r="F5895">
        <f>IF(INDEX(Transactions!$J:$J,ROW()-8)="",0,INDEX(Transactions!$O:$O,ROW()-8))</f>
      </c>
    </row>
    <row r="5896" spans="1:7">
      <c r="B5896">
        <f>IF(INDEX(Transactions!$J:$J,ROW()-8)="",TODAY(),INDEX(Transactions!$G:$G,ROW()-8))</f>
      </c>
      <c r="F5896">
        <f>IF(INDEX(Transactions!$J:$J,ROW()-8)="",0,INDEX(Transactions!$O:$O,ROW()-8))</f>
      </c>
    </row>
    <row r="5897" spans="1:7">
      <c r="B5897">
        <f>IF(INDEX(Transactions!$J:$J,ROW()-8)="",TODAY(),INDEX(Transactions!$G:$G,ROW()-8))</f>
      </c>
      <c r="F5897">
        <f>IF(INDEX(Transactions!$J:$J,ROW()-8)="",0,INDEX(Transactions!$O:$O,ROW()-8))</f>
      </c>
    </row>
    <row r="5898" spans="1:7">
      <c r="B5898">
        <f>IF(INDEX(Transactions!$J:$J,ROW()-8)="",TODAY(),INDEX(Transactions!$G:$G,ROW()-8))</f>
      </c>
      <c r="F5898">
        <f>IF(INDEX(Transactions!$J:$J,ROW()-8)="",0,INDEX(Transactions!$O:$O,ROW()-8))</f>
      </c>
    </row>
    <row r="5899" spans="1:7">
      <c r="B5899">
        <f>IF(INDEX(Transactions!$J:$J,ROW()-8)="",TODAY(),INDEX(Transactions!$G:$G,ROW()-8))</f>
      </c>
      <c r="F5899">
        <f>IF(INDEX(Transactions!$J:$J,ROW()-8)="",0,INDEX(Transactions!$O:$O,ROW()-8))</f>
      </c>
    </row>
    <row r="5900" spans="1:7">
      <c r="B5900">
        <f>IF(INDEX(Transactions!$J:$J,ROW()-8)="",TODAY(),INDEX(Transactions!$G:$G,ROW()-8))</f>
      </c>
      <c r="F5900">
        <f>IF(INDEX(Transactions!$J:$J,ROW()-8)="",0,INDEX(Transactions!$O:$O,ROW()-8))</f>
      </c>
    </row>
    <row r="5901" spans="1:7">
      <c r="B5901">
        <f>IF(INDEX(Transactions!$J:$J,ROW()-8)="",TODAY(),INDEX(Transactions!$G:$G,ROW()-8))</f>
      </c>
      <c r="F5901">
        <f>IF(INDEX(Transactions!$J:$J,ROW()-8)="",0,INDEX(Transactions!$O:$O,ROW()-8))</f>
      </c>
    </row>
    <row r="5902" spans="1:7">
      <c r="B5902">
        <f>IF(INDEX(Transactions!$J:$J,ROW()-8)="",TODAY(),INDEX(Transactions!$G:$G,ROW()-8))</f>
      </c>
      <c r="F5902">
        <f>IF(INDEX(Transactions!$J:$J,ROW()-8)="",0,INDEX(Transactions!$O:$O,ROW()-8))</f>
      </c>
    </row>
    <row r="5903" spans="1:7">
      <c r="B5903">
        <f>IF(INDEX(Transactions!$J:$J,ROW()-8)="",TODAY(),INDEX(Transactions!$G:$G,ROW()-8))</f>
      </c>
      <c r="F5903">
        <f>IF(INDEX(Transactions!$J:$J,ROW()-8)="",0,INDEX(Transactions!$O:$O,ROW()-8))</f>
      </c>
    </row>
    <row r="5904" spans="1:7">
      <c r="B5904">
        <f>IF(INDEX(Transactions!$J:$J,ROW()-8)="",TODAY(),INDEX(Transactions!$G:$G,ROW()-8))</f>
      </c>
      <c r="F5904">
        <f>IF(INDEX(Transactions!$J:$J,ROW()-8)="",0,INDEX(Transactions!$O:$O,ROW()-8))</f>
      </c>
    </row>
    <row r="5905" spans="1:7">
      <c r="B5905">
        <f>IF(INDEX(Transactions!$J:$J,ROW()-8)="",TODAY(),INDEX(Transactions!$G:$G,ROW()-8))</f>
      </c>
      <c r="F5905">
        <f>IF(INDEX(Transactions!$J:$J,ROW()-8)="",0,INDEX(Transactions!$O:$O,ROW()-8))</f>
      </c>
    </row>
    <row r="5906" spans="1:7">
      <c r="B5906">
        <f>IF(INDEX(Transactions!$J:$J,ROW()-8)="",TODAY(),INDEX(Transactions!$G:$G,ROW()-8))</f>
      </c>
      <c r="F5906">
        <f>IF(INDEX(Transactions!$J:$J,ROW()-8)="",0,INDEX(Transactions!$O:$O,ROW()-8))</f>
      </c>
    </row>
    <row r="5907" spans="1:7">
      <c r="B5907">
        <f>IF(INDEX(Transactions!$J:$J,ROW()-8)="",TODAY(),INDEX(Transactions!$G:$G,ROW()-8))</f>
      </c>
      <c r="F5907">
        <f>IF(INDEX(Transactions!$J:$J,ROW()-8)="",0,INDEX(Transactions!$O:$O,ROW()-8))</f>
      </c>
    </row>
    <row r="5908" spans="1:7">
      <c r="B5908">
        <f>IF(INDEX(Transactions!$J:$J,ROW()-8)="",TODAY(),INDEX(Transactions!$G:$G,ROW()-8))</f>
      </c>
      <c r="F5908">
        <f>IF(INDEX(Transactions!$J:$J,ROW()-8)="",0,INDEX(Transactions!$O:$O,ROW()-8))</f>
      </c>
    </row>
    <row r="5909" spans="1:7">
      <c r="B5909">
        <f>IF(INDEX(Transactions!$J:$J,ROW()-8)="",TODAY(),INDEX(Transactions!$G:$G,ROW()-8))</f>
      </c>
      <c r="F5909">
        <f>IF(INDEX(Transactions!$J:$J,ROW()-8)="",0,INDEX(Transactions!$O:$O,ROW()-8))</f>
      </c>
    </row>
    <row r="5910" spans="1:7">
      <c r="B5910">
        <f>IF(INDEX(Transactions!$J:$J,ROW()-8)="",TODAY(),INDEX(Transactions!$G:$G,ROW()-8))</f>
      </c>
      <c r="F5910">
        <f>IF(INDEX(Transactions!$J:$J,ROW()-8)="",0,INDEX(Transactions!$O:$O,ROW()-8))</f>
      </c>
    </row>
    <row r="5911" spans="1:7">
      <c r="B5911">
        <f>IF(INDEX(Transactions!$J:$J,ROW()-8)="",TODAY(),INDEX(Transactions!$G:$G,ROW()-8))</f>
      </c>
      <c r="F5911">
        <f>IF(INDEX(Transactions!$J:$J,ROW()-8)="",0,INDEX(Transactions!$O:$O,ROW()-8))</f>
      </c>
    </row>
    <row r="5912" spans="1:7">
      <c r="B5912">
        <f>IF(INDEX(Transactions!$J:$J,ROW()-8)="",TODAY(),INDEX(Transactions!$G:$G,ROW()-8))</f>
      </c>
      <c r="F5912">
        <f>IF(INDEX(Transactions!$J:$J,ROW()-8)="",0,INDEX(Transactions!$O:$O,ROW()-8))</f>
      </c>
    </row>
    <row r="5913" spans="1:7">
      <c r="B5913">
        <f>IF(INDEX(Transactions!$J:$J,ROW()-8)="",TODAY(),INDEX(Transactions!$G:$G,ROW()-8))</f>
      </c>
      <c r="F5913">
        <f>IF(INDEX(Transactions!$J:$J,ROW()-8)="",0,INDEX(Transactions!$O:$O,ROW()-8))</f>
      </c>
    </row>
    <row r="5914" spans="1:7">
      <c r="B5914">
        <f>IF(INDEX(Transactions!$J:$J,ROW()-8)="",TODAY(),INDEX(Transactions!$G:$G,ROW()-8))</f>
      </c>
      <c r="F5914">
        <f>IF(INDEX(Transactions!$J:$J,ROW()-8)="",0,INDEX(Transactions!$O:$O,ROW()-8))</f>
      </c>
    </row>
    <row r="5915" spans="1:7">
      <c r="B5915">
        <f>IF(INDEX(Transactions!$J:$J,ROW()-8)="",TODAY(),INDEX(Transactions!$G:$G,ROW()-8))</f>
      </c>
      <c r="F5915">
        <f>IF(INDEX(Transactions!$J:$J,ROW()-8)="",0,INDEX(Transactions!$O:$O,ROW()-8))</f>
      </c>
    </row>
    <row r="5916" spans="1:7">
      <c r="B5916">
        <f>IF(INDEX(Transactions!$J:$J,ROW()-8)="",TODAY(),INDEX(Transactions!$G:$G,ROW()-8))</f>
      </c>
      <c r="F5916">
        <f>IF(INDEX(Transactions!$J:$J,ROW()-8)="",0,INDEX(Transactions!$O:$O,ROW()-8))</f>
      </c>
    </row>
    <row r="5917" spans="1:7">
      <c r="B5917">
        <f>IF(INDEX(Transactions!$J:$J,ROW()-8)="",TODAY(),INDEX(Transactions!$G:$G,ROW()-8))</f>
      </c>
      <c r="F5917">
        <f>IF(INDEX(Transactions!$J:$J,ROW()-8)="",0,INDEX(Transactions!$O:$O,ROW()-8))</f>
      </c>
    </row>
    <row r="5918" spans="1:7">
      <c r="B5918">
        <f>IF(INDEX(Transactions!$J:$J,ROW()-8)="",TODAY(),INDEX(Transactions!$G:$G,ROW()-8))</f>
      </c>
      <c r="F5918">
        <f>IF(INDEX(Transactions!$J:$J,ROW()-8)="",0,INDEX(Transactions!$O:$O,ROW()-8))</f>
      </c>
    </row>
    <row r="5919" spans="1:7">
      <c r="B5919">
        <f>IF(INDEX(Transactions!$J:$J,ROW()-8)="",TODAY(),INDEX(Transactions!$G:$G,ROW()-8))</f>
      </c>
      <c r="F5919">
        <f>IF(INDEX(Transactions!$J:$J,ROW()-8)="",0,INDEX(Transactions!$O:$O,ROW()-8))</f>
      </c>
    </row>
    <row r="5920" spans="1:7">
      <c r="B5920">
        <f>IF(INDEX(Transactions!$J:$J,ROW()-8)="",TODAY(),INDEX(Transactions!$G:$G,ROW()-8))</f>
      </c>
      <c r="F5920">
        <f>IF(INDEX(Transactions!$J:$J,ROW()-8)="",0,INDEX(Transactions!$O:$O,ROW()-8))</f>
      </c>
    </row>
    <row r="5921" spans="1:7">
      <c r="B5921">
        <f>IF(INDEX(Transactions!$J:$J,ROW()-8)="",TODAY(),INDEX(Transactions!$G:$G,ROW()-8))</f>
      </c>
      <c r="F5921">
        <f>IF(INDEX(Transactions!$J:$J,ROW()-8)="",0,INDEX(Transactions!$O:$O,ROW()-8))</f>
      </c>
    </row>
    <row r="5922" spans="1:7">
      <c r="B5922">
        <f>IF(INDEX(Transactions!$J:$J,ROW()-8)="",TODAY(),INDEX(Transactions!$G:$G,ROW()-8))</f>
      </c>
      <c r="F5922">
        <f>IF(INDEX(Transactions!$J:$J,ROW()-8)="",0,INDEX(Transactions!$O:$O,ROW()-8))</f>
      </c>
    </row>
    <row r="5923" spans="1:7">
      <c r="B5923">
        <f>IF(INDEX(Transactions!$J:$J,ROW()-8)="",TODAY(),INDEX(Transactions!$G:$G,ROW()-8))</f>
      </c>
      <c r="F5923">
        <f>IF(INDEX(Transactions!$J:$J,ROW()-8)="",0,INDEX(Transactions!$O:$O,ROW()-8))</f>
      </c>
    </row>
    <row r="5924" spans="1:7">
      <c r="B5924">
        <f>IF(INDEX(Transactions!$J:$J,ROW()-8)="",TODAY(),INDEX(Transactions!$G:$G,ROW()-8))</f>
      </c>
      <c r="F5924">
        <f>IF(INDEX(Transactions!$J:$J,ROW()-8)="",0,INDEX(Transactions!$O:$O,ROW()-8))</f>
      </c>
    </row>
    <row r="5925" spans="1:7">
      <c r="B5925">
        <f>IF(INDEX(Transactions!$J:$J,ROW()-8)="",TODAY(),INDEX(Transactions!$G:$G,ROW()-8))</f>
      </c>
      <c r="F5925">
        <f>IF(INDEX(Transactions!$J:$J,ROW()-8)="",0,INDEX(Transactions!$O:$O,ROW()-8))</f>
      </c>
    </row>
    <row r="5926" spans="1:7">
      <c r="B5926">
        <f>IF(INDEX(Transactions!$J:$J,ROW()-8)="",TODAY(),INDEX(Transactions!$G:$G,ROW()-8))</f>
      </c>
      <c r="F5926">
        <f>IF(INDEX(Transactions!$J:$J,ROW()-8)="",0,INDEX(Transactions!$O:$O,ROW()-8))</f>
      </c>
    </row>
    <row r="5927" spans="1:7">
      <c r="B5927">
        <f>IF(INDEX(Transactions!$J:$J,ROW()-8)="",TODAY(),INDEX(Transactions!$G:$G,ROW()-8))</f>
      </c>
      <c r="F5927">
        <f>IF(INDEX(Transactions!$J:$J,ROW()-8)="",0,INDEX(Transactions!$O:$O,ROW()-8))</f>
      </c>
    </row>
    <row r="5928" spans="1:7">
      <c r="B5928">
        <f>IF(INDEX(Transactions!$J:$J,ROW()-8)="",TODAY(),INDEX(Transactions!$G:$G,ROW()-8))</f>
      </c>
      <c r="F5928">
        <f>IF(INDEX(Transactions!$J:$J,ROW()-8)="",0,INDEX(Transactions!$O:$O,ROW()-8))</f>
      </c>
    </row>
    <row r="5929" spans="1:7">
      <c r="B5929">
        <f>IF(INDEX(Transactions!$J:$J,ROW()-8)="",TODAY(),INDEX(Transactions!$G:$G,ROW()-8))</f>
      </c>
      <c r="F5929">
        <f>IF(INDEX(Transactions!$J:$J,ROW()-8)="",0,INDEX(Transactions!$O:$O,ROW()-8))</f>
      </c>
    </row>
    <row r="5930" spans="1:7">
      <c r="B5930">
        <f>IF(INDEX(Transactions!$J:$J,ROW()-8)="",TODAY(),INDEX(Transactions!$G:$G,ROW()-8))</f>
      </c>
      <c r="F5930">
        <f>IF(INDEX(Transactions!$J:$J,ROW()-8)="",0,INDEX(Transactions!$O:$O,ROW()-8))</f>
      </c>
    </row>
    <row r="5931" spans="1:7">
      <c r="B5931">
        <f>IF(INDEX(Transactions!$J:$J,ROW()-8)="",TODAY(),INDEX(Transactions!$G:$G,ROW()-8))</f>
      </c>
      <c r="F5931">
        <f>IF(INDEX(Transactions!$J:$J,ROW()-8)="",0,INDEX(Transactions!$O:$O,ROW()-8))</f>
      </c>
    </row>
    <row r="5932" spans="1:7">
      <c r="B5932">
        <f>IF(INDEX(Transactions!$J:$J,ROW()-8)="",TODAY(),INDEX(Transactions!$G:$G,ROW()-8))</f>
      </c>
      <c r="F5932">
        <f>IF(INDEX(Transactions!$J:$J,ROW()-8)="",0,INDEX(Transactions!$O:$O,ROW()-8))</f>
      </c>
    </row>
    <row r="5933" spans="1:7">
      <c r="B5933">
        <f>IF(INDEX(Transactions!$J:$J,ROW()-8)="",TODAY(),INDEX(Transactions!$G:$G,ROW()-8))</f>
      </c>
      <c r="F5933">
        <f>IF(INDEX(Transactions!$J:$J,ROW()-8)="",0,INDEX(Transactions!$O:$O,ROW()-8))</f>
      </c>
    </row>
    <row r="5934" spans="1:7">
      <c r="B5934">
        <f>IF(INDEX(Transactions!$J:$J,ROW()-8)="",TODAY(),INDEX(Transactions!$G:$G,ROW()-8))</f>
      </c>
      <c r="F5934">
        <f>IF(INDEX(Transactions!$J:$J,ROW()-8)="",0,INDEX(Transactions!$O:$O,ROW()-8))</f>
      </c>
    </row>
    <row r="5935" spans="1:7">
      <c r="B5935">
        <f>IF(INDEX(Transactions!$J:$J,ROW()-8)="",TODAY(),INDEX(Transactions!$G:$G,ROW()-8))</f>
      </c>
      <c r="F5935">
        <f>IF(INDEX(Transactions!$J:$J,ROW()-8)="",0,INDEX(Transactions!$O:$O,ROW()-8))</f>
      </c>
    </row>
    <row r="5936" spans="1:7">
      <c r="B5936">
        <f>IF(INDEX(Transactions!$J:$J,ROW()-8)="",TODAY(),INDEX(Transactions!$G:$G,ROW()-8))</f>
      </c>
      <c r="F5936">
        <f>IF(INDEX(Transactions!$J:$J,ROW()-8)="",0,INDEX(Transactions!$O:$O,ROW()-8))</f>
      </c>
    </row>
    <row r="5937" spans="1:7">
      <c r="B5937">
        <f>IF(INDEX(Transactions!$J:$J,ROW()-8)="",TODAY(),INDEX(Transactions!$G:$G,ROW()-8))</f>
      </c>
      <c r="F5937">
        <f>IF(INDEX(Transactions!$J:$J,ROW()-8)="",0,INDEX(Transactions!$O:$O,ROW()-8))</f>
      </c>
    </row>
    <row r="5938" spans="1:7">
      <c r="B5938">
        <f>IF(INDEX(Transactions!$J:$J,ROW()-8)="",TODAY(),INDEX(Transactions!$G:$G,ROW()-8))</f>
      </c>
      <c r="F5938">
        <f>IF(INDEX(Transactions!$J:$J,ROW()-8)="",0,INDEX(Transactions!$O:$O,ROW()-8))</f>
      </c>
    </row>
    <row r="5939" spans="1:7">
      <c r="B5939">
        <f>IF(INDEX(Transactions!$J:$J,ROW()-8)="",TODAY(),INDEX(Transactions!$G:$G,ROW()-8))</f>
      </c>
      <c r="F5939">
        <f>IF(INDEX(Transactions!$J:$J,ROW()-8)="",0,INDEX(Transactions!$O:$O,ROW()-8))</f>
      </c>
    </row>
    <row r="5940" spans="1:7">
      <c r="B5940">
        <f>IF(INDEX(Transactions!$J:$J,ROW()-8)="",TODAY(),INDEX(Transactions!$G:$G,ROW()-8))</f>
      </c>
      <c r="F5940">
        <f>IF(INDEX(Transactions!$J:$J,ROW()-8)="",0,INDEX(Transactions!$O:$O,ROW()-8))</f>
      </c>
    </row>
    <row r="5941" spans="1:7">
      <c r="B5941">
        <f>IF(INDEX(Transactions!$J:$J,ROW()-8)="",TODAY(),INDEX(Transactions!$G:$G,ROW()-8))</f>
      </c>
      <c r="F5941">
        <f>IF(INDEX(Transactions!$J:$J,ROW()-8)="",0,INDEX(Transactions!$O:$O,ROW()-8))</f>
      </c>
    </row>
    <row r="5942" spans="1:7">
      <c r="B5942">
        <f>IF(INDEX(Transactions!$J:$J,ROW()-8)="",TODAY(),INDEX(Transactions!$G:$G,ROW()-8))</f>
      </c>
      <c r="F5942">
        <f>IF(INDEX(Transactions!$J:$J,ROW()-8)="",0,INDEX(Transactions!$O:$O,ROW()-8))</f>
      </c>
    </row>
    <row r="5943" spans="1:7">
      <c r="B5943">
        <f>IF(INDEX(Transactions!$J:$J,ROW()-8)="",TODAY(),INDEX(Transactions!$G:$G,ROW()-8))</f>
      </c>
      <c r="F5943">
        <f>IF(INDEX(Transactions!$J:$J,ROW()-8)="",0,INDEX(Transactions!$O:$O,ROW()-8))</f>
      </c>
    </row>
    <row r="5944" spans="1:7">
      <c r="B5944">
        <f>IF(INDEX(Transactions!$J:$J,ROW()-8)="",TODAY(),INDEX(Transactions!$G:$G,ROW()-8))</f>
      </c>
      <c r="F5944">
        <f>IF(INDEX(Transactions!$J:$J,ROW()-8)="",0,INDEX(Transactions!$O:$O,ROW()-8))</f>
      </c>
    </row>
    <row r="5945" spans="1:7">
      <c r="B5945">
        <f>IF(INDEX(Transactions!$J:$J,ROW()-8)="",TODAY(),INDEX(Transactions!$G:$G,ROW()-8))</f>
      </c>
      <c r="F5945">
        <f>IF(INDEX(Transactions!$J:$J,ROW()-8)="",0,INDEX(Transactions!$O:$O,ROW()-8))</f>
      </c>
    </row>
    <row r="5946" spans="1:7">
      <c r="B5946">
        <f>IF(INDEX(Transactions!$J:$J,ROW()-8)="",TODAY(),INDEX(Transactions!$G:$G,ROW()-8))</f>
      </c>
      <c r="F5946">
        <f>IF(INDEX(Transactions!$J:$J,ROW()-8)="",0,INDEX(Transactions!$O:$O,ROW()-8))</f>
      </c>
    </row>
    <row r="5947" spans="1:7">
      <c r="B5947">
        <f>IF(INDEX(Transactions!$J:$J,ROW()-8)="",TODAY(),INDEX(Transactions!$G:$G,ROW()-8))</f>
      </c>
      <c r="F5947">
        <f>IF(INDEX(Transactions!$J:$J,ROW()-8)="",0,INDEX(Transactions!$O:$O,ROW()-8))</f>
      </c>
    </row>
    <row r="5948" spans="1:7">
      <c r="B5948">
        <f>IF(INDEX(Transactions!$J:$J,ROW()-8)="",TODAY(),INDEX(Transactions!$G:$G,ROW()-8))</f>
      </c>
      <c r="F5948">
        <f>IF(INDEX(Transactions!$J:$J,ROW()-8)="",0,INDEX(Transactions!$O:$O,ROW()-8))</f>
      </c>
    </row>
    <row r="5949" spans="1:7">
      <c r="B5949">
        <f>IF(INDEX(Transactions!$J:$J,ROW()-8)="",TODAY(),INDEX(Transactions!$G:$G,ROW()-8))</f>
      </c>
      <c r="F5949">
        <f>IF(INDEX(Transactions!$J:$J,ROW()-8)="",0,INDEX(Transactions!$O:$O,ROW()-8))</f>
      </c>
    </row>
    <row r="5950" spans="1:7">
      <c r="B5950">
        <f>IF(INDEX(Transactions!$J:$J,ROW()-8)="",TODAY(),INDEX(Transactions!$G:$G,ROW()-8))</f>
      </c>
      <c r="F5950">
        <f>IF(INDEX(Transactions!$J:$J,ROW()-8)="",0,INDEX(Transactions!$O:$O,ROW()-8))</f>
      </c>
    </row>
    <row r="5951" spans="1:7">
      <c r="B5951">
        <f>IF(INDEX(Transactions!$J:$J,ROW()-8)="",TODAY(),INDEX(Transactions!$G:$G,ROW()-8))</f>
      </c>
      <c r="F5951">
        <f>IF(INDEX(Transactions!$J:$J,ROW()-8)="",0,INDEX(Transactions!$O:$O,ROW()-8))</f>
      </c>
    </row>
    <row r="5952" spans="1:7">
      <c r="B5952">
        <f>IF(INDEX(Transactions!$J:$J,ROW()-8)="",TODAY(),INDEX(Transactions!$G:$G,ROW()-8))</f>
      </c>
      <c r="F5952">
        <f>IF(INDEX(Transactions!$J:$J,ROW()-8)="",0,INDEX(Transactions!$O:$O,ROW()-8))</f>
      </c>
    </row>
    <row r="5953" spans="1:7">
      <c r="B5953">
        <f>IF(INDEX(Transactions!$J:$J,ROW()-8)="",TODAY(),INDEX(Transactions!$G:$G,ROW()-8))</f>
      </c>
      <c r="F5953">
        <f>IF(INDEX(Transactions!$J:$J,ROW()-8)="",0,INDEX(Transactions!$O:$O,ROW()-8))</f>
      </c>
    </row>
    <row r="5954" spans="1:7">
      <c r="B5954">
        <f>IF(INDEX(Transactions!$J:$J,ROW()-8)="",TODAY(),INDEX(Transactions!$G:$G,ROW()-8))</f>
      </c>
      <c r="F5954">
        <f>IF(INDEX(Transactions!$J:$J,ROW()-8)="",0,INDEX(Transactions!$O:$O,ROW()-8))</f>
      </c>
    </row>
    <row r="5955" spans="1:7">
      <c r="B5955">
        <f>IF(INDEX(Transactions!$J:$J,ROW()-8)="",TODAY(),INDEX(Transactions!$G:$G,ROW()-8))</f>
      </c>
      <c r="F5955">
        <f>IF(INDEX(Transactions!$J:$J,ROW()-8)="",0,INDEX(Transactions!$O:$O,ROW()-8))</f>
      </c>
    </row>
    <row r="5956" spans="1:7">
      <c r="B5956">
        <f>IF(INDEX(Transactions!$J:$J,ROW()-8)="",TODAY(),INDEX(Transactions!$G:$G,ROW()-8))</f>
      </c>
      <c r="F5956">
        <f>IF(INDEX(Transactions!$J:$J,ROW()-8)="",0,INDEX(Transactions!$O:$O,ROW()-8))</f>
      </c>
    </row>
    <row r="5957" spans="1:7">
      <c r="B5957">
        <f>IF(INDEX(Transactions!$J:$J,ROW()-8)="",TODAY(),INDEX(Transactions!$G:$G,ROW()-8))</f>
      </c>
      <c r="F5957">
        <f>IF(INDEX(Transactions!$J:$J,ROW()-8)="",0,INDEX(Transactions!$O:$O,ROW()-8))</f>
      </c>
    </row>
    <row r="5958" spans="1:7">
      <c r="B5958">
        <f>IF(INDEX(Transactions!$J:$J,ROW()-8)="",TODAY(),INDEX(Transactions!$G:$G,ROW()-8))</f>
      </c>
      <c r="F5958">
        <f>IF(INDEX(Transactions!$J:$J,ROW()-8)="",0,INDEX(Transactions!$O:$O,ROW()-8))</f>
      </c>
    </row>
    <row r="5959" spans="1:7">
      <c r="B5959">
        <f>IF(INDEX(Transactions!$J:$J,ROW()-8)="",TODAY(),INDEX(Transactions!$G:$G,ROW()-8))</f>
      </c>
      <c r="F5959">
        <f>IF(INDEX(Transactions!$J:$J,ROW()-8)="",0,INDEX(Transactions!$O:$O,ROW()-8))</f>
      </c>
    </row>
    <row r="5960" spans="1:7">
      <c r="B5960">
        <f>IF(INDEX(Transactions!$J:$J,ROW()-8)="",TODAY(),INDEX(Transactions!$G:$G,ROW()-8))</f>
      </c>
      <c r="F5960">
        <f>IF(INDEX(Transactions!$J:$J,ROW()-8)="",0,INDEX(Transactions!$O:$O,ROW()-8))</f>
      </c>
    </row>
    <row r="5961" spans="1:7">
      <c r="B5961">
        <f>IF(INDEX(Transactions!$J:$J,ROW()-8)="",TODAY(),INDEX(Transactions!$G:$G,ROW()-8))</f>
      </c>
      <c r="F5961">
        <f>IF(INDEX(Transactions!$J:$J,ROW()-8)="",0,INDEX(Transactions!$O:$O,ROW()-8))</f>
      </c>
    </row>
    <row r="5962" spans="1:7">
      <c r="B5962">
        <f>IF(INDEX(Transactions!$J:$J,ROW()-8)="",TODAY(),INDEX(Transactions!$G:$G,ROW()-8))</f>
      </c>
      <c r="F5962">
        <f>IF(INDEX(Transactions!$J:$J,ROW()-8)="",0,INDEX(Transactions!$O:$O,ROW()-8))</f>
      </c>
    </row>
    <row r="5963" spans="1:7">
      <c r="B5963">
        <f>IF(INDEX(Transactions!$J:$J,ROW()-8)="",TODAY(),INDEX(Transactions!$G:$G,ROW()-8))</f>
      </c>
      <c r="F5963">
        <f>IF(INDEX(Transactions!$J:$J,ROW()-8)="",0,INDEX(Transactions!$O:$O,ROW()-8))</f>
      </c>
    </row>
    <row r="5964" spans="1:7">
      <c r="B5964">
        <f>IF(INDEX(Transactions!$J:$J,ROW()-8)="",TODAY(),INDEX(Transactions!$G:$G,ROW()-8))</f>
      </c>
      <c r="F5964">
        <f>IF(INDEX(Transactions!$J:$J,ROW()-8)="",0,INDEX(Transactions!$O:$O,ROW()-8))</f>
      </c>
    </row>
    <row r="5965" spans="1:7">
      <c r="B5965">
        <f>IF(INDEX(Transactions!$J:$J,ROW()-8)="",TODAY(),INDEX(Transactions!$G:$G,ROW()-8))</f>
      </c>
      <c r="F5965">
        <f>IF(INDEX(Transactions!$J:$J,ROW()-8)="",0,INDEX(Transactions!$O:$O,ROW()-8))</f>
      </c>
    </row>
    <row r="5966" spans="1:7">
      <c r="B5966">
        <f>IF(INDEX(Transactions!$J:$J,ROW()-8)="",TODAY(),INDEX(Transactions!$G:$G,ROW()-8))</f>
      </c>
      <c r="F5966">
        <f>IF(INDEX(Transactions!$J:$J,ROW()-8)="",0,INDEX(Transactions!$O:$O,ROW()-8))</f>
      </c>
    </row>
    <row r="5967" spans="1:7">
      <c r="B5967">
        <f>IF(INDEX(Transactions!$J:$J,ROW()-8)="",TODAY(),INDEX(Transactions!$G:$G,ROW()-8))</f>
      </c>
      <c r="F5967">
        <f>IF(INDEX(Transactions!$J:$J,ROW()-8)="",0,INDEX(Transactions!$O:$O,ROW()-8))</f>
      </c>
    </row>
    <row r="5968" spans="1:7">
      <c r="B5968">
        <f>IF(INDEX(Transactions!$J:$J,ROW()-8)="",TODAY(),INDEX(Transactions!$G:$G,ROW()-8))</f>
      </c>
      <c r="F5968">
        <f>IF(INDEX(Transactions!$J:$J,ROW()-8)="",0,INDEX(Transactions!$O:$O,ROW()-8))</f>
      </c>
    </row>
    <row r="5969" spans="1:7">
      <c r="B5969">
        <f>IF(INDEX(Transactions!$J:$J,ROW()-8)="",TODAY(),INDEX(Transactions!$G:$G,ROW()-8))</f>
      </c>
      <c r="F5969">
        <f>IF(INDEX(Transactions!$J:$J,ROW()-8)="",0,INDEX(Transactions!$O:$O,ROW()-8))</f>
      </c>
    </row>
    <row r="5970" spans="1:7">
      <c r="B5970">
        <f>IF(INDEX(Transactions!$J:$J,ROW()-8)="",TODAY(),INDEX(Transactions!$G:$G,ROW()-8))</f>
      </c>
      <c r="F5970">
        <f>IF(INDEX(Transactions!$J:$J,ROW()-8)="",0,INDEX(Transactions!$O:$O,ROW()-8))</f>
      </c>
    </row>
    <row r="5971" spans="1:7">
      <c r="B5971">
        <f>IF(INDEX(Transactions!$J:$J,ROW()-8)="",TODAY(),INDEX(Transactions!$G:$G,ROW()-8))</f>
      </c>
      <c r="F5971">
        <f>IF(INDEX(Transactions!$J:$J,ROW()-8)="",0,INDEX(Transactions!$O:$O,ROW()-8))</f>
      </c>
    </row>
    <row r="5972" spans="1:7">
      <c r="B5972">
        <f>IF(INDEX(Transactions!$J:$J,ROW()-8)="",TODAY(),INDEX(Transactions!$G:$G,ROW()-8))</f>
      </c>
      <c r="F5972">
        <f>IF(INDEX(Transactions!$J:$J,ROW()-8)="",0,INDEX(Transactions!$O:$O,ROW()-8))</f>
      </c>
    </row>
    <row r="5973" spans="1:7">
      <c r="B5973">
        <f>IF(INDEX(Transactions!$J:$J,ROW()-8)="",TODAY(),INDEX(Transactions!$G:$G,ROW()-8))</f>
      </c>
      <c r="F5973">
        <f>IF(INDEX(Transactions!$J:$J,ROW()-8)="",0,INDEX(Transactions!$O:$O,ROW()-8))</f>
      </c>
    </row>
    <row r="5974" spans="1:7">
      <c r="B5974">
        <f>IF(INDEX(Transactions!$J:$J,ROW()-8)="",TODAY(),INDEX(Transactions!$G:$G,ROW()-8))</f>
      </c>
      <c r="F5974">
        <f>IF(INDEX(Transactions!$J:$J,ROW()-8)="",0,INDEX(Transactions!$O:$O,ROW()-8))</f>
      </c>
    </row>
    <row r="5975" spans="1:7">
      <c r="B5975">
        <f>IF(INDEX(Transactions!$J:$J,ROW()-8)="",TODAY(),INDEX(Transactions!$G:$G,ROW()-8))</f>
      </c>
      <c r="F5975">
        <f>IF(INDEX(Transactions!$J:$J,ROW()-8)="",0,INDEX(Transactions!$O:$O,ROW()-8))</f>
      </c>
    </row>
    <row r="5976" spans="1:7">
      <c r="B5976">
        <f>IF(INDEX(Transactions!$J:$J,ROW()-8)="",TODAY(),INDEX(Transactions!$G:$G,ROW()-8))</f>
      </c>
      <c r="F5976">
        <f>IF(INDEX(Transactions!$J:$J,ROW()-8)="",0,INDEX(Transactions!$O:$O,ROW()-8))</f>
      </c>
    </row>
    <row r="5977" spans="1:7">
      <c r="B5977">
        <f>IF(INDEX(Transactions!$J:$J,ROW()-8)="",TODAY(),INDEX(Transactions!$G:$G,ROW()-8))</f>
      </c>
      <c r="F5977">
        <f>IF(INDEX(Transactions!$J:$J,ROW()-8)="",0,INDEX(Transactions!$O:$O,ROW()-8))</f>
      </c>
    </row>
    <row r="5978" spans="1:7">
      <c r="B5978">
        <f>IF(INDEX(Transactions!$J:$J,ROW()-8)="",TODAY(),INDEX(Transactions!$G:$G,ROW()-8))</f>
      </c>
      <c r="F5978">
        <f>IF(INDEX(Transactions!$J:$J,ROW()-8)="",0,INDEX(Transactions!$O:$O,ROW()-8))</f>
      </c>
    </row>
    <row r="5979" spans="1:7">
      <c r="B5979">
        <f>IF(INDEX(Transactions!$J:$J,ROW()-8)="",TODAY(),INDEX(Transactions!$G:$G,ROW()-8))</f>
      </c>
      <c r="F5979">
        <f>IF(INDEX(Transactions!$J:$J,ROW()-8)="",0,INDEX(Transactions!$O:$O,ROW()-8))</f>
      </c>
    </row>
    <row r="5980" spans="1:7">
      <c r="B5980">
        <f>IF(INDEX(Transactions!$J:$J,ROW()-8)="",TODAY(),INDEX(Transactions!$G:$G,ROW()-8))</f>
      </c>
      <c r="F5980">
        <f>IF(INDEX(Transactions!$J:$J,ROW()-8)="",0,INDEX(Transactions!$O:$O,ROW()-8))</f>
      </c>
    </row>
    <row r="5981" spans="1:7">
      <c r="B5981">
        <f>IF(INDEX(Transactions!$J:$J,ROW()-8)="",TODAY(),INDEX(Transactions!$G:$G,ROW()-8))</f>
      </c>
      <c r="F5981">
        <f>IF(INDEX(Transactions!$J:$J,ROW()-8)="",0,INDEX(Transactions!$O:$O,ROW()-8))</f>
      </c>
    </row>
    <row r="5982" spans="1:7">
      <c r="B5982">
        <f>IF(INDEX(Transactions!$J:$J,ROW()-8)="",TODAY(),INDEX(Transactions!$G:$G,ROW()-8))</f>
      </c>
      <c r="F5982">
        <f>IF(INDEX(Transactions!$J:$J,ROW()-8)="",0,INDEX(Transactions!$O:$O,ROW()-8))</f>
      </c>
    </row>
    <row r="5983" spans="1:7">
      <c r="B5983">
        <f>IF(INDEX(Transactions!$J:$J,ROW()-8)="",TODAY(),INDEX(Transactions!$G:$G,ROW()-8))</f>
      </c>
      <c r="F5983">
        <f>IF(INDEX(Transactions!$J:$J,ROW()-8)="",0,INDEX(Transactions!$O:$O,ROW()-8))</f>
      </c>
    </row>
    <row r="5984" spans="1:7">
      <c r="B5984">
        <f>IF(INDEX(Transactions!$J:$J,ROW()-8)="",TODAY(),INDEX(Transactions!$G:$G,ROW()-8))</f>
      </c>
      <c r="F5984">
        <f>IF(INDEX(Transactions!$J:$J,ROW()-8)="",0,INDEX(Transactions!$O:$O,ROW()-8))</f>
      </c>
    </row>
    <row r="5985" spans="1:7">
      <c r="B5985">
        <f>IF(INDEX(Transactions!$J:$J,ROW()-8)="",TODAY(),INDEX(Transactions!$G:$G,ROW()-8))</f>
      </c>
      <c r="F5985">
        <f>IF(INDEX(Transactions!$J:$J,ROW()-8)="",0,INDEX(Transactions!$O:$O,ROW()-8))</f>
      </c>
    </row>
    <row r="5986" spans="1:7">
      <c r="B5986">
        <f>IF(INDEX(Transactions!$J:$J,ROW()-8)="",TODAY(),INDEX(Transactions!$G:$G,ROW()-8))</f>
      </c>
      <c r="F5986">
        <f>IF(INDEX(Transactions!$J:$J,ROW()-8)="",0,INDEX(Transactions!$O:$O,ROW()-8))</f>
      </c>
    </row>
    <row r="5987" spans="1:7">
      <c r="B5987">
        <f>IF(INDEX(Transactions!$J:$J,ROW()-8)="",TODAY(),INDEX(Transactions!$G:$G,ROW()-8))</f>
      </c>
      <c r="F5987">
        <f>IF(INDEX(Transactions!$J:$J,ROW()-8)="",0,INDEX(Transactions!$O:$O,ROW()-8))</f>
      </c>
    </row>
    <row r="5988" spans="1:7">
      <c r="B5988">
        <f>IF(INDEX(Transactions!$J:$J,ROW()-8)="",TODAY(),INDEX(Transactions!$G:$G,ROW()-8))</f>
      </c>
      <c r="F5988">
        <f>IF(INDEX(Transactions!$J:$J,ROW()-8)="",0,INDEX(Transactions!$O:$O,ROW()-8))</f>
      </c>
    </row>
    <row r="5989" spans="1:7">
      <c r="B5989">
        <f>IF(INDEX(Transactions!$J:$J,ROW()-8)="",TODAY(),INDEX(Transactions!$G:$G,ROW()-8))</f>
      </c>
      <c r="F5989">
        <f>IF(INDEX(Transactions!$J:$J,ROW()-8)="",0,INDEX(Transactions!$O:$O,ROW()-8))</f>
      </c>
    </row>
    <row r="5990" spans="1:7">
      <c r="B5990">
        <f>IF(INDEX(Transactions!$J:$J,ROW()-8)="",TODAY(),INDEX(Transactions!$G:$G,ROW()-8))</f>
      </c>
      <c r="F5990">
        <f>IF(INDEX(Transactions!$J:$J,ROW()-8)="",0,INDEX(Transactions!$O:$O,ROW()-8))</f>
      </c>
    </row>
    <row r="5991" spans="1:7">
      <c r="B5991">
        <f>IF(INDEX(Transactions!$J:$J,ROW()-8)="",TODAY(),INDEX(Transactions!$G:$G,ROW()-8))</f>
      </c>
      <c r="F5991">
        <f>IF(INDEX(Transactions!$J:$J,ROW()-8)="",0,INDEX(Transactions!$O:$O,ROW()-8))</f>
      </c>
    </row>
    <row r="5992" spans="1:7">
      <c r="B5992">
        <f>IF(INDEX(Transactions!$J:$J,ROW()-8)="",TODAY(),INDEX(Transactions!$G:$G,ROW()-8))</f>
      </c>
      <c r="F5992">
        <f>IF(INDEX(Transactions!$J:$J,ROW()-8)="",0,INDEX(Transactions!$O:$O,ROW()-8))</f>
      </c>
    </row>
    <row r="5993" spans="1:7">
      <c r="B5993">
        <f>IF(INDEX(Transactions!$J:$J,ROW()-8)="",TODAY(),INDEX(Transactions!$G:$G,ROW()-8))</f>
      </c>
      <c r="F5993">
        <f>IF(INDEX(Transactions!$J:$J,ROW()-8)="",0,INDEX(Transactions!$O:$O,ROW()-8))</f>
      </c>
    </row>
    <row r="5994" spans="1:7">
      <c r="B5994">
        <f>IF(INDEX(Transactions!$J:$J,ROW()-8)="",TODAY(),INDEX(Transactions!$G:$G,ROW()-8))</f>
      </c>
      <c r="F5994">
        <f>IF(INDEX(Transactions!$J:$J,ROW()-8)="",0,INDEX(Transactions!$O:$O,ROW()-8))</f>
      </c>
    </row>
    <row r="5995" spans="1:7">
      <c r="B5995">
        <f>IF(INDEX(Transactions!$J:$J,ROW()-8)="",TODAY(),INDEX(Transactions!$G:$G,ROW()-8))</f>
      </c>
      <c r="F5995">
        <f>IF(INDEX(Transactions!$J:$J,ROW()-8)="",0,INDEX(Transactions!$O:$O,ROW()-8))</f>
      </c>
    </row>
    <row r="5996" spans="1:7">
      <c r="B5996">
        <f>IF(INDEX(Transactions!$J:$J,ROW()-8)="",TODAY(),INDEX(Transactions!$G:$G,ROW()-8))</f>
      </c>
      <c r="F5996">
        <f>IF(INDEX(Transactions!$J:$J,ROW()-8)="",0,INDEX(Transactions!$O:$O,ROW()-8))</f>
      </c>
    </row>
    <row r="5997" spans="1:7">
      <c r="B5997">
        <f>IF(INDEX(Transactions!$J:$J,ROW()-8)="",TODAY(),INDEX(Transactions!$G:$G,ROW()-8))</f>
      </c>
      <c r="F5997">
        <f>IF(INDEX(Transactions!$J:$J,ROW()-8)="",0,INDEX(Transactions!$O:$O,ROW()-8))</f>
      </c>
    </row>
    <row r="5998" spans="1:7">
      <c r="B5998">
        <f>IF(INDEX(Transactions!$J:$J,ROW()-8)="",TODAY(),INDEX(Transactions!$G:$G,ROW()-8))</f>
      </c>
      <c r="F5998">
        <f>IF(INDEX(Transactions!$J:$J,ROW()-8)="",0,INDEX(Transactions!$O:$O,ROW()-8))</f>
      </c>
    </row>
    <row r="5999" spans="1:7">
      <c r="B5999">
        <f>IF(INDEX(Transactions!$J:$J,ROW()-8)="",TODAY(),INDEX(Transactions!$G:$G,ROW()-8))</f>
      </c>
      <c r="F5999">
        <f>IF(INDEX(Transactions!$J:$J,ROW()-8)="",0,INDEX(Transactions!$O:$O,ROW()-8))</f>
      </c>
    </row>
    <row r="6000" spans="1:7">
      <c r="B6000">
        <f>IF(INDEX(Transactions!$J:$J,ROW()-8)="",TODAY(),INDEX(Transactions!$G:$G,ROW()-8))</f>
      </c>
      <c r="F6000">
        <f>IF(INDEX(Transactions!$J:$J,ROW()-8)="",0,INDEX(Transactions!$O:$O,ROW()-8))</f>
      </c>
    </row>
    <row r="6001" spans="1:7">
      <c r="B6001">
        <f>IF(INDEX(Transactions!$J:$J,ROW()-8)="",TODAY(),INDEX(Transactions!$G:$G,ROW()-8))</f>
      </c>
      <c r="F6001">
        <f>IF(INDEX(Transactions!$J:$J,ROW()-8)="",0,INDEX(Transactions!$O:$O,ROW()-8))</f>
      </c>
    </row>
    <row r="6002" spans="1:7">
      <c r="B6002">
        <f>IF(INDEX(Transactions!$J:$J,ROW()-8)="",TODAY(),INDEX(Transactions!$G:$G,ROW()-8))</f>
      </c>
      <c r="F6002">
        <f>IF(INDEX(Transactions!$J:$J,ROW()-8)="",0,INDEX(Transactions!$O:$O,ROW()-8))</f>
      </c>
    </row>
    <row r="6003" spans="1:7">
      <c r="B6003">
        <f>IF(INDEX(Transactions!$J:$J,ROW()-8)="",TODAY(),INDEX(Transactions!$G:$G,ROW()-8))</f>
      </c>
      <c r="F6003">
        <f>IF(INDEX(Transactions!$J:$J,ROW()-8)="",0,INDEX(Transactions!$O:$O,ROW()-8))</f>
      </c>
    </row>
    <row r="6004" spans="1:7">
      <c r="B6004">
        <f>IF(INDEX(Transactions!$J:$J,ROW()-8)="",TODAY(),INDEX(Transactions!$G:$G,ROW()-8))</f>
      </c>
      <c r="F6004">
        <f>IF(INDEX(Transactions!$J:$J,ROW()-8)="",0,INDEX(Transactions!$O:$O,ROW()-8))</f>
      </c>
    </row>
    <row r="6005" spans="1:7">
      <c r="B6005">
        <f>IF(INDEX(Transactions!$J:$J,ROW()-8)="",TODAY(),INDEX(Transactions!$G:$G,ROW()-8))</f>
      </c>
      <c r="F6005">
        <f>IF(INDEX(Transactions!$J:$J,ROW()-8)="",0,INDEX(Transactions!$O:$O,ROW()-8))</f>
      </c>
    </row>
    <row r="6006" spans="1:7">
      <c r="B6006">
        <f>IF(INDEX(Transactions!$J:$J,ROW()-8)="",TODAY(),INDEX(Transactions!$G:$G,ROW()-8))</f>
      </c>
      <c r="F6006">
        <f>IF(INDEX(Transactions!$J:$J,ROW()-8)="",0,INDEX(Transactions!$O:$O,ROW()-8))</f>
      </c>
    </row>
    <row r="6007" spans="1:7">
      <c r="B6007">
        <f>IF(INDEX(Transactions!$J:$J,ROW()-8)="",TODAY(),INDEX(Transactions!$G:$G,ROW()-8))</f>
      </c>
      <c r="F6007">
        <f>IF(INDEX(Transactions!$J:$J,ROW()-8)="",0,INDEX(Transactions!$O:$O,ROW()-8))</f>
      </c>
    </row>
    <row r="6008" spans="1:7">
      <c r="B6008">
        <f>IF(INDEX(Transactions!$J:$J,ROW()-8)="",TODAY(),INDEX(Transactions!$G:$G,ROW()-8))</f>
      </c>
      <c r="F6008">
        <f>IF(INDEX(Transactions!$J:$J,ROW()-8)="",0,INDEX(Transactions!$O:$O,ROW()-8))</f>
      </c>
    </row>
    <row r="6009" spans="1:7">
      <c r="B6009">
        <f>IF(INDEX(Transactions!$J:$J,ROW()-8)="",TODAY(),INDEX(Transactions!$G:$G,ROW()-8))</f>
      </c>
      <c r="F6009">
        <f>IF(INDEX(Transactions!$J:$J,ROW()-8)="",0,INDEX(Transactions!$O:$O,ROW()-8))</f>
      </c>
    </row>
    <row r="6010" spans="1:7">
      <c r="B6010">
        <f>IF(INDEX(Transactions!$J:$J,ROW()-8)="",TODAY(),INDEX(Transactions!$G:$G,ROW()-8))</f>
      </c>
      <c r="F6010">
        <f>IF(INDEX(Transactions!$J:$J,ROW()-8)="",0,INDEX(Transactions!$O:$O,ROW()-8))</f>
      </c>
    </row>
    <row r="6011" spans="1:7">
      <c r="B6011">
        <f>IF(INDEX(Transactions!$J:$J,ROW()-8)="",TODAY(),INDEX(Transactions!$G:$G,ROW()-8))</f>
      </c>
      <c r="F6011">
        <f>IF(INDEX(Transactions!$J:$J,ROW()-8)="",0,INDEX(Transactions!$O:$O,ROW()-8))</f>
      </c>
    </row>
    <row r="6012" spans="1:7">
      <c r="B6012">
        <f>IF(INDEX(Transactions!$J:$J,ROW()-8)="",TODAY(),INDEX(Transactions!$G:$G,ROW()-8))</f>
      </c>
      <c r="F6012">
        <f>IF(INDEX(Transactions!$J:$J,ROW()-8)="",0,INDEX(Transactions!$O:$O,ROW()-8))</f>
      </c>
    </row>
    <row r="6013" spans="1:7">
      <c r="B6013">
        <f>IF(INDEX(Transactions!$J:$J,ROW()-8)="",TODAY(),INDEX(Transactions!$G:$G,ROW()-8))</f>
      </c>
      <c r="F6013">
        <f>IF(INDEX(Transactions!$J:$J,ROW()-8)="",0,INDEX(Transactions!$O:$O,ROW()-8))</f>
      </c>
    </row>
    <row r="6014" spans="1:7">
      <c r="B6014">
        <f>IF(INDEX(Transactions!$J:$J,ROW()-8)="",TODAY(),INDEX(Transactions!$G:$G,ROW()-8))</f>
      </c>
      <c r="F6014">
        <f>IF(INDEX(Transactions!$J:$J,ROW()-8)="",0,INDEX(Transactions!$O:$O,ROW()-8))</f>
      </c>
    </row>
    <row r="6015" spans="1:7">
      <c r="B6015">
        <f>IF(INDEX(Transactions!$J:$J,ROW()-8)="",TODAY(),INDEX(Transactions!$G:$G,ROW()-8))</f>
      </c>
      <c r="F6015">
        <f>IF(INDEX(Transactions!$J:$J,ROW()-8)="",0,INDEX(Transactions!$O:$O,ROW()-8))</f>
      </c>
    </row>
    <row r="6016" spans="1:7">
      <c r="B6016">
        <f>IF(INDEX(Transactions!$J:$J,ROW()-8)="",TODAY(),INDEX(Transactions!$G:$G,ROW()-8))</f>
      </c>
      <c r="F6016">
        <f>IF(INDEX(Transactions!$J:$J,ROW()-8)="",0,INDEX(Transactions!$O:$O,ROW()-8))</f>
      </c>
    </row>
    <row r="6017" spans="1:7">
      <c r="B6017">
        <f>IF(INDEX(Transactions!$J:$J,ROW()-8)="",TODAY(),INDEX(Transactions!$G:$G,ROW()-8))</f>
      </c>
      <c r="F6017">
        <f>IF(INDEX(Transactions!$J:$J,ROW()-8)="",0,INDEX(Transactions!$O:$O,ROW()-8))</f>
      </c>
    </row>
    <row r="6018" spans="1:7">
      <c r="B6018">
        <f>IF(INDEX(Transactions!$J:$J,ROW()-8)="",TODAY(),INDEX(Transactions!$G:$G,ROW()-8))</f>
      </c>
      <c r="F6018">
        <f>IF(INDEX(Transactions!$J:$J,ROW()-8)="",0,INDEX(Transactions!$O:$O,ROW()-8))</f>
      </c>
    </row>
    <row r="6019" spans="1:7">
      <c r="B6019">
        <f>IF(INDEX(Transactions!$J:$J,ROW()-8)="",TODAY(),INDEX(Transactions!$G:$G,ROW()-8))</f>
      </c>
      <c r="F6019">
        <f>IF(INDEX(Transactions!$J:$J,ROW()-8)="",0,INDEX(Transactions!$O:$O,ROW()-8))</f>
      </c>
    </row>
    <row r="6020" spans="1:7">
      <c r="B6020">
        <f>IF(INDEX(Transactions!$J:$J,ROW()-8)="",TODAY(),INDEX(Transactions!$G:$G,ROW()-8))</f>
      </c>
      <c r="F6020">
        <f>IF(INDEX(Transactions!$J:$J,ROW()-8)="",0,INDEX(Transactions!$O:$O,ROW()-8))</f>
      </c>
    </row>
    <row r="6021" spans="1:7">
      <c r="B6021">
        <f>IF(INDEX(Transactions!$J:$J,ROW()-8)="",TODAY(),INDEX(Transactions!$G:$G,ROW()-8))</f>
      </c>
      <c r="F6021">
        <f>IF(INDEX(Transactions!$J:$J,ROW()-8)="",0,INDEX(Transactions!$O:$O,ROW()-8))</f>
      </c>
    </row>
    <row r="6022" spans="1:7">
      <c r="B6022">
        <f>IF(INDEX(Transactions!$J:$J,ROW()-8)="",TODAY(),INDEX(Transactions!$G:$G,ROW()-8))</f>
      </c>
      <c r="F6022">
        <f>IF(INDEX(Transactions!$J:$J,ROW()-8)="",0,INDEX(Transactions!$O:$O,ROW()-8))</f>
      </c>
    </row>
    <row r="6023" spans="1:7">
      <c r="B6023">
        <f>IF(INDEX(Transactions!$J:$J,ROW()-8)="",TODAY(),INDEX(Transactions!$G:$G,ROW()-8))</f>
      </c>
      <c r="F6023">
        <f>IF(INDEX(Transactions!$J:$J,ROW()-8)="",0,INDEX(Transactions!$O:$O,ROW()-8))</f>
      </c>
    </row>
    <row r="6024" spans="1:7">
      <c r="B6024">
        <f>IF(INDEX(Transactions!$J:$J,ROW()-8)="",TODAY(),INDEX(Transactions!$G:$G,ROW()-8))</f>
      </c>
      <c r="F6024">
        <f>IF(INDEX(Transactions!$J:$J,ROW()-8)="",0,INDEX(Transactions!$O:$O,ROW()-8))</f>
      </c>
    </row>
    <row r="6025" spans="1:7">
      <c r="B6025">
        <f>IF(INDEX(Transactions!$J:$J,ROW()-8)="",TODAY(),INDEX(Transactions!$G:$G,ROW()-8))</f>
      </c>
      <c r="F6025">
        <f>IF(INDEX(Transactions!$J:$J,ROW()-8)="",0,INDEX(Transactions!$O:$O,ROW()-8))</f>
      </c>
    </row>
    <row r="6026" spans="1:7">
      <c r="B6026">
        <f>IF(INDEX(Transactions!$J:$J,ROW()-8)="",TODAY(),INDEX(Transactions!$G:$G,ROW()-8))</f>
      </c>
      <c r="F6026">
        <f>IF(INDEX(Transactions!$J:$J,ROW()-8)="",0,INDEX(Transactions!$O:$O,ROW()-8))</f>
      </c>
    </row>
    <row r="6027" spans="1:7">
      <c r="B6027">
        <f>IF(INDEX(Transactions!$J:$J,ROW()-8)="",TODAY(),INDEX(Transactions!$G:$G,ROW()-8))</f>
      </c>
      <c r="F6027">
        <f>IF(INDEX(Transactions!$J:$J,ROW()-8)="",0,INDEX(Transactions!$O:$O,ROW()-8))</f>
      </c>
    </row>
    <row r="6028" spans="1:7">
      <c r="B6028">
        <f>IF(INDEX(Transactions!$J:$J,ROW()-8)="",TODAY(),INDEX(Transactions!$G:$G,ROW()-8))</f>
      </c>
      <c r="F6028">
        <f>IF(INDEX(Transactions!$J:$J,ROW()-8)="",0,INDEX(Transactions!$O:$O,ROW()-8))</f>
      </c>
    </row>
    <row r="6029" spans="1:7">
      <c r="B6029">
        <f>IF(INDEX(Transactions!$J:$J,ROW()-8)="",TODAY(),INDEX(Transactions!$G:$G,ROW()-8))</f>
      </c>
      <c r="F6029">
        <f>IF(INDEX(Transactions!$J:$J,ROW()-8)="",0,INDEX(Transactions!$O:$O,ROW()-8))</f>
      </c>
    </row>
    <row r="6030" spans="1:7">
      <c r="B6030">
        <f>IF(INDEX(Transactions!$J:$J,ROW()-8)="",TODAY(),INDEX(Transactions!$G:$G,ROW()-8))</f>
      </c>
      <c r="F6030">
        <f>IF(INDEX(Transactions!$J:$J,ROW()-8)="",0,INDEX(Transactions!$O:$O,ROW()-8))</f>
      </c>
    </row>
    <row r="6031" spans="1:7">
      <c r="B6031">
        <f>IF(INDEX(Transactions!$J:$J,ROW()-8)="",TODAY(),INDEX(Transactions!$G:$G,ROW()-8))</f>
      </c>
      <c r="F6031">
        <f>IF(INDEX(Transactions!$J:$J,ROW()-8)="",0,INDEX(Transactions!$O:$O,ROW()-8))</f>
      </c>
    </row>
    <row r="6032" spans="1:7">
      <c r="B6032">
        <f>IF(INDEX(Transactions!$J:$J,ROW()-8)="",TODAY(),INDEX(Transactions!$G:$G,ROW()-8))</f>
      </c>
      <c r="F6032">
        <f>IF(INDEX(Transactions!$J:$J,ROW()-8)="",0,INDEX(Transactions!$O:$O,ROW()-8))</f>
      </c>
    </row>
    <row r="6033" spans="1:7">
      <c r="B6033">
        <f>IF(INDEX(Transactions!$J:$J,ROW()-8)="",TODAY(),INDEX(Transactions!$G:$G,ROW()-8))</f>
      </c>
      <c r="F6033">
        <f>IF(INDEX(Transactions!$J:$J,ROW()-8)="",0,INDEX(Transactions!$O:$O,ROW()-8))</f>
      </c>
    </row>
    <row r="6034" spans="1:7">
      <c r="B6034">
        <f>IF(INDEX(Transactions!$J:$J,ROW()-8)="",TODAY(),INDEX(Transactions!$G:$G,ROW()-8))</f>
      </c>
      <c r="F6034">
        <f>IF(INDEX(Transactions!$J:$J,ROW()-8)="",0,INDEX(Transactions!$O:$O,ROW()-8))</f>
      </c>
    </row>
    <row r="6035" spans="1:7">
      <c r="B6035">
        <f>IF(INDEX(Transactions!$J:$J,ROW()-8)="",TODAY(),INDEX(Transactions!$G:$G,ROW()-8))</f>
      </c>
      <c r="F6035">
        <f>IF(INDEX(Transactions!$J:$J,ROW()-8)="",0,INDEX(Transactions!$O:$O,ROW()-8))</f>
      </c>
    </row>
    <row r="6036" spans="1:7">
      <c r="B6036">
        <f>IF(INDEX(Transactions!$J:$J,ROW()-8)="",TODAY(),INDEX(Transactions!$G:$G,ROW()-8))</f>
      </c>
      <c r="F6036">
        <f>IF(INDEX(Transactions!$J:$J,ROW()-8)="",0,INDEX(Transactions!$O:$O,ROW()-8))</f>
      </c>
    </row>
    <row r="6037" spans="1:7">
      <c r="B6037">
        <f>IF(INDEX(Transactions!$J:$J,ROW()-8)="",TODAY(),INDEX(Transactions!$G:$G,ROW()-8))</f>
      </c>
      <c r="F6037">
        <f>IF(INDEX(Transactions!$J:$J,ROW()-8)="",0,INDEX(Transactions!$O:$O,ROW()-8))</f>
      </c>
    </row>
    <row r="6038" spans="1:7">
      <c r="B6038">
        <f>IF(INDEX(Transactions!$J:$J,ROW()-8)="",TODAY(),INDEX(Transactions!$G:$G,ROW()-8))</f>
      </c>
      <c r="F6038">
        <f>IF(INDEX(Transactions!$J:$J,ROW()-8)="",0,INDEX(Transactions!$O:$O,ROW()-8))</f>
      </c>
    </row>
    <row r="6039" spans="1:7">
      <c r="B6039">
        <f>IF(INDEX(Transactions!$J:$J,ROW()-8)="",TODAY(),INDEX(Transactions!$G:$G,ROW()-8))</f>
      </c>
      <c r="F6039">
        <f>IF(INDEX(Transactions!$J:$J,ROW()-8)="",0,INDEX(Transactions!$O:$O,ROW()-8))</f>
      </c>
    </row>
    <row r="6040" spans="1:7">
      <c r="B6040">
        <f>IF(INDEX(Transactions!$J:$J,ROW()-8)="",TODAY(),INDEX(Transactions!$G:$G,ROW()-8))</f>
      </c>
      <c r="F6040">
        <f>IF(INDEX(Transactions!$J:$J,ROW()-8)="",0,INDEX(Transactions!$O:$O,ROW()-8))</f>
      </c>
    </row>
    <row r="6041" spans="1:7">
      <c r="B6041">
        <f>IF(INDEX(Transactions!$J:$J,ROW()-8)="",TODAY(),INDEX(Transactions!$G:$G,ROW()-8))</f>
      </c>
      <c r="F6041">
        <f>IF(INDEX(Transactions!$J:$J,ROW()-8)="",0,INDEX(Transactions!$O:$O,ROW()-8))</f>
      </c>
    </row>
    <row r="6042" spans="1:7">
      <c r="B6042">
        <f>IF(INDEX(Transactions!$J:$J,ROW()-8)="",TODAY(),INDEX(Transactions!$G:$G,ROW()-8))</f>
      </c>
      <c r="F6042">
        <f>IF(INDEX(Transactions!$J:$J,ROW()-8)="",0,INDEX(Transactions!$O:$O,ROW()-8))</f>
      </c>
    </row>
    <row r="6043" spans="1:7">
      <c r="B6043">
        <f>IF(INDEX(Transactions!$J:$J,ROW()-8)="",TODAY(),INDEX(Transactions!$G:$G,ROW()-8))</f>
      </c>
      <c r="F6043">
        <f>IF(INDEX(Transactions!$J:$J,ROW()-8)="",0,INDEX(Transactions!$O:$O,ROW()-8))</f>
      </c>
    </row>
    <row r="6044" spans="1:7">
      <c r="B6044">
        <f>IF(INDEX(Transactions!$J:$J,ROW()-8)="",TODAY(),INDEX(Transactions!$G:$G,ROW()-8))</f>
      </c>
      <c r="F6044">
        <f>IF(INDEX(Transactions!$J:$J,ROW()-8)="",0,INDEX(Transactions!$O:$O,ROW()-8))</f>
      </c>
    </row>
    <row r="6045" spans="1:7">
      <c r="B6045">
        <f>IF(INDEX(Transactions!$J:$J,ROW()-8)="",TODAY(),INDEX(Transactions!$G:$G,ROW()-8))</f>
      </c>
      <c r="F6045">
        <f>IF(INDEX(Transactions!$J:$J,ROW()-8)="",0,INDEX(Transactions!$O:$O,ROW()-8))</f>
      </c>
    </row>
    <row r="6046" spans="1:7">
      <c r="B6046">
        <f>IF(INDEX(Transactions!$J:$J,ROW()-8)="",TODAY(),INDEX(Transactions!$G:$G,ROW()-8))</f>
      </c>
      <c r="F6046">
        <f>IF(INDEX(Transactions!$J:$J,ROW()-8)="",0,INDEX(Transactions!$O:$O,ROW()-8))</f>
      </c>
    </row>
    <row r="6047" spans="1:7">
      <c r="B6047">
        <f>IF(INDEX(Transactions!$J:$J,ROW()-8)="",TODAY(),INDEX(Transactions!$G:$G,ROW()-8))</f>
      </c>
      <c r="F6047">
        <f>IF(INDEX(Transactions!$J:$J,ROW()-8)="",0,INDEX(Transactions!$O:$O,ROW()-8))</f>
      </c>
    </row>
    <row r="6048" spans="1:7">
      <c r="B6048">
        <f>IF(INDEX(Transactions!$J:$J,ROW()-8)="",TODAY(),INDEX(Transactions!$G:$G,ROW()-8))</f>
      </c>
      <c r="F6048">
        <f>IF(INDEX(Transactions!$J:$J,ROW()-8)="",0,INDEX(Transactions!$O:$O,ROW()-8))</f>
      </c>
    </row>
    <row r="6049" spans="1:7">
      <c r="B6049">
        <f>IF(INDEX(Transactions!$J:$J,ROW()-8)="",TODAY(),INDEX(Transactions!$G:$G,ROW()-8))</f>
      </c>
      <c r="F6049">
        <f>IF(INDEX(Transactions!$J:$J,ROW()-8)="",0,INDEX(Transactions!$O:$O,ROW()-8))</f>
      </c>
    </row>
    <row r="6050" spans="1:7">
      <c r="B6050">
        <f>IF(INDEX(Transactions!$J:$J,ROW()-8)="",TODAY(),INDEX(Transactions!$G:$G,ROW()-8))</f>
      </c>
      <c r="F6050">
        <f>IF(INDEX(Transactions!$J:$J,ROW()-8)="",0,INDEX(Transactions!$O:$O,ROW()-8))</f>
      </c>
    </row>
    <row r="6051" spans="1:7">
      <c r="B6051">
        <f>IF(INDEX(Transactions!$J:$J,ROW()-8)="",TODAY(),INDEX(Transactions!$G:$G,ROW()-8))</f>
      </c>
      <c r="F6051">
        <f>IF(INDEX(Transactions!$J:$J,ROW()-8)="",0,INDEX(Transactions!$O:$O,ROW()-8))</f>
      </c>
    </row>
    <row r="6052" spans="1:7">
      <c r="B6052">
        <f>IF(INDEX(Transactions!$J:$J,ROW()-8)="",TODAY(),INDEX(Transactions!$G:$G,ROW()-8))</f>
      </c>
      <c r="F6052">
        <f>IF(INDEX(Transactions!$J:$J,ROW()-8)="",0,INDEX(Transactions!$O:$O,ROW()-8))</f>
      </c>
    </row>
    <row r="6053" spans="1:7">
      <c r="B6053">
        <f>IF(INDEX(Transactions!$J:$J,ROW()-8)="",TODAY(),INDEX(Transactions!$G:$G,ROW()-8))</f>
      </c>
      <c r="F6053">
        <f>IF(INDEX(Transactions!$J:$J,ROW()-8)="",0,INDEX(Transactions!$O:$O,ROW()-8))</f>
      </c>
    </row>
    <row r="6054" spans="1:7">
      <c r="B6054">
        <f>IF(INDEX(Transactions!$J:$J,ROW()-8)="",TODAY(),INDEX(Transactions!$G:$G,ROW()-8))</f>
      </c>
      <c r="F6054">
        <f>IF(INDEX(Transactions!$J:$J,ROW()-8)="",0,INDEX(Transactions!$O:$O,ROW()-8))</f>
      </c>
    </row>
    <row r="6055" spans="1:7">
      <c r="B6055">
        <f>IF(INDEX(Transactions!$J:$J,ROW()-8)="",TODAY(),INDEX(Transactions!$G:$G,ROW()-8))</f>
      </c>
      <c r="F6055">
        <f>IF(INDEX(Transactions!$J:$J,ROW()-8)="",0,INDEX(Transactions!$O:$O,ROW()-8))</f>
      </c>
    </row>
    <row r="6056" spans="1:7">
      <c r="B6056">
        <f>IF(INDEX(Transactions!$J:$J,ROW()-8)="",TODAY(),INDEX(Transactions!$G:$G,ROW()-8))</f>
      </c>
      <c r="F6056">
        <f>IF(INDEX(Transactions!$J:$J,ROW()-8)="",0,INDEX(Transactions!$O:$O,ROW()-8))</f>
      </c>
    </row>
    <row r="6057" spans="1:7">
      <c r="B6057">
        <f>IF(INDEX(Transactions!$J:$J,ROW()-8)="",TODAY(),INDEX(Transactions!$G:$G,ROW()-8))</f>
      </c>
      <c r="F6057">
        <f>IF(INDEX(Transactions!$J:$J,ROW()-8)="",0,INDEX(Transactions!$O:$O,ROW()-8))</f>
      </c>
    </row>
    <row r="6058" spans="1:7">
      <c r="B6058">
        <f>IF(INDEX(Transactions!$J:$J,ROW()-8)="",TODAY(),INDEX(Transactions!$G:$G,ROW()-8))</f>
      </c>
      <c r="F6058">
        <f>IF(INDEX(Transactions!$J:$J,ROW()-8)="",0,INDEX(Transactions!$O:$O,ROW()-8))</f>
      </c>
    </row>
    <row r="6059" spans="1:7">
      <c r="B6059">
        <f>IF(INDEX(Transactions!$J:$J,ROW()-8)="",TODAY(),INDEX(Transactions!$G:$G,ROW()-8))</f>
      </c>
      <c r="F6059">
        <f>IF(INDEX(Transactions!$J:$J,ROW()-8)="",0,INDEX(Transactions!$O:$O,ROW()-8))</f>
      </c>
    </row>
    <row r="6060" spans="1:7">
      <c r="B6060">
        <f>IF(INDEX(Transactions!$J:$J,ROW()-8)="",TODAY(),INDEX(Transactions!$G:$G,ROW()-8))</f>
      </c>
      <c r="F6060">
        <f>IF(INDEX(Transactions!$J:$J,ROW()-8)="",0,INDEX(Transactions!$O:$O,ROW()-8))</f>
      </c>
    </row>
    <row r="6061" spans="1:7">
      <c r="B6061">
        <f>IF(INDEX(Transactions!$J:$J,ROW()-8)="",TODAY(),INDEX(Transactions!$G:$G,ROW()-8))</f>
      </c>
      <c r="F6061">
        <f>IF(INDEX(Transactions!$J:$J,ROW()-8)="",0,INDEX(Transactions!$O:$O,ROW()-8))</f>
      </c>
    </row>
    <row r="6062" spans="1:7">
      <c r="B6062">
        <f>IF(INDEX(Transactions!$J:$J,ROW()-8)="",TODAY(),INDEX(Transactions!$G:$G,ROW()-8))</f>
      </c>
      <c r="F6062">
        <f>IF(INDEX(Transactions!$J:$J,ROW()-8)="",0,INDEX(Transactions!$O:$O,ROW()-8))</f>
      </c>
    </row>
    <row r="6063" spans="1:7">
      <c r="B6063">
        <f>IF(INDEX(Transactions!$J:$J,ROW()-8)="",TODAY(),INDEX(Transactions!$G:$G,ROW()-8))</f>
      </c>
      <c r="F6063">
        <f>IF(INDEX(Transactions!$J:$J,ROW()-8)="",0,INDEX(Transactions!$O:$O,ROW()-8))</f>
      </c>
    </row>
    <row r="6064" spans="1:7">
      <c r="B6064">
        <f>IF(INDEX(Transactions!$J:$J,ROW()-8)="",TODAY(),INDEX(Transactions!$G:$G,ROW()-8))</f>
      </c>
      <c r="F6064">
        <f>IF(INDEX(Transactions!$J:$J,ROW()-8)="",0,INDEX(Transactions!$O:$O,ROW()-8))</f>
      </c>
    </row>
    <row r="6065" spans="1:7">
      <c r="B6065">
        <f>IF(INDEX(Transactions!$J:$J,ROW()-8)="",TODAY(),INDEX(Transactions!$G:$G,ROW()-8))</f>
      </c>
      <c r="F6065">
        <f>IF(INDEX(Transactions!$J:$J,ROW()-8)="",0,INDEX(Transactions!$O:$O,ROW()-8))</f>
      </c>
    </row>
    <row r="6066" spans="1:7">
      <c r="B6066">
        <f>IF(INDEX(Transactions!$J:$J,ROW()-8)="",TODAY(),INDEX(Transactions!$G:$G,ROW()-8))</f>
      </c>
      <c r="F6066">
        <f>IF(INDEX(Transactions!$J:$J,ROW()-8)="",0,INDEX(Transactions!$O:$O,ROW()-8))</f>
      </c>
    </row>
    <row r="6067" spans="1:7">
      <c r="B6067">
        <f>IF(INDEX(Transactions!$J:$J,ROW()-8)="",TODAY(),INDEX(Transactions!$G:$G,ROW()-8))</f>
      </c>
      <c r="F6067">
        <f>IF(INDEX(Transactions!$J:$J,ROW()-8)="",0,INDEX(Transactions!$O:$O,ROW()-8))</f>
      </c>
    </row>
    <row r="6068" spans="1:7">
      <c r="B6068">
        <f>IF(INDEX(Transactions!$J:$J,ROW()-8)="",TODAY(),INDEX(Transactions!$G:$G,ROW()-8))</f>
      </c>
      <c r="F6068">
        <f>IF(INDEX(Transactions!$J:$J,ROW()-8)="",0,INDEX(Transactions!$O:$O,ROW()-8))</f>
      </c>
    </row>
    <row r="6069" spans="1:7">
      <c r="B6069">
        <f>IF(INDEX(Transactions!$J:$J,ROW()-8)="",TODAY(),INDEX(Transactions!$G:$G,ROW()-8))</f>
      </c>
      <c r="F6069">
        <f>IF(INDEX(Transactions!$J:$J,ROW()-8)="",0,INDEX(Transactions!$O:$O,ROW()-8))</f>
      </c>
    </row>
    <row r="6070" spans="1:7">
      <c r="B6070">
        <f>IF(INDEX(Transactions!$J:$J,ROW()-8)="",TODAY(),INDEX(Transactions!$G:$G,ROW()-8))</f>
      </c>
      <c r="F6070">
        <f>IF(INDEX(Transactions!$J:$J,ROW()-8)="",0,INDEX(Transactions!$O:$O,ROW()-8))</f>
      </c>
    </row>
    <row r="6071" spans="1:7">
      <c r="B6071">
        <f>IF(INDEX(Transactions!$J:$J,ROW()-8)="",TODAY(),INDEX(Transactions!$G:$G,ROW()-8))</f>
      </c>
      <c r="F6071">
        <f>IF(INDEX(Transactions!$J:$J,ROW()-8)="",0,INDEX(Transactions!$O:$O,ROW()-8))</f>
      </c>
    </row>
    <row r="6072" spans="1:7">
      <c r="B6072">
        <f>IF(INDEX(Transactions!$J:$J,ROW()-8)="",TODAY(),INDEX(Transactions!$G:$G,ROW()-8))</f>
      </c>
      <c r="F6072">
        <f>IF(INDEX(Transactions!$J:$J,ROW()-8)="",0,INDEX(Transactions!$O:$O,ROW()-8))</f>
      </c>
    </row>
    <row r="6073" spans="1:7">
      <c r="B6073">
        <f>IF(INDEX(Transactions!$J:$J,ROW()-8)="",TODAY(),INDEX(Transactions!$G:$G,ROW()-8))</f>
      </c>
      <c r="F6073">
        <f>IF(INDEX(Transactions!$J:$J,ROW()-8)="",0,INDEX(Transactions!$O:$O,ROW()-8))</f>
      </c>
    </row>
    <row r="6074" spans="1:7">
      <c r="B6074">
        <f>IF(INDEX(Transactions!$J:$J,ROW()-8)="",TODAY(),INDEX(Transactions!$G:$G,ROW()-8))</f>
      </c>
      <c r="F6074">
        <f>IF(INDEX(Transactions!$J:$J,ROW()-8)="",0,INDEX(Transactions!$O:$O,ROW()-8))</f>
      </c>
    </row>
    <row r="6075" spans="1:7">
      <c r="B6075">
        <f>IF(INDEX(Transactions!$J:$J,ROW()-8)="",TODAY(),INDEX(Transactions!$G:$G,ROW()-8))</f>
      </c>
      <c r="F6075">
        <f>IF(INDEX(Transactions!$J:$J,ROW()-8)="",0,INDEX(Transactions!$O:$O,ROW()-8))</f>
      </c>
    </row>
    <row r="6076" spans="1:7">
      <c r="B6076">
        <f>IF(INDEX(Transactions!$J:$J,ROW()-8)="",TODAY(),INDEX(Transactions!$G:$G,ROW()-8))</f>
      </c>
      <c r="F6076">
        <f>IF(INDEX(Transactions!$J:$J,ROW()-8)="",0,INDEX(Transactions!$O:$O,ROW()-8))</f>
      </c>
    </row>
    <row r="6077" spans="1:7">
      <c r="B6077">
        <f>IF(INDEX(Transactions!$J:$J,ROW()-8)="",TODAY(),INDEX(Transactions!$G:$G,ROW()-8))</f>
      </c>
      <c r="F6077">
        <f>IF(INDEX(Transactions!$J:$J,ROW()-8)="",0,INDEX(Transactions!$O:$O,ROW()-8))</f>
      </c>
    </row>
    <row r="6078" spans="1:7">
      <c r="B6078">
        <f>IF(INDEX(Transactions!$J:$J,ROW()-8)="",TODAY(),INDEX(Transactions!$G:$G,ROW()-8))</f>
      </c>
      <c r="F6078">
        <f>IF(INDEX(Transactions!$J:$J,ROW()-8)="",0,INDEX(Transactions!$O:$O,ROW()-8))</f>
      </c>
    </row>
    <row r="6079" spans="1:7">
      <c r="B6079">
        <f>IF(INDEX(Transactions!$J:$J,ROW()-8)="",TODAY(),INDEX(Transactions!$G:$G,ROW()-8))</f>
      </c>
      <c r="F6079">
        <f>IF(INDEX(Transactions!$J:$J,ROW()-8)="",0,INDEX(Transactions!$O:$O,ROW()-8))</f>
      </c>
    </row>
    <row r="6080" spans="1:7">
      <c r="B6080">
        <f>IF(INDEX(Transactions!$J:$J,ROW()-8)="",TODAY(),INDEX(Transactions!$G:$G,ROW()-8))</f>
      </c>
      <c r="F6080">
        <f>IF(INDEX(Transactions!$J:$J,ROW()-8)="",0,INDEX(Transactions!$O:$O,ROW()-8))</f>
      </c>
    </row>
    <row r="6081" spans="1:7">
      <c r="B6081">
        <f>IF(INDEX(Transactions!$J:$J,ROW()-8)="",TODAY(),INDEX(Transactions!$G:$G,ROW()-8))</f>
      </c>
      <c r="F6081">
        <f>IF(INDEX(Transactions!$J:$J,ROW()-8)="",0,INDEX(Transactions!$O:$O,ROW()-8))</f>
      </c>
    </row>
    <row r="6082" spans="1:7">
      <c r="B6082">
        <f>IF(INDEX(Transactions!$J:$J,ROW()-8)="",TODAY(),INDEX(Transactions!$G:$G,ROW()-8))</f>
      </c>
      <c r="F6082">
        <f>IF(INDEX(Transactions!$J:$J,ROW()-8)="",0,INDEX(Transactions!$O:$O,ROW()-8))</f>
      </c>
    </row>
    <row r="6083" spans="1:7">
      <c r="B6083">
        <f>IF(INDEX(Transactions!$J:$J,ROW()-8)="",TODAY(),INDEX(Transactions!$G:$G,ROW()-8))</f>
      </c>
      <c r="F6083">
        <f>IF(INDEX(Transactions!$J:$J,ROW()-8)="",0,INDEX(Transactions!$O:$O,ROW()-8))</f>
      </c>
    </row>
    <row r="6084" spans="1:7">
      <c r="B6084">
        <f>IF(INDEX(Transactions!$J:$J,ROW()-8)="",TODAY(),INDEX(Transactions!$G:$G,ROW()-8))</f>
      </c>
      <c r="F6084">
        <f>IF(INDEX(Transactions!$J:$J,ROW()-8)="",0,INDEX(Transactions!$O:$O,ROW()-8))</f>
      </c>
    </row>
    <row r="6085" spans="1:7">
      <c r="B6085">
        <f>IF(INDEX(Transactions!$J:$J,ROW()-8)="",TODAY(),INDEX(Transactions!$G:$G,ROW()-8))</f>
      </c>
      <c r="F6085">
        <f>IF(INDEX(Transactions!$J:$J,ROW()-8)="",0,INDEX(Transactions!$O:$O,ROW()-8))</f>
      </c>
    </row>
    <row r="6086" spans="1:7">
      <c r="B6086">
        <f>IF(INDEX(Transactions!$J:$J,ROW()-8)="",TODAY(),INDEX(Transactions!$G:$G,ROW()-8))</f>
      </c>
      <c r="F6086">
        <f>IF(INDEX(Transactions!$J:$J,ROW()-8)="",0,INDEX(Transactions!$O:$O,ROW()-8))</f>
      </c>
    </row>
    <row r="6087" spans="1:7">
      <c r="B6087">
        <f>IF(INDEX(Transactions!$J:$J,ROW()-8)="",TODAY(),INDEX(Transactions!$G:$G,ROW()-8))</f>
      </c>
      <c r="F6087">
        <f>IF(INDEX(Transactions!$J:$J,ROW()-8)="",0,INDEX(Transactions!$O:$O,ROW()-8))</f>
      </c>
    </row>
    <row r="6088" spans="1:7">
      <c r="B6088">
        <f>IF(INDEX(Transactions!$J:$J,ROW()-8)="",TODAY(),INDEX(Transactions!$G:$G,ROW()-8))</f>
      </c>
      <c r="F6088">
        <f>IF(INDEX(Transactions!$J:$J,ROW()-8)="",0,INDEX(Transactions!$O:$O,ROW()-8))</f>
      </c>
    </row>
    <row r="6089" spans="1:7">
      <c r="B6089">
        <f>IF(INDEX(Transactions!$J:$J,ROW()-8)="",TODAY(),INDEX(Transactions!$G:$G,ROW()-8))</f>
      </c>
      <c r="F6089">
        <f>IF(INDEX(Transactions!$J:$J,ROW()-8)="",0,INDEX(Transactions!$O:$O,ROW()-8))</f>
      </c>
    </row>
    <row r="6090" spans="1:7">
      <c r="B6090">
        <f>IF(INDEX(Transactions!$J:$J,ROW()-8)="",TODAY(),INDEX(Transactions!$G:$G,ROW()-8))</f>
      </c>
      <c r="F6090">
        <f>IF(INDEX(Transactions!$J:$J,ROW()-8)="",0,INDEX(Transactions!$O:$O,ROW()-8))</f>
      </c>
    </row>
    <row r="6091" spans="1:7">
      <c r="B6091">
        <f>IF(INDEX(Transactions!$J:$J,ROW()-8)="",TODAY(),INDEX(Transactions!$G:$G,ROW()-8))</f>
      </c>
      <c r="F6091">
        <f>IF(INDEX(Transactions!$J:$J,ROW()-8)="",0,INDEX(Transactions!$O:$O,ROW()-8))</f>
      </c>
    </row>
    <row r="6092" spans="1:7">
      <c r="B6092">
        <f>IF(INDEX(Transactions!$J:$J,ROW()-8)="",TODAY(),INDEX(Transactions!$G:$G,ROW()-8))</f>
      </c>
      <c r="F6092">
        <f>IF(INDEX(Transactions!$J:$J,ROW()-8)="",0,INDEX(Transactions!$O:$O,ROW()-8))</f>
      </c>
    </row>
    <row r="6093" spans="1:7">
      <c r="B6093">
        <f>IF(INDEX(Transactions!$J:$J,ROW()-8)="",TODAY(),INDEX(Transactions!$G:$G,ROW()-8))</f>
      </c>
      <c r="F6093">
        <f>IF(INDEX(Transactions!$J:$J,ROW()-8)="",0,INDEX(Transactions!$O:$O,ROW()-8))</f>
      </c>
    </row>
    <row r="6094" spans="1:7">
      <c r="B6094">
        <f>IF(INDEX(Transactions!$J:$J,ROW()-8)="",TODAY(),INDEX(Transactions!$G:$G,ROW()-8))</f>
      </c>
      <c r="F6094">
        <f>IF(INDEX(Transactions!$J:$J,ROW()-8)="",0,INDEX(Transactions!$O:$O,ROW()-8))</f>
      </c>
    </row>
    <row r="6095" spans="1:7">
      <c r="B6095">
        <f>IF(INDEX(Transactions!$J:$J,ROW()-8)="",TODAY(),INDEX(Transactions!$G:$G,ROW()-8))</f>
      </c>
      <c r="F6095">
        <f>IF(INDEX(Transactions!$J:$J,ROW()-8)="",0,INDEX(Transactions!$O:$O,ROW()-8))</f>
      </c>
    </row>
    <row r="6096" spans="1:7">
      <c r="B6096">
        <f>IF(INDEX(Transactions!$J:$J,ROW()-8)="",TODAY(),INDEX(Transactions!$G:$G,ROW()-8))</f>
      </c>
      <c r="F6096">
        <f>IF(INDEX(Transactions!$J:$J,ROW()-8)="",0,INDEX(Transactions!$O:$O,ROW()-8))</f>
      </c>
    </row>
    <row r="6097" spans="1:7">
      <c r="B6097">
        <f>IF(INDEX(Transactions!$J:$J,ROW()-8)="",TODAY(),INDEX(Transactions!$G:$G,ROW()-8))</f>
      </c>
      <c r="F6097">
        <f>IF(INDEX(Transactions!$J:$J,ROW()-8)="",0,INDEX(Transactions!$O:$O,ROW()-8))</f>
      </c>
    </row>
    <row r="6098" spans="1:7">
      <c r="B6098">
        <f>IF(INDEX(Transactions!$J:$J,ROW()-8)="",TODAY(),INDEX(Transactions!$G:$G,ROW()-8))</f>
      </c>
      <c r="F6098">
        <f>IF(INDEX(Transactions!$J:$J,ROW()-8)="",0,INDEX(Transactions!$O:$O,ROW()-8))</f>
      </c>
    </row>
    <row r="6099" spans="1:7">
      <c r="B6099">
        <f>IF(INDEX(Transactions!$J:$J,ROW()-8)="",TODAY(),INDEX(Transactions!$G:$G,ROW()-8))</f>
      </c>
      <c r="F6099">
        <f>IF(INDEX(Transactions!$J:$J,ROW()-8)="",0,INDEX(Transactions!$O:$O,ROW()-8))</f>
      </c>
    </row>
    <row r="6100" spans="1:7">
      <c r="B6100">
        <f>IF(INDEX(Transactions!$J:$J,ROW()-8)="",TODAY(),INDEX(Transactions!$G:$G,ROW()-8))</f>
      </c>
      <c r="F6100">
        <f>IF(INDEX(Transactions!$J:$J,ROW()-8)="",0,INDEX(Transactions!$O:$O,ROW()-8))</f>
      </c>
    </row>
    <row r="6101" spans="1:7">
      <c r="B6101">
        <f>IF(INDEX(Transactions!$J:$J,ROW()-8)="",TODAY(),INDEX(Transactions!$G:$G,ROW()-8))</f>
      </c>
      <c r="F6101">
        <f>IF(INDEX(Transactions!$J:$J,ROW()-8)="",0,INDEX(Transactions!$O:$O,ROW()-8))</f>
      </c>
    </row>
    <row r="6102" spans="1:7">
      <c r="B6102">
        <f>IF(INDEX(Transactions!$J:$J,ROW()-8)="",TODAY(),INDEX(Transactions!$G:$G,ROW()-8))</f>
      </c>
      <c r="F6102">
        <f>IF(INDEX(Transactions!$J:$J,ROW()-8)="",0,INDEX(Transactions!$O:$O,ROW()-8))</f>
      </c>
    </row>
    <row r="6103" spans="1:7">
      <c r="B6103">
        <f>IF(INDEX(Transactions!$J:$J,ROW()-8)="",TODAY(),INDEX(Transactions!$G:$G,ROW()-8))</f>
      </c>
      <c r="F6103">
        <f>IF(INDEX(Transactions!$J:$J,ROW()-8)="",0,INDEX(Transactions!$O:$O,ROW()-8))</f>
      </c>
    </row>
    <row r="6104" spans="1:7">
      <c r="B6104">
        <f>IF(INDEX(Transactions!$J:$J,ROW()-8)="",TODAY(),INDEX(Transactions!$G:$G,ROW()-8))</f>
      </c>
      <c r="F6104">
        <f>IF(INDEX(Transactions!$J:$J,ROW()-8)="",0,INDEX(Transactions!$O:$O,ROW()-8))</f>
      </c>
    </row>
    <row r="6105" spans="1:7">
      <c r="B6105">
        <f>IF(INDEX(Transactions!$J:$J,ROW()-8)="",TODAY(),INDEX(Transactions!$G:$G,ROW()-8))</f>
      </c>
      <c r="F6105">
        <f>IF(INDEX(Transactions!$J:$J,ROW()-8)="",0,INDEX(Transactions!$O:$O,ROW()-8))</f>
      </c>
    </row>
    <row r="6106" spans="1:7">
      <c r="B6106">
        <f>IF(INDEX(Transactions!$J:$J,ROW()-8)="",TODAY(),INDEX(Transactions!$G:$G,ROW()-8))</f>
      </c>
      <c r="F6106">
        <f>IF(INDEX(Transactions!$J:$J,ROW()-8)="",0,INDEX(Transactions!$O:$O,ROW()-8))</f>
      </c>
    </row>
    <row r="6107" spans="1:7">
      <c r="B6107">
        <f>IF(INDEX(Transactions!$J:$J,ROW()-8)="",TODAY(),INDEX(Transactions!$G:$G,ROW()-8))</f>
      </c>
      <c r="F6107">
        <f>IF(INDEX(Transactions!$J:$J,ROW()-8)="",0,INDEX(Transactions!$O:$O,ROW()-8))</f>
      </c>
    </row>
    <row r="6108" spans="1:7">
      <c r="B6108">
        <f>IF(INDEX(Transactions!$J:$J,ROW()-8)="",TODAY(),INDEX(Transactions!$G:$G,ROW()-8))</f>
      </c>
      <c r="F6108">
        <f>IF(INDEX(Transactions!$J:$J,ROW()-8)="",0,INDEX(Transactions!$O:$O,ROW()-8))</f>
      </c>
    </row>
    <row r="6109" spans="1:7">
      <c r="B6109">
        <f>IF(INDEX(Transactions!$J:$J,ROW()-8)="",TODAY(),INDEX(Transactions!$G:$G,ROW()-8))</f>
      </c>
      <c r="F6109">
        <f>IF(INDEX(Transactions!$J:$J,ROW()-8)="",0,INDEX(Transactions!$O:$O,ROW()-8))</f>
      </c>
    </row>
    <row r="6110" spans="1:7">
      <c r="B6110">
        <f>IF(INDEX(Transactions!$J:$J,ROW()-8)="",TODAY(),INDEX(Transactions!$G:$G,ROW()-8))</f>
      </c>
      <c r="F6110">
        <f>IF(INDEX(Transactions!$J:$J,ROW()-8)="",0,INDEX(Transactions!$O:$O,ROW()-8))</f>
      </c>
    </row>
    <row r="6111" spans="1:7">
      <c r="B6111">
        <f>IF(INDEX(Transactions!$J:$J,ROW()-8)="",TODAY(),INDEX(Transactions!$G:$G,ROW()-8))</f>
      </c>
      <c r="F6111">
        <f>IF(INDEX(Transactions!$J:$J,ROW()-8)="",0,INDEX(Transactions!$O:$O,ROW()-8))</f>
      </c>
    </row>
    <row r="6112" spans="1:7">
      <c r="B6112">
        <f>IF(INDEX(Transactions!$J:$J,ROW()-8)="",TODAY(),INDEX(Transactions!$G:$G,ROW()-8))</f>
      </c>
      <c r="F6112">
        <f>IF(INDEX(Transactions!$J:$J,ROW()-8)="",0,INDEX(Transactions!$O:$O,ROW()-8))</f>
      </c>
    </row>
    <row r="6113" spans="1:7">
      <c r="B6113">
        <f>IF(INDEX(Transactions!$J:$J,ROW()-8)="",TODAY(),INDEX(Transactions!$G:$G,ROW()-8))</f>
      </c>
      <c r="F6113">
        <f>IF(INDEX(Transactions!$J:$J,ROW()-8)="",0,INDEX(Transactions!$O:$O,ROW()-8))</f>
      </c>
    </row>
    <row r="6114" spans="1:7">
      <c r="B6114">
        <f>IF(INDEX(Transactions!$J:$J,ROW()-8)="",TODAY(),INDEX(Transactions!$G:$G,ROW()-8))</f>
      </c>
      <c r="F6114">
        <f>IF(INDEX(Transactions!$J:$J,ROW()-8)="",0,INDEX(Transactions!$O:$O,ROW()-8))</f>
      </c>
    </row>
    <row r="6115" spans="1:7">
      <c r="B6115">
        <f>IF(INDEX(Transactions!$J:$J,ROW()-8)="",TODAY(),INDEX(Transactions!$G:$G,ROW()-8))</f>
      </c>
      <c r="F6115">
        <f>IF(INDEX(Transactions!$J:$J,ROW()-8)="",0,INDEX(Transactions!$O:$O,ROW()-8))</f>
      </c>
    </row>
    <row r="6116" spans="1:7">
      <c r="B6116">
        <f>IF(INDEX(Transactions!$J:$J,ROW()-8)="",TODAY(),INDEX(Transactions!$G:$G,ROW()-8))</f>
      </c>
      <c r="F6116">
        <f>IF(INDEX(Transactions!$J:$J,ROW()-8)="",0,INDEX(Transactions!$O:$O,ROW()-8))</f>
      </c>
    </row>
    <row r="6117" spans="1:7">
      <c r="B6117">
        <f>IF(INDEX(Transactions!$J:$J,ROW()-8)="",TODAY(),INDEX(Transactions!$G:$G,ROW()-8))</f>
      </c>
      <c r="F6117">
        <f>IF(INDEX(Transactions!$J:$J,ROW()-8)="",0,INDEX(Transactions!$O:$O,ROW()-8))</f>
      </c>
    </row>
    <row r="6118" spans="1:7">
      <c r="B6118">
        <f>IF(INDEX(Transactions!$J:$J,ROW()-8)="",TODAY(),INDEX(Transactions!$G:$G,ROW()-8))</f>
      </c>
      <c r="F6118">
        <f>IF(INDEX(Transactions!$J:$J,ROW()-8)="",0,INDEX(Transactions!$O:$O,ROW()-8))</f>
      </c>
    </row>
    <row r="6119" spans="1:7">
      <c r="B6119">
        <f>IF(INDEX(Transactions!$J:$J,ROW()-8)="",TODAY(),INDEX(Transactions!$G:$G,ROW()-8))</f>
      </c>
      <c r="F6119">
        <f>IF(INDEX(Transactions!$J:$J,ROW()-8)="",0,INDEX(Transactions!$O:$O,ROW()-8))</f>
      </c>
    </row>
    <row r="6120" spans="1:7">
      <c r="B6120">
        <f>IF(INDEX(Transactions!$J:$J,ROW()-8)="",TODAY(),INDEX(Transactions!$G:$G,ROW()-8))</f>
      </c>
      <c r="F6120">
        <f>IF(INDEX(Transactions!$J:$J,ROW()-8)="",0,INDEX(Transactions!$O:$O,ROW()-8))</f>
      </c>
    </row>
    <row r="6121" spans="1:7">
      <c r="B6121">
        <f>IF(INDEX(Transactions!$J:$J,ROW()-8)="",TODAY(),INDEX(Transactions!$G:$G,ROW()-8))</f>
      </c>
      <c r="F6121">
        <f>IF(INDEX(Transactions!$J:$J,ROW()-8)="",0,INDEX(Transactions!$O:$O,ROW()-8))</f>
      </c>
    </row>
    <row r="6122" spans="1:7">
      <c r="B6122">
        <f>IF(INDEX(Transactions!$J:$J,ROW()-8)="",TODAY(),INDEX(Transactions!$G:$G,ROW()-8))</f>
      </c>
      <c r="F6122">
        <f>IF(INDEX(Transactions!$J:$J,ROW()-8)="",0,INDEX(Transactions!$O:$O,ROW()-8))</f>
      </c>
    </row>
    <row r="6123" spans="1:7">
      <c r="B6123">
        <f>IF(INDEX(Transactions!$J:$J,ROW()-8)="",TODAY(),INDEX(Transactions!$G:$G,ROW()-8))</f>
      </c>
      <c r="F6123">
        <f>IF(INDEX(Transactions!$J:$J,ROW()-8)="",0,INDEX(Transactions!$O:$O,ROW()-8))</f>
      </c>
    </row>
    <row r="6124" spans="1:7">
      <c r="B6124">
        <f>IF(INDEX(Transactions!$J:$J,ROW()-8)="",TODAY(),INDEX(Transactions!$G:$G,ROW()-8))</f>
      </c>
      <c r="F6124">
        <f>IF(INDEX(Transactions!$J:$J,ROW()-8)="",0,INDEX(Transactions!$O:$O,ROW()-8))</f>
      </c>
    </row>
    <row r="6125" spans="1:7">
      <c r="B6125">
        <f>IF(INDEX(Transactions!$J:$J,ROW()-8)="",TODAY(),INDEX(Transactions!$G:$G,ROW()-8))</f>
      </c>
      <c r="F6125">
        <f>IF(INDEX(Transactions!$J:$J,ROW()-8)="",0,INDEX(Transactions!$O:$O,ROW()-8))</f>
      </c>
    </row>
    <row r="6126" spans="1:7">
      <c r="B6126">
        <f>IF(INDEX(Transactions!$J:$J,ROW()-8)="",TODAY(),INDEX(Transactions!$G:$G,ROW()-8))</f>
      </c>
      <c r="F6126">
        <f>IF(INDEX(Transactions!$J:$J,ROW()-8)="",0,INDEX(Transactions!$O:$O,ROW()-8))</f>
      </c>
    </row>
    <row r="6127" spans="1:7">
      <c r="B6127">
        <f>IF(INDEX(Transactions!$J:$J,ROW()-8)="",TODAY(),INDEX(Transactions!$G:$G,ROW()-8))</f>
      </c>
      <c r="F6127">
        <f>IF(INDEX(Transactions!$J:$J,ROW()-8)="",0,INDEX(Transactions!$O:$O,ROW()-8))</f>
      </c>
    </row>
    <row r="6128" spans="1:7">
      <c r="B6128">
        <f>IF(INDEX(Transactions!$J:$J,ROW()-8)="",TODAY(),INDEX(Transactions!$G:$G,ROW()-8))</f>
      </c>
      <c r="F6128">
        <f>IF(INDEX(Transactions!$J:$J,ROW()-8)="",0,INDEX(Transactions!$O:$O,ROW()-8))</f>
      </c>
    </row>
    <row r="6129" spans="1:7">
      <c r="B6129">
        <f>IF(INDEX(Transactions!$J:$J,ROW()-8)="",TODAY(),INDEX(Transactions!$G:$G,ROW()-8))</f>
      </c>
      <c r="F6129">
        <f>IF(INDEX(Transactions!$J:$J,ROW()-8)="",0,INDEX(Transactions!$O:$O,ROW()-8))</f>
      </c>
    </row>
    <row r="6130" spans="1:7">
      <c r="B6130">
        <f>IF(INDEX(Transactions!$J:$J,ROW()-8)="",TODAY(),INDEX(Transactions!$G:$G,ROW()-8))</f>
      </c>
      <c r="F6130">
        <f>IF(INDEX(Transactions!$J:$J,ROW()-8)="",0,INDEX(Transactions!$O:$O,ROW()-8))</f>
      </c>
    </row>
    <row r="6131" spans="1:7">
      <c r="B6131">
        <f>IF(INDEX(Transactions!$J:$J,ROW()-8)="",TODAY(),INDEX(Transactions!$G:$G,ROW()-8))</f>
      </c>
      <c r="F6131">
        <f>IF(INDEX(Transactions!$J:$J,ROW()-8)="",0,INDEX(Transactions!$O:$O,ROW()-8))</f>
      </c>
    </row>
    <row r="6132" spans="1:7">
      <c r="B6132">
        <f>IF(INDEX(Transactions!$J:$J,ROW()-8)="",TODAY(),INDEX(Transactions!$G:$G,ROW()-8))</f>
      </c>
      <c r="F6132">
        <f>IF(INDEX(Transactions!$J:$J,ROW()-8)="",0,INDEX(Transactions!$O:$O,ROW()-8))</f>
      </c>
    </row>
    <row r="6133" spans="1:7">
      <c r="B6133">
        <f>IF(INDEX(Transactions!$J:$J,ROW()-8)="",TODAY(),INDEX(Transactions!$G:$G,ROW()-8))</f>
      </c>
      <c r="F6133">
        <f>IF(INDEX(Transactions!$J:$J,ROW()-8)="",0,INDEX(Transactions!$O:$O,ROW()-8))</f>
      </c>
    </row>
    <row r="6134" spans="1:7">
      <c r="B6134">
        <f>IF(INDEX(Transactions!$J:$J,ROW()-8)="",TODAY(),INDEX(Transactions!$G:$G,ROW()-8))</f>
      </c>
      <c r="F6134">
        <f>IF(INDEX(Transactions!$J:$J,ROW()-8)="",0,INDEX(Transactions!$O:$O,ROW()-8))</f>
      </c>
    </row>
    <row r="6135" spans="1:7">
      <c r="B6135">
        <f>IF(INDEX(Transactions!$J:$J,ROW()-8)="",TODAY(),INDEX(Transactions!$G:$G,ROW()-8))</f>
      </c>
      <c r="F6135">
        <f>IF(INDEX(Transactions!$J:$J,ROW()-8)="",0,INDEX(Transactions!$O:$O,ROW()-8))</f>
      </c>
    </row>
    <row r="6136" spans="1:7">
      <c r="B6136">
        <f>IF(INDEX(Transactions!$J:$J,ROW()-8)="",TODAY(),INDEX(Transactions!$G:$G,ROW()-8))</f>
      </c>
      <c r="F6136">
        <f>IF(INDEX(Transactions!$J:$J,ROW()-8)="",0,INDEX(Transactions!$O:$O,ROW()-8))</f>
      </c>
    </row>
    <row r="6137" spans="1:7">
      <c r="B6137">
        <f>IF(INDEX(Transactions!$J:$J,ROW()-8)="",TODAY(),INDEX(Transactions!$G:$G,ROW()-8))</f>
      </c>
      <c r="F6137">
        <f>IF(INDEX(Transactions!$J:$J,ROW()-8)="",0,INDEX(Transactions!$O:$O,ROW()-8))</f>
      </c>
    </row>
    <row r="6138" spans="1:7">
      <c r="B6138">
        <f>IF(INDEX(Transactions!$J:$J,ROW()-8)="",TODAY(),INDEX(Transactions!$G:$G,ROW()-8))</f>
      </c>
      <c r="F6138">
        <f>IF(INDEX(Transactions!$J:$J,ROW()-8)="",0,INDEX(Transactions!$O:$O,ROW()-8))</f>
      </c>
    </row>
    <row r="6139" spans="1:7">
      <c r="B6139">
        <f>IF(INDEX(Transactions!$J:$J,ROW()-8)="",TODAY(),INDEX(Transactions!$G:$G,ROW()-8))</f>
      </c>
      <c r="F6139">
        <f>IF(INDEX(Transactions!$J:$J,ROW()-8)="",0,INDEX(Transactions!$O:$O,ROW()-8))</f>
      </c>
    </row>
    <row r="6140" spans="1:7">
      <c r="B6140">
        <f>IF(INDEX(Transactions!$J:$J,ROW()-8)="",TODAY(),INDEX(Transactions!$G:$G,ROW()-8))</f>
      </c>
      <c r="F6140">
        <f>IF(INDEX(Transactions!$J:$J,ROW()-8)="",0,INDEX(Transactions!$O:$O,ROW()-8))</f>
      </c>
    </row>
    <row r="6141" spans="1:7">
      <c r="B6141">
        <f>IF(INDEX(Transactions!$J:$J,ROW()-8)="",TODAY(),INDEX(Transactions!$G:$G,ROW()-8))</f>
      </c>
      <c r="F6141">
        <f>IF(INDEX(Transactions!$J:$J,ROW()-8)="",0,INDEX(Transactions!$O:$O,ROW()-8))</f>
      </c>
    </row>
    <row r="6142" spans="1:7">
      <c r="B6142">
        <f>IF(INDEX(Transactions!$J:$J,ROW()-8)="",TODAY(),INDEX(Transactions!$G:$G,ROW()-8))</f>
      </c>
      <c r="F6142">
        <f>IF(INDEX(Transactions!$J:$J,ROW()-8)="",0,INDEX(Transactions!$O:$O,ROW()-8))</f>
      </c>
    </row>
    <row r="6143" spans="1:7">
      <c r="B6143">
        <f>IF(INDEX(Transactions!$J:$J,ROW()-8)="",TODAY(),INDEX(Transactions!$G:$G,ROW()-8))</f>
      </c>
      <c r="F6143">
        <f>IF(INDEX(Transactions!$J:$J,ROW()-8)="",0,INDEX(Transactions!$O:$O,ROW()-8))</f>
      </c>
    </row>
    <row r="6144" spans="1:7">
      <c r="B6144">
        <f>IF(INDEX(Transactions!$J:$J,ROW()-8)="",TODAY(),INDEX(Transactions!$G:$G,ROW()-8))</f>
      </c>
      <c r="F6144">
        <f>IF(INDEX(Transactions!$J:$J,ROW()-8)="",0,INDEX(Transactions!$O:$O,ROW()-8))</f>
      </c>
    </row>
    <row r="6145" spans="1:7">
      <c r="B6145">
        <f>IF(INDEX(Transactions!$J:$J,ROW()-8)="",TODAY(),INDEX(Transactions!$G:$G,ROW()-8))</f>
      </c>
      <c r="F6145">
        <f>IF(INDEX(Transactions!$J:$J,ROW()-8)="",0,INDEX(Transactions!$O:$O,ROW()-8))</f>
      </c>
    </row>
    <row r="6146" spans="1:7">
      <c r="B6146">
        <f>IF(INDEX(Transactions!$J:$J,ROW()-8)="",TODAY(),INDEX(Transactions!$G:$G,ROW()-8))</f>
      </c>
      <c r="F6146">
        <f>IF(INDEX(Transactions!$J:$J,ROW()-8)="",0,INDEX(Transactions!$O:$O,ROW()-8))</f>
      </c>
    </row>
    <row r="6147" spans="1:7">
      <c r="B6147">
        <f>IF(INDEX(Transactions!$J:$J,ROW()-8)="",TODAY(),INDEX(Transactions!$G:$G,ROW()-8))</f>
      </c>
      <c r="F6147">
        <f>IF(INDEX(Transactions!$J:$J,ROW()-8)="",0,INDEX(Transactions!$O:$O,ROW()-8))</f>
      </c>
    </row>
    <row r="6148" spans="1:7">
      <c r="B6148">
        <f>IF(INDEX(Transactions!$J:$J,ROW()-8)="",TODAY(),INDEX(Transactions!$G:$G,ROW()-8))</f>
      </c>
      <c r="F6148">
        <f>IF(INDEX(Transactions!$J:$J,ROW()-8)="",0,INDEX(Transactions!$O:$O,ROW()-8))</f>
      </c>
    </row>
    <row r="6149" spans="1:7">
      <c r="B6149">
        <f>IF(INDEX(Transactions!$J:$J,ROW()-8)="",TODAY(),INDEX(Transactions!$G:$G,ROW()-8))</f>
      </c>
      <c r="F6149">
        <f>IF(INDEX(Transactions!$J:$J,ROW()-8)="",0,INDEX(Transactions!$O:$O,ROW()-8))</f>
      </c>
    </row>
    <row r="6150" spans="1:7">
      <c r="B6150">
        <f>IF(INDEX(Transactions!$J:$J,ROW()-8)="",TODAY(),INDEX(Transactions!$G:$G,ROW()-8))</f>
      </c>
      <c r="F6150">
        <f>IF(INDEX(Transactions!$J:$J,ROW()-8)="",0,INDEX(Transactions!$O:$O,ROW()-8))</f>
      </c>
    </row>
    <row r="6151" spans="1:7">
      <c r="B6151">
        <f>IF(INDEX(Transactions!$J:$J,ROW()-8)="",TODAY(),INDEX(Transactions!$G:$G,ROW()-8))</f>
      </c>
      <c r="F6151">
        <f>IF(INDEX(Transactions!$J:$J,ROW()-8)="",0,INDEX(Transactions!$O:$O,ROW()-8))</f>
      </c>
    </row>
    <row r="6152" spans="1:7">
      <c r="B6152">
        <f>IF(INDEX(Transactions!$J:$J,ROW()-8)="",TODAY(),INDEX(Transactions!$G:$G,ROW()-8))</f>
      </c>
      <c r="F6152">
        <f>IF(INDEX(Transactions!$J:$J,ROW()-8)="",0,INDEX(Transactions!$O:$O,ROW()-8))</f>
      </c>
    </row>
    <row r="6153" spans="1:7">
      <c r="B6153">
        <f>IF(INDEX(Transactions!$J:$J,ROW()-8)="",TODAY(),INDEX(Transactions!$G:$G,ROW()-8))</f>
      </c>
      <c r="F6153">
        <f>IF(INDEX(Transactions!$J:$J,ROW()-8)="",0,INDEX(Transactions!$O:$O,ROW()-8))</f>
      </c>
    </row>
    <row r="6154" spans="1:7">
      <c r="B6154">
        <f>IF(INDEX(Transactions!$J:$J,ROW()-8)="",TODAY(),INDEX(Transactions!$G:$G,ROW()-8))</f>
      </c>
      <c r="F6154">
        <f>IF(INDEX(Transactions!$J:$J,ROW()-8)="",0,INDEX(Transactions!$O:$O,ROW()-8))</f>
      </c>
    </row>
    <row r="6155" spans="1:7">
      <c r="B6155">
        <f>IF(INDEX(Transactions!$J:$J,ROW()-8)="",TODAY(),INDEX(Transactions!$G:$G,ROW()-8))</f>
      </c>
      <c r="F6155">
        <f>IF(INDEX(Transactions!$J:$J,ROW()-8)="",0,INDEX(Transactions!$O:$O,ROW()-8))</f>
      </c>
    </row>
    <row r="6156" spans="1:7">
      <c r="B6156">
        <f>IF(INDEX(Transactions!$J:$J,ROW()-8)="",TODAY(),INDEX(Transactions!$G:$G,ROW()-8))</f>
      </c>
      <c r="F6156">
        <f>IF(INDEX(Transactions!$J:$J,ROW()-8)="",0,INDEX(Transactions!$O:$O,ROW()-8))</f>
      </c>
    </row>
    <row r="6157" spans="1:7">
      <c r="B6157">
        <f>IF(INDEX(Transactions!$J:$J,ROW()-8)="",TODAY(),INDEX(Transactions!$G:$G,ROW()-8))</f>
      </c>
      <c r="F6157">
        <f>IF(INDEX(Transactions!$J:$J,ROW()-8)="",0,INDEX(Transactions!$O:$O,ROW()-8))</f>
      </c>
    </row>
    <row r="6158" spans="1:7">
      <c r="B6158">
        <f>IF(INDEX(Transactions!$J:$J,ROW()-8)="",TODAY(),INDEX(Transactions!$G:$G,ROW()-8))</f>
      </c>
      <c r="F6158">
        <f>IF(INDEX(Transactions!$J:$J,ROW()-8)="",0,INDEX(Transactions!$O:$O,ROW()-8))</f>
      </c>
    </row>
    <row r="6159" spans="1:7">
      <c r="B6159">
        <f>IF(INDEX(Transactions!$J:$J,ROW()-8)="",TODAY(),INDEX(Transactions!$G:$G,ROW()-8))</f>
      </c>
      <c r="F6159">
        <f>IF(INDEX(Transactions!$J:$J,ROW()-8)="",0,INDEX(Transactions!$O:$O,ROW()-8))</f>
      </c>
    </row>
    <row r="6160" spans="1:7">
      <c r="B6160">
        <f>IF(INDEX(Transactions!$J:$J,ROW()-8)="",TODAY(),INDEX(Transactions!$G:$G,ROW()-8))</f>
      </c>
      <c r="F6160">
        <f>IF(INDEX(Transactions!$J:$J,ROW()-8)="",0,INDEX(Transactions!$O:$O,ROW()-8))</f>
      </c>
    </row>
    <row r="6161" spans="1:7">
      <c r="B6161">
        <f>IF(INDEX(Transactions!$J:$J,ROW()-8)="",TODAY(),INDEX(Transactions!$G:$G,ROW()-8))</f>
      </c>
      <c r="F6161">
        <f>IF(INDEX(Transactions!$J:$J,ROW()-8)="",0,INDEX(Transactions!$O:$O,ROW()-8))</f>
      </c>
    </row>
    <row r="6162" spans="1:7">
      <c r="B6162">
        <f>IF(INDEX(Transactions!$J:$J,ROW()-8)="",TODAY(),INDEX(Transactions!$G:$G,ROW()-8))</f>
      </c>
      <c r="F6162">
        <f>IF(INDEX(Transactions!$J:$J,ROW()-8)="",0,INDEX(Transactions!$O:$O,ROW()-8))</f>
      </c>
    </row>
    <row r="6163" spans="1:7">
      <c r="B6163">
        <f>IF(INDEX(Transactions!$J:$J,ROW()-8)="",TODAY(),INDEX(Transactions!$G:$G,ROW()-8))</f>
      </c>
      <c r="F6163">
        <f>IF(INDEX(Transactions!$J:$J,ROW()-8)="",0,INDEX(Transactions!$O:$O,ROW()-8))</f>
      </c>
    </row>
    <row r="6164" spans="1:7">
      <c r="B6164">
        <f>IF(INDEX(Transactions!$J:$J,ROW()-8)="",TODAY(),INDEX(Transactions!$G:$G,ROW()-8))</f>
      </c>
      <c r="F6164">
        <f>IF(INDEX(Transactions!$J:$J,ROW()-8)="",0,INDEX(Transactions!$O:$O,ROW()-8))</f>
      </c>
    </row>
    <row r="6165" spans="1:7">
      <c r="B6165">
        <f>IF(INDEX(Transactions!$J:$J,ROW()-8)="",TODAY(),INDEX(Transactions!$G:$G,ROW()-8))</f>
      </c>
      <c r="F6165">
        <f>IF(INDEX(Transactions!$J:$J,ROW()-8)="",0,INDEX(Transactions!$O:$O,ROW()-8))</f>
      </c>
    </row>
    <row r="6166" spans="1:7">
      <c r="B6166">
        <f>IF(INDEX(Transactions!$J:$J,ROW()-8)="",TODAY(),INDEX(Transactions!$G:$G,ROW()-8))</f>
      </c>
      <c r="F6166">
        <f>IF(INDEX(Transactions!$J:$J,ROW()-8)="",0,INDEX(Transactions!$O:$O,ROW()-8))</f>
      </c>
    </row>
    <row r="6167" spans="1:7">
      <c r="B6167">
        <f>IF(INDEX(Transactions!$J:$J,ROW()-8)="",TODAY(),INDEX(Transactions!$G:$G,ROW()-8))</f>
      </c>
      <c r="F6167">
        <f>IF(INDEX(Transactions!$J:$J,ROW()-8)="",0,INDEX(Transactions!$O:$O,ROW()-8))</f>
      </c>
    </row>
    <row r="6168" spans="1:7">
      <c r="B6168">
        <f>IF(INDEX(Transactions!$J:$J,ROW()-8)="",TODAY(),INDEX(Transactions!$G:$G,ROW()-8))</f>
      </c>
      <c r="F6168">
        <f>IF(INDEX(Transactions!$J:$J,ROW()-8)="",0,INDEX(Transactions!$O:$O,ROW()-8))</f>
      </c>
    </row>
    <row r="6169" spans="1:7">
      <c r="B6169">
        <f>IF(INDEX(Transactions!$J:$J,ROW()-8)="",TODAY(),INDEX(Transactions!$G:$G,ROW()-8))</f>
      </c>
      <c r="F6169">
        <f>IF(INDEX(Transactions!$J:$J,ROW()-8)="",0,INDEX(Transactions!$O:$O,ROW()-8))</f>
      </c>
    </row>
    <row r="6170" spans="1:7">
      <c r="B6170">
        <f>IF(INDEX(Transactions!$J:$J,ROW()-8)="",TODAY(),INDEX(Transactions!$G:$G,ROW()-8))</f>
      </c>
      <c r="F6170">
        <f>IF(INDEX(Transactions!$J:$J,ROW()-8)="",0,INDEX(Transactions!$O:$O,ROW()-8))</f>
      </c>
    </row>
    <row r="6171" spans="1:7">
      <c r="B6171">
        <f>IF(INDEX(Transactions!$J:$J,ROW()-8)="",TODAY(),INDEX(Transactions!$G:$G,ROW()-8))</f>
      </c>
      <c r="F6171">
        <f>IF(INDEX(Transactions!$J:$J,ROW()-8)="",0,INDEX(Transactions!$O:$O,ROW()-8))</f>
      </c>
    </row>
    <row r="6172" spans="1:7">
      <c r="B6172">
        <f>IF(INDEX(Transactions!$J:$J,ROW()-8)="",TODAY(),INDEX(Transactions!$G:$G,ROW()-8))</f>
      </c>
      <c r="F6172">
        <f>IF(INDEX(Transactions!$J:$J,ROW()-8)="",0,INDEX(Transactions!$O:$O,ROW()-8))</f>
      </c>
    </row>
    <row r="6173" spans="1:7">
      <c r="B6173">
        <f>IF(INDEX(Transactions!$J:$J,ROW()-8)="",TODAY(),INDEX(Transactions!$G:$G,ROW()-8))</f>
      </c>
      <c r="F6173">
        <f>IF(INDEX(Transactions!$J:$J,ROW()-8)="",0,INDEX(Transactions!$O:$O,ROW()-8))</f>
      </c>
    </row>
    <row r="6174" spans="1:7">
      <c r="B6174">
        <f>IF(INDEX(Transactions!$J:$J,ROW()-8)="",TODAY(),INDEX(Transactions!$G:$G,ROW()-8))</f>
      </c>
      <c r="F6174">
        <f>IF(INDEX(Transactions!$J:$J,ROW()-8)="",0,INDEX(Transactions!$O:$O,ROW()-8))</f>
      </c>
    </row>
    <row r="6175" spans="1:7">
      <c r="B6175">
        <f>IF(INDEX(Transactions!$J:$J,ROW()-8)="",TODAY(),INDEX(Transactions!$G:$G,ROW()-8))</f>
      </c>
      <c r="F6175">
        <f>IF(INDEX(Transactions!$J:$J,ROW()-8)="",0,INDEX(Transactions!$O:$O,ROW()-8))</f>
      </c>
    </row>
    <row r="6176" spans="1:7">
      <c r="B6176">
        <f>IF(INDEX(Transactions!$J:$J,ROW()-8)="",TODAY(),INDEX(Transactions!$G:$G,ROW()-8))</f>
      </c>
      <c r="F6176">
        <f>IF(INDEX(Transactions!$J:$J,ROW()-8)="",0,INDEX(Transactions!$O:$O,ROW()-8))</f>
      </c>
    </row>
    <row r="6177" spans="1:7">
      <c r="B6177">
        <f>IF(INDEX(Transactions!$J:$J,ROW()-8)="",TODAY(),INDEX(Transactions!$G:$G,ROW()-8))</f>
      </c>
      <c r="F6177">
        <f>IF(INDEX(Transactions!$J:$J,ROW()-8)="",0,INDEX(Transactions!$O:$O,ROW()-8))</f>
      </c>
    </row>
    <row r="6178" spans="1:7">
      <c r="B6178">
        <f>IF(INDEX(Transactions!$J:$J,ROW()-8)="",TODAY(),INDEX(Transactions!$G:$G,ROW()-8))</f>
      </c>
      <c r="F6178">
        <f>IF(INDEX(Transactions!$J:$J,ROW()-8)="",0,INDEX(Transactions!$O:$O,ROW()-8))</f>
      </c>
    </row>
    <row r="6179" spans="1:7">
      <c r="B6179">
        <f>IF(INDEX(Transactions!$J:$J,ROW()-8)="",TODAY(),INDEX(Transactions!$G:$G,ROW()-8))</f>
      </c>
      <c r="F6179">
        <f>IF(INDEX(Transactions!$J:$J,ROW()-8)="",0,INDEX(Transactions!$O:$O,ROW()-8))</f>
      </c>
    </row>
    <row r="6180" spans="1:7">
      <c r="B6180">
        <f>IF(INDEX(Transactions!$J:$J,ROW()-8)="",TODAY(),INDEX(Transactions!$G:$G,ROW()-8))</f>
      </c>
      <c r="F6180">
        <f>IF(INDEX(Transactions!$J:$J,ROW()-8)="",0,INDEX(Transactions!$O:$O,ROW()-8))</f>
      </c>
    </row>
    <row r="6181" spans="1:7">
      <c r="B6181">
        <f>IF(INDEX(Transactions!$J:$J,ROW()-8)="",TODAY(),INDEX(Transactions!$G:$G,ROW()-8))</f>
      </c>
      <c r="F6181">
        <f>IF(INDEX(Transactions!$J:$J,ROW()-8)="",0,INDEX(Transactions!$O:$O,ROW()-8))</f>
      </c>
    </row>
    <row r="6182" spans="1:7">
      <c r="B6182">
        <f>IF(INDEX(Transactions!$J:$J,ROW()-8)="",TODAY(),INDEX(Transactions!$G:$G,ROW()-8))</f>
      </c>
      <c r="F6182">
        <f>IF(INDEX(Transactions!$J:$J,ROW()-8)="",0,INDEX(Transactions!$O:$O,ROW()-8))</f>
      </c>
    </row>
    <row r="6183" spans="1:7">
      <c r="B6183">
        <f>IF(INDEX(Transactions!$J:$J,ROW()-8)="",TODAY(),INDEX(Transactions!$G:$G,ROW()-8))</f>
      </c>
      <c r="F6183">
        <f>IF(INDEX(Transactions!$J:$J,ROW()-8)="",0,INDEX(Transactions!$O:$O,ROW()-8))</f>
      </c>
    </row>
    <row r="6184" spans="1:7">
      <c r="B6184">
        <f>IF(INDEX(Transactions!$J:$J,ROW()-8)="",TODAY(),INDEX(Transactions!$G:$G,ROW()-8))</f>
      </c>
      <c r="F6184">
        <f>IF(INDEX(Transactions!$J:$J,ROW()-8)="",0,INDEX(Transactions!$O:$O,ROW()-8))</f>
      </c>
    </row>
    <row r="6185" spans="1:7">
      <c r="B6185">
        <f>IF(INDEX(Transactions!$J:$J,ROW()-8)="",TODAY(),INDEX(Transactions!$G:$G,ROW()-8))</f>
      </c>
      <c r="F6185">
        <f>IF(INDEX(Transactions!$J:$J,ROW()-8)="",0,INDEX(Transactions!$O:$O,ROW()-8))</f>
      </c>
    </row>
    <row r="6186" spans="1:7">
      <c r="B6186">
        <f>IF(INDEX(Transactions!$J:$J,ROW()-8)="",TODAY(),INDEX(Transactions!$G:$G,ROW()-8))</f>
      </c>
      <c r="F6186">
        <f>IF(INDEX(Transactions!$J:$J,ROW()-8)="",0,INDEX(Transactions!$O:$O,ROW()-8))</f>
      </c>
    </row>
    <row r="6187" spans="1:7">
      <c r="B6187">
        <f>IF(INDEX(Transactions!$J:$J,ROW()-8)="",TODAY(),INDEX(Transactions!$G:$G,ROW()-8))</f>
      </c>
      <c r="F6187">
        <f>IF(INDEX(Transactions!$J:$J,ROW()-8)="",0,INDEX(Transactions!$O:$O,ROW()-8))</f>
      </c>
    </row>
    <row r="6188" spans="1:7">
      <c r="B6188">
        <f>IF(INDEX(Transactions!$J:$J,ROW()-8)="",TODAY(),INDEX(Transactions!$G:$G,ROW()-8))</f>
      </c>
      <c r="F6188">
        <f>IF(INDEX(Transactions!$J:$J,ROW()-8)="",0,INDEX(Transactions!$O:$O,ROW()-8))</f>
      </c>
    </row>
    <row r="6189" spans="1:7">
      <c r="B6189">
        <f>IF(INDEX(Transactions!$J:$J,ROW()-8)="",TODAY(),INDEX(Transactions!$G:$G,ROW()-8))</f>
      </c>
      <c r="F6189">
        <f>IF(INDEX(Transactions!$J:$J,ROW()-8)="",0,INDEX(Transactions!$O:$O,ROW()-8))</f>
      </c>
    </row>
    <row r="6190" spans="1:7">
      <c r="B6190">
        <f>IF(INDEX(Transactions!$J:$J,ROW()-8)="",TODAY(),INDEX(Transactions!$G:$G,ROW()-8))</f>
      </c>
      <c r="F6190">
        <f>IF(INDEX(Transactions!$J:$J,ROW()-8)="",0,INDEX(Transactions!$O:$O,ROW()-8))</f>
      </c>
    </row>
    <row r="6191" spans="1:7">
      <c r="B6191">
        <f>IF(INDEX(Transactions!$J:$J,ROW()-8)="",TODAY(),INDEX(Transactions!$G:$G,ROW()-8))</f>
      </c>
      <c r="F6191">
        <f>IF(INDEX(Transactions!$J:$J,ROW()-8)="",0,INDEX(Transactions!$O:$O,ROW()-8))</f>
      </c>
    </row>
    <row r="6192" spans="1:7">
      <c r="B6192">
        <f>IF(INDEX(Transactions!$J:$J,ROW()-8)="",TODAY(),INDEX(Transactions!$G:$G,ROW()-8))</f>
      </c>
      <c r="F6192">
        <f>IF(INDEX(Transactions!$J:$J,ROW()-8)="",0,INDEX(Transactions!$O:$O,ROW()-8))</f>
      </c>
    </row>
    <row r="6193" spans="1:7">
      <c r="B6193">
        <f>IF(INDEX(Transactions!$J:$J,ROW()-8)="",TODAY(),INDEX(Transactions!$G:$G,ROW()-8))</f>
      </c>
      <c r="F6193">
        <f>IF(INDEX(Transactions!$J:$J,ROW()-8)="",0,INDEX(Transactions!$O:$O,ROW()-8))</f>
      </c>
    </row>
    <row r="6194" spans="1:7">
      <c r="B6194">
        <f>IF(INDEX(Transactions!$J:$J,ROW()-8)="",TODAY(),INDEX(Transactions!$G:$G,ROW()-8))</f>
      </c>
      <c r="F6194">
        <f>IF(INDEX(Transactions!$J:$J,ROW()-8)="",0,INDEX(Transactions!$O:$O,ROW()-8))</f>
      </c>
    </row>
    <row r="6195" spans="1:7">
      <c r="B6195">
        <f>IF(INDEX(Transactions!$J:$J,ROW()-8)="",TODAY(),INDEX(Transactions!$G:$G,ROW()-8))</f>
      </c>
      <c r="F6195">
        <f>IF(INDEX(Transactions!$J:$J,ROW()-8)="",0,INDEX(Transactions!$O:$O,ROW()-8))</f>
      </c>
    </row>
    <row r="6196" spans="1:7">
      <c r="B6196">
        <f>IF(INDEX(Transactions!$J:$J,ROW()-8)="",TODAY(),INDEX(Transactions!$G:$G,ROW()-8))</f>
      </c>
      <c r="F6196">
        <f>IF(INDEX(Transactions!$J:$J,ROW()-8)="",0,INDEX(Transactions!$O:$O,ROW()-8))</f>
      </c>
    </row>
    <row r="6197" spans="1:7">
      <c r="B6197">
        <f>IF(INDEX(Transactions!$J:$J,ROW()-8)="",TODAY(),INDEX(Transactions!$G:$G,ROW()-8))</f>
      </c>
      <c r="F6197">
        <f>IF(INDEX(Transactions!$J:$J,ROW()-8)="",0,INDEX(Transactions!$O:$O,ROW()-8))</f>
      </c>
    </row>
    <row r="6198" spans="1:7">
      <c r="B6198">
        <f>IF(INDEX(Transactions!$J:$J,ROW()-8)="",TODAY(),INDEX(Transactions!$G:$G,ROW()-8))</f>
      </c>
      <c r="F6198">
        <f>IF(INDEX(Transactions!$J:$J,ROW()-8)="",0,INDEX(Transactions!$O:$O,ROW()-8))</f>
      </c>
    </row>
    <row r="6199" spans="1:7">
      <c r="B6199">
        <f>IF(INDEX(Transactions!$J:$J,ROW()-8)="",TODAY(),INDEX(Transactions!$G:$G,ROW()-8))</f>
      </c>
      <c r="F6199">
        <f>IF(INDEX(Transactions!$J:$J,ROW()-8)="",0,INDEX(Transactions!$O:$O,ROW()-8))</f>
      </c>
    </row>
    <row r="6200" spans="1:7">
      <c r="B6200">
        <f>IF(INDEX(Transactions!$J:$J,ROW()-8)="",TODAY(),INDEX(Transactions!$G:$G,ROW()-8))</f>
      </c>
      <c r="F6200">
        <f>IF(INDEX(Transactions!$J:$J,ROW()-8)="",0,INDEX(Transactions!$O:$O,ROW()-8))</f>
      </c>
    </row>
    <row r="6201" spans="1:7">
      <c r="B6201">
        <f>IF(INDEX(Transactions!$J:$J,ROW()-8)="",TODAY(),INDEX(Transactions!$G:$G,ROW()-8))</f>
      </c>
      <c r="F6201">
        <f>IF(INDEX(Transactions!$J:$J,ROW()-8)="",0,INDEX(Transactions!$O:$O,ROW()-8))</f>
      </c>
    </row>
    <row r="6202" spans="1:7">
      <c r="B6202">
        <f>IF(INDEX(Transactions!$J:$J,ROW()-8)="",TODAY(),INDEX(Transactions!$G:$G,ROW()-8))</f>
      </c>
      <c r="F6202">
        <f>IF(INDEX(Transactions!$J:$J,ROW()-8)="",0,INDEX(Transactions!$O:$O,ROW()-8))</f>
      </c>
    </row>
    <row r="6203" spans="1:7">
      <c r="B6203">
        <f>IF(INDEX(Transactions!$J:$J,ROW()-8)="",TODAY(),INDEX(Transactions!$G:$G,ROW()-8))</f>
      </c>
      <c r="F6203">
        <f>IF(INDEX(Transactions!$J:$J,ROW()-8)="",0,INDEX(Transactions!$O:$O,ROW()-8))</f>
      </c>
    </row>
    <row r="6204" spans="1:7">
      <c r="B6204">
        <f>IF(INDEX(Transactions!$J:$J,ROW()-8)="",TODAY(),INDEX(Transactions!$G:$G,ROW()-8))</f>
      </c>
      <c r="F6204">
        <f>IF(INDEX(Transactions!$J:$J,ROW()-8)="",0,INDEX(Transactions!$O:$O,ROW()-8))</f>
      </c>
    </row>
    <row r="6205" spans="1:7">
      <c r="B6205">
        <f>IF(INDEX(Transactions!$J:$J,ROW()-8)="",TODAY(),INDEX(Transactions!$G:$G,ROW()-8))</f>
      </c>
      <c r="F6205">
        <f>IF(INDEX(Transactions!$J:$J,ROW()-8)="",0,INDEX(Transactions!$O:$O,ROW()-8))</f>
      </c>
    </row>
    <row r="6206" spans="1:7">
      <c r="B6206">
        <f>IF(INDEX(Transactions!$J:$J,ROW()-8)="",TODAY(),INDEX(Transactions!$G:$G,ROW()-8))</f>
      </c>
      <c r="F6206">
        <f>IF(INDEX(Transactions!$J:$J,ROW()-8)="",0,INDEX(Transactions!$O:$O,ROW()-8))</f>
      </c>
    </row>
    <row r="6207" spans="1:7">
      <c r="B6207">
        <f>IF(INDEX(Transactions!$J:$J,ROW()-8)="",TODAY(),INDEX(Transactions!$G:$G,ROW()-8))</f>
      </c>
      <c r="F6207">
        <f>IF(INDEX(Transactions!$J:$J,ROW()-8)="",0,INDEX(Transactions!$O:$O,ROW()-8))</f>
      </c>
    </row>
    <row r="6208" spans="1:7">
      <c r="B6208">
        <f>IF(INDEX(Transactions!$J:$J,ROW()-8)="",TODAY(),INDEX(Transactions!$G:$G,ROW()-8))</f>
      </c>
      <c r="F6208">
        <f>IF(INDEX(Transactions!$J:$J,ROW()-8)="",0,INDEX(Transactions!$O:$O,ROW()-8))</f>
      </c>
    </row>
    <row r="6209" spans="1:7">
      <c r="B6209">
        <f>IF(INDEX(Transactions!$J:$J,ROW()-8)="",TODAY(),INDEX(Transactions!$G:$G,ROW()-8))</f>
      </c>
      <c r="F6209">
        <f>IF(INDEX(Transactions!$J:$J,ROW()-8)="",0,INDEX(Transactions!$O:$O,ROW()-8))</f>
      </c>
    </row>
    <row r="6210" spans="1:7">
      <c r="B6210">
        <f>IF(INDEX(Transactions!$J:$J,ROW()-8)="",TODAY(),INDEX(Transactions!$G:$G,ROW()-8))</f>
      </c>
      <c r="F6210">
        <f>IF(INDEX(Transactions!$J:$J,ROW()-8)="",0,INDEX(Transactions!$O:$O,ROW()-8))</f>
      </c>
    </row>
    <row r="6211" spans="1:7">
      <c r="B6211">
        <f>IF(INDEX(Transactions!$J:$J,ROW()-8)="",TODAY(),INDEX(Transactions!$G:$G,ROW()-8))</f>
      </c>
      <c r="F6211">
        <f>IF(INDEX(Transactions!$J:$J,ROW()-8)="",0,INDEX(Transactions!$O:$O,ROW()-8))</f>
      </c>
    </row>
    <row r="6212" spans="1:7">
      <c r="B6212">
        <f>IF(INDEX(Transactions!$J:$J,ROW()-8)="",TODAY(),INDEX(Transactions!$G:$G,ROW()-8))</f>
      </c>
      <c r="F6212">
        <f>IF(INDEX(Transactions!$J:$J,ROW()-8)="",0,INDEX(Transactions!$O:$O,ROW()-8))</f>
      </c>
    </row>
    <row r="6213" spans="1:7">
      <c r="B6213">
        <f>IF(INDEX(Transactions!$J:$J,ROW()-8)="",TODAY(),INDEX(Transactions!$G:$G,ROW()-8))</f>
      </c>
      <c r="F6213">
        <f>IF(INDEX(Transactions!$J:$J,ROW()-8)="",0,INDEX(Transactions!$O:$O,ROW()-8))</f>
      </c>
    </row>
    <row r="6214" spans="1:7">
      <c r="B6214">
        <f>IF(INDEX(Transactions!$J:$J,ROW()-8)="",TODAY(),INDEX(Transactions!$G:$G,ROW()-8))</f>
      </c>
      <c r="F6214">
        <f>IF(INDEX(Transactions!$J:$J,ROW()-8)="",0,INDEX(Transactions!$O:$O,ROW()-8))</f>
      </c>
    </row>
    <row r="6215" spans="1:7">
      <c r="B6215">
        <f>IF(INDEX(Transactions!$J:$J,ROW()-8)="",TODAY(),INDEX(Transactions!$G:$G,ROW()-8))</f>
      </c>
      <c r="F6215">
        <f>IF(INDEX(Transactions!$J:$J,ROW()-8)="",0,INDEX(Transactions!$O:$O,ROW()-8))</f>
      </c>
    </row>
    <row r="6216" spans="1:7">
      <c r="B6216">
        <f>IF(INDEX(Transactions!$J:$J,ROW()-8)="",TODAY(),INDEX(Transactions!$G:$G,ROW()-8))</f>
      </c>
      <c r="F6216">
        <f>IF(INDEX(Transactions!$J:$J,ROW()-8)="",0,INDEX(Transactions!$O:$O,ROW()-8))</f>
      </c>
    </row>
    <row r="6217" spans="1:7">
      <c r="B6217">
        <f>IF(INDEX(Transactions!$J:$J,ROW()-8)="",TODAY(),INDEX(Transactions!$G:$G,ROW()-8))</f>
      </c>
      <c r="F6217">
        <f>IF(INDEX(Transactions!$J:$J,ROW()-8)="",0,INDEX(Transactions!$O:$O,ROW()-8))</f>
      </c>
    </row>
    <row r="6218" spans="1:7">
      <c r="B6218">
        <f>IF(INDEX(Transactions!$J:$J,ROW()-8)="",TODAY(),INDEX(Transactions!$G:$G,ROW()-8))</f>
      </c>
      <c r="F6218">
        <f>IF(INDEX(Transactions!$J:$J,ROW()-8)="",0,INDEX(Transactions!$O:$O,ROW()-8))</f>
      </c>
    </row>
    <row r="6219" spans="1:7">
      <c r="B6219">
        <f>IF(INDEX(Transactions!$J:$J,ROW()-8)="",TODAY(),INDEX(Transactions!$G:$G,ROW()-8))</f>
      </c>
      <c r="F6219">
        <f>IF(INDEX(Transactions!$J:$J,ROW()-8)="",0,INDEX(Transactions!$O:$O,ROW()-8))</f>
      </c>
    </row>
    <row r="6220" spans="1:7">
      <c r="B6220">
        <f>IF(INDEX(Transactions!$J:$J,ROW()-8)="",TODAY(),INDEX(Transactions!$G:$G,ROW()-8))</f>
      </c>
      <c r="F6220">
        <f>IF(INDEX(Transactions!$J:$J,ROW()-8)="",0,INDEX(Transactions!$O:$O,ROW()-8))</f>
      </c>
    </row>
    <row r="6221" spans="1:7">
      <c r="B6221">
        <f>IF(INDEX(Transactions!$J:$J,ROW()-8)="",TODAY(),INDEX(Transactions!$G:$G,ROW()-8))</f>
      </c>
      <c r="F6221">
        <f>IF(INDEX(Transactions!$J:$J,ROW()-8)="",0,INDEX(Transactions!$O:$O,ROW()-8))</f>
      </c>
    </row>
    <row r="6222" spans="1:7">
      <c r="B6222">
        <f>IF(INDEX(Transactions!$J:$J,ROW()-8)="",TODAY(),INDEX(Transactions!$G:$G,ROW()-8))</f>
      </c>
      <c r="F6222">
        <f>IF(INDEX(Transactions!$J:$J,ROW()-8)="",0,INDEX(Transactions!$O:$O,ROW()-8))</f>
      </c>
    </row>
    <row r="6223" spans="1:7">
      <c r="B6223">
        <f>IF(INDEX(Transactions!$J:$J,ROW()-8)="",TODAY(),INDEX(Transactions!$G:$G,ROW()-8))</f>
      </c>
      <c r="F6223">
        <f>IF(INDEX(Transactions!$J:$J,ROW()-8)="",0,INDEX(Transactions!$O:$O,ROW()-8))</f>
      </c>
    </row>
    <row r="6224" spans="1:7">
      <c r="B6224">
        <f>IF(INDEX(Transactions!$J:$J,ROW()-8)="",TODAY(),INDEX(Transactions!$G:$G,ROW()-8))</f>
      </c>
      <c r="F6224">
        <f>IF(INDEX(Transactions!$J:$J,ROW()-8)="",0,INDEX(Transactions!$O:$O,ROW()-8))</f>
      </c>
    </row>
    <row r="6225" spans="1:7">
      <c r="B6225">
        <f>IF(INDEX(Transactions!$J:$J,ROW()-8)="",TODAY(),INDEX(Transactions!$G:$G,ROW()-8))</f>
      </c>
      <c r="F6225">
        <f>IF(INDEX(Transactions!$J:$J,ROW()-8)="",0,INDEX(Transactions!$O:$O,ROW()-8))</f>
      </c>
    </row>
    <row r="6226" spans="1:7">
      <c r="B6226">
        <f>IF(INDEX(Transactions!$J:$J,ROW()-8)="",TODAY(),INDEX(Transactions!$G:$G,ROW()-8))</f>
      </c>
      <c r="F6226">
        <f>IF(INDEX(Transactions!$J:$J,ROW()-8)="",0,INDEX(Transactions!$O:$O,ROW()-8))</f>
      </c>
    </row>
    <row r="6227" spans="1:7">
      <c r="B6227">
        <f>IF(INDEX(Transactions!$J:$J,ROW()-8)="",TODAY(),INDEX(Transactions!$G:$G,ROW()-8))</f>
      </c>
      <c r="F6227">
        <f>IF(INDEX(Transactions!$J:$J,ROW()-8)="",0,INDEX(Transactions!$O:$O,ROW()-8))</f>
      </c>
    </row>
    <row r="6228" spans="1:7">
      <c r="B6228">
        <f>IF(INDEX(Transactions!$J:$J,ROW()-8)="",TODAY(),INDEX(Transactions!$G:$G,ROW()-8))</f>
      </c>
      <c r="F6228">
        <f>IF(INDEX(Transactions!$J:$J,ROW()-8)="",0,INDEX(Transactions!$O:$O,ROW()-8))</f>
      </c>
    </row>
    <row r="6229" spans="1:7">
      <c r="B6229">
        <f>IF(INDEX(Transactions!$J:$J,ROW()-8)="",TODAY(),INDEX(Transactions!$G:$G,ROW()-8))</f>
      </c>
      <c r="F6229">
        <f>IF(INDEX(Transactions!$J:$J,ROW()-8)="",0,INDEX(Transactions!$O:$O,ROW()-8))</f>
      </c>
    </row>
    <row r="6230" spans="1:7">
      <c r="B6230">
        <f>IF(INDEX(Transactions!$J:$J,ROW()-8)="",TODAY(),INDEX(Transactions!$G:$G,ROW()-8))</f>
      </c>
      <c r="F6230">
        <f>IF(INDEX(Transactions!$J:$J,ROW()-8)="",0,INDEX(Transactions!$O:$O,ROW()-8))</f>
      </c>
    </row>
    <row r="6231" spans="1:7">
      <c r="B6231">
        <f>IF(INDEX(Transactions!$J:$J,ROW()-8)="",TODAY(),INDEX(Transactions!$G:$G,ROW()-8))</f>
      </c>
      <c r="F6231">
        <f>IF(INDEX(Transactions!$J:$J,ROW()-8)="",0,INDEX(Transactions!$O:$O,ROW()-8))</f>
      </c>
    </row>
    <row r="6232" spans="1:7">
      <c r="B6232">
        <f>IF(INDEX(Transactions!$J:$J,ROW()-8)="",TODAY(),INDEX(Transactions!$G:$G,ROW()-8))</f>
      </c>
      <c r="F6232">
        <f>IF(INDEX(Transactions!$J:$J,ROW()-8)="",0,INDEX(Transactions!$O:$O,ROW()-8))</f>
      </c>
    </row>
    <row r="6233" spans="1:7">
      <c r="B6233">
        <f>IF(INDEX(Transactions!$J:$J,ROW()-8)="",TODAY(),INDEX(Transactions!$G:$G,ROW()-8))</f>
      </c>
      <c r="F6233">
        <f>IF(INDEX(Transactions!$J:$J,ROW()-8)="",0,INDEX(Transactions!$O:$O,ROW()-8))</f>
      </c>
    </row>
    <row r="6234" spans="1:7">
      <c r="B6234">
        <f>IF(INDEX(Transactions!$J:$J,ROW()-8)="",TODAY(),INDEX(Transactions!$G:$G,ROW()-8))</f>
      </c>
      <c r="F6234">
        <f>IF(INDEX(Transactions!$J:$J,ROW()-8)="",0,INDEX(Transactions!$O:$O,ROW()-8))</f>
      </c>
    </row>
    <row r="6235" spans="1:7">
      <c r="B6235">
        <f>IF(INDEX(Transactions!$J:$J,ROW()-8)="",TODAY(),INDEX(Transactions!$G:$G,ROW()-8))</f>
      </c>
      <c r="F6235">
        <f>IF(INDEX(Transactions!$J:$J,ROW()-8)="",0,INDEX(Transactions!$O:$O,ROW()-8))</f>
      </c>
    </row>
    <row r="6236" spans="1:7">
      <c r="B6236">
        <f>IF(INDEX(Transactions!$J:$J,ROW()-8)="",TODAY(),INDEX(Transactions!$G:$G,ROW()-8))</f>
      </c>
      <c r="F6236">
        <f>IF(INDEX(Transactions!$J:$J,ROW()-8)="",0,INDEX(Transactions!$O:$O,ROW()-8))</f>
      </c>
    </row>
    <row r="6237" spans="1:7">
      <c r="B6237">
        <f>IF(INDEX(Transactions!$J:$J,ROW()-8)="",TODAY(),INDEX(Transactions!$G:$G,ROW()-8))</f>
      </c>
      <c r="F6237">
        <f>IF(INDEX(Transactions!$J:$J,ROW()-8)="",0,INDEX(Transactions!$O:$O,ROW()-8))</f>
      </c>
    </row>
    <row r="6238" spans="1:7">
      <c r="B6238">
        <f>IF(INDEX(Transactions!$J:$J,ROW()-8)="",TODAY(),INDEX(Transactions!$G:$G,ROW()-8))</f>
      </c>
      <c r="F6238">
        <f>IF(INDEX(Transactions!$J:$J,ROW()-8)="",0,INDEX(Transactions!$O:$O,ROW()-8))</f>
      </c>
    </row>
    <row r="6239" spans="1:7">
      <c r="B6239">
        <f>IF(INDEX(Transactions!$J:$J,ROW()-8)="",TODAY(),INDEX(Transactions!$G:$G,ROW()-8))</f>
      </c>
      <c r="F6239">
        <f>IF(INDEX(Transactions!$J:$J,ROW()-8)="",0,INDEX(Transactions!$O:$O,ROW()-8))</f>
      </c>
    </row>
    <row r="6240" spans="1:7">
      <c r="B6240">
        <f>IF(INDEX(Transactions!$J:$J,ROW()-8)="",TODAY(),INDEX(Transactions!$G:$G,ROW()-8))</f>
      </c>
      <c r="F6240">
        <f>IF(INDEX(Transactions!$J:$J,ROW()-8)="",0,INDEX(Transactions!$O:$O,ROW()-8))</f>
      </c>
    </row>
    <row r="6241" spans="1:7">
      <c r="B6241">
        <f>IF(INDEX(Transactions!$J:$J,ROW()-8)="",TODAY(),INDEX(Transactions!$G:$G,ROW()-8))</f>
      </c>
      <c r="F6241">
        <f>IF(INDEX(Transactions!$J:$J,ROW()-8)="",0,INDEX(Transactions!$O:$O,ROW()-8))</f>
      </c>
    </row>
    <row r="6242" spans="1:7">
      <c r="B6242">
        <f>IF(INDEX(Transactions!$J:$J,ROW()-8)="",TODAY(),INDEX(Transactions!$G:$G,ROW()-8))</f>
      </c>
      <c r="F6242">
        <f>IF(INDEX(Transactions!$J:$J,ROW()-8)="",0,INDEX(Transactions!$O:$O,ROW()-8))</f>
      </c>
    </row>
    <row r="6243" spans="1:7">
      <c r="B6243">
        <f>IF(INDEX(Transactions!$J:$J,ROW()-8)="",TODAY(),INDEX(Transactions!$G:$G,ROW()-8))</f>
      </c>
      <c r="F6243">
        <f>IF(INDEX(Transactions!$J:$J,ROW()-8)="",0,INDEX(Transactions!$O:$O,ROW()-8))</f>
      </c>
    </row>
    <row r="6244" spans="1:7">
      <c r="B6244">
        <f>IF(INDEX(Transactions!$J:$J,ROW()-8)="",TODAY(),INDEX(Transactions!$G:$G,ROW()-8))</f>
      </c>
      <c r="F6244">
        <f>IF(INDEX(Transactions!$J:$J,ROW()-8)="",0,INDEX(Transactions!$O:$O,ROW()-8))</f>
      </c>
    </row>
    <row r="6245" spans="1:7">
      <c r="B6245">
        <f>IF(INDEX(Transactions!$J:$J,ROW()-8)="",TODAY(),INDEX(Transactions!$G:$G,ROW()-8))</f>
      </c>
      <c r="F6245">
        <f>IF(INDEX(Transactions!$J:$J,ROW()-8)="",0,INDEX(Transactions!$O:$O,ROW()-8))</f>
      </c>
    </row>
    <row r="6246" spans="1:7">
      <c r="B6246">
        <f>IF(INDEX(Transactions!$J:$J,ROW()-8)="",TODAY(),INDEX(Transactions!$G:$G,ROW()-8))</f>
      </c>
      <c r="F6246">
        <f>IF(INDEX(Transactions!$J:$J,ROW()-8)="",0,INDEX(Transactions!$O:$O,ROW()-8))</f>
      </c>
    </row>
    <row r="6247" spans="1:7">
      <c r="B6247">
        <f>IF(INDEX(Transactions!$J:$J,ROW()-8)="",TODAY(),INDEX(Transactions!$G:$G,ROW()-8))</f>
      </c>
      <c r="F6247">
        <f>IF(INDEX(Transactions!$J:$J,ROW()-8)="",0,INDEX(Transactions!$O:$O,ROW()-8))</f>
      </c>
    </row>
    <row r="6248" spans="1:7">
      <c r="B6248">
        <f>IF(INDEX(Transactions!$J:$J,ROW()-8)="",TODAY(),INDEX(Transactions!$G:$G,ROW()-8))</f>
      </c>
      <c r="F6248">
        <f>IF(INDEX(Transactions!$J:$J,ROW()-8)="",0,INDEX(Transactions!$O:$O,ROW()-8))</f>
      </c>
    </row>
    <row r="6249" spans="1:7">
      <c r="B6249">
        <f>IF(INDEX(Transactions!$J:$J,ROW()-8)="",TODAY(),INDEX(Transactions!$G:$G,ROW()-8))</f>
      </c>
      <c r="F6249">
        <f>IF(INDEX(Transactions!$J:$J,ROW()-8)="",0,INDEX(Transactions!$O:$O,ROW()-8))</f>
      </c>
    </row>
    <row r="6250" spans="1:7">
      <c r="B6250">
        <f>IF(INDEX(Transactions!$J:$J,ROW()-8)="",TODAY(),INDEX(Transactions!$G:$G,ROW()-8))</f>
      </c>
      <c r="F6250">
        <f>IF(INDEX(Transactions!$J:$J,ROW()-8)="",0,INDEX(Transactions!$O:$O,ROW()-8))</f>
      </c>
    </row>
    <row r="6251" spans="1:7">
      <c r="B6251">
        <f>IF(INDEX(Transactions!$J:$J,ROW()-8)="",TODAY(),INDEX(Transactions!$G:$G,ROW()-8))</f>
      </c>
      <c r="F6251">
        <f>IF(INDEX(Transactions!$J:$J,ROW()-8)="",0,INDEX(Transactions!$O:$O,ROW()-8))</f>
      </c>
    </row>
    <row r="6252" spans="1:7">
      <c r="B6252">
        <f>IF(INDEX(Transactions!$J:$J,ROW()-8)="",TODAY(),INDEX(Transactions!$G:$G,ROW()-8))</f>
      </c>
      <c r="F6252">
        <f>IF(INDEX(Transactions!$J:$J,ROW()-8)="",0,INDEX(Transactions!$O:$O,ROW()-8))</f>
      </c>
    </row>
    <row r="6253" spans="1:7">
      <c r="B6253">
        <f>IF(INDEX(Transactions!$J:$J,ROW()-8)="",TODAY(),INDEX(Transactions!$G:$G,ROW()-8))</f>
      </c>
      <c r="F6253">
        <f>IF(INDEX(Transactions!$J:$J,ROW()-8)="",0,INDEX(Transactions!$O:$O,ROW()-8))</f>
      </c>
    </row>
    <row r="6254" spans="1:7">
      <c r="B6254">
        <f>IF(INDEX(Transactions!$J:$J,ROW()-8)="",TODAY(),INDEX(Transactions!$G:$G,ROW()-8))</f>
      </c>
      <c r="F6254">
        <f>IF(INDEX(Transactions!$J:$J,ROW()-8)="",0,INDEX(Transactions!$O:$O,ROW()-8))</f>
      </c>
    </row>
    <row r="6255" spans="1:7">
      <c r="B6255">
        <f>IF(INDEX(Transactions!$J:$J,ROW()-8)="",TODAY(),INDEX(Transactions!$G:$G,ROW()-8))</f>
      </c>
      <c r="F6255">
        <f>IF(INDEX(Transactions!$J:$J,ROW()-8)="",0,INDEX(Transactions!$O:$O,ROW()-8))</f>
      </c>
    </row>
    <row r="6256" spans="1:7">
      <c r="B6256">
        <f>IF(INDEX(Transactions!$J:$J,ROW()-8)="",TODAY(),INDEX(Transactions!$G:$G,ROW()-8))</f>
      </c>
      <c r="F6256">
        <f>IF(INDEX(Transactions!$J:$J,ROW()-8)="",0,INDEX(Transactions!$O:$O,ROW()-8))</f>
      </c>
    </row>
    <row r="6257" spans="1:7">
      <c r="B6257">
        <f>IF(INDEX(Transactions!$J:$J,ROW()-8)="",TODAY(),INDEX(Transactions!$G:$G,ROW()-8))</f>
      </c>
      <c r="F6257">
        <f>IF(INDEX(Transactions!$J:$J,ROW()-8)="",0,INDEX(Transactions!$O:$O,ROW()-8))</f>
      </c>
    </row>
    <row r="6258" spans="1:7">
      <c r="B6258">
        <f>IF(INDEX(Transactions!$J:$J,ROW()-8)="",TODAY(),INDEX(Transactions!$G:$G,ROW()-8))</f>
      </c>
      <c r="F6258">
        <f>IF(INDEX(Transactions!$J:$J,ROW()-8)="",0,INDEX(Transactions!$O:$O,ROW()-8))</f>
      </c>
    </row>
    <row r="6259" spans="1:7">
      <c r="B6259">
        <f>IF(INDEX(Transactions!$J:$J,ROW()-8)="",TODAY(),INDEX(Transactions!$G:$G,ROW()-8))</f>
      </c>
      <c r="F6259">
        <f>IF(INDEX(Transactions!$J:$J,ROW()-8)="",0,INDEX(Transactions!$O:$O,ROW()-8))</f>
      </c>
    </row>
    <row r="6260" spans="1:7">
      <c r="B6260">
        <f>IF(INDEX(Transactions!$J:$J,ROW()-8)="",TODAY(),INDEX(Transactions!$G:$G,ROW()-8))</f>
      </c>
      <c r="F6260">
        <f>IF(INDEX(Transactions!$J:$J,ROW()-8)="",0,INDEX(Transactions!$O:$O,ROW()-8))</f>
      </c>
    </row>
    <row r="6261" spans="1:7">
      <c r="B6261">
        <f>IF(INDEX(Transactions!$J:$J,ROW()-8)="",TODAY(),INDEX(Transactions!$G:$G,ROW()-8))</f>
      </c>
      <c r="F6261">
        <f>IF(INDEX(Transactions!$J:$J,ROW()-8)="",0,INDEX(Transactions!$O:$O,ROW()-8))</f>
      </c>
    </row>
    <row r="6262" spans="1:7">
      <c r="B6262">
        <f>IF(INDEX(Transactions!$J:$J,ROW()-8)="",TODAY(),INDEX(Transactions!$G:$G,ROW()-8))</f>
      </c>
      <c r="F6262">
        <f>IF(INDEX(Transactions!$J:$J,ROW()-8)="",0,INDEX(Transactions!$O:$O,ROW()-8))</f>
      </c>
    </row>
    <row r="6263" spans="1:7">
      <c r="B6263">
        <f>IF(INDEX(Transactions!$J:$J,ROW()-8)="",TODAY(),INDEX(Transactions!$G:$G,ROW()-8))</f>
      </c>
      <c r="F6263">
        <f>IF(INDEX(Transactions!$J:$J,ROW()-8)="",0,INDEX(Transactions!$O:$O,ROW()-8))</f>
      </c>
    </row>
    <row r="6264" spans="1:7">
      <c r="B6264">
        <f>IF(INDEX(Transactions!$J:$J,ROW()-8)="",TODAY(),INDEX(Transactions!$G:$G,ROW()-8))</f>
      </c>
      <c r="F6264">
        <f>IF(INDEX(Transactions!$J:$J,ROW()-8)="",0,INDEX(Transactions!$O:$O,ROW()-8))</f>
      </c>
    </row>
    <row r="6265" spans="1:7">
      <c r="B6265">
        <f>IF(INDEX(Transactions!$J:$J,ROW()-8)="",TODAY(),INDEX(Transactions!$G:$G,ROW()-8))</f>
      </c>
      <c r="F6265">
        <f>IF(INDEX(Transactions!$J:$J,ROW()-8)="",0,INDEX(Transactions!$O:$O,ROW()-8))</f>
      </c>
    </row>
    <row r="6266" spans="1:7">
      <c r="B6266">
        <f>IF(INDEX(Transactions!$J:$J,ROW()-8)="",TODAY(),INDEX(Transactions!$G:$G,ROW()-8))</f>
      </c>
      <c r="F6266">
        <f>IF(INDEX(Transactions!$J:$J,ROW()-8)="",0,INDEX(Transactions!$O:$O,ROW()-8))</f>
      </c>
    </row>
    <row r="6267" spans="1:7">
      <c r="B6267">
        <f>IF(INDEX(Transactions!$J:$J,ROW()-8)="",TODAY(),INDEX(Transactions!$G:$G,ROW()-8))</f>
      </c>
      <c r="F6267">
        <f>IF(INDEX(Transactions!$J:$J,ROW()-8)="",0,INDEX(Transactions!$O:$O,ROW()-8))</f>
      </c>
    </row>
    <row r="6268" spans="1:7">
      <c r="B6268">
        <f>IF(INDEX(Transactions!$J:$J,ROW()-8)="",TODAY(),INDEX(Transactions!$G:$G,ROW()-8))</f>
      </c>
      <c r="F6268">
        <f>IF(INDEX(Transactions!$J:$J,ROW()-8)="",0,INDEX(Transactions!$O:$O,ROW()-8))</f>
      </c>
    </row>
    <row r="6269" spans="1:7">
      <c r="B6269">
        <f>IF(INDEX(Transactions!$J:$J,ROW()-8)="",TODAY(),INDEX(Transactions!$G:$G,ROW()-8))</f>
      </c>
      <c r="F6269">
        <f>IF(INDEX(Transactions!$J:$J,ROW()-8)="",0,INDEX(Transactions!$O:$O,ROW()-8))</f>
      </c>
    </row>
    <row r="6270" spans="1:7">
      <c r="B6270">
        <f>IF(INDEX(Transactions!$J:$J,ROW()-8)="",TODAY(),INDEX(Transactions!$G:$G,ROW()-8))</f>
      </c>
      <c r="F6270">
        <f>IF(INDEX(Transactions!$J:$J,ROW()-8)="",0,INDEX(Transactions!$O:$O,ROW()-8))</f>
      </c>
    </row>
    <row r="6271" spans="1:7">
      <c r="B6271">
        <f>IF(INDEX(Transactions!$J:$J,ROW()-8)="",TODAY(),INDEX(Transactions!$G:$G,ROW()-8))</f>
      </c>
      <c r="F6271">
        <f>IF(INDEX(Transactions!$J:$J,ROW()-8)="",0,INDEX(Transactions!$O:$O,ROW()-8))</f>
      </c>
    </row>
    <row r="6272" spans="1:7">
      <c r="B6272">
        <f>IF(INDEX(Transactions!$J:$J,ROW()-8)="",TODAY(),INDEX(Transactions!$G:$G,ROW()-8))</f>
      </c>
      <c r="F6272">
        <f>IF(INDEX(Transactions!$J:$J,ROW()-8)="",0,INDEX(Transactions!$O:$O,ROW()-8))</f>
      </c>
    </row>
    <row r="6273" spans="1:7">
      <c r="B6273">
        <f>IF(INDEX(Transactions!$J:$J,ROW()-8)="",TODAY(),INDEX(Transactions!$G:$G,ROW()-8))</f>
      </c>
      <c r="F6273">
        <f>IF(INDEX(Transactions!$J:$J,ROW()-8)="",0,INDEX(Transactions!$O:$O,ROW()-8))</f>
      </c>
    </row>
    <row r="6274" spans="1:7">
      <c r="B6274">
        <f>IF(INDEX(Transactions!$J:$J,ROW()-8)="",TODAY(),INDEX(Transactions!$G:$G,ROW()-8))</f>
      </c>
      <c r="F6274">
        <f>IF(INDEX(Transactions!$J:$J,ROW()-8)="",0,INDEX(Transactions!$O:$O,ROW()-8))</f>
      </c>
    </row>
    <row r="6275" spans="1:7">
      <c r="B6275">
        <f>IF(INDEX(Transactions!$J:$J,ROW()-8)="",TODAY(),INDEX(Transactions!$G:$G,ROW()-8))</f>
      </c>
      <c r="F6275">
        <f>IF(INDEX(Transactions!$J:$J,ROW()-8)="",0,INDEX(Transactions!$O:$O,ROW()-8))</f>
      </c>
    </row>
    <row r="6276" spans="1:7">
      <c r="B6276">
        <f>IF(INDEX(Transactions!$J:$J,ROW()-8)="",TODAY(),INDEX(Transactions!$G:$G,ROW()-8))</f>
      </c>
      <c r="F6276">
        <f>IF(INDEX(Transactions!$J:$J,ROW()-8)="",0,INDEX(Transactions!$O:$O,ROW()-8))</f>
      </c>
    </row>
    <row r="6277" spans="1:7">
      <c r="B6277">
        <f>IF(INDEX(Transactions!$J:$J,ROW()-8)="",TODAY(),INDEX(Transactions!$G:$G,ROW()-8))</f>
      </c>
      <c r="F6277">
        <f>IF(INDEX(Transactions!$J:$J,ROW()-8)="",0,INDEX(Transactions!$O:$O,ROW()-8))</f>
      </c>
    </row>
    <row r="6278" spans="1:7">
      <c r="B6278">
        <f>IF(INDEX(Transactions!$J:$J,ROW()-8)="",TODAY(),INDEX(Transactions!$G:$G,ROW()-8))</f>
      </c>
      <c r="F6278">
        <f>IF(INDEX(Transactions!$J:$J,ROW()-8)="",0,INDEX(Transactions!$O:$O,ROW()-8))</f>
      </c>
    </row>
    <row r="6279" spans="1:7">
      <c r="B6279">
        <f>IF(INDEX(Transactions!$J:$J,ROW()-8)="",TODAY(),INDEX(Transactions!$G:$G,ROW()-8))</f>
      </c>
      <c r="F6279">
        <f>IF(INDEX(Transactions!$J:$J,ROW()-8)="",0,INDEX(Transactions!$O:$O,ROW()-8))</f>
      </c>
    </row>
    <row r="6280" spans="1:7">
      <c r="B6280">
        <f>IF(INDEX(Transactions!$J:$J,ROW()-8)="",TODAY(),INDEX(Transactions!$G:$G,ROW()-8))</f>
      </c>
      <c r="F6280">
        <f>IF(INDEX(Transactions!$J:$J,ROW()-8)="",0,INDEX(Transactions!$O:$O,ROW()-8))</f>
      </c>
    </row>
    <row r="6281" spans="1:7">
      <c r="B6281">
        <f>IF(INDEX(Transactions!$J:$J,ROW()-8)="",TODAY(),INDEX(Transactions!$G:$G,ROW()-8))</f>
      </c>
      <c r="F6281">
        <f>IF(INDEX(Transactions!$J:$J,ROW()-8)="",0,INDEX(Transactions!$O:$O,ROW()-8))</f>
      </c>
    </row>
    <row r="6282" spans="1:7">
      <c r="B6282">
        <f>IF(INDEX(Transactions!$J:$J,ROW()-8)="",TODAY(),INDEX(Transactions!$G:$G,ROW()-8))</f>
      </c>
      <c r="F6282">
        <f>IF(INDEX(Transactions!$J:$J,ROW()-8)="",0,INDEX(Transactions!$O:$O,ROW()-8))</f>
      </c>
    </row>
    <row r="6283" spans="1:7">
      <c r="B6283">
        <f>IF(INDEX(Transactions!$J:$J,ROW()-8)="",TODAY(),INDEX(Transactions!$G:$G,ROW()-8))</f>
      </c>
      <c r="F6283">
        <f>IF(INDEX(Transactions!$J:$J,ROW()-8)="",0,INDEX(Transactions!$O:$O,ROW()-8))</f>
      </c>
    </row>
    <row r="6284" spans="1:7">
      <c r="B6284">
        <f>IF(INDEX(Transactions!$J:$J,ROW()-8)="",TODAY(),INDEX(Transactions!$G:$G,ROW()-8))</f>
      </c>
      <c r="F6284">
        <f>IF(INDEX(Transactions!$J:$J,ROW()-8)="",0,INDEX(Transactions!$O:$O,ROW()-8))</f>
      </c>
    </row>
    <row r="6285" spans="1:7">
      <c r="B6285">
        <f>IF(INDEX(Transactions!$J:$J,ROW()-8)="",TODAY(),INDEX(Transactions!$G:$G,ROW()-8))</f>
      </c>
      <c r="F6285">
        <f>IF(INDEX(Transactions!$J:$J,ROW()-8)="",0,INDEX(Transactions!$O:$O,ROW()-8))</f>
      </c>
    </row>
    <row r="6286" spans="1:7">
      <c r="B6286">
        <f>IF(INDEX(Transactions!$J:$J,ROW()-8)="",TODAY(),INDEX(Transactions!$G:$G,ROW()-8))</f>
      </c>
      <c r="F6286">
        <f>IF(INDEX(Transactions!$J:$J,ROW()-8)="",0,INDEX(Transactions!$O:$O,ROW()-8))</f>
      </c>
    </row>
    <row r="6287" spans="1:7">
      <c r="B6287">
        <f>IF(INDEX(Transactions!$J:$J,ROW()-8)="",TODAY(),INDEX(Transactions!$G:$G,ROW()-8))</f>
      </c>
      <c r="F6287">
        <f>IF(INDEX(Transactions!$J:$J,ROW()-8)="",0,INDEX(Transactions!$O:$O,ROW()-8))</f>
      </c>
    </row>
    <row r="6288" spans="1:7">
      <c r="B6288">
        <f>IF(INDEX(Transactions!$J:$J,ROW()-8)="",TODAY(),INDEX(Transactions!$G:$G,ROW()-8))</f>
      </c>
      <c r="F6288">
        <f>IF(INDEX(Transactions!$J:$J,ROW()-8)="",0,INDEX(Transactions!$O:$O,ROW()-8))</f>
      </c>
    </row>
    <row r="6289" spans="1:7">
      <c r="B6289">
        <f>IF(INDEX(Transactions!$J:$J,ROW()-8)="",TODAY(),INDEX(Transactions!$G:$G,ROW()-8))</f>
      </c>
      <c r="F6289">
        <f>IF(INDEX(Transactions!$J:$J,ROW()-8)="",0,INDEX(Transactions!$O:$O,ROW()-8))</f>
      </c>
    </row>
    <row r="6290" spans="1:7">
      <c r="B6290">
        <f>IF(INDEX(Transactions!$J:$J,ROW()-8)="",TODAY(),INDEX(Transactions!$G:$G,ROW()-8))</f>
      </c>
      <c r="F6290">
        <f>IF(INDEX(Transactions!$J:$J,ROW()-8)="",0,INDEX(Transactions!$O:$O,ROW()-8))</f>
      </c>
    </row>
    <row r="6291" spans="1:7">
      <c r="B6291">
        <f>IF(INDEX(Transactions!$J:$J,ROW()-8)="",TODAY(),INDEX(Transactions!$G:$G,ROW()-8))</f>
      </c>
      <c r="F6291">
        <f>IF(INDEX(Transactions!$J:$J,ROW()-8)="",0,INDEX(Transactions!$O:$O,ROW()-8))</f>
      </c>
    </row>
    <row r="6292" spans="1:7">
      <c r="B6292">
        <f>IF(INDEX(Transactions!$J:$J,ROW()-8)="",TODAY(),INDEX(Transactions!$G:$G,ROW()-8))</f>
      </c>
      <c r="F6292">
        <f>IF(INDEX(Transactions!$J:$J,ROW()-8)="",0,INDEX(Transactions!$O:$O,ROW()-8))</f>
      </c>
    </row>
    <row r="6293" spans="1:7">
      <c r="B6293">
        <f>IF(INDEX(Transactions!$J:$J,ROW()-8)="",TODAY(),INDEX(Transactions!$G:$G,ROW()-8))</f>
      </c>
      <c r="F6293">
        <f>IF(INDEX(Transactions!$J:$J,ROW()-8)="",0,INDEX(Transactions!$O:$O,ROW()-8))</f>
      </c>
    </row>
    <row r="6294" spans="1:7">
      <c r="B6294">
        <f>IF(INDEX(Transactions!$J:$J,ROW()-8)="",TODAY(),INDEX(Transactions!$G:$G,ROW()-8))</f>
      </c>
      <c r="F6294">
        <f>IF(INDEX(Transactions!$J:$J,ROW()-8)="",0,INDEX(Transactions!$O:$O,ROW()-8))</f>
      </c>
    </row>
    <row r="6295" spans="1:7">
      <c r="B6295">
        <f>IF(INDEX(Transactions!$J:$J,ROW()-8)="",TODAY(),INDEX(Transactions!$G:$G,ROW()-8))</f>
      </c>
      <c r="F6295">
        <f>IF(INDEX(Transactions!$J:$J,ROW()-8)="",0,INDEX(Transactions!$O:$O,ROW()-8))</f>
      </c>
    </row>
    <row r="6296" spans="1:7">
      <c r="B6296">
        <f>IF(INDEX(Transactions!$J:$J,ROW()-8)="",TODAY(),INDEX(Transactions!$G:$G,ROW()-8))</f>
      </c>
      <c r="F6296">
        <f>IF(INDEX(Transactions!$J:$J,ROW()-8)="",0,INDEX(Transactions!$O:$O,ROW()-8))</f>
      </c>
    </row>
    <row r="6297" spans="1:7">
      <c r="B6297">
        <f>IF(INDEX(Transactions!$J:$J,ROW()-8)="",TODAY(),INDEX(Transactions!$G:$G,ROW()-8))</f>
      </c>
      <c r="F6297">
        <f>IF(INDEX(Transactions!$J:$J,ROW()-8)="",0,INDEX(Transactions!$O:$O,ROW()-8))</f>
      </c>
    </row>
    <row r="6298" spans="1:7">
      <c r="B6298">
        <f>IF(INDEX(Transactions!$J:$J,ROW()-8)="",TODAY(),INDEX(Transactions!$G:$G,ROW()-8))</f>
      </c>
      <c r="F6298">
        <f>IF(INDEX(Transactions!$J:$J,ROW()-8)="",0,INDEX(Transactions!$O:$O,ROW()-8))</f>
      </c>
    </row>
    <row r="6299" spans="1:7">
      <c r="B6299">
        <f>IF(INDEX(Transactions!$J:$J,ROW()-8)="",TODAY(),INDEX(Transactions!$G:$G,ROW()-8))</f>
      </c>
      <c r="F6299">
        <f>IF(INDEX(Transactions!$J:$J,ROW()-8)="",0,INDEX(Transactions!$O:$O,ROW()-8))</f>
      </c>
    </row>
    <row r="6300" spans="1:7">
      <c r="B6300">
        <f>IF(INDEX(Transactions!$J:$J,ROW()-8)="",TODAY(),INDEX(Transactions!$G:$G,ROW()-8))</f>
      </c>
      <c r="F6300">
        <f>IF(INDEX(Transactions!$J:$J,ROW()-8)="",0,INDEX(Transactions!$O:$O,ROW()-8))</f>
      </c>
    </row>
    <row r="6301" spans="1:7">
      <c r="B6301">
        <f>IF(INDEX(Transactions!$J:$J,ROW()-8)="",TODAY(),INDEX(Transactions!$G:$G,ROW()-8))</f>
      </c>
      <c r="F6301">
        <f>IF(INDEX(Transactions!$J:$J,ROW()-8)="",0,INDEX(Transactions!$O:$O,ROW()-8))</f>
      </c>
    </row>
    <row r="6302" spans="1:7">
      <c r="B6302">
        <f>IF(INDEX(Transactions!$J:$J,ROW()-8)="",TODAY(),INDEX(Transactions!$G:$G,ROW()-8))</f>
      </c>
      <c r="F6302">
        <f>IF(INDEX(Transactions!$J:$J,ROW()-8)="",0,INDEX(Transactions!$O:$O,ROW()-8))</f>
      </c>
    </row>
    <row r="6303" spans="1:7">
      <c r="B6303">
        <f>IF(INDEX(Transactions!$J:$J,ROW()-8)="",TODAY(),INDEX(Transactions!$G:$G,ROW()-8))</f>
      </c>
      <c r="F6303">
        <f>IF(INDEX(Transactions!$J:$J,ROW()-8)="",0,INDEX(Transactions!$O:$O,ROW()-8))</f>
      </c>
    </row>
    <row r="6304" spans="1:7">
      <c r="B6304">
        <f>IF(INDEX(Transactions!$J:$J,ROW()-8)="",TODAY(),INDEX(Transactions!$G:$G,ROW()-8))</f>
      </c>
      <c r="F6304">
        <f>IF(INDEX(Transactions!$J:$J,ROW()-8)="",0,INDEX(Transactions!$O:$O,ROW()-8))</f>
      </c>
    </row>
    <row r="6305" spans="1:7">
      <c r="B6305">
        <f>IF(INDEX(Transactions!$J:$J,ROW()-8)="",TODAY(),INDEX(Transactions!$G:$G,ROW()-8))</f>
      </c>
      <c r="F6305">
        <f>IF(INDEX(Transactions!$J:$J,ROW()-8)="",0,INDEX(Transactions!$O:$O,ROW()-8))</f>
      </c>
    </row>
    <row r="6306" spans="1:7">
      <c r="B6306">
        <f>IF(INDEX(Transactions!$J:$J,ROW()-8)="",TODAY(),INDEX(Transactions!$G:$G,ROW()-8))</f>
      </c>
      <c r="F6306">
        <f>IF(INDEX(Transactions!$J:$J,ROW()-8)="",0,INDEX(Transactions!$O:$O,ROW()-8))</f>
      </c>
    </row>
    <row r="6307" spans="1:7">
      <c r="B6307">
        <f>IF(INDEX(Transactions!$J:$J,ROW()-8)="",TODAY(),INDEX(Transactions!$G:$G,ROW()-8))</f>
      </c>
      <c r="F6307">
        <f>IF(INDEX(Transactions!$J:$J,ROW()-8)="",0,INDEX(Transactions!$O:$O,ROW()-8))</f>
      </c>
    </row>
    <row r="6308" spans="1:7">
      <c r="B6308">
        <f>IF(INDEX(Transactions!$J:$J,ROW()-8)="",TODAY(),INDEX(Transactions!$G:$G,ROW()-8))</f>
      </c>
      <c r="F6308">
        <f>IF(INDEX(Transactions!$J:$J,ROW()-8)="",0,INDEX(Transactions!$O:$O,ROW()-8))</f>
      </c>
    </row>
    <row r="6309" spans="1:7">
      <c r="B6309">
        <f>IF(INDEX(Transactions!$J:$J,ROW()-8)="",TODAY(),INDEX(Transactions!$G:$G,ROW()-8))</f>
      </c>
      <c r="F6309">
        <f>IF(INDEX(Transactions!$J:$J,ROW()-8)="",0,INDEX(Transactions!$O:$O,ROW()-8))</f>
      </c>
    </row>
    <row r="6310" spans="1:7">
      <c r="B6310">
        <f>IF(INDEX(Transactions!$J:$J,ROW()-8)="",TODAY(),INDEX(Transactions!$G:$G,ROW()-8))</f>
      </c>
      <c r="F6310">
        <f>IF(INDEX(Transactions!$J:$J,ROW()-8)="",0,INDEX(Transactions!$O:$O,ROW()-8))</f>
      </c>
    </row>
    <row r="6311" spans="1:7">
      <c r="B6311">
        <f>IF(INDEX(Transactions!$J:$J,ROW()-8)="",TODAY(),INDEX(Transactions!$G:$G,ROW()-8))</f>
      </c>
      <c r="F6311">
        <f>IF(INDEX(Transactions!$J:$J,ROW()-8)="",0,INDEX(Transactions!$O:$O,ROW()-8))</f>
      </c>
    </row>
    <row r="6312" spans="1:7">
      <c r="B6312">
        <f>IF(INDEX(Transactions!$J:$J,ROW()-8)="",TODAY(),INDEX(Transactions!$G:$G,ROW()-8))</f>
      </c>
      <c r="F6312">
        <f>IF(INDEX(Transactions!$J:$J,ROW()-8)="",0,INDEX(Transactions!$O:$O,ROW()-8))</f>
      </c>
    </row>
    <row r="6313" spans="1:7">
      <c r="B6313">
        <f>IF(INDEX(Transactions!$J:$J,ROW()-8)="",TODAY(),INDEX(Transactions!$G:$G,ROW()-8))</f>
      </c>
      <c r="F6313">
        <f>IF(INDEX(Transactions!$J:$J,ROW()-8)="",0,INDEX(Transactions!$O:$O,ROW()-8))</f>
      </c>
    </row>
    <row r="6314" spans="1:7">
      <c r="B6314">
        <f>IF(INDEX(Transactions!$J:$J,ROW()-8)="",TODAY(),INDEX(Transactions!$G:$G,ROW()-8))</f>
      </c>
      <c r="F6314">
        <f>IF(INDEX(Transactions!$J:$J,ROW()-8)="",0,INDEX(Transactions!$O:$O,ROW()-8))</f>
      </c>
    </row>
    <row r="6315" spans="1:7">
      <c r="B6315">
        <f>IF(INDEX(Transactions!$J:$J,ROW()-8)="",TODAY(),INDEX(Transactions!$G:$G,ROW()-8))</f>
      </c>
      <c r="F6315">
        <f>IF(INDEX(Transactions!$J:$J,ROW()-8)="",0,INDEX(Transactions!$O:$O,ROW()-8))</f>
      </c>
    </row>
    <row r="6316" spans="1:7">
      <c r="B6316">
        <f>IF(INDEX(Transactions!$J:$J,ROW()-8)="",TODAY(),INDEX(Transactions!$G:$G,ROW()-8))</f>
      </c>
      <c r="F6316">
        <f>IF(INDEX(Transactions!$J:$J,ROW()-8)="",0,INDEX(Transactions!$O:$O,ROW()-8))</f>
      </c>
    </row>
    <row r="6317" spans="1:7">
      <c r="B6317">
        <f>IF(INDEX(Transactions!$J:$J,ROW()-8)="",TODAY(),INDEX(Transactions!$G:$G,ROW()-8))</f>
      </c>
      <c r="F6317">
        <f>IF(INDEX(Transactions!$J:$J,ROW()-8)="",0,INDEX(Transactions!$O:$O,ROW()-8))</f>
      </c>
    </row>
    <row r="6318" spans="1:7">
      <c r="B6318">
        <f>IF(INDEX(Transactions!$J:$J,ROW()-8)="",TODAY(),INDEX(Transactions!$G:$G,ROW()-8))</f>
      </c>
      <c r="F6318">
        <f>IF(INDEX(Transactions!$J:$J,ROW()-8)="",0,INDEX(Transactions!$O:$O,ROW()-8))</f>
      </c>
    </row>
    <row r="6319" spans="1:7">
      <c r="B6319">
        <f>IF(INDEX(Transactions!$J:$J,ROW()-8)="",TODAY(),INDEX(Transactions!$G:$G,ROW()-8))</f>
      </c>
      <c r="F6319">
        <f>IF(INDEX(Transactions!$J:$J,ROW()-8)="",0,INDEX(Transactions!$O:$O,ROW()-8))</f>
      </c>
    </row>
    <row r="6320" spans="1:7">
      <c r="B6320">
        <f>IF(INDEX(Transactions!$J:$J,ROW()-8)="",TODAY(),INDEX(Transactions!$G:$G,ROW()-8))</f>
      </c>
      <c r="F6320">
        <f>IF(INDEX(Transactions!$J:$J,ROW()-8)="",0,INDEX(Transactions!$O:$O,ROW()-8))</f>
      </c>
    </row>
    <row r="6321" spans="1:7">
      <c r="B6321">
        <f>IF(INDEX(Transactions!$J:$J,ROW()-8)="",TODAY(),INDEX(Transactions!$G:$G,ROW()-8))</f>
      </c>
      <c r="F6321">
        <f>IF(INDEX(Transactions!$J:$J,ROW()-8)="",0,INDEX(Transactions!$O:$O,ROW()-8))</f>
      </c>
    </row>
    <row r="6322" spans="1:7">
      <c r="B6322">
        <f>IF(INDEX(Transactions!$J:$J,ROW()-8)="",TODAY(),INDEX(Transactions!$G:$G,ROW()-8))</f>
      </c>
      <c r="F6322">
        <f>IF(INDEX(Transactions!$J:$J,ROW()-8)="",0,INDEX(Transactions!$O:$O,ROW()-8))</f>
      </c>
    </row>
    <row r="6323" spans="1:7">
      <c r="B6323">
        <f>IF(INDEX(Transactions!$J:$J,ROW()-8)="",TODAY(),INDEX(Transactions!$G:$G,ROW()-8))</f>
      </c>
      <c r="F6323">
        <f>IF(INDEX(Transactions!$J:$J,ROW()-8)="",0,INDEX(Transactions!$O:$O,ROW()-8))</f>
      </c>
    </row>
    <row r="6324" spans="1:7">
      <c r="B6324">
        <f>IF(INDEX(Transactions!$J:$J,ROW()-8)="",TODAY(),INDEX(Transactions!$G:$G,ROW()-8))</f>
      </c>
      <c r="F6324">
        <f>IF(INDEX(Transactions!$J:$J,ROW()-8)="",0,INDEX(Transactions!$O:$O,ROW()-8))</f>
      </c>
    </row>
    <row r="6325" spans="1:7">
      <c r="B6325">
        <f>IF(INDEX(Transactions!$J:$J,ROW()-8)="",TODAY(),INDEX(Transactions!$G:$G,ROW()-8))</f>
      </c>
      <c r="F6325">
        <f>IF(INDEX(Transactions!$J:$J,ROW()-8)="",0,INDEX(Transactions!$O:$O,ROW()-8))</f>
      </c>
    </row>
    <row r="6326" spans="1:7">
      <c r="B6326">
        <f>IF(INDEX(Transactions!$J:$J,ROW()-8)="",TODAY(),INDEX(Transactions!$G:$G,ROW()-8))</f>
      </c>
      <c r="F6326">
        <f>IF(INDEX(Transactions!$J:$J,ROW()-8)="",0,INDEX(Transactions!$O:$O,ROW()-8))</f>
      </c>
    </row>
    <row r="6327" spans="1:7">
      <c r="B6327">
        <f>IF(INDEX(Transactions!$J:$J,ROW()-8)="",TODAY(),INDEX(Transactions!$G:$G,ROW()-8))</f>
      </c>
      <c r="F6327">
        <f>IF(INDEX(Transactions!$J:$J,ROW()-8)="",0,INDEX(Transactions!$O:$O,ROW()-8))</f>
      </c>
    </row>
    <row r="6328" spans="1:7">
      <c r="B6328">
        <f>IF(INDEX(Transactions!$J:$J,ROW()-8)="",TODAY(),INDEX(Transactions!$G:$G,ROW()-8))</f>
      </c>
      <c r="F6328">
        <f>IF(INDEX(Transactions!$J:$J,ROW()-8)="",0,INDEX(Transactions!$O:$O,ROW()-8))</f>
      </c>
    </row>
    <row r="6329" spans="1:7">
      <c r="B6329">
        <f>IF(INDEX(Transactions!$J:$J,ROW()-8)="",TODAY(),INDEX(Transactions!$G:$G,ROW()-8))</f>
      </c>
      <c r="F6329">
        <f>IF(INDEX(Transactions!$J:$J,ROW()-8)="",0,INDEX(Transactions!$O:$O,ROW()-8))</f>
      </c>
    </row>
    <row r="6330" spans="1:7">
      <c r="B6330">
        <f>IF(INDEX(Transactions!$J:$J,ROW()-8)="",TODAY(),INDEX(Transactions!$G:$G,ROW()-8))</f>
      </c>
      <c r="F6330">
        <f>IF(INDEX(Transactions!$J:$J,ROW()-8)="",0,INDEX(Transactions!$O:$O,ROW()-8))</f>
      </c>
    </row>
    <row r="6331" spans="1:7">
      <c r="B6331">
        <f>IF(INDEX(Transactions!$J:$J,ROW()-8)="",TODAY(),INDEX(Transactions!$G:$G,ROW()-8))</f>
      </c>
      <c r="F6331">
        <f>IF(INDEX(Transactions!$J:$J,ROW()-8)="",0,INDEX(Transactions!$O:$O,ROW()-8))</f>
      </c>
    </row>
    <row r="6332" spans="1:7">
      <c r="B6332">
        <f>IF(INDEX(Transactions!$J:$J,ROW()-8)="",TODAY(),INDEX(Transactions!$G:$G,ROW()-8))</f>
      </c>
      <c r="F6332">
        <f>IF(INDEX(Transactions!$J:$J,ROW()-8)="",0,INDEX(Transactions!$O:$O,ROW()-8))</f>
      </c>
    </row>
    <row r="6333" spans="1:7">
      <c r="B6333">
        <f>IF(INDEX(Transactions!$J:$J,ROW()-8)="",TODAY(),INDEX(Transactions!$G:$G,ROW()-8))</f>
      </c>
      <c r="F6333">
        <f>IF(INDEX(Transactions!$J:$J,ROW()-8)="",0,INDEX(Transactions!$O:$O,ROW()-8))</f>
      </c>
    </row>
    <row r="6334" spans="1:7">
      <c r="B6334">
        <f>IF(INDEX(Transactions!$J:$J,ROW()-8)="",TODAY(),INDEX(Transactions!$G:$G,ROW()-8))</f>
      </c>
      <c r="F6334">
        <f>IF(INDEX(Transactions!$J:$J,ROW()-8)="",0,INDEX(Transactions!$O:$O,ROW()-8))</f>
      </c>
    </row>
    <row r="6335" spans="1:7">
      <c r="B6335">
        <f>IF(INDEX(Transactions!$J:$J,ROW()-8)="",TODAY(),INDEX(Transactions!$G:$G,ROW()-8))</f>
      </c>
      <c r="F6335">
        <f>IF(INDEX(Transactions!$J:$J,ROW()-8)="",0,INDEX(Transactions!$O:$O,ROW()-8))</f>
      </c>
    </row>
    <row r="6336" spans="1:7">
      <c r="B6336">
        <f>IF(INDEX(Transactions!$J:$J,ROW()-8)="",TODAY(),INDEX(Transactions!$G:$G,ROW()-8))</f>
      </c>
      <c r="F6336">
        <f>IF(INDEX(Transactions!$J:$J,ROW()-8)="",0,INDEX(Transactions!$O:$O,ROW()-8))</f>
      </c>
    </row>
    <row r="6337" spans="1:7">
      <c r="B6337">
        <f>IF(INDEX(Transactions!$J:$J,ROW()-8)="",TODAY(),INDEX(Transactions!$G:$G,ROW()-8))</f>
      </c>
      <c r="F6337">
        <f>IF(INDEX(Transactions!$J:$J,ROW()-8)="",0,INDEX(Transactions!$O:$O,ROW()-8))</f>
      </c>
    </row>
    <row r="6338" spans="1:7">
      <c r="B6338">
        <f>IF(INDEX(Transactions!$J:$J,ROW()-8)="",TODAY(),INDEX(Transactions!$G:$G,ROW()-8))</f>
      </c>
      <c r="F6338">
        <f>IF(INDEX(Transactions!$J:$J,ROW()-8)="",0,INDEX(Transactions!$O:$O,ROW()-8))</f>
      </c>
    </row>
    <row r="6339" spans="1:7">
      <c r="B6339">
        <f>IF(INDEX(Transactions!$J:$J,ROW()-8)="",TODAY(),INDEX(Transactions!$G:$G,ROW()-8))</f>
      </c>
      <c r="F6339">
        <f>IF(INDEX(Transactions!$J:$J,ROW()-8)="",0,INDEX(Transactions!$O:$O,ROW()-8))</f>
      </c>
    </row>
    <row r="6340" spans="1:7">
      <c r="B6340">
        <f>IF(INDEX(Transactions!$J:$J,ROW()-8)="",TODAY(),INDEX(Transactions!$G:$G,ROW()-8))</f>
      </c>
      <c r="F6340">
        <f>IF(INDEX(Transactions!$J:$J,ROW()-8)="",0,INDEX(Transactions!$O:$O,ROW()-8))</f>
      </c>
    </row>
    <row r="6341" spans="1:7">
      <c r="B6341">
        <f>IF(INDEX(Transactions!$J:$J,ROW()-8)="",TODAY(),INDEX(Transactions!$G:$G,ROW()-8))</f>
      </c>
      <c r="F6341">
        <f>IF(INDEX(Transactions!$J:$J,ROW()-8)="",0,INDEX(Transactions!$O:$O,ROW()-8))</f>
      </c>
    </row>
    <row r="6342" spans="1:7">
      <c r="B6342">
        <f>IF(INDEX(Transactions!$J:$J,ROW()-8)="",TODAY(),INDEX(Transactions!$G:$G,ROW()-8))</f>
      </c>
      <c r="F6342">
        <f>IF(INDEX(Transactions!$J:$J,ROW()-8)="",0,INDEX(Transactions!$O:$O,ROW()-8))</f>
      </c>
    </row>
    <row r="6343" spans="1:7">
      <c r="B6343">
        <f>IF(INDEX(Transactions!$J:$J,ROW()-8)="",TODAY(),INDEX(Transactions!$G:$G,ROW()-8))</f>
      </c>
      <c r="F6343">
        <f>IF(INDEX(Transactions!$J:$J,ROW()-8)="",0,INDEX(Transactions!$O:$O,ROW()-8))</f>
      </c>
    </row>
    <row r="6344" spans="1:7">
      <c r="B6344">
        <f>IF(INDEX(Transactions!$J:$J,ROW()-8)="",TODAY(),INDEX(Transactions!$G:$G,ROW()-8))</f>
      </c>
      <c r="F6344">
        <f>IF(INDEX(Transactions!$J:$J,ROW()-8)="",0,INDEX(Transactions!$O:$O,ROW()-8))</f>
      </c>
    </row>
    <row r="6345" spans="1:7">
      <c r="B6345">
        <f>IF(INDEX(Transactions!$J:$J,ROW()-8)="",TODAY(),INDEX(Transactions!$G:$G,ROW()-8))</f>
      </c>
      <c r="F6345">
        <f>IF(INDEX(Transactions!$J:$J,ROW()-8)="",0,INDEX(Transactions!$O:$O,ROW()-8))</f>
      </c>
    </row>
    <row r="6346" spans="1:7">
      <c r="B6346">
        <f>IF(INDEX(Transactions!$J:$J,ROW()-8)="",TODAY(),INDEX(Transactions!$G:$G,ROW()-8))</f>
      </c>
      <c r="F6346">
        <f>IF(INDEX(Transactions!$J:$J,ROW()-8)="",0,INDEX(Transactions!$O:$O,ROW()-8))</f>
      </c>
    </row>
    <row r="6347" spans="1:7">
      <c r="B6347">
        <f>IF(INDEX(Transactions!$J:$J,ROW()-8)="",TODAY(),INDEX(Transactions!$G:$G,ROW()-8))</f>
      </c>
      <c r="F6347">
        <f>IF(INDEX(Transactions!$J:$J,ROW()-8)="",0,INDEX(Transactions!$O:$O,ROW()-8))</f>
      </c>
    </row>
    <row r="6348" spans="1:7">
      <c r="B6348">
        <f>IF(INDEX(Transactions!$J:$J,ROW()-8)="",TODAY(),INDEX(Transactions!$G:$G,ROW()-8))</f>
      </c>
      <c r="F6348">
        <f>IF(INDEX(Transactions!$J:$J,ROW()-8)="",0,INDEX(Transactions!$O:$O,ROW()-8))</f>
      </c>
    </row>
    <row r="6349" spans="1:7">
      <c r="B6349">
        <f>IF(INDEX(Transactions!$J:$J,ROW()-8)="",TODAY(),INDEX(Transactions!$G:$G,ROW()-8))</f>
      </c>
      <c r="F6349">
        <f>IF(INDEX(Transactions!$J:$J,ROW()-8)="",0,INDEX(Transactions!$O:$O,ROW()-8))</f>
      </c>
    </row>
    <row r="6350" spans="1:7">
      <c r="B6350">
        <f>IF(INDEX(Transactions!$J:$J,ROW()-8)="",TODAY(),INDEX(Transactions!$G:$G,ROW()-8))</f>
      </c>
      <c r="F6350">
        <f>IF(INDEX(Transactions!$J:$J,ROW()-8)="",0,INDEX(Transactions!$O:$O,ROW()-8))</f>
      </c>
    </row>
    <row r="6351" spans="1:7">
      <c r="B6351">
        <f>IF(INDEX(Transactions!$J:$J,ROW()-8)="",TODAY(),INDEX(Transactions!$G:$G,ROW()-8))</f>
      </c>
      <c r="F6351">
        <f>IF(INDEX(Transactions!$J:$J,ROW()-8)="",0,INDEX(Transactions!$O:$O,ROW()-8))</f>
      </c>
    </row>
    <row r="6352" spans="1:7">
      <c r="B6352">
        <f>IF(INDEX(Transactions!$J:$J,ROW()-8)="",TODAY(),INDEX(Transactions!$G:$G,ROW()-8))</f>
      </c>
      <c r="F6352">
        <f>IF(INDEX(Transactions!$J:$J,ROW()-8)="",0,INDEX(Transactions!$O:$O,ROW()-8))</f>
      </c>
    </row>
    <row r="6353" spans="1:7">
      <c r="B6353">
        <f>IF(INDEX(Transactions!$J:$J,ROW()-8)="",TODAY(),INDEX(Transactions!$G:$G,ROW()-8))</f>
      </c>
      <c r="F6353">
        <f>IF(INDEX(Transactions!$J:$J,ROW()-8)="",0,INDEX(Transactions!$O:$O,ROW()-8))</f>
      </c>
    </row>
    <row r="6354" spans="1:7">
      <c r="B6354">
        <f>IF(INDEX(Transactions!$J:$J,ROW()-8)="",TODAY(),INDEX(Transactions!$G:$G,ROW()-8))</f>
      </c>
      <c r="F6354">
        <f>IF(INDEX(Transactions!$J:$J,ROW()-8)="",0,INDEX(Transactions!$O:$O,ROW()-8))</f>
      </c>
    </row>
    <row r="6355" spans="1:7">
      <c r="B6355">
        <f>IF(INDEX(Transactions!$J:$J,ROW()-8)="",TODAY(),INDEX(Transactions!$G:$G,ROW()-8))</f>
      </c>
      <c r="F6355">
        <f>IF(INDEX(Transactions!$J:$J,ROW()-8)="",0,INDEX(Transactions!$O:$O,ROW()-8))</f>
      </c>
    </row>
    <row r="6356" spans="1:7">
      <c r="B6356">
        <f>IF(INDEX(Transactions!$J:$J,ROW()-8)="",TODAY(),INDEX(Transactions!$G:$G,ROW()-8))</f>
      </c>
      <c r="F6356">
        <f>IF(INDEX(Transactions!$J:$J,ROW()-8)="",0,INDEX(Transactions!$O:$O,ROW()-8))</f>
      </c>
    </row>
    <row r="6357" spans="1:7">
      <c r="B6357">
        <f>IF(INDEX(Transactions!$J:$J,ROW()-8)="",TODAY(),INDEX(Transactions!$G:$G,ROW()-8))</f>
      </c>
      <c r="F6357">
        <f>IF(INDEX(Transactions!$J:$J,ROW()-8)="",0,INDEX(Transactions!$O:$O,ROW()-8))</f>
      </c>
    </row>
    <row r="6358" spans="1:7">
      <c r="B6358">
        <f>IF(INDEX(Transactions!$J:$J,ROW()-8)="",TODAY(),INDEX(Transactions!$G:$G,ROW()-8))</f>
      </c>
      <c r="F6358">
        <f>IF(INDEX(Transactions!$J:$J,ROW()-8)="",0,INDEX(Transactions!$O:$O,ROW()-8))</f>
      </c>
    </row>
    <row r="6359" spans="1:7">
      <c r="B6359">
        <f>IF(INDEX(Transactions!$J:$J,ROW()-8)="",TODAY(),INDEX(Transactions!$G:$G,ROW()-8))</f>
      </c>
      <c r="F6359">
        <f>IF(INDEX(Transactions!$J:$J,ROW()-8)="",0,INDEX(Transactions!$O:$O,ROW()-8))</f>
      </c>
    </row>
    <row r="6360" spans="1:7">
      <c r="B6360">
        <f>IF(INDEX(Transactions!$J:$J,ROW()-8)="",TODAY(),INDEX(Transactions!$G:$G,ROW()-8))</f>
      </c>
      <c r="F6360">
        <f>IF(INDEX(Transactions!$J:$J,ROW()-8)="",0,INDEX(Transactions!$O:$O,ROW()-8))</f>
      </c>
    </row>
    <row r="6361" spans="1:7">
      <c r="B6361">
        <f>IF(INDEX(Transactions!$J:$J,ROW()-8)="",TODAY(),INDEX(Transactions!$G:$G,ROW()-8))</f>
      </c>
      <c r="F6361">
        <f>IF(INDEX(Transactions!$J:$J,ROW()-8)="",0,INDEX(Transactions!$O:$O,ROW()-8))</f>
      </c>
    </row>
    <row r="6362" spans="1:7">
      <c r="B6362">
        <f>IF(INDEX(Transactions!$J:$J,ROW()-8)="",TODAY(),INDEX(Transactions!$G:$G,ROW()-8))</f>
      </c>
      <c r="F6362">
        <f>IF(INDEX(Transactions!$J:$J,ROW()-8)="",0,INDEX(Transactions!$O:$O,ROW()-8))</f>
      </c>
    </row>
    <row r="6363" spans="1:7">
      <c r="B6363">
        <f>IF(INDEX(Transactions!$J:$J,ROW()-8)="",TODAY(),INDEX(Transactions!$G:$G,ROW()-8))</f>
      </c>
      <c r="F6363">
        <f>IF(INDEX(Transactions!$J:$J,ROW()-8)="",0,INDEX(Transactions!$O:$O,ROW()-8))</f>
      </c>
    </row>
    <row r="6364" spans="1:7">
      <c r="B6364">
        <f>IF(INDEX(Transactions!$J:$J,ROW()-8)="",TODAY(),INDEX(Transactions!$G:$G,ROW()-8))</f>
      </c>
      <c r="F6364">
        <f>IF(INDEX(Transactions!$J:$J,ROW()-8)="",0,INDEX(Transactions!$O:$O,ROW()-8))</f>
      </c>
    </row>
    <row r="6365" spans="1:7">
      <c r="B6365">
        <f>IF(INDEX(Transactions!$J:$J,ROW()-8)="",TODAY(),INDEX(Transactions!$G:$G,ROW()-8))</f>
      </c>
      <c r="F6365">
        <f>IF(INDEX(Transactions!$J:$J,ROW()-8)="",0,INDEX(Transactions!$O:$O,ROW()-8))</f>
      </c>
    </row>
    <row r="6366" spans="1:7">
      <c r="B6366">
        <f>IF(INDEX(Transactions!$J:$J,ROW()-8)="",TODAY(),INDEX(Transactions!$G:$G,ROW()-8))</f>
      </c>
      <c r="F6366">
        <f>IF(INDEX(Transactions!$J:$J,ROW()-8)="",0,INDEX(Transactions!$O:$O,ROW()-8))</f>
      </c>
    </row>
    <row r="6367" spans="1:7">
      <c r="B6367">
        <f>IF(INDEX(Transactions!$J:$J,ROW()-8)="",TODAY(),INDEX(Transactions!$G:$G,ROW()-8))</f>
      </c>
      <c r="F6367">
        <f>IF(INDEX(Transactions!$J:$J,ROW()-8)="",0,INDEX(Transactions!$O:$O,ROW()-8))</f>
      </c>
    </row>
    <row r="6368" spans="1:7">
      <c r="B6368">
        <f>IF(INDEX(Transactions!$J:$J,ROW()-8)="",TODAY(),INDEX(Transactions!$G:$G,ROW()-8))</f>
      </c>
      <c r="F6368">
        <f>IF(INDEX(Transactions!$J:$J,ROW()-8)="",0,INDEX(Transactions!$O:$O,ROW()-8))</f>
      </c>
    </row>
    <row r="6369" spans="1:7">
      <c r="B6369">
        <f>IF(INDEX(Transactions!$J:$J,ROW()-8)="",TODAY(),INDEX(Transactions!$G:$G,ROW()-8))</f>
      </c>
      <c r="F6369">
        <f>IF(INDEX(Transactions!$J:$J,ROW()-8)="",0,INDEX(Transactions!$O:$O,ROW()-8))</f>
      </c>
    </row>
    <row r="6370" spans="1:7">
      <c r="B6370">
        <f>IF(INDEX(Transactions!$J:$J,ROW()-8)="",TODAY(),INDEX(Transactions!$G:$G,ROW()-8))</f>
      </c>
      <c r="F6370">
        <f>IF(INDEX(Transactions!$J:$J,ROW()-8)="",0,INDEX(Transactions!$O:$O,ROW()-8))</f>
      </c>
    </row>
    <row r="6371" spans="1:7">
      <c r="B6371">
        <f>IF(INDEX(Transactions!$J:$J,ROW()-8)="",TODAY(),INDEX(Transactions!$G:$G,ROW()-8))</f>
      </c>
      <c r="F6371">
        <f>IF(INDEX(Transactions!$J:$J,ROW()-8)="",0,INDEX(Transactions!$O:$O,ROW()-8))</f>
      </c>
    </row>
    <row r="6372" spans="1:7">
      <c r="B6372">
        <f>IF(INDEX(Transactions!$J:$J,ROW()-8)="",TODAY(),INDEX(Transactions!$G:$G,ROW()-8))</f>
      </c>
      <c r="F6372">
        <f>IF(INDEX(Transactions!$J:$J,ROW()-8)="",0,INDEX(Transactions!$O:$O,ROW()-8))</f>
      </c>
    </row>
    <row r="6373" spans="1:7">
      <c r="B6373">
        <f>IF(INDEX(Transactions!$J:$J,ROW()-8)="",TODAY(),INDEX(Transactions!$G:$G,ROW()-8))</f>
      </c>
      <c r="F6373">
        <f>IF(INDEX(Transactions!$J:$J,ROW()-8)="",0,INDEX(Transactions!$O:$O,ROW()-8))</f>
      </c>
    </row>
    <row r="6374" spans="1:7">
      <c r="B6374">
        <f>IF(INDEX(Transactions!$J:$J,ROW()-8)="",TODAY(),INDEX(Transactions!$G:$G,ROW()-8))</f>
      </c>
      <c r="F6374">
        <f>IF(INDEX(Transactions!$J:$J,ROW()-8)="",0,INDEX(Transactions!$O:$O,ROW()-8))</f>
      </c>
    </row>
    <row r="6375" spans="1:7">
      <c r="B6375">
        <f>IF(INDEX(Transactions!$J:$J,ROW()-8)="",TODAY(),INDEX(Transactions!$G:$G,ROW()-8))</f>
      </c>
      <c r="F6375">
        <f>IF(INDEX(Transactions!$J:$J,ROW()-8)="",0,INDEX(Transactions!$O:$O,ROW()-8))</f>
      </c>
    </row>
    <row r="6376" spans="1:7">
      <c r="B6376">
        <f>IF(INDEX(Transactions!$J:$J,ROW()-8)="",TODAY(),INDEX(Transactions!$G:$G,ROW()-8))</f>
      </c>
      <c r="F6376">
        <f>IF(INDEX(Transactions!$J:$J,ROW()-8)="",0,INDEX(Transactions!$O:$O,ROW()-8))</f>
      </c>
    </row>
    <row r="6377" spans="1:7">
      <c r="B6377">
        <f>IF(INDEX(Transactions!$J:$J,ROW()-8)="",TODAY(),INDEX(Transactions!$G:$G,ROW()-8))</f>
      </c>
      <c r="F6377">
        <f>IF(INDEX(Transactions!$J:$J,ROW()-8)="",0,INDEX(Transactions!$O:$O,ROW()-8))</f>
      </c>
    </row>
    <row r="6378" spans="1:7">
      <c r="B6378">
        <f>IF(INDEX(Transactions!$J:$J,ROW()-8)="",TODAY(),INDEX(Transactions!$G:$G,ROW()-8))</f>
      </c>
      <c r="F6378">
        <f>IF(INDEX(Transactions!$J:$J,ROW()-8)="",0,INDEX(Transactions!$O:$O,ROW()-8))</f>
      </c>
    </row>
    <row r="6379" spans="1:7">
      <c r="B6379">
        <f>IF(INDEX(Transactions!$J:$J,ROW()-8)="",TODAY(),INDEX(Transactions!$G:$G,ROW()-8))</f>
      </c>
      <c r="F6379">
        <f>IF(INDEX(Transactions!$J:$J,ROW()-8)="",0,INDEX(Transactions!$O:$O,ROW()-8))</f>
      </c>
    </row>
    <row r="6380" spans="1:7">
      <c r="B6380">
        <f>IF(INDEX(Transactions!$J:$J,ROW()-8)="",TODAY(),INDEX(Transactions!$G:$G,ROW()-8))</f>
      </c>
      <c r="F6380">
        <f>IF(INDEX(Transactions!$J:$J,ROW()-8)="",0,INDEX(Transactions!$O:$O,ROW()-8))</f>
      </c>
    </row>
    <row r="6381" spans="1:7">
      <c r="B6381">
        <f>IF(INDEX(Transactions!$J:$J,ROW()-8)="",TODAY(),INDEX(Transactions!$G:$G,ROW()-8))</f>
      </c>
      <c r="F6381">
        <f>IF(INDEX(Transactions!$J:$J,ROW()-8)="",0,INDEX(Transactions!$O:$O,ROW()-8))</f>
      </c>
    </row>
    <row r="6382" spans="1:7">
      <c r="B6382">
        <f>IF(INDEX(Transactions!$J:$J,ROW()-8)="",TODAY(),INDEX(Transactions!$G:$G,ROW()-8))</f>
      </c>
      <c r="F6382">
        <f>IF(INDEX(Transactions!$J:$J,ROW()-8)="",0,INDEX(Transactions!$O:$O,ROW()-8))</f>
      </c>
    </row>
    <row r="6383" spans="1:7">
      <c r="B6383">
        <f>IF(INDEX(Transactions!$J:$J,ROW()-8)="",TODAY(),INDEX(Transactions!$G:$G,ROW()-8))</f>
      </c>
      <c r="F6383">
        <f>IF(INDEX(Transactions!$J:$J,ROW()-8)="",0,INDEX(Transactions!$O:$O,ROW()-8))</f>
      </c>
    </row>
    <row r="6384" spans="1:7">
      <c r="B6384">
        <f>IF(INDEX(Transactions!$J:$J,ROW()-8)="",TODAY(),INDEX(Transactions!$G:$G,ROW()-8))</f>
      </c>
      <c r="F6384">
        <f>IF(INDEX(Transactions!$J:$J,ROW()-8)="",0,INDEX(Transactions!$O:$O,ROW()-8))</f>
      </c>
    </row>
    <row r="6385" spans="1:7">
      <c r="B6385">
        <f>IF(INDEX(Transactions!$J:$J,ROW()-8)="",TODAY(),INDEX(Transactions!$G:$G,ROW()-8))</f>
      </c>
      <c r="F6385">
        <f>IF(INDEX(Transactions!$J:$J,ROW()-8)="",0,INDEX(Transactions!$O:$O,ROW()-8))</f>
      </c>
    </row>
    <row r="6386" spans="1:7">
      <c r="B6386">
        <f>IF(INDEX(Transactions!$J:$J,ROW()-8)="",TODAY(),INDEX(Transactions!$G:$G,ROW()-8))</f>
      </c>
      <c r="F6386">
        <f>IF(INDEX(Transactions!$J:$J,ROW()-8)="",0,INDEX(Transactions!$O:$O,ROW()-8))</f>
      </c>
    </row>
    <row r="6387" spans="1:7">
      <c r="B6387">
        <f>IF(INDEX(Transactions!$J:$J,ROW()-8)="",TODAY(),INDEX(Transactions!$G:$G,ROW()-8))</f>
      </c>
      <c r="F6387">
        <f>IF(INDEX(Transactions!$J:$J,ROW()-8)="",0,INDEX(Transactions!$O:$O,ROW()-8))</f>
      </c>
    </row>
    <row r="6388" spans="1:7">
      <c r="B6388">
        <f>IF(INDEX(Transactions!$J:$J,ROW()-8)="",TODAY(),INDEX(Transactions!$G:$G,ROW()-8))</f>
      </c>
      <c r="F6388">
        <f>IF(INDEX(Transactions!$J:$J,ROW()-8)="",0,INDEX(Transactions!$O:$O,ROW()-8))</f>
      </c>
    </row>
    <row r="6389" spans="1:7">
      <c r="B6389">
        <f>IF(INDEX(Transactions!$J:$J,ROW()-8)="",TODAY(),INDEX(Transactions!$G:$G,ROW()-8))</f>
      </c>
      <c r="F6389">
        <f>IF(INDEX(Transactions!$J:$J,ROW()-8)="",0,INDEX(Transactions!$O:$O,ROW()-8))</f>
      </c>
    </row>
    <row r="6390" spans="1:7">
      <c r="B6390">
        <f>IF(INDEX(Transactions!$J:$J,ROW()-8)="",TODAY(),INDEX(Transactions!$G:$G,ROW()-8))</f>
      </c>
      <c r="F6390">
        <f>IF(INDEX(Transactions!$J:$J,ROW()-8)="",0,INDEX(Transactions!$O:$O,ROW()-8))</f>
      </c>
    </row>
    <row r="6391" spans="1:7">
      <c r="B6391">
        <f>IF(INDEX(Transactions!$J:$J,ROW()-8)="",TODAY(),INDEX(Transactions!$G:$G,ROW()-8))</f>
      </c>
      <c r="F6391">
        <f>IF(INDEX(Transactions!$J:$J,ROW()-8)="",0,INDEX(Transactions!$O:$O,ROW()-8))</f>
      </c>
    </row>
    <row r="6392" spans="1:7">
      <c r="B6392">
        <f>IF(INDEX(Transactions!$J:$J,ROW()-8)="",TODAY(),INDEX(Transactions!$G:$G,ROW()-8))</f>
      </c>
      <c r="F6392">
        <f>IF(INDEX(Transactions!$J:$J,ROW()-8)="",0,INDEX(Transactions!$O:$O,ROW()-8))</f>
      </c>
    </row>
    <row r="6393" spans="1:7">
      <c r="B6393">
        <f>IF(INDEX(Transactions!$J:$J,ROW()-8)="",TODAY(),INDEX(Transactions!$G:$G,ROW()-8))</f>
      </c>
      <c r="F6393">
        <f>IF(INDEX(Transactions!$J:$J,ROW()-8)="",0,INDEX(Transactions!$O:$O,ROW()-8))</f>
      </c>
    </row>
    <row r="6394" spans="1:7">
      <c r="B6394">
        <f>IF(INDEX(Transactions!$J:$J,ROW()-8)="",TODAY(),INDEX(Transactions!$G:$G,ROW()-8))</f>
      </c>
      <c r="F6394">
        <f>IF(INDEX(Transactions!$J:$J,ROW()-8)="",0,INDEX(Transactions!$O:$O,ROW()-8))</f>
      </c>
    </row>
    <row r="6395" spans="1:7">
      <c r="B6395">
        <f>IF(INDEX(Transactions!$J:$J,ROW()-8)="",TODAY(),INDEX(Transactions!$G:$G,ROW()-8))</f>
      </c>
      <c r="F6395">
        <f>IF(INDEX(Transactions!$J:$J,ROW()-8)="",0,INDEX(Transactions!$O:$O,ROW()-8))</f>
      </c>
    </row>
    <row r="6396" spans="1:7">
      <c r="B6396">
        <f>IF(INDEX(Transactions!$J:$J,ROW()-8)="",TODAY(),INDEX(Transactions!$G:$G,ROW()-8))</f>
      </c>
      <c r="F6396">
        <f>IF(INDEX(Transactions!$J:$J,ROW()-8)="",0,INDEX(Transactions!$O:$O,ROW()-8))</f>
      </c>
    </row>
    <row r="6397" spans="1:7">
      <c r="B6397">
        <f>IF(INDEX(Transactions!$J:$J,ROW()-8)="",TODAY(),INDEX(Transactions!$G:$G,ROW()-8))</f>
      </c>
      <c r="F6397">
        <f>IF(INDEX(Transactions!$J:$J,ROW()-8)="",0,INDEX(Transactions!$O:$O,ROW()-8))</f>
      </c>
    </row>
    <row r="6398" spans="1:7">
      <c r="B6398">
        <f>IF(INDEX(Transactions!$J:$J,ROW()-8)="",TODAY(),INDEX(Transactions!$G:$G,ROW()-8))</f>
      </c>
      <c r="F6398">
        <f>IF(INDEX(Transactions!$J:$J,ROW()-8)="",0,INDEX(Transactions!$O:$O,ROW()-8))</f>
      </c>
    </row>
    <row r="6399" spans="1:7">
      <c r="B6399">
        <f>IF(INDEX(Transactions!$J:$J,ROW()-8)="",TODAY(),INDEX(Transactions!$G:$G,ROW()-8))</f>
      </c>
      <c r="F6399">
        <f>IF(INDEX(Transactions!$J:$J,ROW()-8)="",0,INDEX(Transactions!$O:$O,ROW()-8))</f>
      </c>
    </row>
    <row r="6400" spans="1:7">
      <c r="B6400">
        <f>IF(INDEX(Transactions!$J:$J,ROW()-8)="",TODAY(),INDEX(Transactions!$G:$G,ROW()-8))</f>
      </c>
      <c r="F6400">
        <f>IF(INDEX(Transactions!$J:$J,ROW()-8)="",0,INDEX(Transactions!$O:$O,ROW()-8))</f>
      </c>
    </row>
    <row r="6401" spans="1:7">
      <c r="B6401">
        <f>IF(INDEX(Transactions!$J:$J,ROW()-8)="",TODAY(),INDEX(Transactions!$G:$G,ROW()-8))</f>
      </c>
      <c r="F6401">
        <f>IF(INDEX(Transactions!$J:$J,ROW()-8)="",0,INDEX(Transactions!$O:$O,ROW()-8))</f>
      </c>
    </row>
    <row r="6402" spans="1:7">
      <c r="B6402">
        <f>IF(INDEX(Transactions!$J:$J,ROW()-8)="",TODAY(),INDEX(Transactions!$G:$G,ROW()-8))</f>
      </c>
      <c r="F6402">
        <f>IF(INDEX(Transactions!$J:$J,ROW()-8)="",0,INDEX(Transactions!$O:$O,ROW()-8))</f>
      </c>
    </row>
    <row r="6403" spans="1:7">
      <c r="B6403">
        <f>IF(INDEX(Transactions!$J:$J,ROW()-8)="",TODAY(),INDEX(Transactions!$G:$G,ROW()-8))</f>
      </c>
      <c r="F6403">
        <f>IF(INDEX(Transactions!$J:$J,ROW()-8)="",0,INDEX(Transactions!$O:$O,ROW()-8))</f>
      </c>
    </row>
    <row r="6404" spans="1:7">
      <c r="B6404">
        <f>IF(INDEX(Transactions!$J:$J,ROW()-8)="",TODAY(),INDEX(Transactions!$G:$G,ROW()-8))</f>
      </c>
      <c r="F6404">
        <f>IF(INDEX(Transactions!$J:$J,ROW()-8)="",0,INDEX(Transactions!$O:$O,ROW()-8))</f>
      </c>
    </row>
    <row r="6405" spans="1:7">
      <c r="B6405">
        <f>IF(INDEX(Transactions!$J:$J,ROW()-8)="",TODAY(),INDEX(Transactions!$G:$G,ROW()-8))</f>
      </c>
      <c r="F6405">
        <f>IF(INDEX(Transactions!$J:$J,ROW()-8)="",0,INDEX(Transactions!$O:$O,ROW()-8))</f>
      </c>
    </row>
    <row r="6406" spans="1:7">
      <c r="B6406">
        <f>IF(INDEX(Transactions!$J:$J,ROW()-8)="",TODAY(),INDEX(Transactions!$G:$G,ROW()-8))</f>
      </c>
      <c r="F6406">
        <f>IF(INDEX(Transactions!$J:$J,ROW()-8)="",0,INDEX(Transactions!$O:$O,ROW()-8))</f>
      </c>
    </row>
    <row r="6407" spans="1:7">
      <c r="B6407">
        <f>IF(INDEX(Transactions!$J:$J,ROW()-8)="",TODAY(),INDEX(Transactions!$G:$G,ROW()-8))</f>
      </c>
      <c r="F6407">
        <f>IF(INDEX(Transactions!$J:$J,ROW()-8)="",0,INDEX(Transactions!$O:$O,ROW()-8))</f>
      </c>
    </row>
    <row r="6408" spans="1:7">
      <c r="B6408">
        <f>IF(INDEX(Transactions!$J:$J,ROW()-8)="",TODAY(),INDEX(Transactions!$G:$G,ROW()-8))</f>
      </c>
      <c r="F6408">
        <f>IF(INDEX(Transactions!$J:$J,ROW()-8)="",0,INDEX(Transactions!$O:$O,ROW()-8))</f>
      </c>
    </row>
    <row r="6409" spans="1:7">
      <c r="B6409">
        <f>IF(INDEX(Transactions!$J:$J,ROW()-8)="",TODAY(),INDEX(Transactions!$G:$G,ROW()-8))</f>
      </c>
      <c r="F6409">
        <f>IF(INDEX(Transactions!$J:$J,ROW()-8)="",0,INDEX(Transactions!$O:$O,ROW()-8))</f>
      </c>
    </row>
    <row r="6410" spans="1:7">
      <c r="B6410">
        <f>IF(INDEX(Transactions!$J:$J,ROW()-8)="",TODAY(),INDEX(Transactions!$G:$G,ROW()-8))</f>
      </c>
      <c r="F6410">
        <f>IF(INDEX(Transactions!$J:$J,ROW()-8)="",0,INDEX(Transactions!$O:$O,ROW()-8))</f>
      </c>
    </row>
    <row r="6411" spans="1:7">
      <c r="B6411">
        <f>IF(INDEX(Transactions!$J:$J,ROW()-8)="",TODAY(),INDEX(Transactions!$G:$G,ROW()-8))</f>
      </c>
      <c r="F6411">
        <f>IF(INDEX(Transactions!$J:$J,ROW()-8)="",0,INDEX(Transactions!$O:$O,ROW()-8))</f>
      </c>
    </row>
    <row r="6412" spans="1:7">
      <c r="B6412">
        <f>IF(INDEX(Transactions!$J:$J,ROW()-8)="",TODAY(),INDEX(Transactions!$G:$G,ROW()-8))</f>
      </c>
      <c r="F6412">
        <f>IF(INDEX(Transactions!$J:$J,ROW()-8)="",0,INDEX(Transactions!$O:$O,ROW()-8))</f>
      </c>
    </row>
    <row r="6413" spans="1:7">
      <c r="B6413">
        <f>IF(INDEX(Transactions!$J:$J,ROW()-8)="",TODAY(),INDEX(Transactions!$G:$G,ROW()-8))</f>
      </c>
      <c r="F6413">
        <f>IF(INDEX(Transactions!$J:$J,ROW()-8)="",0,INDEX(Transactions!$O:$O,ROW()-8))</f>
      </c>
    </row>
    <row r="6414" spans="1:7">
      <c r="B6414">
        <f>IF(INDEX(Transactions!$J:$J,ROW()-8)="",TODAY(),INDEX(Transactions!$G:$G,ROW()-8))</f>
      </c>
      <c r="F6414">
        <f>IF(INDEX(Transactions!$J:$J,ROW()-8)="",0,INDEX(Transactions!$O:$O,ROW()-8))</f>
      </c>
    </row>
    <row r="6415" spans="1:7">
      <c r="B6415">
        <f>IF(INDEX(Transactions!$J:$J,ROW()-8)="",TODAY(),INDEX(Transactions!$G:$G,ROW()-8))</f>
      </c>
      <c r="F6415">
        <f>IF(INDEX(Transactions!$J:$J,ROW()-8)="",0,INDEX(Transactions!$O:$O,ROW()-8))</f>
      </c>
    </row>
    <row r="6416" spans="1:7">
      <c r="B6416">
        <f>IF(INDEX(Transactions!$J:$J,ROW()-8)="",TODAY(),INDEX(Transactions!$G:$G,ROW()-8))</f>
      </c>
      <c r="F6416">
        <f>IF(INDEX(Transactions!$J:$J,ROW()-8)="",0,INDEX(Transactions!$O:$O,ROW()-8))</f>
      </c>
    </row>
    <row r="6417" spans="1:7">
      <c r="B6417">
        <f>IF(INDEX(Transactions!$J:$J,ROW()-8)="",TODAY(),INDEX(Transactions!$G:$G,ROW()-8))</f>
      </c>
      <c r="F6417">
        <f>IF(INDEX(Transactions!$J:$J,ROW()-8)="",0,INDEX(Transactions!$O:$O,ROW()-8))</f>
      </c>
    </row>
    <row r="6418" spans="1:7">
      <c r="B6418">
        <f>IF(INDEX(Transactions!$J:$J,ROW()-8)="",TODAY(),INDEX(Transactions!$G:$G,ROW()-8))</f>
      </c>
      <c r="F6418">
        <f>IF(INDEX(Transactions!$J:$J,ROW()-8)="",0,INDEX(Transactions!$O:$O,ROW()-8))</f>
      </c>
    </row>
    <row r="6419" spans="1:7">
      <c r="B6419">
        <f>IF(INDEX(Transactions!$J:$J,ROW()-8)="",TODAY(),INDEX(Transactions!$G:$G,ROW()-8))</f>
      </c>
      <c r="F6419">
        <f>IF(INDEX(Transactions!$J:$J,ROW()-8)="",0,INDEX(Transactions!$O:$O,ROW()-8))</f>
      </c>
    </row>
    <row r="6420" spans="1:7">
      <c r="B6420">
        <f>IF(INDEX(Transactions!$J:$J,ROW()-8)="",TODAY(),INDEX(Transactions!$G:$G,ROW()-8))</f>
      </c>
      <c r="F6420">
        <f>IF(INDEX(Transactions!$J:$J,ROW()-8)="",0,INDEX(Transactions!$O:$O,ROW()-8))</f>
      </c>
    </row>
    <row r="6421" spans="1:7">
      <c r="B6421">
        <f>IF(INDEX(Transactions!$J:$J,ROW()-8)="",TODAY(),INDEX(Transactions!$G:$G,ROW()-8))</f>
      </c>
      <c r="F6421">
        <f>IF(INDEX(Transactions!$J:$J,ROW()-8)="",0,INDEX(Transactions!$O:$O,ROW()-8))</f>
      </c>
    </row>
    <row r="6422" spans="1:7">
      <c r="B6422">
        <f>IF(INDEX(Transactions!$J:$J,ROW()-8)="",TODAY(),INDEX(Transactions!$G:$G,ROW()-8))</f>
      </c>
      <c r="F6422">
        <f>IF(INDEX(Transactions!$J:$J,ROW()-8)="",0,INDEX(Transactions!$O:$O,ROW()-8))</f>
      </c>
    </row>
    <row r="6423" spans="1:7">
      <c r="B6423">
        <f>IF(INDEX(Transactions!$J:$J,ROW()-8)="",TODAY(),INDEX(Transactions!$G:$G,ROW()-8))</f>
      </c>
      <c r="F6423">
        <f>IF(INDEX(Transactions!$J:$J,ROW()-8)="",0,INDEX(Transactions!$O:$O,ROW()-8))</f>
      </c>
    </row>
    <row r="6424" spans="1:7">
      <c r="B6424">
        <f>IF(INDEX(Transactions!$J:$J,ROW()-8)="",TODAY(),INDEX(Transactions!$G:$G,ROW()-8))</f>
      </c>
      <c r="F6424">
        <f>IF(INDEX(Transactions!$J:$J,ROW()-8)="",0,INDEX(Transactions!$O:$O,ROW()-8))</f>
      </c>
    </row>
    <row r="6425" spans="1:7">
      <c r="B6425">
        <f>IF(INDEX(Transactions!$J:$J,ROW()-8)="",TODAY(),INDEX(Transactions!$G:$G,ROW()-8))</f>
      </c>
      <c r="F6425">
        <f>IF(INDEX(Transactions!$J:$J,ROW()-8)="",0,INDEX(Transactions!$O:$O,ROW()-8))</f>
      </c>
    </row>
    <row r="6426" spans="1:7">
      <c r="B6426">
        <f>IF(INDEX(Transactions!$J:$J,ROW()-8)="",TODAY(),INDEX(Transactions!$G:$G,ROW()-8))</f>
      </c>
      <c r="F6426">
        <f>IF(INDEX(Transactions!$J:$J,ROW()-8)="",0,INDEX(Transactions!$O:$O,ROW()-8))</f>
      </c>
    </row>
    <row r="6427" spans="1:7">
      <c r="B6427">
        <f>IF(INDEX(Transactions!$J:$J,ROW()-8)="",TODAY(),INDEX(Transactions!$G:$G,ROW()-8))</f>
      </c>
      <c r="F6427">
        <f>IF(INDEX(Transactions!$J:$J,ROW()-8)="",0,INDEX(Transactions!$O:$O,ROW()-8))</f>
      </c>
    </row>
    <row r="6428" spans="1:7">
      <c r="B6428">
        <f>IF(INDEX(Transactions!$J:$J,ROW()-8)="",TODAY(),INDEX(Transactions!$G:$G,ROW()-8))</f>
      </c>
      <c r="F6428">
        <f>IF(INDEX(Transactions!$J:$J,ROW()-8)="",0,INDEX(Transactions!$O:$O,ROW()-8))</f>
      </c>
    </row>
    <row r="6429" spans="1:7">
      <c r="B6429">
        <f>IF(INDEX(Transactions!$J:$J,ROW()-8)="",TODAY(),INDEX(Transactions!$G:$G,ROW()-8))</f>
      </c>
      <c r="F6429">
        <f>IF(INDEX(Transactions!$J:$J,ROW()-8)="",0,INDEX(Transactions!$O:$O,ROW()-8))</f>
      </c>
    </row>
    <row r="6430" spans="1:7">
      <c r="B6430">
        <f>IF(INDEX(Transactions!$J:$J,ROW()-8)="",TODAY(),INDEX(Transactions!$G:$G,ROW()-8))</f>
      </c>
      <c r="F6430">
        <f>IF(INDEX(Transactions!$J:$J,ROW()-8)="",0,INDEX(Transactions!$O:$O,ROW()-8))</f>
      </c>
    </row>
    <row r="6431" spans="1:7">
      <c r="B6431">
        <f>IF(INDEX(Transactions!$J:$J,ROW()-8)="",TODAY(),INDEX(Transactions!$G:$G,ROW()-8))</f>
      </c>
      <c r="F6431">
        <f>IF(INDEX(Transactions!$J:$J,ROW()-8)="",0,INDEX(Transactions!$O:$O,ROW()-8))</f>
      </c>
    </row>
    <row r="6432" spans="1:7">
      <c r="B6432">
        <f>IF(INDEX(Transactions!$J:$J,ROW()-8)="",TODAY(),INDEX(Transactions!$G:$G,ROW()-8))</f>
      </c>
      <c r="F6432">
        <f>IF(INDEX(Transactions!$J:$J,ROW()-8)="",0,INDEX(Transactions!$O:$O,ROW()-8))</f>
      </c>
    </row>
    <row r="6433" spans="1:7">
      <c r="B6433">
        <f>IF(INDEX(Transactions!$J:$J,ROW()-8)="",TODAY(),INDEX(Transactions!$G:$G,ROW()-8))</f>
      </c>
      <c r="F6433">
        <f>IF(INDEX(Transactions!$J:$J,ROW()-8)="",0,INDEX(Transactions!$O:$O,ROW()-8))</f>
      </c>
    </row>
    <row r="6434" spans="1:7">
      <c r="B6434">
        <f>IF(INDEX(Transactions!$J:$J,ROW()-8)="",TODAY(),INDEX(Transactions!$G:$G,ROW()-8))</f>
      </c>
      <c r="F6434">
        <f>IF(INDEX(Transactions!$J:$J,ROW()-8)="",0,INDEX(Transactions!$O:$O,ROW()-8))</f>
      </c>
    </row>
    <row r="6435" spans="1:7">
      <c r="B6435">
        <f>IF(INDEX(Transactions!$J:$J,ROW()-8)="",TODAY(),INDEX(Transactions!$G:$G,ROW()-8))</f>
      </c>
      <c r="F6435">
        <f>IF(INDEX(Transactions!$J:$J,ROW()-8)="",0,INDEX(Transactions!$O:$O,ROW()-8))</f>
      </c>
    </row>
    <row r="6436" spans="1:7">
      <c r="B6436">
        <f>IF(INDEX(Transactions!$J:$J,ROW()-8)="",TODAY(),INDEX(Transactions!$G:$G,ROW()-8))</f>
      </c>
      <c r="F6436">
        <f>IF(INDEX(Transactions!$J:$J,ROW()-8)="",0,INDEX(Transactions!$O:$O,ROW()-8))</f>
      </c>
    </row>
    <row r="6437" spans="1:7">
      <c r="B6437">
        <f>IF(INDEX(Transactions!$J:$J,ROW()-8)="",TODAY(),INDEX(Transactions!$G:$G,ROW()-8))</f>
      </c>
      <c r="F6437">
        <f>IF(INDEX(Transactions!$J:$J,ROW()-8)="",0,INDEX(Transactions!$O:$O,ROW()-8))</f>
      </c>
    </row>
    <row r="6438" spans="1:7">
      <c r="B6438">
        <f>IF(INDEX(Transactions!$J:$J,ROW()-8)="",TODAY(),INDEX(Transactions!$G:$G,ROW()-8))</f>
      </c>
      <c r="F6438">
        <f>IF(INDEX(Transactions!$J:$J,ROW()-8)="",0,INDEX(Transactions!$O:$O,ROW()-8))</f>
      </c>
    </row>
    <row r="6439" spans="1:7">
      <c r="B6439">
        <f>IF(INDEX(Transactions!$J:$J,ROW()-8)="",TODAY(),INDEX(Transactions!$G:$G,ROW()-8))</f>
      </c>
      <c r="F6439">
        <f>IF(INDEX(Transactions!$J:$J,ROW()-8)="",0,INDEX(Transactions!$O:$O,ROW()-8))</f>
      </c>
    </row>
    <row r="6440" spans="1:7">
      <c r="B6440">
        <f>IF(INDEX(Transactions!$J:$J,ROW()-8)="",TODAY(),INDEX(Transactions!$G:$G,ROW()-8))</f>
      </c>
      <c r="F6440">
        <f>IF(INDEX(Transactions!$J:$J,ROW()-8)="",0,INDEX(Transactions!$O:$O,ROW()-8))</f>
      </c>
    </row>
    <row r="6441" spans="1:7">
      <c r="B6441">
        <f>IF(INDEX(Transactions!$J:$J,ROW()-8)="",TODAY(),INDEX(Transactions!$G:$G,ROW()-8))</f>
      </c>
      <c r="F6441">
        <f>IF(INDEX(Transactions!$J:$J,ROW()-8)="",0,INDEX(Transactions!$O:$O,ROW()-8))</f>
      </c>
    </row>
    <row r="6442" spans="1:7">
      <c r="B6442">
        <f>IF(INDEX(Transactions!$J:$J,ROW()-8)="",TODAY(),INDEX(Transactions!$G:$G,ROW()-8))</f>
      </c>
      <c r="F6442">
        <f>IF(INDEX(Transactions!$J:$J,ROW()-8)="",0,INDEX(Transactions!$O:$O,ROW()-8))</f>
      </c>
    </row>
    <row r="6443" spans="1:7">
      <c r="B6443">
        <f>IF(INDEX(Transactions!$J:$J,ROW()-8)="",TODAY(),INDEX(Transactions!$G:$G,ROW()-8))</f>
      </c>
      <c r="F6443">
        <f>IF(INDEX(Transactions!$J:$J,ROW()-8)="",0,INDEX(Transactions!$O:$O,ROW()-8))</f>
      </c>
    </row>
    <row r="6444" spans="1:7">
      <c r="B6444">
        <f>IF(INDEX(Transactions!$J:$J,ROW()-8)="",TODAY(),INDEX(Transactions!$G:$G,ROW()-8))</f>
      </c>
      <c r="F6444">
        <f>IF(INDEX(Transactions!$J:$J,ROW()-8)="",0,INDEX(Transactions!$O:$O,ROW()-8))</f>
      </c>
    </row>
    <row r="6445" spans="1:7">
      <c r="B6445">
        <f>IF(INDEX(Transactions!$J:$J,ROW()-8)="",TODAY(),INDEX(Transactions!$G:$G,ROW()-8))</f>
      </c>
      <c r="F6445">
        <f>IF(INDEX(Transactions!$J:$J,ROW()-8)="",0,INDEX(Transactions!$O:$O,ROW()-8))</f>
      </c>
    </row>
    <row r="6446" spans="1:7">
      <c r="B6446">
        <f>IF(INDEX(Transactions!$J:$J,ROW()-8)="",TODAY(),INDEX(Transactions!$G:$G,ROW()-8))</f>
      </c>
      <c r="F6446">
        <f>IF(INDEX(Transactions!$J:$J,ROW()-8)="",0,INDEX(Transactions!$O:$O,ROW()-8))</f>
      </c>
    </row>
    <row r="6447" spans="1:7">
      <c r="B6447">
        <f>IF(INDEX(Transactions!$J:$J,ROW()-8)="",TODAY(),INDEX(Transactions!$G:$G,ROW()-8))</f>
      </c>
      <c r="F6447">
        <f>IF(INDEX(Transactions!$J:$J,ROW()-8)="",0,INDEX(Transactions!$O:$O,ROW()-8))</f>
      </c>
    </row>
    <row r="6448" spans="1:7">
      <c r="B6448">
        <f>IF(INDEX(Transactions!$J:$J,ROW()-8)="",TODAY(),INDEX(Transactions!$G:$G,ROW()-8))</f>
      </c>
      <c r="F6448">
        <f>IF(INDEX(Transactions!$J:$J,ROW()-8)="",0,INDEX(Transactions!$O:$O,ROW()-8))</f>
      </c>
    </row>
    <row r="6449" spans="1:7">
      <c r="B6449">
        <f>IF(INDEX(Transactions!$J:$J,ROW()-8)="",TODAY(),INDEX(Transactions!$G:$G,ROW()-8))</f>
      </c>
      <c r="F6449">
        <f>IF(INDEX(Transactions!$J:$J,ROW()-8)="",0,INDEX(Transactions!$O:$O,ROW()-8))</f>
      </c>
    </row>
    <row r="6450" spans="1:7">
      <c r="B6450">
        <f>IF(INDEX(Transactions!$J:$J,ROW()-8)="",TODAY(),INDEX(Transactions!$G:$G,ROW()-8))</f>
      </c>
      <c r="F6450">
        <f>IF(INDEX(Transactions!$J:$J,ROW()-8)="",0,INDEX(Transactions!$O:$O,ROW()-8))</f>
      </c>
    </row>
    <row r="6451" spans="1:7">
      <c r="B6451">
        <f>IF(INDEX(Transactions!$J:$J,ROW()-8)="",TODAY(),INDEX(Transactions!$G:$G,ROW()-8))</f>
      </c>
      <c r="F6451">
        <f>IF(INDEX(Transactions!$J:$J,ROW()-8)="",0,INDEX(Transactions!$O:$O,ROW()-8))</f>
      </c>
    </row>
    <row r="6452" spans="1:7">
      <c r="B6452">
        <f>IF(INDEX(Transactions!$J:$J,ROW()-8)="",TODAY(),INDEX(Transactions!$G:$G,ROW()-8))</f>
      </c>
      <c r="F6452">
        <f>IF(INDEX(Transactions!$J:$J,ROW()-8)="",0,INDEX(Transactions!$O:$O,ROW()-8))</f>
      </c>
    </row>
    <row r="6453" spans="1:7">
      <c r="B6453">
        <f>IF(INDEX(Transactions!$J:$J,ROW()-8)="",TODAY(),INDEX(Transactions!$G:$G,ROW()-8))</f>
      </c>
      <c r="F6453">
        <f>IF(INDEX(Transactions!$J:$J,ROW()-8)="",0,INDEX(Transactions!$O:$O,ROW()-8))</f>
      </c>
    </row>
    <row r="6454" spans="1:7">
      <c r="B6454">
        <f>IF(INDEX(Transactions!$J:$J,ROW()-8)="",TODAY(),INDEX(Transactions!$G:$G,ROW()-8))</f>
      </c>
      <c r="F6454">
        <f>IF(INDEX(Transactions!$J:$J,ROW()-8)="",0,INDEX(Transactions!$O:$O,ROW()-8))</f>
      </c>
    </row>
    <row r="6455" spans="1:7">
      <c r="B6455">
        <f>IF(INDEX(Transactions!$J:$J,ROW()-8)="",TODAY(),INDEX(Transactions!$G:$G,ROW()-8))</f>
      </c>
      <c r="F6455">
        <f>IF(INDEX(Transactions!$J:$J,ROW()-8)="",0,INDEX(Transactions!$O:$O,ROW()-8))</f>
      </c>
    </row>
    <row r="6456" spans="1:7">
      <c r="B6456">
        <f>IF(INDEX(Transactions!$J:$J,ROW()-8)="",TODAY(),INDEX(Transactions!$G:$G,ROW()-8))</f>
      </c>
      <c r="F6456">
        <f>IF(INDEX(Transactions!$J:$J,ROW()-8)="",0,INDEX(Transactions!$O:$O,ROW()-8))</f>
      </c>
    </row>
    <row r="6457" spans="1:7">
      <c r="B6457">
        <f>IF(INDEX(Transactions!$J:$J,ROW()-8)="",TODAY(),INDEX(Transactions!$G:$G,ROW()-8))</f>
      </c>
      <c r="F6457">
        <f>IF(INDEX(Transactions!$J:$J,ROW()-8)="",0,INDEX(Transactions!$O:$O,ROW()-8))</f>
      </c>
    </row>
    <row r="6458" spans="1:7">
      <c r="B6458">
        <f>IF(INDEX(Transactions!$J:$J,ROW()-8)="",TODAY(),INDEX(Transactions!$G:$G,ROW()-8))</f>
      </c>
      <c r="F6458">
        <f>IF(INDEX(Transactions!$J:$J,ROW()-8)="",0,INDEX(Transactions!$O:$O,ROW()-8))</f>
      </c>
    </row>
    <row r="6459" spans="1:7">
      <c r="B6459">
        <f>IF(INDEX(Transactions!$J:$J,ROW()-8)="",TODAY(),INDEX(Transactions!$G:$G,ROW()-8))</f>
      </c>
      <c r="F6459">
        <f>IF(INDEX(Transactions!$J:$J,ROW()-8)="",0,INDEX(Transactions!$O:$O,ROW()-8))</f>
      </c>
    </row>
    <row r="6460" spans="1:7">
      <c r="B6460">
        <f>IF(INDEX(Transactions!$J:$J,ROW()-8)="",TODAY(),INDEX(Transactions!$G:$G,ROW()-8))</f>
      </c>
      <c r="F6460">
        <f>IF(INDEX(Transactions!$J:$J,ROW()-8)="",0,INDEX(Transactions!$O:$O,ROW()-8))</f>
      </c>
    </row>
    <row r="6461" spans="1:7">
      <c r="B6461">
        <f>IF(INDEX(Transactions!$J:$J,ROW()-8)="",TODAY(),INDEX(Transactions!$G:$G,ROW()-8))</f>
      </c>
      <c r="F6461">
        <f>IF(INDEX(Transactions!$J:$J,ROW()-8)="",0,INDEX(Transactions!$O:$O,ROW()-8))</f>
      </c>
    </row>
    <row r="6462" spans="1:7">
      <c r="B6462">
        <f>IF(INDEX(Transactions!$J:$J,ROW()-8)="",TODAY(),INDEX(Transactions!$G:$G,ROW()-8))</f>
      </c>
      <c r="F6462">
        <f>IF(INDEX(Transactions!$J:$J,ROW()-8)="",0,INDEX(Transactions!$O:$O,ROW()-8))</f>
      </c>
    </row>
    <row r="6463" spans="1:7">
      <c r="B6463">
        <f>IF(INDEX(Transactions!$J:$J,ROW()-8)="",TODAY(),INDEX(Transactions!$G:$G,ROW()-8))</f>
      </c>
      <c r="F6463">
        <f>IF(INDEX(Transactions!$J:$J,ROW()-8)="",0,INDEX(Transactions!$O:$O,ROW()-8))</f>
      </c>
    </row>
    <row r="6464" spans="1:7">
      <c r="B6464">
        <f>IF(INDEX(Transactions!$J:$J,ROW()-8)="",TODAY(),INDEX(Transactions!$G:$G,ROW()-8))</f>
      </c>
      <c r="F6464">
        <f>IF(INDEX(Transactions!$J:$J,ROW()-8)="",0,INDEX(Transactions!$O:$O,ROW()-8))</f>
      </c>
    </row>
    <row r="6465" spans="1:7">
      <c r="B6465">
        <f>IF(INDEX(Transactions!$J:$J,ROW()-8)="",TODAY(),INDEX(Transactions!$G:$G,ROW()-8))</f>
      </c>
      <c r="F6465">
        <f>IF(INDEX(Transactions!$J:$J,ROW()-8)="",0,INDEX(Transactions!$O:$O,ROW()-8))</f>
      </c>
    </row>
    <row r="6466" spans="1:7">
      <c r="B6466">
        <f>IF(INDEX(Transactions!$J:$J,ROW()-8)="",TODAY(),INDEX(Transactions!$G:$G,ROW()-8))</f>
      </c>
      <c r="F6466">
        <f>IF(INDEX(Transactions!$J:$J,ROW()-8)="",0,INDEX(Transactions!$O:$O,ROW()-8))</f>
      </c>
    </row>
    <row r="6467" spans="1:7">
      <c r="B6467">
        <f>IF(INDEX(Transactions!$J:$J,ROW()-8)="",TODAY(),INDEX(Transactions!$G:$G,ROW()-8))</f>
      </c>
      <c r="F6467">
        <f>IF(INDEX(Transactions!$J:$J,ROW()-8)="",0,INDEX(Transactions!$O:$O,ROW()-8))</f>
      </c>
    </row>
    <row r="6468" spans="1:7">
      <c r="B6468">
        <f>IF(INDEX(Transactions!$J:$J,ROW()-8)="",TODAY(),INDEX(Transactions!$G:$G,ROW()-8))</f>
      </c>
      <c r="F6468">
        <f>IF(INDEX(Transactions!$J:$J,ROW()-8)="",0,INDEX(Transactions!$O:$O,ROW()-8))</f>
      </c>
    </row>
    <row r="6469" spans="1:7">
      <c r="B6469">
        <f>IF(INDEX(Transactions!$J:$J,ROW()-8)="",TODAY(),INDEX(Transactions!$G:$G,ROW()-8))</f>
      </c>
      <c r="F6469">
        <f>IF(INDEX(Transactions!$J:$J,ROW()-8)="",0,INDEX(Transactions!$O:$O,ROW()-8))</f>
      </c>
    </row>
    <row r="6470" spans="1:7">
      <c r="B6470">
        <f>IF(INDEX(Transactions!$J:$J,ROW()-8)="",TODAY(),INDEX(Transactions!$G:$G,ROW()-8))</f>
      </c>
      <c r="F6470">
        <f>IF(INDEX(Transactions!$J:$J,ROW()-8)="",0,INDEX(Transactions!$O:$O,ROW()-8))</f>
      </c>
    </row>
    <row r="6471" spans="1:7">
      <c r="B6471">
        <f>IF(INDEX(Transactions!$J:$J,ROW()-8)="",TODAY(),INDEX(Transactions!$G:$G,ROW()-8))</f>
      </c>
      <c r="F6471">
        <f>IF(INDEX(Transactions!$J:$J,ROW()-8)="",0,INDEX(Transactions!$O:$O,ROW()-8))</f>
      </c>
    </row>
    <row r="6472" spans="1:7">
      <c r="B6472">
        <f>IF(INDEX(Transactions!$J:$J,ROW()-8)="",TODAY(),INDEX(Transactions!$G:$G,ROW()-8))</f>
      </c>
      <c r="F6472">
        <f>IF(INDEX(Transactions!$J:$J,ROW()-8)="",0,INDEX(Transactions!$O:$O,ROW()-8))</f>
      </c>
    </row>
    <row r="6473" spans="1:7">
      <c r="B6473">
        <f>IF(INDEX(Transactions!$J:$J,ROW()-8)="",TODAY(),INDEX(Transactions!$G:$G,ROW()-8))</f>
      </c>
      <c r="F6473">
        <f>IF(INDEX(Transactions!$J:$J,ROW()-8)="",0,INDEX(Transactions!$O:$O,ROW()-8))</f>
      </c>
    </row>
    <row r="6474" spans="1:7">
      <c r="B6474">
        <f>IF(INDEX(Transactions!$J:$J,ROW()-8)="",TODAY(),INDEX(Transactions!$G:$G,ROW()-8))</f>
      </c>
      <c r="F6474">
        <f>IF(INDEX(Transactions!$J:$J,ROW()-8)="",0,INDEX(Transactions!$O:$O,ROW()-8))</f>
      </c>
    </row>
    <row r="6475" spans="1:7">
      <c r="B6475">
        <f>IF(INDEX(Transactions!$J:$J,ROW()-8)="",TODAY(),INDEX(Transactions!$G:$G,ROW()-8))</f>
      </c>
      <c r="F6475">
        <f>IF(INDEX(Transactions!$J:$J,ROW()-8)="",0,INDEX(Transactions!$O:$O,ROW()-8))</f>
      </c>
    </row>
    <row r="6476" spans="1:7">
      <c r="B6476">
        <f>IF(INDEX(Transactions!$J:$J,ROW()-8)="",TODAY(),INDEX(Transactions!$G:$G,ROW()-8))</f>
      </c>
      <c r="F6476">
        <f>IF(INDEX(Transactions!$J:$J,ROW()-8)="",0,INDEX(Transactions!$O:$O,ROW()-8))</f>
      </c>
    </row>
    <row r="6477" spans="1:7">
      <c r="B6477">
        <f>IF(INDEX(Transactions!$J:$J,ROW()-8)="",TODAY(),INDEX(Transactions!$G:$G,ROW()-8))</f>
      </c>
      <c r="F6477">
        <f>IF(INDEX(Transactions!$J:$J,ROW()-8)="",0,INDEX(Transactions!$O:$O,ROW()-8))</f>
      </c>
    </row>
    <row r="6478" spans="1:7">
      <c r="B6478">
        <f>IF(INDEX(Transactions!$J:$J,ROW()-8)="",TODAY(),INDEX(Transactions!$G:$G,ROW()-8))</f>
      </c>
      <c r="F6478">
        <f>IF(INDEX(Transactions!$J:$J,ROW()-8)="",0,INDEX(Transactions!$O:$O,ROW()-8))</f>
      </c>
    </row>
    <row r="6479" spans="1:7">
      <c r="B6479">
        <f>IF(INDEX(Transactions!$J:$J,ROW()-8)="",TODAY(),INDEX(Transactions!$G:$G,ROW()-8))</f>
      </c>
      <c r="F6479">
        <f>IF(INDEX(Transactions!$J:$J,ROW()-8)="",0,INDEX(Transactions!$O:$O,ROW()-8))</f>
      </c>
    </row>
    <row r="6480" spans="1:7">
      <c r="B6480">
        <f>IF(INDEX(Transactions!$J:$J,ROW()-8)="",TODAY(),INDEX(Transactions!$G:$G,ROW()-8))</f>
      </c>
      <c r="F6480">
        <f>IF(INDEX(Transactions!$J:$J,ROW()-8)="",0,INDEX(Transactions!$O:$O,ROW()-8))</f>
      </c>
    </row>
    <row r="6481" spans="1:7">
      <c r="B6481">
        <f>IF(INDEX(Transactions!$J:$J,ROW()-8)="",TODAY(),INDEX(Transactions!$G:$G,ROW()-8))</f>
      </c>
      <c r="F6481">
        <f>IF(INDEX(Transactions!$J:$J,ROW()-8)="",0,INDEX(Transactions!$O:$O,ROW()-8))</f>
      </c>
    </row>
    <row r="6482" spans="1:7">
      <c r="B6482">
        <f>IF(INDEX(Transactions!$J:$J,ROW()-8)="",TODAY(),INDEX(Transactions!$G:$G,ROW()-8))</f>
      </c>
      <c r="F6482">
        <f>IF(INDEX(Transactions!$J:$J,ROW()-8)="",0,INDEX(Transactions!$O:$O,ROW()-8))</f>
      </c>
    </row>
    <row r="6483" spans="1:7">
      <c r="B6483">
        <f>IF(INDEX(Transactions!$J:$J,ROW()-8)="",TODAY(),INDEX(Transactions!$G:$G,ROW()-8))</f>
      </c>
      <c r="F6483">
        <f>IF(INDEX(Transactions!$J:$J,ROW()-8)="",0,INDEX(Transactions!$O:$O,ROW()-8))</f>
      </c>
    </row>
    <row r="6484" spans="1:7">
      <c r="B6484">
        <f>IF(INDEX(Transactions!$J:$J,ROW()-8)="",TODAY(),INDEX(Transactions!$G:$G,ROW()-8))</f>
      </c>
      <c r="F6484">
        <f>IF(INDEX(Transactions!$J:$J,ROW()-8)="",0,INDEX(Transactions!$O:$O,ROW()-8))</f>
      </c>
    </row>
    <row r="6485" spans="1:7">
      <c r="B6485">
        <f>IF(INDEX(Transactions!$J:$J,ROW()-8)="",TODAY(),INDEX(Transactions!$G:$G,ROW()-8))</f>
      </c>
      <c r="F6485">
        <f>IF(INDEX(Transactions!$J:$J,ROW()-8)="",0,INDEX(Transactions!$O:$O,ROW()-8))</f>
      </c>
    </row>
    <row r="6486" spans="1:7">
      <c r="B6486">
        <f>IF(INDEX(Transactions!$J:$J,ROW()-8)="",TODAY(),INDEX(Transactions!$G:$G,ROW()-8))</f>
      </c>
      <c r="F6486">
        <f>IF(INDEX(Transactions!$J:$J,ROW()-8)="",0,INDEX(Transactions!$O:$O,ROW()-8))</f>
      </c>
    </row>
    <row r="6487" spans="1:7">
      <c r="B6487">
        <f>IF(INDEX(Transactions!$J:$J,ROW()-8)="",TODAY(),INDEX(Transactions!$G:$G,ROW()-8))</f>
      </c>
      <c r="F6487">
        <f>IF(INDEX(Transactions!$J:$J,ROW()-8)="",0,INDEX(Transactions!$O:$O,ROW()-8))</f>
      </c>
    </row>
    <row r="6488" spans="1:7">
      <c r="B6488">
        <f>IF(INDEX(Transactions!$J:$J,ROW()-8)="",TODAY(),INDEX(Transactions!$G:$G,ROW()-8))</f>
      </c>
      <c r="F6488">
        <f>IF(INDEX(Transactions!$J:$J,ROW()-8)="",0,INDEX(Transactions!$O:$O,ROW()-8))</f>
      </c>
    </row>
    <row r="6489" spans="1:7">
      <c r="B6489">
        <f>IF(INDEX(Transactions!$J:$J,ROW()-8)="",TODAY(),INDEX(Transactions!$G:$G,ROW()-8))</f>
      </c>
      <c r="F6489">
        <f>IF(INDEX(Transactions!$J:$J,ROW()-8)="",0,INDEX(Transactions!$O:$O,ROW()-8))</f>
      </c>
    </row>
    <row r="6490" spans="1:7">
      <c r="B6490">
        <f>IF(INDEX(Transactions!$J:$J,ROW()-8)="",TODAY(),INDEX(Transactions!$G:$G,ROW()-8))</f>
      </c>
      <c r="F6490">
        <f>IF(INDEX(Transactions!$J:$J,ROW()-8)="",0,INDEX(Transactions!$O:$O,ROW()-8))</f>
      </c>
    </row>
    <row r="6491" spans="1:7">
      <c r="B6491">
        <f>IF(INDEX(Transactions!$J:$J,ROW()-8)="",TODAY(),INDEX(Transactions!$G:$G,ROW()-8))</f>
      </c>
      <c r="F6491">
        <f>IF(INDEX(Transactions!$J:$J,ROW()-8)="",0,INDEX(Transactions!$O:$O,ROW()-8))</f>
      </c>
    </row>
    <row r="6492" spans="1:7">
      <c r="B6492">
        <f>IF(INDEX(Transactions!$J:$J,ROW()-8)="",TODAY(),INDEX(Transactions!$G:$G,ROW()-8))</f>
      </c>
      <c r="F6492">
        <f>IF(INDEX(Transactions!$J:$J,ROW()-8)="",0,INDEX(Transactions!$O:$O,ROW()-8))</f>
      </c>
    </row>
    <row r="6493" spans="1:7">
      <c r="B6493">
        <f>IF(INDEX(Transactions!$J:$J,ROW()-8)="",TODAY(),INDEX(Transactions!$G:$G,ROW()-8))</f>
      </c>
      <c r="F6493">
        <f>IF(INDEX(Transactions!$J:$J,ROW()-8)="",0,INDEX(Transactions!$O:$O,ROW()-8))</f>
      </c>
    </row>
    <row r="6494" spans="1:7">
      <c r="B6494">
        <f>IF(INDEX(Transactions!$J:$J,ROW()-8)="",TODAY(),INDEX(Transactions!$G:$G,ROW()-8))</f>
      </c>
      <c r="F6494">
        <f>IF(INDEX(Transactions!$J:$J,ROW()-8)="",0,INDEX(Transactions!$O:$O,ROW()-8))</f>
      </c>
    </row>
    <row r="6495" spans="1:7">
      <c r="B6495">
        <f>IF(INDEX(Transactions!$J:$J,ROW()-8)="",TODAY(),INDEX(Transactions!$G:$G,ROW()-8))</f>
      </c>
      <c r="F6495">
        <f>IF(INDEX(Transactions!$J:$J,ROW()-8)="",0,INDEX(Transactions!$O:$O,ROW()-8))</f>
      </c>
    </row>
    <row r="6496" spans="1:7">
      <c r="B6496">
        <f>IF(INDEX(Transactions!$J:$J,ROW()-8)="",TODAY(),INDEX(Transactions!$G:$G,ROW()-8))</f>
      </c>
      <c r="F6496">
        <f>IF(INDEX(Transactions!$J:$J,ROW()-8)="",0,INDEX(Transactions!$O:$O,ROW()-8))</f>
      </c>
    </row>
    <row r="6497" spans="1:7">
      <c r="B6497">
        <f>IF(INDEX(Transactions!$J:$J,ROW()-8)="",TODAY(),INDEX(Transactions!$G:$G,ROW()-8))</f>
      </c>
      <c r="F6497">
        <f>IF(INDEX(Transactions!$J:$J,ROW()-8)="",0,INDEX(Transactions!$O:$O,ROW()-8))</f>
      </c>
    </row>
    <row r="6498" spans="1:7">
      <c r="B6498">
        <f>IF(INDEX(Transactions!$J:$J,ROW()-8)="",TODAY(),INDEX(Transactions!$G:$G,ROW()-8))</f>
      </c>
      <c r="F6498">
        <f>IF(INDEX(Transactions!$J:$J,ROW()-8)="",0,INDEX(Transactions!$O:$O,ROW()-8))</f>
      </c>
    </row>
    <row r="6499" spans="1:7">
      <c r="B6499">
        <f>IF(INDEX(Transactions!$J:$J,ROW()-8)="",TODAY(),INDEX(Transactions!$G:$G,ROW()-8))</f>
      </c>
      <c r="F6499">
        <f>IF(INDEX(Transactions!$J:$J,ROW()-8)="",0,INDEX(Transactions!$O:$O,ROW()-8))</f>
      </c>
    </row>
    <row r="6500" spans="1:7">
      <c r="B6500">
        <f>IF(INDEX(Transactions!$J:$J,ROW()-8)="",TODAY(),INDEX(Transactions!$G:$G,ROW()-8))</f>
      </c>
      <c r="F6500">
        <f>IF(INDEX(Transactions!$J:$J,ROW()-8)="",0,INDEX(Transactions!$O:$O,ROW()-8))</f>
      </c>
    </row>
    <row r="6501" spans="1:7">
      <c r="B6501">
        <f>IF(INDEX(Transactions!$J:$J,ROW()-8)="",TODAY(),INDEX(Transactions!$G:$G,ROW()-8))</f>
      </c>
      <c r="F6501">
        <f>IF(INDEX(Transactions!$J:$J,ROW()-8)="",0,INDEX(Transactions!$O:$O,ROW()-8))</f>
      </c>
    </row>
    <row r="6502" spans="1:7">
      <c r="B6502">
        <f>IF(INDEX(Transactions!$J:$J,ROW()-8)="",TODAY(),INDEX(Transactions!$G:$G,ROW()-8))</f>
      </c>
      <c r="F6502">
        <f>IF(INDEX(Transactions!$J:$J,ROW()-8)="",0,INDEX(Transactions!$O:$O,ROW()-8))</f>
      </c>
    </row>
    <row r="6503" spans="1:7">
      <c r="B6503">
        <f>IF(INDEX(Transactions!$J:$J,ROW()-8)="",TODAY(),INDEX(Transactions!$G:$G,ROW()-8))</f>
      </c>
      <c r="F6503">
        <f>IF(INDEX(Transactions!$J:$J,ROW()-8)="",0,INDEX(Transactions!$O:$O,ROW()-8))</f>
      </c>
    </row>
    <row r="6504" spans="1:7">
      <c r="B6504">
        <f>IF(INDEX(Transactions!$J:$J,ROW()-8)="",TODAY(),INDEX(Transactions!$G:$G,ROW()-8))</f>
      </c>
      <c r="F6504">
        <f>IF(INDEX(Transactions!$J:$J,ROW()-8)="",0,INDEX(Transactions!$O:$O,ROW()-8))</f>
      </c>
    </row>
    <row r="6505" spans="1:7">
      <c r="B6505">
        <f>IF(INDEX(Transactions!$J:$J,ROW()-8)="",TODAY(),INDEX(Transactions!$G:$G,ROW()-8))</f>
      </c>
      <c r="F6505">
        <f>IF(INDEX(Transactions!$J:$J,ROW()-8)="",0,INDEX(Transactions!$O:$O,ROW()-8))</f>
      </c>
    </row>
    <row r="6506" spans="1:7">
      <c r="B6506">
        <f>IF(INDEX(Transactions!$J:$J,ROW()-8)="",TODAY(),INDEX(Transactions!$G:$G,ROW()-8))</f>
      </c>
      <c r="F6506">
        <f>IF(INDEX(Transactions!$J:$J,ROW()-8)="",0,INDEX(Transactions!$O:$O,ROW()-8))</f>
      </c>
    </row>
    <row r="6507" spans="1:7">
      <c r="B6507">
        <f>IF(INDEX(Transactions!$J:$J,ROW()-8)="",TODAY(),INDEX(Transactions!$G:$G,ROW()-8))</f>
      </c>
      <c r="F6507">
        <f>IF(INDEX(Transactions!$J:$J,ROW()-8)="",0,INDEX(Transactions!$O:$O,ROW()-8))</f>
      </c>
    </row>
    <row r="6508" spans="1:7">
      <c r="B6508">
        <f>IF(INDEX(Transactions!$J:$J,ROW()-8)="",TODAY(),INDEX(Transactions!$G:$G,ROW()-8))</f>
      </c>
      <c r="F6508">
        <f>IF(INDEX(Transactions!$J:$J,ROW()-8)="",0,INDEX(Transactions!$O:$O,ROW()-8))</f>
      </c>
    </row>
    <row r="6509" spans="1:7">
      <c r="B6509">
        <f>IF(INDEX(Transactions!$J:$J,ROW()-8)="",TODAY(),INDEX(Transactions!$G:$G,ROW()-8))</f>
      </c>
      <c r="F6509">
        <f>IF(INDEX(Transactions!$J:$J,ROW()-8)="",0,INDEX(Transactions!$O:$O,ROW()-8))</f>
      </c>
    </row>
    <row r="6510" spans="1:7">
      <c r="B6510">
        <f>IF(INDEX(Transactions!$J:$J,ROW()-8)="",TODAY(),INDEX(Transactions!$G:$G,ROW()-8))</f>
      </c>
      <c r="F6510">
        <f>IF(INDEX(Transactions!$J:$J,ROW()-8)="",0,INDEX(Transactions!$O:$O,ROW()-8))</f>
      </c>
    </row>
    <row r="6511" spans="1:7">
      <c r="B6511">
        <f>IF(INDEX(Transactions!$J:$J,ROW()-8)="",TODAY(),INDEX(Transactions!$G:$G,ROW()-8))</f>
      </c>
      <c r="F6511">
        <f>IF(INDEX(Transactions!$J:$J,ROW()-8)="",0,INDEX(Transactions!$O:$O,ROW()-8))</f>
      </c>
    </row>
    <row r="6512" spans="1:7">
      <c r="B6512">
        <f>IF(INDEX(Transactions!$J:$J,ROW()-8)="",TODAY(),INDEX(Transactions!$G:$G,ROW()-8))</f>
      </c>
      <c r="F6512">
        <f>IF(INDEX(Transactions!$J:$J,ROW()-8)="",0,INDEX(Transactions!$O:$O,ROW()-8))</f>
      </c>
    </row>
    <row r="6513" spans="1:7">
      <c r="B6513">
        <f>IF(INDEX(Transactions!$J:$J,ROW()-8)="",TODAY(),INDEX(Transactions!$G:$G,ROW()-8))</f>
      </c>
      <c r="F6513">
        <f>IF(INDEX(Transactions!$J:$J,ROW()-8)="",0,INDEX(Transactions!$O:$O,ROW()-8))</f>
      </c>
    </row>
    <row r="6514" spans="1:7">
      <c r="B6514">
        <f>IF(INDEX(Transactions!$J:$J,ROW()-8)="",TODAY(),INDEX(Transactions!$G:$G,ROW()-8))</f>
      </c>
      <c r="F6514">
        <f>IF(INDEX(Transactions!$J:$J,ROW()-8)="",0,INDEX(Transactions!$O:$O,ROW()-8))</f>
      </c>
    </row>
    <row r="6515" spans="1:7">
      <c r="B6515">
        <f>IF(INDEX(Transactions!$J:$J,ROW()-8)="",TODAY(),INDEX(Transactions!$G:$G,ROW()-8))</f>
      </c>
      <c r="F6515">
        <f>IF(INDEX(Transactions!$J:$J,ROW()-8)="",0,INDEX(Transactions!$O:$O,ROW()-8))</f>
      </c>
    </row>
    <row r="6516" spans="1:7">
      <c r="B6516">
        <f>IF(INDEX(Transactions!$J:$J,ROW()-8)="",TODAY(),INDEX(Transactions!$G:$G,ROW()-8))</f>
      </c>
      <c r="F6516">
        <f>IF(INDEX(Transactions!$J:$J,ROW()-8)="",0,INDEX(Transactions!$O:$O,ROW()-8))</f>
      </c>
    </row>
    <row r="6517" spans="1:7">
      <c r="B6517">
        <f>IF(INDEX(Transactions!$J:$J,ROW()-8)="",TODAY(),INDEX(Transactions!$G:$G,ROW()-8))</f>
      </c>
      <c r="F6517">
        <f>IF(INDEX(Transactions!$J:$J,ROW()-8)="",0,INDEX(Transactions!$O:$O,ROW()-8))</f>
      </c>
    </row>
    <row r="6518" spans="1:7">
      <c r="B6518">
        <f>IF(INDEX(Transactions!$J:$J,ROW()-8)="",TODAY(),INDEX(Transactions!$G:$G,ROW()-8))</f>
      </c>
      <c r="F6518">
        <f>IF(INDEX(Transactions!$J:$J,ROW()-8)="",0,INDEX(Transactions!$O:$O,ROW()-8))</f>
      </c>
    </row>
    <row r="6519" spans="1:7">
      <c r="B6519">
        <f>IF(INDEX(Transactions!$J:$J,ROW()-8)="",TODAY(),INDEX(Transactions!$G:$G,ROW()-8))</f>
      </c>
      <c r="F6519">
        <f>IF(INDEX(Transactions!$J:$J,ROW()-8)="",0,INDEX(Transactions!$O:$O,ROW()-8))</f>
      </c>
    </row>
    <row r="6520" spans="1:7">
      <c r="B6520">
        <f>IF(INDEX(Transactions!$J:$J,ROW()-8)="",TODAY(),INDEX(Transactions!$G:$G,ROW()-8))</f>
      </c>
      <c r="F6520">
        <f>IF(INDEX(Transactions!$J:$J,ROW()-8)="",0,INDEX(Transactions!$O:$O,ROW()-8))</f>
      </c>
    </row>
    <row r="6521" spans="1:7">
      <c r="B6521">
        <f>IF(INDEX(Transactions!$J:$J,ROW()-8)="",TODAY(),INDEX(Transactions!$G:$G,ROW()-8))</f>
      </c>
      <c r="F6521">
        <f>IF(INDEX(Transactions!$J:$J,ROW()-8)="",0,INDEX(Transactions!$O:$O,ROW()-8))</f>
      </c>
    </row>
    <row r="6522" spans="1:7">
      <c r="B6522">
        <f>IF(INDEX(Transactions!$J:$J,ROW()-8)="",TODAY(),INDEX(Transactions!$G:$G,ROW()-8))</f>
      </c>
      <c r="F6522">
        <f>IF(INDEX(Transactions!$J:$J,ROW()-8)="",0,INDEX(Transactions!$O:$O,ROW()-8))</f>
      </c>
    </row>
    <row r="6523" spans="1:7">
      <c r="B6523">
        <f>IF(INDEX(Transactions!$J:$J,ROW()-8)="",TODAY(),INDEX(Transactions!$G:$G,ROW()-8))</f>
      </c>
      <c r="F6523">
        <f>IF(INDEX(Transactions!$J:$J,ROW()-8)="",0,INDEX(Transactions!$O:$O,ROW()-8))</f>
      </c>
    </row>
    <row r="6524" spans="1:7">
      <c r="B6524">
        <f>IF(INDEX(Transactions!$J:$J,ROW()-8)="",TODAY(),INDEX(Transactions!$G:$G,ROW()-8))</f>
      </c>
      <c r="F6524">
        <f>IF(INDEX(Transactions!$J:$J,ROW()-8)="",0,INDEX(Transactions!$O:$O,ROW()-8))</f>
      </c>
    </row>
    <row r="6525" spans="1:7">
      <c r="B6525">
        <f>IF(INDEX(Transactions!$J:$J,ROW()-8)="",TODAY(),INDEX(Transactions!$G:$G,ROW()-8))</f>
      </c>
      <c r="F6525">
        <f>IF(INDEX(Transactions!$J:$J,ROW()-8)="",0,INDEX(Transactions!$O:$O,ROW()-8))</f>
      </c>
    </row>
    <row r="6526" spans="1:7">
      <c r="B6526">
        <f>IF(INDEX(Transactions!$J:$J,ROW()-8)="",TODAY(),INDEX(Transactions!$G:$G,ROW()-8))</f>
      </c>
      <c r="F6526">
        <f>IF(INDEX(Transactions!$J:$J,ROW()-8)="",0,INDEX(Transactions!$O:$O,ROW()-8))</f>
      </c>
    </row>
    <row r="6527" spans="1:7">
      <c r="B6527">
        <f>IF(INDEX(Transactions!$J:$J,ROW()-8)="",TODAY(),INDEX(Transactions!$G:$G,ROW()-8))</f>
      </c>
      <c r="F6527">
        <f>IF(INDEX(Transactions!$J:$J,ROW()-8)="",0,INDEX(Transactions!$O:$O,ROW()-8))</f>
      </c>
    </row>
    <row r="6528" spans="1:7">
      <c r="B6528">
        <f>IF(INDEX(Transactions!$J:$J,ROW()-8)="",TODAY(),INDEX(Transactions!$G:$G,ROW()-8))</f>
      </c>
      <c r="F6528">
        <f>IF(INDEX(Transactions!$J:$J,ROW()-8)="",0,INDEX(Transactions!$O:$O,ROW()-8))</f>
      </c>
    </row>
    <row r="6529" spans="1:7">
      <c r="B6529">
        <f>IF(INDEX(Transactions!$J:$J,ROW()-8)="",TODAY(),INDEX(Transactions!$G:$G,ROW()-8))</f>
      </c>
      <c r="F6529">
        <f>IF(INDEX(Transactions!$J:$J,ROW()-8)="",0,INDEX(Transactions!$O:$O,ROW()-8))</f>
      </c>
    </row>
    <row r="6530" spans="1:7">
      <c r="B6530">
        <f>IF(INDEX(Transactions!$J:$J,ROW()-8)="",TODAY(),INDEX(Transactions!$G:$G,ROW()-8))</f>
      </c>
      <c r="F6530">
        <f>IF(INDEX(Transactions!$J:$J,ROW()-8)="",0,INDEX(Transactions!$O:$O,ROW()-8))</f>
      </c>
    </row>
    <row r="6531" spans="1:7">
      <c r="B6531">
        <f>IF(INDEX(Transactions!$J:$J,ROW()-8)="",TODAY(),INDEX(Transactions!$G:$G,ROW()-8))</f>
      </c>
      <c r="F6531">
        <f>IF(INDEX(Transactions!$J:$J,ROW()-8)="",0,INDEX(Transactions!$O:$O,ROW()-8))</f>
      </c>
    </row>
    <row r="6532" spans="1:7">
      <c r="B6532">
        <f>IF(INDEX(Transactions!$J:$J,ROW()-8)="",TODAY(),INDEX(Transactions!$G:$G,ROW()-8))</f>
      </c>
      <c r="F6532">
        <f>IF(INDEX(Transactions!$J:$J,ROW()-8)="",0,INDEX(Transactions!$O:$O,ROW()-8))</f>
      </c>
    </row>
    <row r="6533" spans="1:7">
      <c r="B6533">
        <f>IF(INDEX(Transactions!$J:$J,ROW()-8)="",TODAY(),INDEX(Transactions!$G:$G,ROW()-8))</f>
      </c>
      <c r="F6533">
        <f>IF(INDEX(Transactions!$J:$J,ROW()-8)="",0,INDEX(Transactions!$O:$O,ROW()-8))</f>
      </c>
    </row>
    <row r="6534" spans="1:7">
      <c r="B6534">
        <f>IF(INDEX(Transactions!$J:$J,ROW()-8)="",TODAY(),INDEX(Transactions!$G:$G,ROW()-8))</f>
      </c>
      <c r="F6534">
        <f>IF(INDEX(Transactions!$J:$J,ROW()-8)="",0,INDEX(Transactions!$O:$O,ROW()-8))</f>
      </c>
    </row>
    <row r="6535" spans="1:7">
      <c r="B6535">
        <f>IF(INDEX(Transactions!$J:$J,ROW()-8)="",TODAY(),INDEX(Transactions!$G:$G,ROW()-8))</f>
      </c>
      <c r="F6535">
        <f>IF(INDEX(Transactions!$J:$J,ROW()-8)="",0,INDEX(Transactions!$O:$O,ROW()-8))</f>
      </c>
    </row>
    <row r="6536" spans="1:7">
      <c r="B6536">
        <f>IF(INDEX(Transactions!$J:$J,ROW()-8)="",TODAY(),INDEX(Transactions!$G:$G,ROW()-8))</f>
      </c>
      <c r="F6536">
        <f>IF(INDEX(Transactions!$J:$J,ROW()-8)="",0,INDEX(Transactions!$O:$O,ROW()-8))</f>
      </c>
    </row>
    <row r="6537" spans="1:7">
      <c r="B6537">
        <f>IF(INDEX(Transactions!$J:$J,ROW()-8)="",TODAY(),INDEX(Transactions!$G:$G,ROW()-8))</f>
      </c>
      <c r="F6537">
        <f>IF(INDEX(Transactions!$J:$J,ROW()-8)="",0,INDEX(Transactions!$O:$O,ROW()-8))</f>
      </c>
    </row>
    <row r="6538" spans="1:7">
      <c r="B6538">
        <f>IF(INDEX(Transactions!$J:$J,ROW()-8)="",TODAY(),INDEX(Transactions!$G:$G,ROW()-8))</f>
      </c>
      <c r="F6538">
        <f>IF(INDEX(Transactions!$J:$J,ROW()-8)="",0,INDEX(Transactions!$O:$O,ROW()-8))</f>
      </c>
    </row>
    <row r="6539" spans="1:7">
      <c r="B6539">
        <f>IF(INDEX(Transactions!$J:$J,ROW()-8)="",TODAY(),INDEX(Transactions!$G:$G,ROW()-8))</f>
      </c>
      <c r="F6539">
        <f>IF(INDEX(Transactions!$J:$J,ROW()-8)="",0,INDEX(Transactions!$O:$O,ROW()-8))</f>
      </c>
    </row>
    <row r="6540" spans="1:7">
      <c r="B6540">
        <f>IF(INDEX(Transactions!$J:$J,ROW()-8)="",TODAY(),INDEX(Transactions!$G:$G,ROW()-8))</f>
      </c>
      <c r="F6540">
        <f>IF(INDEX(Transactions!$J:$J,ROW()-8)="",0,INDEX(Transactions!$O:$O,ROW()-8))</f>
      </c>
    </row>
    <row r="6541" spans="1:7">
      <c r="B6541">
        <f>IF(INDEX(Transactions!$J:$J,ROW()-8)="",TODAY(),INDEX(Transactions!$G:$G,ROW()-8))</f>
      </c>
      <c r="F6541">
        <f>IF(INDEX(Transactions!$J:$J,ROW()-8)="",0,INDEX(Transactions!$O:$O,ROW()-8))</f>
      </c>
    </row>
    <row r="6542" spans="1:7">
      <c r="B6542">
        <f>IF(INDEX(Transactions!$J:$J,ROW()-8)="",TODAY(),INDEX(Transactions!$G:$G,ROW()-8))</f>
      </c>
      <c r="F6542">
        <f>IF(INDEX(Transactions!$J:$J,ROW()-8)="",0,INDEX(Transactions!$O:$O,ROW()-8))</f>
      </c>
    </row>
    <row r="6543" spans="1:7">
      <c r="B6543">
        <f>IF(INDEX(Transactions!$J:$J,ROW()-8)="",TODAY(),INDEX(Transactions!$G:$G,ROW()-8))</f>
      </c>
      <c r="F6543">
        <f>IF(INDEX(Transactions!$J:$J,ROW()-8)="",0,INDEX(Transactions!$O:$O,ROW()-8))</f>
      </c>
    </row>
    <row r="6544" spans="1:7">
      <c r="B6544">
        <f>IF(INDEX(Transactions!$J:$J,ROW()-8)="",TODAY(),INDEX(Transactions!$G:$G,ROW()-8))</f>
      </c>
      <c r="F6544">
        <f>IF(INDEX(Transactions!$J:$J,ROW()-8)="",0,INDEX(Transactions!$O:$O,ROW()-8))</f>
      </c>
    </row>
    <row r="6545" spans="1:7">
      <c r="B6545">
        <f>IF(INDEX(Transactions!$J:$J,ROW()-8)="",TODAY(),INDEX(Transactions!$G:$G,ROW()-8))</f>
      </c>
      <c r="F6545">
        <f>IF(INDEX(Transactions!$J:$J,ROW()-8)="",0,INDEX(Transactions!$O:$O,ROW()-8))</f>
      </c>
    </row>
    <row r="6546" spans="1:7">
      <c r="B6546">
        <f>IF(INDEX(Transactions!$J:$J,ROW()-8)="",TODAY(),INDEX(Transactions!$G:$G,ROW()-8))</f>
      </c>
      <c r="F6546">
        <f>IF(INDEX(Transactions!$J:$J,ROW()-8)="",0,INDEX(Transactions!$O:$O,ROW()-8))</f>
      </c>
    </row>
    <row r="6547" spans="1:7">
      <c r="B6547">
        <f>IF(INDEX(Transactions!$J:$J,ROW()-8)="",TODAY(),INDEX(Transactions!$G:$G,ROW()-8))</f>
      </c>
      <c r="F6547">
        <f>IF(INDEX(Transactions!$J:$J,ROW()-8)="",0,INDEX(Transactions!$O:$O,ROW()-8))</f>
      </c>
    </row>
    <row r="6548" spans="1:7">
      <c r="B6548">
        <f>IF(INDEX(Transactions!$J:$J,ROW()-8)="",TODAY(),INDEX(Transactions!$G:$G,ROW()-8))</f>
      </c>
      <c r="F6548">
        <f>IF(INDEX(Transactions!$J:$J,ROW()-8)="",0,INDEX(Transactions!$O:$O,ROW()-8))</f>
      </c>
    </row>
    <row r="6549" spans="1:7">
      <c r="B6549">
        <f>IF(INDEX(Transactions!$J:$J,ROW()-8)="",TODAY(),INDEX(Transactions!$G:$G,ROW()-8))</f>
      </c>
      <c r="F6549">
        <f>IF(INDEX(Transactions!$J:$J,ROW()-8)="",0,INDEX(Transactions!$O:$O,ROW()-8))</f>
      </c>
    </row>
    <row r="6550" spans="1:7">
      <c r="B6550">
        <f>IF(INDEX(Transactions!$J:$J,ROW()-8)="",TODAY(),INDEX(Transactions!$G:$G,ROW()-8))</f>
      </c>
      <c r="F6550">
        <f>IF(INDEX(Transactions!$J:$J,ROW()-8)="",0,INDEX(Transactions!$O:$O,ROW()-8))</f>
      </c>
    </row>
    <row r="6551" spans="1:7">
      <c r="B6551">
        <f>IF(INDEX(Transactions!$J:$J,ROW()-8)="",TODAY(),INDEX(Transactions!$G:$G,ROW()-8))</f>
      </c>
      <c r="F6551">
        <f>IF(INDEX(Transactions!$J:$J,ROW()-8)="",0,INDEX(Transactions!$O:$O,ROW()-8))</f>
      </c>
    </row>
    <row r="6552" spans="1:7">
      <c r="B6552">
        <f>IF(INDEX(Transactions!$J:$J,ROW()-8)="",TODAY(),INDEX(Transactions!$G:$G,ROW()-8))</f>
      </c>
      <c r="F6552">
        <f>IF(INDEX(Transactions!$J:$J,ROW()-8)="",0,INDEX(Transactions!$O:$O,ROW()-8))</f>
      </c>
    </row>
    <row r="6553" spans="1:7">
      <c r="B6553">
        <f>IF(INDEX(Transactions!$J:$J,ROW()-8)="",TODAY(),INDEX(Transactions!$G:$G,ROW()-8))</f>
      </c>
      <c r="F6553">
        <f>IF(INDEX(Transactions!$J:$J,ROW()-8)="",0,INDEX(Transactions!$O:$O,ROW()-8))</f>
      </c>
    </row>
    <row r="6554" spans="1:7">
      <c r="B6554">
        <f>IF(INDEX(Transactions!$J:$J,ROW()-8)="",TODAY(),INDEX(Transactions!$G:$G,ROW()-8))</f>
      </c>
      <c r="F6554">
        <f>IF(INDEX(Transactions!$J:$J,ROW()-8)="",0,INDEX(Transactions!$O:$O,ROW()-8))</f>
      </c>
    </row>
    <row r="6555" spans="1:7">
      <c r="B6555">
        <f>IF(INDEX(Transactions!$J:$J,ROW()-8)="",TODAY(),INDEX(Transactions!$G:$G,ROW()-8))</f>
      </c>
      <c r="F6555">
        <f>IF(INDEX(Transactions!$J:$J,ROW()-8)="",0,INDEX(Transactions!$O:$O,ROW()-8))</f>
      </c>
    </row>
    <row r="6556" spans="1:7">
      <c r="B6556">
        <f>IF(INDEX(Transactions!$J:$J,ROW()-8)="",TODAY(),INDEX(Transactions!$G:$G,ROW()-8))</f>
      </c>
      <c r="F6556">
        <f>IF(INDEX(Transactions!$J:$J,ROW()-8)="",0,INDEX(Transactions!$O:$O,ROW()-8))</f>
      </c>
    </row>
    <row r="6557" spans="1:7">
      <c r="B6557">
        <f>IF(INDEX(Transactions!$J:$J,ROW()-8)="",TODAY(),INDEX(Transactions!$G:$G,ROW()-8))</f>
      </c>
      <c r="F6557">
        <f>IF(INDEX(Transactions!$J:$J,ROW()-8)="",0,INDEX(Transactions!$O:$O,ROW()-8))</f>
      </c>
    </row>
    <row r="6558" spans="1:7">
      <c r="B6558">
        <f>IF(INDEX(Transactions!$J:$J,ROW()-8)="",TODAY(),INDEX(Transactions!$G:$G,ROW()-8))</f>
      </c>
      <c r="F6558">
        <f>IF(INDEX(Transactions!$J:$J,ROW()-8)="",0,INDEX(Transactions!$O:$O,ROW()-8))</f>
      </c>
    </row>
    <row r="6559" spans="1:7">
      <c r="B6559">
        <f>IF(INDEX(Transactions!$J:$J,ROW()-8)="",TODAY(),INDEX(Transactions!$G:$G,ROW()-8))</f>
      </c>
      <c r="F6559">
        <f>IF(INDEX(Transactions!$J:$J,ROW()-8)="",0,INDEX(Transactions!$O:$O,ROW()-8))</f>
      </c>
    </row>
    <row r="6560" spans="1:7">
      <c r="B6560">
        <f>IF(INDEX(Transactions!$J:$J,ROW()-8)="",TODAY(),INDEX(Transactions!$G:$G,ROW()-8))</f>
      </c>
      <c r="F6560">
        <f>IF(INDEX(Transactions!$J:$J,ROW()-8)="",0,INDEX(Transactions!$O:$O,ROW()-8))</f>
      </c>
    </row>
    <row r="6561" spans="1:7">
      <c r="B6561">
        <f>IF(INDEX(Transactions!$J:$J,ROW()-8)="",TODAY(),INDEX(Transactions!$G:$G,ROW()-8))</f>
      </c>
      <c r="F6561">
        <f>IF(INDEX(Transactions!$J:$J,ROW()-8)="",0,INDEX(Transactions!$O:$O,ROW()-8))</f>
      </c>
    </row>
    <row r="6562" spans="1:7">
      <c r="B6562">
        <f>IF(INDEX(Transactions!$J:$J,ROW()-8)="",TODAY(),INDEX(Transactions!$G:$G,ROW()-8))</f>
      </c>
      <c r="F6562">
        <f>IF(INDEX(Transactions!$J:$J,ROW()-8)="",0,INDEX(Transactions!$O:$O,ROW()-8))</f>
      </c>
    </row>
    <row r="6563" spans="1:7">
      <c r="B6563">
        <f>IF(INDEX(Transactions!$J:$J,ROW()-8)="",TODAY(),INDEX(Transactions!$G:$G,ROW()-8))</f>
      </c>
      <c r="F6563">
        <f>IF(INDEX(Transactions!$J:$J,ROW()-8)="",0,INDEX(Transactions!$O:$O,ROW()-8))</f>
      </c>
    </row>
    <row r="6564" spans="1:7">
      <c r="B6564">
        <f>IF(INDEX(Transactions!$J:$J,ROW()-8)="",TODAY(),INDEX(Transactions!$G:$G,ROW()-8))</f>
      </c>
      <c r="F6564">
        <f>IF(INDEX(Transactions!$J:$J,ROW()-8)="",0,INDEX(Transactions!$O:$O,ROW()-8))</f>
      </c>
    </row>
    <row r="6565" spans="1:7">
      <c r="B6565">
        <f>IF(INDEX(Transactions!$J:$J,ROW()-8)="",TODAY(),INDEX(Transactions!$G:$G,ROW()-8))</f>
      </c>
      <c r="F6565">
        <f>IF(INDEX(Transactions!$J:$J,ROW()-8)="",0,INDEX(Transactions!$O:$O,ROW()-8))</f>
      </c>
    </row>
    <row r="6566" spans="1:7">
      <c r="B6566">
        <f>IF(INDEX(Transactions!$J:$J,ROW()-8)="",TODAY(),INDEX(Transactions!$G:$G,ROW()-8))</f>
      </c>
      <c r="F6566">
        <f>IF(INDEX(Transactions!$J:$J,ROW()-8)="",0,INDEX(Transactions!$O:$O,ROW()-8))</f>
      </c>
    </row>
    <row r="6567" spans="1:7">
      <c r="B6567">
        <f>IF(INDEX(Transactions!$J:$J,ROW()-8)="",TODAY(),INDEX(Transactions!$G:$G,ROW()-8))</f>
      </c>
      <c r="F6567">
        <f>IF(INDEX(Transactions!$J:$J,ROW()-8)="",0,INDEX(Transactions!$O:$O,ROW()-8))</f>
      </c>
    </row>
    <row r="6568" spans="1:7">
      <c r="B6568">
        <f>IF(INDEX(Transactions!$J:$J,ROW()-8)="",TODAY(),INDEX(Transactions!$G:$G,ROW()-8))</f>
      </c>
      <c r="F6568">
        <f>IF(INDEX(Transactions!$J:$J,ROW()-8)="",0,INDEX(Transactions!$O:$O,ROW()-8))</f>
      </c>
    </row>
    <row r="6569" spans="1:7">
      <c r="B6569">
        <f>IF(INDEX(Transactions!$J:$J,ROW()-8)="",TODAY(),INDEX(Transactions!$G:$G,ROW()-8))</f>
      </c>
      <c r="F6569">
        <f>IF(INDEX(Transactions!$J:$J,ROW()-8)="",0,INDEX(Transactions!$O:$O,ROW()-8))</f>
      </c>
    </row>
    <row r="6570" spans="1:7">
      <c r="B6570">
        <f>IF(INDEX(Transactions!$J:$J,ROW()-8)="",TODAY(),INDEX(Transactions!$G:$G,ROW()-8))</f>
      </c>
      <c r="F6570">
        <f>IF(INDEX(Transactions!$J:$J,ROW()-8)="",0,INDEX(Transactions!$O:$O,ROW()-8))</f>
      </c>
    </row>
    <row r="6571" spans="1:7">
      <c r="B6571">
        <f>IF(INDEX(Transactions!$J:$J,ROW()-8)="",TODAY(),INDEX(Transactions!$G:$G,ROW()-8))</f>
      </c>
      <c r="F6571">
        <f>IF(INDEX(Transactions!$J:$J,ROW()-8)="",0,INDEX(Transactions!$O:$O,ROW()-8))</f>
      </c>
    </row>
    <row r="6572" spans="1:7">
      <c r="B6572">
        <f>IF(INDEX(Transactions!$J:$J,ROW()-8)="",TODAY(),INDEX(Transactions!$G:$G,ROW()-8))</f>
      </c>
      <c r="F6572">
        <f>IF(INDEX(Transactions!$J:$J,ROW()-8)="",0,INDEX(Transactions!$O:$O,ROW()-8))</f>
      </c>
    </row>
    <row r="6573" spans="1:7">
      <c r="B6573">
        <f>IF(INDEX(Transactions!$J:$J,ROW()-8)="",TODAY(),INDEX(Transactions!$G:$G,ROW()-8))</f>
      </c>
      <c r="F6573">
        <f>IF(INDEX(Transactions!$J:$J,ROW()-8)="",0,INDEX(Transactions!$O:$O,ROW()-8))</f>
      </c>
    </row>
    <row r="6574" spans="1:7">
      <c r="B6574">
        <f>IF(INDEX(Transactions!$J:$J,ROW()-8)="",TODAY(),INDEX(Transactions!$G:$G,ROW()-8))</f>
      </c>
      <c r="F6574">
        <f>IF(INDEX(Transactions!$J:$J,ROW()-8)="",0,INDEX(Transactions!$O:$O,ROW()-8))</f>
      </c>
    </row>
    <row r="6575" spans="1:7">
      <c r="B6575">
        <f>IF(INDEX(Transactions!$J:$J,ROW()-8)="",TODAY(),INDEX(Transactions!$G:$G,ROW()-8))</f>
      </c>
      <c r="F6575">
        <f>IF(INDEX(Transactions!$J:$J,ROW()-8)="",0,INDEX(Transactions!$O:$O,ROW()-8))</f>
      </c>
    </row>
    <row r="6576" spans="1:7">
      <c r="B6576">
        <f>IF(INDEX(Transactions!$J:$J,ROW()-8)="",TODAY(),INDEX(Transactions!$G:$G,ROW()-8))</f>
      </c>
      <c r="F6576">
        <f>IF(INDEX(Transactions!$J:$J,ROW()-8)="",0,INDEX(Transactions!$O:$O,ROW()-8))</f>
      </c>
    </row>
    <row r="6577" spans="1:7">
      <c r="B6577">
        <f>IF(INDEX(Transactions!$J:$J,ROW()-8)="",TODAY(),INDEX(Transactions!$G:$G,ROW()-8))</f>
      </c>
      <c r="F6577">
        <f>IF(INDEX(Transactions!$J:$J,ROW()-8)="",0,INDEX(Transactions!$O:$O,ROW()-8))</f>
      </c>
    </row>
    <row r="6578" spans="1:7">
      <c r="B6578">
        <f>IF(INDEX(Transactions!$J:$J,ROW()-8)="",TODAY(),INDEX(Transactions!$G:$G,ROW()-8))</f>
      </c>
      <c r="F6578">
        <f>IF(INDEX(Transactions!$J:$J,ROW()-8)="",0,INDEX(Transactions!$O:$O,ROW()-8))</f>
      </c>
    </row>
    <row r="6579" spans="1:7">
      <c r="B6579">
        <f>IF(INDEX(Transactions!$J:$J,ROW()-8)="",TODAY(),INDEX(Transactions!$G:$G,ROW()-8))</f>
      </c>
      <c r="F6579">
        <f>IF(INDEX(Transactions!$J:$J,ROW()-8)="",0,INDEX(Transactions!$O:$O,ROW()-8))</f>
      </c>
    </row>
    <row r="6580" spans="1:7">
      <c r="B6580">
        <f>IF(INDEX(Transactions!$J:$J,ROW()-8)="",TODAY(),INDEX(Transactions!$G:$G,ROW()-8))</f>
      </c>
      <c r="F6580">
        <f>IF(INDEX(Transactions!$J:$J,ROW()-8)="",0,INDEX(Transactions!$O:$O,ROW()-8))</f>
      </c>
    </row>
    <row r="6581" spans="1:7">
      <c r="B6581">
        <f>IF(INDEX(Transactions!$J:$J,ROW()-8)="",TODAY(),INDEX(Transactions!$G:$G,ROW()-8))</f>
      </c>
      <c r="F6581">
        <f>IF(INDEX(Transactions!$J:$J,ROW()-8)="",0,INDEX(Transactions!$O:$O,ROW()-8))</f>
      </c>
    </row>
    <row r="6582" spans="1:7">
      <c r="B6582">
        <f>IF(INDEX(Transactions!$J:$J,ROW()-8)="",TODAY(),INDEX(Transactions!$G:$G,ROW()-8))</f>
      </c>
      <c r="F6582">
        <f>IF(INDEX(Transactions!$J:$J,ROW()-8)="",0,INDEX(Transactions!$O:$O,ROW()-8))</f>
      </c>
    </row>
    <row r="6583" spans="1:7">
      <c r="B6583">
        <f>IF(INDEX(Transactions!$J:$J,ROW()-8)="",TODAY(),INDEX(Transactions!$G:$G,ROW()-8))</f>
      </c>
      <c r="F6583">
        <f>IF(INDEX(Transactions!$J:$J,ROW()-8)="",0,INDEX(Transactions!$O:$O,ROW()-8))</f>
      </c>
    </row>
    <row r="6584" spans="1:7">
      <c r="B6584">
        <f>IF(INDEX(Transactions!$J:$J,ROW()-8)="",TODAY(),INDEX(Transactions!$G:$G,ROW()-8))</f>
      </c>
      <c r="F6584">
        <f>IF(INDEX(Transactions!$J:$J,ROW()-8)="",0,INDEX(Transactions!$O:$O,ROW()-8))</f>
      </c>
    </row>
    <row r="6585" spans="1:7">
      <c r="B6585">
        <f>IF(INDEX(Transactions!$J:$J,ROW()-8)="",TODAY(),INDEX(Transactions!$G:$G,ROW()-8))</f>
      </c>
      <c r="F6585">
        <f>IF(INDEX(Transactions!$J:$J,ROW()-8)="",0,INDEX(Transactions!$O:$O,ROW()-8))</f>
      </c>
    </row>
    <row r="6586" spans="1:7">
      <c r="B6586">
        <f>IF(INDEX(Transactions!$J:$J,ROW()-8)="",TODAY(),INDEX(Transactions!$G:$G,ROW()-8))</f>
      </c>
      <c r="F6586">
        <f>IF(INDEX(Transactions!$J:$J,ROW()-8)="",0,INDEX(Transactions!$O:$O,ROW()-8))</f>
      </c>
    </row>
    <row r="6587" spans="1:7">
      <c r="B6587">
        <f>IF(INDEX(Transactions!$J:$J,ROW()-8)="",TODAY(),INDEX(Transactions!$G:$G,ROW()-8))</f>
      </c>
      <c r="F6587">
        <f>IF(INDEX(Transactions!$J:$J,ROW()-8)="",0,INDEX(Transactions!$O:$O,ROW()-8))</f>
      </c>
    </row>
    <row r="6588" spans="1:7">
      <c r="B6588">
        <f>IF(INDEX(Transactions!$J:$J,ROW()-8)="",TODAY(),INDEX(Transactions!$G:$G,ROW()-8))</f>
      </c>
      <c r="F6588">
        <f>IF(INDEX(Transactions!$J:$J,ROW()-8)="",0,INDEX(Transactions!$O:$O,ROW()-8))</f>
      </c>
    </row>
    <row r="6589" spans="1:7">
      <c r="B6589">
        <f>IF(INDEX(Transactions!$J:$J,ROW()-8)="",TODAY(),INDEX(Transactions!$G:$G,ROW()-8))</f>
      </c>
      <c r="F6589">
        <f>IF(INDEX(Transactions!$J:$J,ROW()-8)="",0,INDEX(Transactions!$O:$O,ROW()-8))</f>
      </c>
    </row>
    <row r="6590" spans="1:7">
      <c r="B6590">
        <f>IF(INDEX(Transactions!$J:$J,ROW()-8)="",TODAY(),INDEX(Transactions!$G:$G,ROW()-8))</f>
      </c>
      <c r="F6590">
        <f>IF(INDEX(Transactions!$J:$J,ROW()-8)="",0,INDEX(Transactions!$O:$O,ROW()-8))</f>
      </c>
    </row>
    <row r="6591" spans="1:7">
      <c r="B6591">
        <f>IF(INDEX(Transactions!$J:$J,ROW()-8)="",TODAY(),INDEX(Transactions!$G:$G,ROW()-8))</f>
      </c>
      <c r="F6591">
        <f>IF(INDEX(Transactions!$J:$J,ROW()-8)="",0,INDEX(Transactions!$O:$O,ROW()-8))</f>
      </c>
    </row>
    <row r="6592" spans="1:7">
      <c r="B6592">
        <f>IF(INDEX(Transactions!$J:$J,ROW()-8)="",TODAY(),INDEX(Transactions!$G:$G,ROW()-8))</f>
      </c>
      <c r="F6592">
        <f>IF(INDEX(Transactions!$J:$J,ROW()-8)="",0,INDEX(Transactions!$O:$O,ROW()-8))</f>
      </c>
    </row>
    <row r="6593" spans="1:7">
      <c r="B6593">
        <f>IF(INDEX(Transactions!$J:$J,ROW()-8)="",TODAY(),INDEX(Transactions!$G:$G,ROW()-8))</f>
      </c>
      <c r="F6593">
        <f>IF(INDEX(Transactions!$J:$J,ROW()-8)="",0,INDEX(Transactions!$O:$O,ROW()-8))</f>
      </c>
    </row>
    <row r="6594" spans="1:7">
      <c r="B6594">
        <f>IF(INDEX(Transactions!$J:$J,ROW()-8)="",TODAY(),INDEX(Transactions!$G:$G,ROW()-8))</f>
      </c>
      <c r="F6594">
        <f>IF(INDEX(Transactions!$J:$J,ROW()-8)="",0,INDEX(Transactions!$O:$O,ROW()-8))</f>
      </c>
    </row>
    <row r="6595" spans="1:7">
      <c r="B6595">
        <f>IF(INDEX(Transactions!$J:$J,ROW()-8)="",TODAY(),INDEX(Transactions!$G:$G,ROW()-8))</f>
      </c>
      <c r="F6595">
        <f>IF(INDEX(Transactions!$J:$J,ROW()-8)="",0,INDEX(Transactions!$O:$O,ROW()-8))</f>
      </c>
    </row>
    <row r="6596" spans="1:7">
      <c r="B6596">
        <f>IF(INDEX(Transactions!$J:$J,ROW()-8)="",TODAY(),INDEX(Transactions!$G:$G,ROW()-8))</f>
      </c>
      <c r="F6596">
        <f>IF(INDEX(Transactions!$J:$J,ROW()-8)="",0,INDEX(Transactions!$O:$O,ROW()-8))</f>
      </c>
    </row>
    <row r="6597" spans="1:7">
      <c r="B6597">
        <f>IF(INDEX(Transactions!$J:$J,ROW()-8)="",TODAY(),INDEX(Transactions!$G:$G,ROW()-8))</f>
      </c>
      <c r="F6597">
        <f>IF(INDEX(Transactions!$J:$J,ROW()-8)="",0,INDEX(Transactions!$O:$O,ROW()-8))</f>
      </c>
    </row>
    <row r="6598" spans="1:7">
      <c r="B6598">
        <f>IF(INDEX(Transactions!$J:$J,ROW()-8)="",TODAY(),INDEX(Transactions!$G:$G,ROW()-8))</f>
      </c>
      <c r="F6598">
        <f>IF(INDEX(Transactions!$J:$J,ROW()-8)="",0,INDEX(Transactions!$O:$O,ROW()-8))</f>
      </c>
    </row>
    <row r="6599" spans="1:7">
      <c r="B6599">
        <f>IF(INDEX(Transactions!$J:$J,ROW()-8)="",TODAY(),INDEX(Transactions!$G:$G,ROW()-8))</f>
      </c>
      <c r="F6599">
        <f>IF(INDEX(Transactions!$J:$J,ROW()-8)="",0,INDEX(Transactions!$O:$O,ROW()-8))</f>
      </c>
    </row>
    <row r="6600" spans="1:7">
      <c r="B6600">
        <f>IF(INDEX(Transactions!$J:$J,ROW()-8)="",TODAY(),INDEX(Transactions!$G:$G,ROW()-8))</f>
      </c>
      <c r="F6600">
        <f>IF(INDEX(Transactions!$J:$J,ROW()-8)="",0,INDEX(Transactions!$O:$O,ROW()-8))</f>
      </c>
    </row>
    <row r="6601" spans="1:7">
      <c r="B6601">
        <f>IF(INDEX(Transactions!$J:$J,ROW()-8)="",TODAY(),INDEX(Transactions!$G:$G,ROW()-8))</f>
      </c>
      <c r="F6601">
        <f>IF(INDEX(Transactions!$J:$J,ROW()-8)="",0,INDEX(Transactions!$O:$O,ROW()-8))</f>
      </c>
    </row>
    <row r="6602" spans="1:7">
      <c r="B6602">
        <f>IF(INDEX(Transactions!$J:$J,ROW()-8)="",TODAY(),INDEX(Transactions!$G:$G,ROW()-8))</f>
      </c>
      <c r="F6602">
        <f>IF(INDEX(Transactions!$J:$J,ROW()-8)="",0,INDEX(Transactions!$O:$O,ROW()-8))</f>
      </c>
    </row>
    <row r="6603" spans="1:7">
      <c r="B6603">
        <f>IF(INDEX(Transactions!$J:$J,ROW()-8)="",TODAY(),INDEX(Transactions!$G:$G,ROW()-8))</f>
      </c>
      <c r="F6603">
        <f>IF(INDEX(Transactions!$J:$J,ROW()-8)="",0,INDEX(Transactions!$O:$O,ROW()-8))</f>
      </c>
    </row>
    <row r="6604" spans="1:7">
      <c r="B6604">
        <f>IF(INDEX(Transactions!$J:$J,ROW()-8)="",TODAY(),INDEX(Transactions!$G:$G,ROW()-8))</f>
      </c>
      <c r="F6604">
        <f>IF(INDEX(Transactions!$J:$J,ROW()-8)="",0,INDEX(Transactions!$O:$O,ROW()-8))</f>
      </c>
    </row>
    <row r="6605" spans="1:7">
      <c r="B6605">
        <f>IF(INDEX(Transactions!$J:$J,ROW()-8)="",TODAY(),INDEX(Transactions!$G:$G,ROW()-8))</f>
      </c>
      <c r="F6605">
        <f>IF(INDEX(Transactions!$J:$J,ROW()-8)="",0,INDEX(Transactions!$O:$O,ROW()-8))</f>
      </c>
    </row>
    <row r="6606" spans="1:7">
      <c r="B6606">
        <f>IF(INDEX(Transactions!$J:$J,ROW()-8)="",TODAY(),INDEX(Transactions!$G:$G,ROW()-8))</f>
      </c>
      <c r="F6606">
        <f>IF(INDEX(Transactions!$J:$J,ROW()-8)="",0,INDEX(Transactions!$O:$O,ROW()-8))</f>
      </c>
    </row>
    <row r="6607" spans="1:7">
      <c r="B6607">
        <f>IF(INDEX(Transactions!$J:$J,ROW()-8)="",TODAY(),INDEX(Transactions!$G:$G,ROW()-8))</f>
      </c>
      <c r="F6607">
        <f>IF(INDEX(Transactions!$J:$J,ROW()-8)="",0,INDEX(Transactions!$O:$O,ROW()-8))</f>
      </c>
    </row>
    <row r="6608" spans="1:7">
      <c r="B6608">
        <f>IF(INDEX(Transactions!$J:$J,ROW()-8)="",TODAY(),INDEX(Transactions!$G:$G,ROW()-8))</f>
      </c>
      <c r="F6608">
        <f>IF(INDEX(Transactions!$J:$J,ROW()-8)="",0,INDEX(Transactions!$O:$O,ROW()-8))</f>
      </c>
    </row>
    <row r="6609" spans="1:7">
      <c r="B6609">
        <f>IF(INDEX(Transactions!$J:$J,ROW()-8)="",TODAY(),INDEX(Transactions!$G:$G,ROW()-8))</f>
      </c>
      <c r="F6609">
        <f>IF(INDEX(Transactions!$J:$J,ROW()-8)="",0,INDEX(Transactions!$O:$O,ROW()-8))</f>
      </c>
    </row>
    <row r="6610" spans="1:7">
      <c r="B6610">
        <f>IF(INDEX(Transactions!$J:$J,ROW()-8)="",TODAY(),INDEX(Transactions!$G:$G,ROW()-8))</f>
      </c>
      <c r="F6610">
        <f>IF(INDEX(Transactions!$J:$J,ROW()-8)="",0,INDEX(Transactions!$O:$O,ROW()-8))</f>
      </c>
    </row>
    <row r="6611" spans="1:7">
      <c r="B6611">
        <f>IF(INDEX(Transactions!$J:$J,ROW()-8)="",TODAY(),INDEX(Transactions!$G:$G,ROW()-8))</f>
      </c>
      <c r="F6611">
        <f>IF(INDEX(Transactions!$J:$J,ROW()-8)="",0,INDEX(Transactions!$O:$O,ROW()-8))</f>
      </c>
    </row>
    <row r="6612" spans="1:7">
      <c r="B6612">
        <f>IF(INDEX(Transactions!$J:$J,ROW()-8)="",TODAY(),INDEX(Transactions!$G:$G,ROW()-8))</f>
      </c>
      <c r="F6612">
        <f>IF(INDEX(Transactions!$J:$J,ROW()-8)="",0,INDEX(Transactions!$O:$O,ROW()-8))</f>
      </c>
    </row>
    <row r="6613" spans="1:7">
      <c r="B6613">
        <f>IF(INDEX(Transactions!$J:$J,ROW()-8)="",TODAY(),INDEX(Transactions!$G:$G,ROW()-8))</f>
      </c>
      <c r="F6613">
        <f>IF(INDEX(Transactions!$J:$J,ROW()-8)="",0,INDEX(Transactions!$O:$O,ROW()-8))</f>
      </c>
    </row>
    <row r="6614" spans="1:7">
      <c r="B6614">
        <f>IF(INDEX(Transactions!$J:$J,ROW()-8)="",TODAY(),INDEX(Transactions!$G:$G,ROW()-8))</f>
      </c>
      <c r="F6614">
        <f>IF(INDEX(Transactions!$J:$J,ROW()-8)="",0,INDEX(Transactions!$O:$O,ROW()-8))</f>
      </c>
    </row>
    <row r="6615" spans="1:7">
      <c r="B6615">
        <f>IF(INDEX(Transactions!$J:$J,ROW()-8)="",TODAY(),INDEX(Transactions!$G:$G,ROW()-8))</f>
      </c>
      <c r="F6615">
        <f>IF(INDEX(Transactions!$J:$J,ROW()-8)="",0,INDEX(Transactions!$O:$O,ROW()-8))</f>
      </c>
    </row>
    <row r="6616" spans="1:7">
      <c r="B6616">
        <f>IF(INDEX(Transactions!$J:$J,ROW()-8)="",TODAY(),INDEX(Transactions!$G:$G,ROW()-8))</f>
      </c>
      <c r="F6616">
        <f>IF(INDEX(Transactions!$J:$J,ROW()-8)="",0,INDEX(Transactions!$O:$O,ROW()-8))</f>
      </c>
    </row>
    <row r="6617" spans="1:7">
      <c r="B6617">
        <f>IF(INDEX(Transactions!$J:$J,ROW()-8)="",TODAY(),INDEX(Transactions!$G:$G,ROW()-8))</f>
      </c>
      <c r="F6617">
        <f>IF(INDEX(Transactions!$J:$J,ROW()-8)="",0,INDEX(Transactions!$O:$O,ROW()-8))</f>
      </c>
    </row>
    <row r="6618" spans="1:7">
      <c r="B6618">
        <f>IF(INDEX(Transactions!$J:$J,ROW()-8)="",TODAY(),INDEX(Transactions!$G:$G,ROW()-8))</f>
      </c>
      <c r="F6618">
        <f>IF(INDEX(Transactions!$J:$J,ROW()-8)="",0,INDEX(Transactions!$O:$O,ROW()-8))</f>
      </c>
    </row>
    <row r="6619" spans="1:7">
      <c r="B6619">
        <f>IF(INDEX(Transactions!$J:$J,ROW()-8)="",TODAY(),INDEX(Transactions!$G:$G,ROW()-8))</f>
      </c>
      <c r="F6619">
        <f>IF(INDEX(Transactions!$J:$J,ROW()-8)="",0,INDEX(Transactions!$O:$O,ROW()-8))</f>
      </c>
    </row>
    <row r="6620" spans="1:7">
      <c r="B6620">
        <f>IF(INDEX(Transactions!$J:$J,ROW()-8)="",TODAY(),INDEX(Transactions!$G:$G,ROW()-8))</f>
      </c>
      <c r="F6620">
        <f>IF(INDEX(Transactions!$J:$J,ROW()-8)="",0,INDEX(Transactions!$O:$O,ROW()-8))</f>
      </c>
    </row>
    <row r="6621" spans="1:7">
      <c r="B6621">
        <f>IF(INDEX(Transactions!$J:$J,ROW()-8)="",TODAY(),INDEX(Transactions!$G:$G,ROW()-8))</f>
      </c>
      <c r="F6621">
        <f>IF(INDEX(Transactions!$J:$J,ROW()-8)="",0,INDEX(Transactions!$O:$O,ROW()-8))</f>
      </c>
    </row>
    <row r="6622" spans="1:7">
      <c r="B6622">
        <f>IF(INDEX(Transactions!$J:$J,ROW()-8)="",TODAY(),INDEX(Transactions!$G:$G,ROW()-8))</f>
      </c>
      <c r="F6622">
        <f>IF(INDEX(Transactions!$J:$J,ROW()-8)="",0,INDEX(Transactions!$O:$O,ROW()-8))</f>
      </c>
    </row>
    <row r="6623" spans="1:7">
      <c r="B6623">
        <f>IF(INDEX(Transactions!$J:$J,ROW()-8)="",TODAY(),INDEX(Transactions!$G:$G,ROW()-8))</f>
      </c>
      <c r="F6623">
        <f>IF(INDEX(Transactions!$J:$J,ROW()-8)="",0,INDEX(Transactions!$O:$O,ROW()-8))</f>
      </c>
    </row>
    <row r="6624" spans="1:7">
      <c r="B6624">
        <f>IF(INDEX(Transactions!$J:$J,ROW()-8)="",TODAY(),INDEX(Transactions!$G:$G,ROW()-8))</f>
      </c>
      <c r="F6624">
        <f>IF(INDEX(Transactions!$J:$J,ROW()-8)="",0,INDEX(Transactions!$O:$O,ROW()-8))</f>
      </c>
    </row>
    <row r="6625" spans="1:7">
      <c r="B6625">
        <f>IF(INDEX(Transactions!$J:$J,ROW()-8)="",TODAY(),INDEX(Transactions!$G:$G,ROW()-8))</f>
      </c>
      <c r="F6625">
        <f>IF(INDEX(Transactions!$J:$J,ROW()-8)="",0,INDEX(Transactions!$O:$O,ROW()-8))</f>
      </c>
    </row>
    <row r="6626" spans="1:7">
      <c r="B6626">
        <f>IF(INDEX(Transactions!$J:$J,ROW()-8)="",TODAY(),INDEX(Transactions!$G:$G,ROW()-8))</f>
      </c>
      <c r="F6626">
        <f>IF(INDEX(Transactions!$J:$J,ROW()-8)="",0,INDEX(Transactions!$O:$O,ROW()-8))</f>
      </c>
    </row>
    <row r="6627" spans="1:7">
      <c r="B6627">
        <f>IF(INDEX(Transactions!$J:$J,ROW()-8)="",TODAY(),INDEX(Transactions!$G:$G,ROW()-8))</f>
      </c>
      <c r="F6627">
        <f>IF(INDEX(Transactions!$J:$J,ROW()-8)="",0,INDEX(Transactions!$O:$O,ROW()-8))</f>
      </c>
    </row>
    <row r="6628" spans="1:7">
      <c r="B6628">
        <f>IF(INDEX(Transactions!$J:$J,ROW()-8)="",TODAY(),INDEX(Transactions!$G:$G,ROW()-8))</f>
      </c>
      <c r="F6628">
        <f>IF(INDEX(Transactions!$J:$J,ROW()-8)="",0,INDEX(Transactions!$O:$O,ROW()-8))</f>
      </c>
    </row>
    <row r="6629" spans="1:7">
      <c r="B6629">
        <f>IF(INDEX(Transactions!$J:$J,ROW()-8)="",TODAY(),INDEX(Transactions!$G:$G,ROW()-8))</f>
      </c>
      <c r="F6629">
        <f>IF(INDEX(Transactions!$J:$J,ROW()-8)="",0,INDEX(Transactions!$O:$O,ROW()-8))</f>
      </c>
    </row>
    <row r="6630" spans="1:7">
      <c r="B6630">
        <f>IF(INDEX(Transactions!$J:$J,ROW()-8)="",TODAY(),INDEX(Transactions!$G:$G,ROW()-8))</f>
      </c>
      <c r="F6630">
        <f>IF(INDEX(Transactions!$J:$J,ROW()-8)="",0,INDEX(Transactions!$O:$O,ROW()-8))</f>
      </c>
    </row>
    <row r="6631" spans="1:7">
      <c r="B6631">
        <f>IF(INDEX(Transactions!$J:$J,ROW()-8)="",TODAY(),INDEX(Transactions!$G:$G,ROW()-8))</f>
      </c>
      <c r="F6631">
        <f>IF(INDEX(Transactions!$J:$J,ROW()-8)="",0,INDEX(Transactions!$O:$O,ROW()-8))</f>
      </c>
    </row>
    <row r="6632" spans="1:7">
      <c r="B6632">
        <f>IF(INDEX(Transactions!$J:$J,ROW()-8)="",TODAY(),INDEX(Transactions!$G:$G,ROW()-8))</f>
      </c>
      <c r="F6632">
        <f>IF(INDEX(Transactions!$J:$J,ROW()-8)="",0,INDEX(Transactions!$O:$O,ROW()-8))</f>
      </c>
    </row>
    <row r="6633" spans="1:7">
      <c r="B6633">
        <f>IF(INDEX(Transactions!$J:$J,ROW()-8)="",TODAY(),INDEX(Transactions!$G:$G,ROW()-8))</f>
      </c>
      <c r="F6633">
        <f>IF(INDEX(Transactions!$J:$J,ROW()-8)="",0,INDEX(Transactions!$O:$O,ROW()-8))</f>
      </c>
    </row>
    <row r="6634" spans="1:7">
      <c r="B6634">
        <f>IF(INDEX(Transactions!$J:$J,ROW()-8)="",TODAY(),INDEX(Transactions!$G:$G,ROW()-8))</f>
      </c>
      <c r="F6634">
        <f>IF(INDEX(Transactions!$J:$J,ROW()-8)="",0,INDEX(Transactions!$O:$O,ROW()-8))</f>
      </c>
    </row>
    <row r="6635" spans="1:7">
      <c r="B6635">
        <f>IF(INDEX(Transactions!$J:$J,ROW()-8)="",TODAY(),INDEX(Transactions!$G:$G,ROW()-8))</f>
      </c>
      <c r="F6635">
        <f>IF(INDEX(Transactions!$J:$J,ROW()-8)="",0,INDEX(Transactions!$O:$O,ROW()-8))</f>
      </c>
    </row>
    <row r="6636" spans="1:7">
      <c r="B6636">
        <f>IF(INDEX(Transactions!$J:$J,ROW()-8)="",TODAY(),INDEX(Transactions!$G:$G,ROW()-8))</f>
      </c>
      <c r="F6636">
        <f>IF(INDEX(Transactions!$J:$J,ROW()-8)="",0,INDEX(Transactions!$O:$O,ROW()-8))</f>
      </c>
    </row>
    <row r="6637" spans="1:7">
      <c r="B6637">
        <f>IF(INDEX(Transactions!$J:$J,ROW()-8)="",TODAY(),INDEX(Transactions!$G:$G,ROW()-8))</f>
      </c>
      <c r="F6637">
        <f>IF(INDEX(Transactions!$J:$J,ROW()-8)="",0,INDEX(Transactions!$O:$O,ROW()-8))</f>
      </c>
    </row>
    <row r="6638" spans="1:7">
      <c r="B6638">
        <f>IF(INDEX(Transactions!$J:$J,ROW()-8)="",TODAY(),INDEX(Transactions!$G:$G,ROW()-8))</f>
      </c>
      <c r="F6638">
        <f>IF(INDEX(Transactions!$J:$J,ROW()-8)="",0,INDEX(Transactions!$O:$O,ROW()-8))</f>
      </c>
    </row>
    <row r="6639" spans="1:7">
      <c r="B6639">
        <f>IF(INDEX(Transactions!$J:$J,ROW()-8)="",TODAY(),INDEX(Transactions!$G:$G,ROW()-8))</f>
      </c>
      <c r="F6639">
        <f>IF(INDEX(Transactions!$J:$J,ROW()-8)="",0,INDEX(Transactions!$O:$O,ROW()-8))</f>
      </c>
    </row>
    <row r="6640" spans="1:7">
      <c r="B6640">
        <f>IF(INDEX(Transactions!$J:$J,ROW()-8)="",TODAY(),INDEX(Transactions!$G:$G,ROW()-8))</f>
      </c>
      <c r="F6640">
        <f>IF(INDEX(Transactions!$J:$J,ROW()-8)="",0,INDEX(Transactions!$O:$O,ROW()-8))</f>
      </c>
    </row>
    <row r="6641" spans="1:7">
      <c r="B6641">
        <f>IF(INDEX(Transactions!$J:$J,ROW()-8)="",TODAY(),INDEX(Transactions!$G:$G,ROW()-8))</f>
      </c>
      <c r="F6641">
        <f>IF(INDEX(Transactions!$J:$J,ROW()-8)="",0,INDEX(Transactions!$O:$O,ROW()-8))</f>
      </c>
    </row>
    <row r="6642" spans="1:7">
      <c r="B6642">
        <f>IF(INDEX(Transactions!$J:$J,ROW()-8)="",TODAY(),INDEX(Transactions!$G:$G,ROW()-8))</f>
      </c>
      <c r="F6642">
        <f>IF(INDEX(Transactions!$J:$J,ROW()-8)="",0,INDEX(Transactions!$O:$O,ROW()-8))</f>
      </c>
    </row>
    <row r="6643" spans="1:7">
      <c r="B6643">
        <f>IF(INDEX(Transactions!$J:$J,ROW()-8)="",TODAY(),INDEX(Transactions!$G:$G,ROW()-8))</f>
      </c>
      <c r="F6643">
        <f>IF(INDEX(Transactions!$J:$J,ROW()-8)="",0,INDEX(Transactions!$O:$O,ROW()-8))</f>
      </c>
    </row>
    <row r="6644" spans="1:7">
      <c r="B6644">
        <f>IF(INDEX(Transactions!$J:$J,ROW()-8)="",TODAY(),INDEX(Transactions!$G:$G,ROW()-8))</f>
      </c>
      <c r="F6644">
        <f>IF(INDEX(Transactions!$J:$J,ROW()-8)="",0,INDEX(Transactions!$O:$O,ROW()-8))</f>
      </c>
    </row>
    <row r="6645" spans="1:7">
      <c r="B6645">
        <f>IF(INDEX(Transactions!$J:$J,ROW()-8)="",TODAY(),INDEX(Transactions!$G:$G,ROW()-8))</f>
      </c>
      <c r="F6645">
        <f>IF(INDEX(Transactions!$J:$J,ROW()-8)="",0,INDEX(Transactions!$O:$O,ROW()-8))</f>
      </c>
    </row>
    <row r="6646" spans="1:7">
      <c r="B6646">
        <f>IF(INDEX(Transactions!$J:$J,ROW()-8)="",TODAY(),INDEX(Transactions!$G:$G,ROW()-8))</f>
      </c>
      <c r="F6646">
        <f>IF(INDEX(Transactions!$J:$J,ROW()-8)="",0,INDEX(Transactions!$O:$O,ROW()-8))</f>
      </c>
    </row>
    <row r="6647" spans="1:7">
      <c r="B6647">
        <f>IF(INDEX(Transactions!$J:$J,ROW()-8)="",TODAY(),INDEX(Transactions!$G:$G,ROW()-8))</f>
      </c>
      <c r="F6647">
        <f>IF(INDEX(Transactions!$J:$J,ROW()-8)="",0,INDEX(Transactions!$O:$O,ROW()-8))</f>
      </c>
    </row>
    <row r="6648" spans="1:7">
      <c r="B6648">
        <f>IF(INDEX(Transactions!$J:$J,ROW()-8)="",TODAY(),INDEX(Transactions!$G:$G,ROW()-8))</f>
      </c>
      <c r="F6648">
        <f>IF(INDEX(Transactions!$J:$J,ROW()-8)="",0,INDEX(Transactions!$O:$O,ROW()-8))</f>
      </c>
    </row>
    <row r="6649" spans="1:7">
      <c r="B6649">
        <f>IF(INDEX(Transactions!$J:$J,ROW()-8)="",TODAY(),INDEX(Transactions!$G:$G,ROW()-8))</f>
      </c>
      <c r="F6649">
        <f>IF(INDEX(Transactions!$J:$J,ROW()-8)="",0,INDEX(Transactions!$O:$O,ROW()-8))</f>
      </c>
    </row>
    <row r="6650" spans="1:7">
      <c r="B6650">
        <f>IF(INDEX(Transactions!$J:$J,ROW()-8)="",TODAY(),INDEX(Transactions!$G:$G,ROW()-8))</f>
      </c>
      <c r="F6650">
        <f>IF(INDEX(Transactions!$J:$J,ROW()-8)="",0,INDEX(Transactions!$O:$O,ROW()-8))</f>
      </c>
    </row>
    <row r="6651" spans="1:7">
      <c r="B6651">
        <f>IF(INDEX(Transactions!$J:$J,ROW()-8)="",TODAY(),INDEX(Transactions!$G:$G,ROW()-8))</f>
      </c>
      <c r="F6651">
        <f>IF(INDEX(Transactions!$J:$J,ROW()-8)="",0,INDEX(Transactions!$O:$O,ROW()-8))</f>
      </c>
    </row>
    <row r="6652" spans="1:7">
      <c r="B6652">
        <f>IF(INDEX(Transactions!$J:$J,ROW()-8)="",TODAY(),INDEX(Transactions!$G:$G,ROW()-8))</f>
      </c>
      <c r="F6652">
        <f>IF(INDEX(Transactions!$J:$J,ROW()-8)="",0,INDEX(Transactions!$O:$O,ROW()-8))</f>
      </c>
    </row>
    <row r="6653" spans="1:7">
      <c r="B6653">
        <f>IF(INDEX(Transactions!$J:$J,ROW()-8)="",TODAY(),INDEX(Transactions!$G:$G,ROW()-8))</f>
      </c>
      <c r="F6653">
        <f>IF(INDEX(Transactions!$J:$J,ROW()-8)="",0,INDEX(Transactions!$O:$O,ROW()-8))</f>
      </c>
    </row>
    <row r="6654" spans="1:7">
      <c r="B6654">
        <f>IF(INDEX(Transactions!$J:$J,ROW()-8)="",TODAY(),INDEX(Transactions!$G:$G,ROW()-8))</f>
      </c>
      <c r="F6654">
        <f>IF(INDEX(Transactions!$J:$J,ROW()-8)="",0,INDEX(Transactions!$O:$O,ROW()-8))</f>
      </c>
    </row>
    <row r="6655" spans="1:7">
      <c r="B6655">
        <f>IF(INDEX(Transactions!$J:$J,ROW()-8)="",TODAY(),INDEX(Transactions!$G:$G,ROW()-8))</f>
      </c>
      <c r="F6655">
        <f>IF(INDEX(Transactions!$J:$J,ROW()-8)="",0,INDEX(Transactions!$O:$O,ROW()-8))</f>
      </c>
    </row>
    <row r="6656" spans="1:7">
      <c r="B6656">
        <f>IF(INDEX(Transactions!$J:$J,ROW()-8)="",TODAY(),INDEX(Transactions!$G:$G,ROW()-8))</f>
      </c>
      <c r="F6656">
        <f>IF(INDEX(Transactions!$J:$J,ROW()-8)="",0,INDEX(Transactions!$O:$O,ROW()-8))</f>
      </c>
    </row>
    <row r="6657" spans="1:7">
      <c r="B6657">
        <f>IF(INDEX(Transactions!$J:$J,ROW()-8)="",TODAY(),INDEX(Transactions!$G:$G,ROW()-8))</f>
      </c>
      <c r="F6657">
        <f>IF(INDEX(Transactions!$J:$J,ROW()-8)="",0,INDEX(Transactions!$O:$O,ROW()-8))</f>
      </c>
    </row>
    <row r="6658" spans="1:7">
      <c r="B6658">
        <f>IF(INDEX(Transactions!$J:$J,ROW()-8)="",TODAY(),INDEX(Transactions!$G:$G,ROW()-8))</f>
      </c>
      <c r="F6658">
        <f>IF(INDEX(Transactions!$J:$J,ROW()-8)="",0,INDEX(Transactions!$O:$O,ROW()-8))</f>
      </c>
    </row>
    <row r="6659" spans="1:7">
      <c r="B6659">
        <f>IF(INDEX(Transactions!$J:$J,ROW()-8)="",TODAY(),INDEX(Transactions!$G:$G,ROW()-8))</f>
      </c>
      <c r="F6659">
        <f>IF(INDEX(Transactions!$J:$J,ROW()-8)="",0,INDEX(Transactions!$O:$O,ROW()-8))</f>
      </c>
    </row>
    <row r="6660" spans="1:7">
      <c r="B6660">
        <f>IF(INDEX(Transactions!$J:$J,ROW()-8)="",TODAY(),INDEX(Transactions!$G:$G,ROW()-8))</f>
      </c>
      <c r="F6660">
        <f>IF(INDEX(Transactions!$J:$J,ROW()-8)="",0,INDEX(Transactions!$O:$O,ROW()-8))</f>
      </c>
    </row>
    <row r="6661" spans="1:7">
      <c r="B6661">
        <f>IF(INDEX(Transactions!$J:$J,ROW()-8)="",TODAY(),INDEX(Transactions!$G:$G,ROW()-8))</f>
      </c>
      <c r="F6661">
        <f>IF(INDEX(Transactions!$J:$J,ROW()-8)="",0,INDEX(Transactions!$O:$O,ROW()-8))</f>
      </c>
    </row>
    <row r="6662" spans="1:7">
      <c r="B6662">
        <f>IF(INDEX(Transactions!$J:$J,ROW()-8)="",TODAY(),INDEX(Transactions!$G:$G,ROW()-8))</f>
      </c>
      <c r="F6662">
        <f>IF(INDEX(Transactions!$J:$J,ROW()-8)="",0,INDEX(Transactions!$O:$O,ROW()-8))</f>
      </c>
    </row>
    <row r="6663" spans="1:7">
      <c r="B6663">
        <f>IF(INDEX(Transactions!$J:$J,ROW()-8)="",TODAY(),INDEX(Transactions!$G:$G,ROW()-8))</f>
      </c>
      <c r="F6663">
        <f>IF(INDEX(Transactions!$J:$J,ROW()-8)="",0,INDEX(Transactions!$O:$O,ROW()-8))</f>
      </c>
    </row>
    <row r="6664" spans="1:7">
      <c r="B6664">
        <f>IF(INDEX(Transactions!$J:$J,ROW()-8)="",TODAY(),INDEX(Transactions!$G:$G,ROW()-8))</f>
      </c>
      <c r="F6664">
        <f>IF(INDEX(Transactions!$J:$J,ROW()-8)="",0,INDEX(Transactions!$O:$O,ROW()-8))</f>
      </c>
    </row>
    <row r="6665" spans="1:7">
      <c r="B6665">
        <f>IF(INDEX(Transactions!$J:$J,ROW()-8)="",TODAY(),INDEX(Transactions!$G:$G,ROW()-8))</f>
      </c>
      <c r="F6665">
        <f>IF(INDEX(Transactions!$J:$J,ROW()-8)="",0,INDEX(Transactions!$O:$O,ROW()-8))</f>
      </c>
    </row>
    <row r="6666" spans="1:7">
      <c r="B6666">
        <f>IF(INDEX(Transactions!$J:$J,ROW()-8)="",TODAY(),INDEX(Transactions!$G:$G,ROW()-8))</f>
      </c>
      <c r="F6666">
        <f>IF(INDEX(Transactions!$J:$J,ROW()-8)="",0,INDEX(Transactions!$O:$O,ROW()-8))</f>
      </c>
    </row>
    <row r="6667" spans="1:7">
      <c r="B6667">
        <f>IF(INDEX(Transactions!$J:$J,ROW()-8)="",TODAY(),INDEX(Transactions!$G:$G,ROW()-8))</f>
      </c>
      <c r="F6667">
        <f>IF(INDEX(Transactions!$J:$J,ROW()-8)="",0,INDEX(Transactions!$O:$O,ROW()-8))</f>
      </c>
    </row>
    <row r="6668" spans="1:7">
      <c r="B6668">
        <f>IF(INDEX(Transactions!$J:$J,ROW()-8)="",TODAY(),INDEX(Transactions!$G:$G,ROW()-8))</f>
      </c>
      <c r="F6668">
        <f>IF(INDEX(Transactions!$J:$J,ROW()-8)="",0,INDEX(Transactions!$O:$O,ROW()-8))</f>
      </c>
    </row>
    <row r="6669" spans="1:7">
      <c r="B6669">
        <f>IF(INDEX(Transactions!$J:$J,ROW()-8)="",TODAY(),INDEX(Transactions!$G:$G,ROW()-8))</f>
      </c>
      <c r="F6669">
        <f>IF(INDEX(Transactions!$J:$J,ROW()-8)="",0,INDEX(Transactions!$O:$O,ROW()-8))</f>
      </c>
    </row>
    <row r="6670" spans="1:7">
      <c r="B6670">
        <f>IF(INDEX(Transactions!$J:$J,ROW()-8)="",TODAY(),INDEX(Transactions!$G:$G,ROW()-8))</f>
      </c>
      <c r="F6670">
        <f>IF(INDEX(Transactions!$J:$J,ROW()-8)="",0,INDEX(Transactions!$O:$O,ROW()-8))</f>
      </c>
    </row>
    <row r="6671" spans="1:7">
      <c r="B6671">
        <f>IF(INDEX(Transactions!$J:$J,ROW()-8)="",TODAY(),INDEX(Transactions!$G:$G,ROW()-8))</f>
      </c>
      <c r="F6671">
        <f>IF(INDEX(Transactions!$J:$J,ROW()-8)="",0,INDEX(Transactions!$O:$O,ROW()-8))</f>
      </c>
    </row>
    <row r="6672" spans="1:7">
      <c r="B6672">
        <f>IF(INDEX(Transactions!$J:$J,ROW()-8)="",TODAY(),INDEX(Transactions!$G:$G,ROW()-8))</f>
      </c>
      <c r="F6672">
        <f>IF(INDEX(Transactions!$J:$J,ROW()-8)="",0,INDEX(Transactions!$O:$O,ROW()-8))</f>
      </c>
    </row>
    <row r="6673" spans="1:7">
      <c r="B6673">
        <f>IF(INDEX(Transactions!$J:$J,ROW()-8)="",TODAY(),INDEX(Transactions!$G:$G,ROW()-8))</f>
      </c>
      <c r="F6673">
        <f>IF(INDEX(Transactions!$J:$J,ROW()-8)="",0,INDEX(Transactions!$O:$O,ROW()-8))</f>
      </c>
    </row>
    <row r="6674" spans="1:7">
      <c r="B6674">
        <f>IF(INDEX(Transactions!$J:$J,ROW()-8)="",TODAY(),INDEX(Transactions!$G:$G,ROW()-8))</f>
      </c>
      <c r="F6674">
        <f>IF(INDEX(Transactions!$J:$J,ROW()-8)="",0,INDEX(Transactions!$O:$O,ROW()-8))</f>
      </c>
    </row>
    <row r="6675" spans="1:7">
      <c r="B6675">
        <f>IF(INDEX(Transactions!$J:$J,ROW()-8)="",TODAY(),INDEX(Transactions!$G:$G,ROW()-8))</f>
      </c>
      <c r="F6675">
        <f>IF(INDEX(Transactions!$J:$J,ROW()-8)="",0,INDEX(Transactions!$O:$O,ROW()-8))</f>
      </c>
    </row>
    <row r="6676" spans="1:7">
      <c r="B6676">
        <f>IF(INDEX(Transactions!$J:$J,ROW()-8)="",TODAY(),INDEX(Transactions!$G:$G,ROW()-8))</f>
      </c>
      <c r="F6676">
        <f>IF(INDEX(Transactions!$J:$J,ROW()-8)="",0,INDEX(Transactions!$O:$O,ROW()-8))</f>
      </c>
    </row>
    <row r="6677" spans="1:7">
      <c r="B6677">
        <f>IF(INDEX(Transactions!$J:$J,ROW()-8)="",TODAY(),INDEX(Transactions!$G:$G,ROW()-8))</f>
      </c>
      <c r="F6677">
        <f>IF(INDEX(Transactions!$J:$J,ROW()-8)="",0,INDEX(Transactions!$O:$O,ROW()-8))</f>
      </c>
    </row>
    <row r="6678" spans="1:7">
      <c r="B6678">
        <f>IF(INDEX(Transactions!$J:$J,ROW()-8)="",TODAY(),INDEX(Transactions!$G:$G,ROW()-8))</f>
      </c>
      <c r="F6678">
        <f>IF(INDEX(Transactions!$J:$J,ROW()-8)="",0,INDEX(Transactions!$O:$O,ROW()-8))</f>
      </c>
    </row>
    <row r="6679" spans="1:7">
      <c r="B6679">
        <f>IF(INDEX(Transactions!$J:$J,ROW()-8)="",TODAY(),INDEX(Transactions!$G:$G,ROW()-8))</f>
      </c>
      <c r="F6679">
        <f>IF(INDEX(Transactions!$J:$J,ROW()-8)="",0,INDEX(Transactions!$O:$O,ROW()-8))</f>
      </c>
    </row>
    <row r="6680" spans="1:7">
      <c r="B6680">
        <f>IF(INDEX(Transactions!$J:$J,ROW()-8)="",TODAY(),INDEX(Transactions!$G:$G,ROW()-8))</f>
      </c>
      <c r="F6680">
        <f>IF(INDEX(Transactions!$J:$J,ROW()-8)="",0,INDEX(Transactions!$O:$O,ROW()-8))</f>
      </c>
    </row>
    <row r="6681" spans="1:7">
      <c r="B6681">
        <f>IF(INDEX(Transactions!$J:$J,ROW()-8)="",TODAY(),INDEX(Transactions!$G:$G,ROW()-8))</f>
      </c>
      <c r="F6681">
        <f>IF(INDEX(Transactions!$J:$J,ROW()-8)="",0,INDEX(Transactions!$O:$O,ROW()-8))</f>
      </c>
    </row>
    <row r="6682" spans="1:7">
      <c r="B6682">
        <f>IF(INDEX(Transactions!$J:$J,ROW()-8)="",TODAY(),INDEX(Transactions!$G:$G,ROW()-8))</f>
      </c>
      <c r="F6682">
        <f>IF(INDEX(Transactions!$J:$J,ROW()-8)="",0,INDEX(Transactions!$O:$O,ROW()-8))</f>
      </c>
    </row>
    <row r="6683" spans="1:7">
      <c r="B6683">
        <f>IF(INDEX(Transactions!$J:$J,ROW()-8)="",TODAY(),INDEX(Transactions!$G:$G,ROW()-8))</f>
      </c>
      <c r="F6683">
        <f>IF(INDEX(Transactions!$J:$J,ROW()-8)="",0,INDEX(Transactions!$O:$O,ROW()-8))</f>
      </c>
    </row>
    <row r="6684" spans="1:7">
      <c r="B6684">
        <f>IF(INDEX(Transactions!$J:$J,ROW()-8)="",TODAY(),INDEX(Transactions!$G:$G,ROW()-8))</f>
      </c>
      <c r="F6684">
        <f>IF(INDEX(Transactions!$J:$J,ROW()-8)="",0,INDEX(Transactions!$O:$O,ROW()-8))</f>
      </c>
    </row>
    <row r="6685" spans="1:7">
      <c r="B6685">
        <f>IF(INDEX(Transactions!$J:$J,ROW()-8)="",TODAY(),INDEX(Transactions!$G:$G,ROW()-8))</f>
      </c>
      <c r="F6685">
        <f>IF(INDEX(Transactions!$J:$J,ROW()-8)="",0,INDEX(Transactions!$O:$O,ROW()-8))</f>
      </c>
    </row>
    <row r="6686" spans="1:7">
      <c r="B6686">
        <f>IF(INDEX(Transactions!$J:$J,ROW()-8)="",TODAY(),INDEX(Transactions!$G:$G,ROW()-8))</f>
      </c>
      <c r="F6686">
        <f>IF(INDEX(Transactions!$J:$J,ROW()-8)="",0,INDEX(Transactions!$O:$O,ROW()-8))</f>
      </c>
    </row>
    <row r="6687" spans="1:7">
      <c r="B6687">
        <f>IF(INDEX(Transactions!$J:$J,ROW()-8)="",TODAY(),INDEX(Transactions!$G:$G,ROW()-8))</f>
      </c>
      <c r="F6687">
        <f>IF(INDEX(Transactions!$J:$J,ROW()-8)="",0,INDEX(Transactions!$O:$O,ROW()-8))</f>
      </c>
    </row>
    <row r="6688" spans="1:7">
      <c r="B6688">
        <f>IF(INDEX(Transactions!$J:$J,ROW()-8)="",TODAY(),INDEX(Transactions!$G:$G,ROW()-8))</f>
      </c>
      <c r="F6688">
        <f>IF(INDEX(Transactions!$J:$J,ROW()-8)="",0,INDEX(Transactions!$O:$O,ROW()-8))</f>
      </c>
    </row>
    <row r="6689" spans="1:7">
      <c r="B6689">
        <f>IF(INDEX(Transactions!$J:$J,ROW()-8)="",TODAY(),INDEX(Transactions!$G:$G,ROW()-8))</f>
      </c>
      <c r="F6689">
        <f>IF(INDEX(Transactions!$J:$J,ROW()-8)="",0,INDEX(Transactions!$O:$O,ROW()-8))</f>
      </c>
    </row>
    <row r="6690" spans="1:7">
      <c r="B6690">
        <f>IF(INDEX(Transactions!$J:$J,ROW()-8)="",TODAY(),INDEX(Transactions!$G:$G,ROW()-8))</f>
      </c>
      <c r="F6690">
        <f>IF(INDEX(Transactions!$J:$J,ROW()-8)="",0,INDEX(Transactions!$O:$O,ROW()-8))</f>
      </c>
    </row>
    <row r="6691" spans="1:7">
      <c r="B6691">
        <f>IF(INDEX(Transactions!$J:$J,ROW()-8)="",TODAY(),INDEX(Transactions!$G:$G,ROW()-8))</f>
      </c>
      <c r="F6691">
        <f>IF(INDEX(Transactions!$J:$J,ROW()-8)="",0,INDEX(Transactions!$O:$O,ROW()-8))</f>
      </c>
    </row>
    <row r="6692" spans="1:7">
      <c r="B6692">
        <f>IF(INDEX(Transactions!$J:$J,ROW()-8)="",TODAY(),INDEX(Transactions!$G:$G,ROW()-8))</f>
      </c>
      <c r="F6692">
        <f>IF(INDEX(Transactions!$J:$J,ROW()-8)="",0,INDEX(Transactions!$O:$O,ROW()-8))</f>
      </c>
    </row>
    <row r="6693" spans="1:7">
      <c r="B6693">
        <f>IF(INDEX(Transactions!$J:$J,ROW()-8)="",TODAY(),INDEX(Transactions!$G:$G,ROW()-8))</f>
      </c>
      <c r="F6693">
        <f>IF(INDEX(Transactions!$J:$J,ROW()-8)="",0,INDEX(Transactions!$O:$O,ROW()-8))</f>
      </c>
    </row>
    <row r="6694" spans="1:7">
      <c r="B6694">
        <f>IF(INDEX(Transactions!$J:$J,ROW()-8)="",TODAY(),INDEX(Transactions!$G:$G,ROW()-8))</f>
      </c>
      <c r="F6694">
        <f>IF(INDEX(Transactions!$J:$J,ROW()-8)="",0,INDEX(Transactions!$O:$O,ROW()-8))</f>
      </c>
    </row>
    <row r="6695" spans="1:7">
      <c r="B6695">
        <f>IF(INDEX(Transactions!$J:$J,ROW()-8)="",TODAY(),INDEX(Transactions!$G:$G,ROW()-8))</f>
      </c>
      <c r="F6695">
        <f>IF(INDEX(Transactions!$J:$J,ROW()-8)="",0,INDEX(Transactions!$O:$O,ROW()-8))</f>
      </c>
    </row>
    <row r="6696" spans="1:7">
      <c r="B6696">
        <f>IF(INDEX(Transactions!$J:$J,ROW()-8)="",TODAY(),INDEX(Transactions!$G:$G,ROW()-8))</f>
      </c>
      <c r="F6696">
        <f>IF(INDEX(Transactions!$J:$J,ROW()-8)="",0,INDEX(Transactions!$O:$O,ROW()-8))</f>
      </c>
    </row>
    <row r="6697" spans="1:7">
      <c r="B6697">
        <f>IF(INDEX(Transactions!$J:$J,ROW()-8)="",TODAY(),INDEX(Transactions!$G:$G,ROW()-8))</f>
      </c>
      <c r="F6697">
        <f>IF(INDEX(Transactions!$J:$J,ROW()-8)="",0,INDEX(Transactions!$O:$O,ROW()-8))</f>
      </c>
    </row>
    <row r="6698" spans="1:7">
      <c r="B6698">
        <f>IF(INDEX(Transactions!$J:$J,ROW()-8)="",TODAY(),INDEX(Transactions!$G:$G,ROW()-8))</f>
      </c>
      <c r="F6698">
        <f>IF(INDEX(Transactions!$J:$J,ROW()-8)="",0,INDEX(Transactions!$O:$O,ROW()-8))</f>
      </c>
    </row>
    <row r="6699" spans="1:7">
      <c r="B6699">
        <f>IF(INDEX(Transactions!$J:$J,ROW()-8)="",TODAY(),INDEX(Transactions!$G:$G,ROW()-8))</f>
      </c>
      <c r="F6699">
        <f>IF(INDEX(Transactions!$J:$J,ROW()-8)="",0,INDEX(Transactions!$O:$O,ROW()-8))</f>
      </c>
    </row>
    <row r="6700" spans="1:7">
      <c r="B6700">
        <f>IF(INDEX(Transactions!$J:$J,ROW()-8)="",TODAY(),INDEX(Transactions!$G:$G,ROW()-8))</f>
      </c>
      <c r="F6700">
        <f>IF(INDEX(Transactions!$J:$J,ROW()-8)="",0,INDEX(Transactions!$O:$O,ROW()-8))</f>
      </c>
    </row>
    <row r="6701" spans="1:7">
      <c r="B6701">
        <f>IF(INDEX(Transactions!$J:$J,ROW()-8)="",TODAY(),INDEX(Transactions!$G:$G,ROW()-8))</f>
      </c>
      <c r="F6701">
        <f>IF(INDEX(Transactions!$J:$J,ROW()-8)="",0,INDEX(Transactions!$O:$O,ROW()-8))</f>
      </c>
    </row>
    <row r="6702" spans="1:7">
      <c r="B6702">
        <f>IF(INDEX(Transactions!$J:$J,ROW()-8)="",TODAY(),INDEX(Transactions!$G:$G,ROW()-8))</f>
      </c>
      <c r="F6702">
        <f>IF(INDEX(Transactions!$J:$J,ROW()-8)="",0,INDEX(Transactions!$O:$O,ROW()-8))</f>
      </c>
    </row>
    <row r="6703" spans="1:7">
      <c r="B6703">
        <f>IF(INDEX(Transactions!$J:$J,ROW()-8)="",TODAY(),INDEX(Transactions!$G:$G,ROW()-8))</f>
      </c>
      <c r="F6703">
        <f>IF(INDEX(Transactions!$J:$J,ROW()-8)="",0,INDEX(Transactions!$O:$O,ROW()-8))</f>
      </c>
    </row>
    <row r="6704" spans="1:7">
      <c r="B6704">
        <f>IF(INDEX(Transactions!$J:$J,ROW()-8)="",TODAY(),INDEX(Transactions!$G:$G,ROW()-8))</f>
      </c>
      <c r="F6704">
        <f>IF(INDEX(Transactions!$J:$J,ROW()-8)="",0,INDEX(Transactions!$O:$O,ROW()-8))</f>
      </c>
    </row>
    <row r="6705" spans="1:7">
      <c r="B6705">
        <f>IF(INDEX(Transactions!$J:$J,ROW()-8)="",TODAY(),INDEX(Transactions!$G:$G,ROW()-8))</f>
      </c>
      <c r="F6705">
        <f>IF(INDEX(Transactions!$J:$J,ROW()-8)="",0,INDEX(Transactions!$O:$O,ROW()-8))</f>
      </c>
    </row>
    <row r="6706" spans="1:7">
      <c r="B6706">
        <f>IF(INDEX(Transactions!$J:$J,ROW()-8)="",TODAY(),INDEX(Transactions!$G:$G,ROW()-8))</f>
      </c>
      <c r="F6706">
        <f>IF(INDEX(Transactions!$J:$J,ROW()-8)="",0,INDEX(Transactions!$O:$O,ROW()-8))</f>
      </c>
    </row>
    <row r="6707" spans="1:7">
      <c r="B6707">
        <f>IF(INDEX(Transactions!$J:$J,ROW()-8)="",TODAY(),INDEX(Transactions!$G:$G,ROW()-8))</f>
      </c>
      <c r="F6707">
        <f>IF(INDEX(Transactions!$J:$J,ROW()-8)="",0,INDEX(Transactions!$O:$O,ROW()-8))</f>
      </c>
    </row>
    <row r="6708" spans="1:7">
      <c r="B6708">
        <f>IF(INDEX(Transactions!$J:$J,ROW()-8)="",TODAY(),INDEX(Transactions!$G:$G,ROW()-8))</f>
      </c>
      <c r="F6708">
        <f>IF(INDEX(Transactions!$J:$J,ROW()-8)="",0,INDEX(Transactions!$O:$O,ROW()-8))</f>
      </c>
    </row>
    <row r="6709" spans="1:7">
      <c r="B6709">
        <f>IF(INDEX(Transactions!$J:$J,ROW()-8)="",TODAY(),INDEX(Transactions!$G:$G,ROW()-8))</f>
      </c>
      <c r="F6709">
        <f>IF(INDEX(Transactions!$J:$J,ROW()-8)="",0,INDEX(Transactions!$O:$O,ROW()-8))</f>
      </c>
    </row>
    <row r="6710" spans="1:7">
      <c r="B6710">
        <f>IF(INDEX(Transactions!$J:$J,ROW()-8)="",TODAY(),INDEX(Transactions!$G:$G,ROW()-8))</f>
      </c>
      <c r="F6710">
        <f>IF(INDEX(Transactions!$J:$J,ROW()-8)="",0,INDEX(Transactions!$O:$O,ROW()-8))</f>
      </c>
    </row>
    <row r="6711" spans="1:7">
      <c r="B6711">
        <f>IF(INDEX(Transactions!$J:$J,ROW()-8)="",TODAY(),INDEX(Transactions!$G:$G,ROW()-8))</f>
      </c>
      <c r="F6711">
        <f>IF(INDEX(Transactions!$J:$J,ROW()-8)="",0,INDEX(Transactions!$O:$O,ROW()-8))</f>
      </c>
    </row>
    <row r="6712" spans="1:7">
      <c r="B6712">
        <f>IF(INDEX(Transactions!$J:$J,ROW()-8)="",TODAY(),INDEX(Transactions!$G:$G,ROW()-8))</f>
      </c>
      <c r="F6712">
        <f>IF(INDEX(Transactions!$J:$J,ROW()-8)="",0,INDEX(Transactions!$O:$O,ROW()-8))</f>
      </c>
    </row>
    <row r="6713" spans="1:7">
      <c r="B6713">
        <f>IF(INDEX(Transactions!$J:$J,ROW()-8)="",TODAY(),INDEX(Transactions!$G:$G,ROW()-8))</f>
      </c>
      <c r="F6713">
        <f>IF(INDEX(Transactions!$J:$J,ROW()-8)="",0,INDEX(Transactions!$O:$O,ROW()-8))</f>
      </c>
    </row>
    <row r="6714" spans="1:7">
      <c r="B6714">
        <f>IF(INDEX(Transactions!$J:$J,ROW()-8)="",TODAY(),INDEX(Transactions!$G:$G,ROW()-8))</f>
      </c>
      <c r="F6714">
        <f>IF(INDEX(Transactions!$J:$J,ROW()-8)="",0,INDEX(Transactions!$O:$O,ROW()-8))</f>
      </c>
    </row>
    <row r="6715" spans="1:7">
      <c r="B6715">
        <f>IF(INDEX(Transactions!$J:$J,ROW()-8)="",TODAY(),INDEX(Transactions!$G:$G,ROW()-8))</f>
      </c>
      <c r="F6715">
        <f>IF(INDEX(Transactions!$J:$J,ROW()-8)="",0,INDEX(Transactions!$O:$O,ROW()-8))</f>
      </c>
    </row>
    <row r="6716" spans="1:7">
      <c r="B6716">
        <f>IF(INDEX(Transactions!$J:$J,ROW()-8)="",TODAY(),INDEX(Transactions!$G:$G,ROW()-8))</f>
      </c>
      <c r="F6716">
        <f>IF(INDEX(Transactions!$J:$J,ROW()-8)="",0,INDEX(Transactions!$O:$O,ROW()-8))</f>
      </c>
    </row>
    <row r="6717" spans="1:7">
      <c r="B6717">
        <f>IF(INDEX(Transactions!$J:$J,ROW()-8)="",TODAY(),INDEX(Transactions!$G:$G,ROW()-8))</f>
      </c>
      <c r="F6717">
        <f>IF(INDEX(Transactions!$J:$J,ROW()-8)="",0,INDEX(Transactions!$O:$O,ROW()-8))</f>
      </c>
    </row>
    <row r="6718" spans="1:7">
      <c r="B6718">
        <f>IF(INDEX(Transactions!$J:$J,ROW()-8)="",TODAY(),INDEX(Transactions!$G:$G,ROW()-8))</f>
      </c>
      <c r="F6718">
        <f>IF(INDEX(Transactions!$J:$J,ROW()-8)="",0,INDEX(Transactions!$O:$O,ROW()-8))</f>
      </c>
    </row>
    <row r="6719" spans="1:7">
      <c r="B6719">
        <f>IF(INDEX(Transactions!$J:$J,ROW()-8)="",TODAY(),INDEX(Transactions!$G:$G,ROW()-8))</f>
      </c>
      <c r="F6719">
        <f>IF(INDEX(Transactions!$J:$J,ROW()-8)="",0,INDEX(Transactions!$O:$O,ROW()-8))</f>
      </c>
    </row>
    <row r="6720" spans="1:7">
      <c r="B6720">
        <f>IF(INDEX(Transactions!$J:$J,ROW()-8)="",TODAY(),INDEX(Transactions!$G:$G,ROW()-8))</f>
      </c>
      <c r="F6720">
        <f>IF(INDEX(Transactions!$J:$J,ROW()-8)="",0,INDEX(Transactions!$O:$O,ROW()-8))</f>
      </c>
    </row>
    <row r="6721" spans="1:7">
      <c r="B6721">
        <f>IF(INDEX(Transactions!$J:$J,ROW()-8)="",TODAY(),INDEX(Transactions!$G:$G,ROW()-8))</f>
      </c>
      <c r="F6721">
        <f>IF(INDEX(Transactions!$J:$J,ROW()-8)="",0,INDEX(Transactions!$O:$O,ROW()-8))</f>
      </c>
    </row>
    <row r="6722" spans="1:7">
      <c r="B6722">
        <f>IF(INDEX(Transactions!$J:$J,ROW()-8)="",TODAY(),INDEX(Transactions!$G:$G,ROW()-8))</f>
      </c>
      <c r="F6722">
        <f>IF(INDEX(Transactions!$J:$J,ROW()-8)="",0,INDEX(Transactions!$O:$O,ROW()-8))</f>
      </c>
    </row>
    <row r="6723" spans="1:7">
      <c r="B6723">
        <f>IF(INDEX(Transactions!$J:$J,ROW()-8)="",TODAY(),INDEX(Transactions!$G:$G,ROW()-8))</f>
      </c>
      <c r="F6723">
        <f>IF(INDEX(Transactions!$J:$J,ROW()-8)="",0,INDEX(Transactions!$O:$O,ROW()-8))</f>
      </c>
    </row>
    <row r="6724" spans="1:7">
      <c r="B6724">
        <f>IF(INDEX(Transactions!$J:$J,ROW()-8)="",TODAY(),INDEX(Transactions!$G:$G,ROW()-8))</f>
      </c>
      <c r="F6724">
        <f>IF(INDEX(Transactions!$J:$J,ROW()-8)="",0,INDEX(Transactions!$O:$O,ROW()-8))</f>
      </c>
    </row>
    <row r="6725" spans="1:7">
      <c r="B6725">
        <f>IF(INDEX(Transactions!$J:$J,ROW()-8)="",TODAY(),INDEX(Transactions!$G:$G,ROW()-8))</f>
      </c>
      <c r="F6725">
        <f>IF(INDEX(Transactions!$J:$J,ROW()-8)="",0,INDEX(Transactions!$O:$O,ROW()-8))</f>
      </c>
    </row>
    <row r="6726" spans="1:7">
      <c r="B6726">
        <f>IF(INDEX(Transactions!$J:$J,ROW()-8)="",TODAY(),INDEX(Transactions!$G:$G,ROW()-8))</f>
      </c>
      <c r="F6726">
        <f>IF(INDEX(Transactions!$J:$J,ROW()-8)="",0,INDEX(Transactions!$O:$O,ROW()-8))</f>
      </c>
    </row>
    <row r="6727" spans="1:7">
      <c r="B6727">
        <f>IF(INDEX(Transactions!$J:$J,ROW()-8)="",TODAY(),INDEX(Transactions!$G:$G,ROW()-8))</f>
      </c>
      <c r="F6727">
        <f>IF(INDEX(Transactions!$J:$J,ROW()-8)="",0,INDEX(Transactions!$O:$O,ROW()-8))</f>
      </c>
    </row>
    <row r="6728" spans="1:7">
      <c r="B6728">
        <f>IF(INDEX(Transactions!$J:$J,ROW()-8)="",TODAY(),INDEX(Transactions!$G:$G,ROW()-8))</f>
      </c>
      <c r="F6728">
        <f>IF(INDEX(Transactions!$J:$J,ROW()-8)="",0,INDEX(Transactions!$O:$O,ROW()-8))</f>
      </c>
    </row>
    <row r="6729" spans="1:7">
      <c r="B6729">
        <f>IF(INDEX(Transactions!$J:$J,ROW()-8)="",TODAY(),INDEX(Transactions!$G:$G,ROW()-8))</f>
      </c>
      <c r="F6729">
        <f>IF(INDEX(Transactions!$J:$J,ROW()-8)="",0,INDEX(Transactions!$O:$O,ROW()-8))</f>
      </c>
    </row>
    <row r="6730" spans="1:7">
      <c r="B6730">
        <f>IF(INDEX(Transactions!$J:$J,ROW()-8)="",TODAY(),INDEX(Transactions!$G:$G,ROW()-8))</f>
      </c>
      <c r="F6730">
        <f>IF(INDEX(Transactions!$J:$J,ROW()-8)="",0,INDEX(Transactions!$O:$O,ROW()-8))</f>
      </c>
    </row>
    <row r="6731" spans="1:7">
      <c r="B6731">
        <f>IF(INDEX(Transactions!$J:$J,ROW()-8)="",TODAY(),INDEX(Transactions!$G:$G,ROW()-8))</f>
      </c>
      <c r="F6731">
        <f>IF(INDEX(Transactions!$J:$J,ROW()-8)="",0,INDEX(Transactions!$O:$O,ROW()-8))</f>
      </c>
    </row>
    <row r="6732" spans="1:7">
      <c r="B6732">
        <f>IF(INDEX(Transactions!$J:$J,ROW()-8)="",TODAY(),INDEX(Transactions!$G:$G,ROW()-8))</f>
      </c>
      <c r="F6732">
        <f>IF(INDEX(Transactions!$J:$J,ROW()-8)="",0,INDEX(Transactions!$O:$O,ROW()-8))</f>
      </c>
    </row>
    <row r="6733" spans="1:7">
      <c r="B6733">
        <f>IF(INDEX(Transactions!$J:$J,ROW()-8)="",TODAY(),INDEX(Transactions!$G:$G,ROW()-8))</f>
      </c>
      <c r="F6733">
        <f>IF(INDEX(Transactions!$J:$J,ROW()-8)="",0,INDEX(Transactions!$O:$O,ROW()-8))</f>
      </c>
    </row>
    <row r="6734" spans="1:7">
      <c r="B6734">
        <f>IF(INDEX(Transactions!$J:$J,ROW()-8)="",TODAY(),INDEX(Transactions!$G:$G,ROW()-8))</f>
      </c>
      <c r="F6734">
        <f>IF(INDEX(Transactions!$J:$J,ROW()-8)="",0,INDEX(Transactions!$O:$O,ROW()-8))</f>
      </c>
    </row>
    <row r="6735" spans="1:7">
      <c r="B6735">
        <f>IF(INDEX(Transactions!$J:$J,ROW()-8)="",TODAY(),INDEX(Transactions!$G:$G,ROW()-8))</f>
      </c>
      <c r="F6735">
        <f>IF(INDEX(Transactions!$J:$J,ROW()-8)="",0,INDEX(Transactions!$O:$O,ROW()-8))</f>
      </c>
    </row>
    <row r="6736" spans="1:7">
      <c r="B6736">
        <f>IF(INDEX(Transactions!$J:$J,ROW()-8)="",TODAY(),INDEX(Transactions!$G:$G,ROW()-8))</f>
      </c>
      <c r="F6736">
        <f>IF(INDEX(Transactions!$J:$J,ROW()-8)="",0,INDEX(Transactions!$O:$O,ROW()-8))</f>
      </c>
    </row>
    <row r="6737" spans="1:7">
      <c r="B6737">
        <f>IF(INDEX(Transactions!$J:$J,ROW()-8)="",TODAY(),INDEX(Transactions!$G:$G,ROW()-8))</f>
      </c>
      <c r="F6737">
        <f>IF(INDEX(Transactions!$J:$J,ROW()-8)="",0,INDEX(Transactions!$O:$O,ROW()-8))</f>
      </c>
    </row>
    <row r="6738" spans="1:7">
      <c r="B6738">
        <f>IF(INDEX(Transactions!$J:$J,ROW()-8)="",TODAY(),INDEX(Transactions!$G:$G,ROW()-8))</f>
      </c>
      <c r="F6738">
        <f>IF(INDEX(Transactions!$J:$J,ROW()-8)="",0,INDEX(Transactions!$O:$O,ROW()-8))</f>
      </c>
    </row>
    <row r="6739" spans="1:7">
      <c r="B6739">
        <f>IF(INDEX(Transactions!$J:$J,ROW()-8)="",TODAY(),INDEX(Transactions!$G:$G,ROW()-8))</f>
      </c>
      <c r="F6739">
        <f>IF(INDEX(Transactions!$J:$J,ROW()-8)="",0,INDEX(Transactions!$O:$O,ROW()-8))</f>
      </c>
    </row>
    <row r="6740" spans="1:7">
      <c r="B6740">
        <f>IF(INDEX(Transactions!$J:$J,ROW()-8)="",TODAY(),INDEX(Transactions!$G:$G,ROW()-8))</f>
      </c>
      <c r="F6740">
        <f>IF(INDEX(Transactions!$J:$J,ROW()-8)="",0,INDEX(Transactions!$O:$O,ROW()-8))</f>
      </c>
    </row>
    <row r="6741" spans="1:7">
      <c r="B6741">
        <f>IF(INDEX(Transactions!$J:$J,ROW()-8)="",TODAY(),INDEX(Transactions!$G:$G,ROW()-8))</f>
      </c>
      <c r="F6741">
        <f>IF(INDEX(Transactions!$J:$J,ROW()-8)="",0,INDEX(Transactions!$O:$O,ROW()-8))</f>
      </c>
    </row>
    <row r="6742" spans="1:7">
      <c r="B6742">
        <f>IF(INDEX(Transactions!$J:$J,ROW()-8)="",TODAY(),INDEX(Transactions!$G:$G,ROW()-8))</f>
      </c>
      <c r="F6742">
        <f>IF(INDEX(Transactions!$J:$J,ROW()-8)="",0,INDEX(Transactions!$O:$O,ROW()-8))</f>
      </c>
    </row>
    <row r="6743" spans="1:7">
      <c r="B6743">
        <f>IF(INDEX(Transactions!$J:$J,ROW()-8)="",TODAY(),INDEX(Transactions!$G:$G,ROW()-8))</f>
      </c>
      <c r="F6743">
        <f>IF(INDEX(Transactions!$J:$J,ROW()-8)="",0,INDEX(Transactions!$O:$O,ROW()-8))</f>
      </c>
    </row>
    <row r="6744" spans="1:7">
      <c r="B6744">
        <f>IF(INDEX(Transactions!$J:$J,ROW()-8)="",TODAY(),INDEX(Transactions!$G:$G,ROW()-8))</f>
      </c>
      <c r="F6744">
        <f>IF(INDEX(Transactions!$J:$J,ROW()-8)="",0,INDEX(Transactions!$O:$O,ROW()-8))</f>
      </c>
    </row>
    <row r="6745" spans="1:7">
      <c r="B6745">
        <f>IF(INDEX(Transactions!$J:$J,ROW()-8)="",TODAY(),INDEX(Transactions!$G:$G,ROW()-8))</f>
      </c>
      <c r="F6745">
        <f>IF(INDEX(Transactions!$J:$J,ROW()-8)="",0,INDEX(Transactions!$O:$O,ROW()-8))</f>
      </c>
    </row>
    <row r="6746" spans="1:7">
      <c r="B6746">
        <f>IF(INDEX(Transactions!$J:$J,ROW()-8)="",TODAY(),INDEX(Transactions!$G:$G,ROW()-8))</f>
      </c>
      <c r="F6746">
        <f>IF(INDEX(Transactions!$J:$J,ROW()-8)="",0,INDEX(Transactions!$O:$O,ROW()-8))</f>
      </c>
    </row>
    <row r="6747" spans="1:7">
      <c r="B6747">
        <f>IF(INDEX(Transactions!$J:$J,ROW()-8)="",TODAY(),INDEX(Transactions!$G:$G,ROW()-8))</f>
      </c>
      <c r="F6747">
        <f>IF(INDEX(Transactions!$J:$J,ROW()-8)="",0,INDEX(Transactions!$O:$O,ROW()-8))</f>
      </c>
    </row>
    <row r="6748" spans="1:7">
      <c r="B6748">
        <f>IF(INDEX(Transactions!$J:$J,ROW()-8)="",TODAY(),INDEX(Transactions!$G:$G,ROW()-8))</f>
      </c>
      <c r="F6748">
        <f>IF(INDEX(Transactions!$J:$J,ROW()-8)="",0,INDEX(Transactions!$O:$O,ROW()-8))</f>
      </c>
    </row>
    <row r="6749" spans="1:7">
      <c r="B6749">
        <f>IF(INDEX(Transactions!$J:$J,ROW()-8)="",TODAY(),INDEX(Transactions!$G:$G,ROW()-8))</f>
      </c>
      <c r="F6749">
        <f>IF(INDEX(Transactions!$J:$J,ROW()-8)="",0,INDEX(Transactions!$O:$O,ROW()-8))</f>
      </c>
    </row>
    <row r="6750" spans="1:7">
      <c r="B6750">
        <f>IF(INDEX(Transactions!$J:$J,ROW()-8)="",TODAY(),INDEX(Transactions!$G:$G,ROW()-8))</f>
      </c>
      <c r="F6750">
        <f>IF(INDEX(Transactions!$J:$J,ROW()-8)="",0,INDEX(Transactions!$O:$O,ROW()-8))</f>
      </c>
    </row>
    <row r="6751" spans="1:7">
      <c r="B6751">
        <f>IF(INDEX(Transactions!$J:$J,ROW()-8)="",TODAY(),INDEX(Transactions!$G:$G,ROW()-8))</f>
      </c>
      <c r="F6751">
        <f>IF(INDEX(Transactions!$J:$J,ROW()-8)="",0,INDEX(Transactions!$O:$O,ROW()-8))</f>
      </c>
    </row>
    <row r="6752" spans="1:7">
      <c r="B6752">
        <f>IF(INDEX(Transactions!$J:$J,ROW()-8)="",TODAY(),INDEX(Transactions!$G:$G,ROW()-8))</f>
      </c>
      <c r="F6752">
        <f>IF(INDEX(Transactions!$J:$J,ROW()-8)="",0,INDEX(Transactions!$O:$O,ROW()-8))</f>
      </c>
    </row>
    <row r="6753" spans="1:7">
      <c r="B6753">
        <f>IF(INDEX(Transactions!$J:$J,ROW()-8)="",TODAY(),INDEX(Transactions!$G:$G,ROW()-8))</f>
      </c>
      <c r="F6753">
        <f>IF(INDEX(Transactions!$J:$J,ROW()-8)="",0,INDEX(Transactions!$O:$O,ROW()-8))</f>
      </c>
    </row>
    <row r="6754" spans="1:7">
      <c r="B6754">
        <f>IF(INDEX(Transactions!$J:$J,ROW()-8)="",TODAY(),INDEX(Transactions!$G:$G,ROW()-8))</f>
      </c>
      <c r="F6754">
        <f>IF(INDEX(Transactions!$J:$J,ROW()-8)="",0,INDEX(Transactions!$O:$O,ROW()-8))</f>
      </c>
    </row>
    <row r="6755" spans="1:7">
      <c r="B6755">
        <f>IF(INDEX(Transactions!$J:$J,ROW()-8)="",TODAY(),INDEX(Transactions!$G:$G,ROW()-8))</f>
      </c>
      <c r="F6755">
        <f>IF(INDEX(Transactions!$J:$J,ROW()-8)="",0,INDEX(Transactions!$O:$O,ROW()-8))</f>
      </c>
    </row>
    <row r="6756" spans="1:7">
      <c r="B6756">
        <f>IF(INDEX(Transactions!$J:$J,ROW()-8)="",TODAY(),INDEX(Transactions!$G:$G,ROW()-8))</f>
      </c>
      <c r="F6756">
        <f>IF(INDEX(Transactions!$J:$J,ROW()-8)="",0,INDEX(Transactions!$O:$O,ROW()-8))</f>
      </c>
    </row>
    <row r="6757" spans="1:7">
      <c r="B6757">
        <f>IF(INDEX(Transactions!$J:$J,ROW()-8)="",TODAY(),INDEX(Transactions!$G:$G,ROW()-8))</f>
      </c>
      <c r="F6757">
        <f>IF(INDEX(Transactions!$J:$J,ROW()-8)="",0,INDEX(Transactions!$O:$O,ROW()-8))</f>
      </c>
    </row>
    <row r="6758" spans="1:7">
      <c r="B6758">
        <f>IF(INDEX(Transactions!$J:$J,ROW()-8)="",TODAY(),INDEX(Transactions!$G:$G,ROW()-8))</f>
      </c>
      <c r="F6758">
        <f>IF(INDEX(Transactions!$J:$J,ROW()-8)="",0,INDEX(Transactions!$O:$O,ROW()-8))</f>
      </c>
    </row>
    <row r="6759" spans="1:7">
      <c r="B6759">
        <f>IF(INDEX(Transactions!$J:$J,ROW()-8)="",TODAY(),INDEX(Transactions!$G:$G,ROW()-8))</f>
      </c>
      <c r="F6759">
        <f>IF(INDEX(Transactions!$J:$J,ROW()-8)="",0,INDEX(Transactions!$O:$O,ROW()-8))</f>
      </c>
    </row>
    <row r="6760" spans="1:7">
      <c r="B6760">
        <f>IF(INDEX(Transactions!$J:$J,ROW()-8)="",TODAY(),INDEX(Transactions!$G:$G,ROW()-8))</f>
      </c>
      <c r="F6760">
        <f>IF(INDEX(Transactions!$J:$J,ROW()-8)="",0,INDEX(Transactions!$O:$O,ROW()-8))</f>
      </c>
    </row>
    <row r="6761" spans="1:7">
      <c r="B6761">
        <f>IF(INDEX(Transactions!$J:$J,ROW()-8)="",TODAY(),INDEX(Transactions!$G:$G,ROW()-8))</f>
      </c>
      <c r="F6761">
        <f>IF(INDEX(Transactions!$J:$J,ROW()-8)="",0,INDEX(Transactions!$O:$O,ROW()-8))</f>
      </c>
    </row>
    <row r="6762" spans="1:7">
      <c r="B6762">
        <f>IF(INDEX(Transactions!$J:$J,ROW()-8)="",TODAY(),INDEX(Transactions!$G:$G,ROW()-8))</f>
      </c>
      <c r="F6762">
        <f>IF(INDEX(Transactions!$J:$J,ROW()-8)="",0,INDEX(Transactions!$O:$O,ROW()-8))</f>
      </c>
    </row>
    <row r="6763" spans="1:7">
      <c r="B6763">
        <f>IF(INDEX(Transactions!$J:$J,ROW()-8)="",TODAY(),INDEX(Transactions!$G:$G,ROW()-8))</f>
      </c>
      <c r="F6763">
        <f>IF(INDEX(Transactions!$J:$J,ROW()-8)="",0,INDEX(Transactions!$O:$O,ROW()-8))</f>
      </c>
    </row>
    <row r="6764" spans="1:7">
      <c r="B6764">
        <f>IF(INDEX(Transactions!$J:$J,ROW()-8)="",TODAY(),INDEX(Transactions!$G:$G,ROW()-8))</f>
      </c>
      <c r="F6764">
        <f>IF(INDEX(Transactions!$J:$J,ROW()-8)="",0,INDEX(Transactions!$O:$O,ROW()-8))</f>
      </c>
    </row>
    <row r="6765" spans="1:7">
      <c r="B6765">
        <f>IF(INDEX(Transactions!$J:$J,ROW()-8)="",TODAY(),INDEX(Transactions!$G:$G,ROW()-8))</f>
      </c>
      <c r="F6765">
        <f>IF(INDEX(Transactions!$J:$J,ROW()-8)="",0,INDEX(Transactions!$O:$O,ROW()-8))</f>
      </c>
    </row>
    <row r="6766" spans="1:7">
      <c r="B6766">
        <f>IF(INDEX(Transactions!$J:$J,ROW()-8)="",TODAY(),INDEX(Transactions!$G:$G,ROW()-8))</f>
      </c>
      <c r="F6766">
        <f>IF(INDEX(Transactions!$J:$J,ROW()-8)="",0,INDEX(Transactions!$O:$O,ROW()-8))</f>
      </c>
    </row>
    <row r="6767" spans="1:7">
      <c r="B6767">
        <f>IF(INDEX(Transactions!$J:$J,ROW()-8)="",TODAY(),INDEX(Transactions!$G:$G,ROW()-8))</f>
      </c>
      <c r="F6767">
        <f>IF(INDEX(Transactions!$J:$J,ROW()-8)="",0,INDEX(Transactions!$O:$O,ROW()-8))</f>
      </c>
    </row>
    <row r="6768" spans="1:7">
      <c r="B6768">
        <f>IF(INDEX(Transactions!$J:$J,ROW()-8)="",TODAY(),INDEX(Transactions!$G:$G,ROW()-8))</f>
      </c>
      <c r="F6768">
        <f>IF(INDEX(Transactions!$J:$J,ROW()-8)="",0,INDEX(Transactions!$O:$O,ROW()-8))</f>
      </c>
    </row>
    <row r="6769" spans="1:7">
      <c r="B6769">
        <f>IF(INDEX(Transactions!$J:$J,ROW()-8)="",TODAY(),INDEX(Transactions!$G:$G,ROW()-8))</f>
      </c>
      <c r="F6769">
        <f>IF(INDEX(Transactions!$J:$J,ROW()-8)="",0,INDEX(Transactions!$O:$O,ROW()-8))</f>
      </c>
    </row>
    <row r="6770" spans="1:7">
      <c r="B6770">
        <f>IF(INDEX(Transactions!$J:$J,ROW()-8)="",TODAY(),INDEX(Transactions!$G:$G,ROW()-8))</f>
      </c>
      <c r="F6770">
        <f>IF(INDEX(Transactions!$J:$J,ROW()-8)="",0,INDEX(Transactions!$O:$O,ROW()-8))</f>
      </c>
    </row>
    <row r="6771" spans="1:7">
      <c r="B6771">
        <f>IF(INDEX(Transactions!$J:$J,ROW()-8)="",TODAY(),INDEX(Transactions!$G:$G,ROW()-8))</f>
      </c>
      <c r="F6771">
        <f>IF(INDEX(Transactions!$J:$J,ROW()-8)="",0,INDEX(Transactions!$O:$O,ROW()-8))</f>
      </c>
    </row>
    <row r="6772" spans="1:7">
      <c r="B6772">
        <f>IF(INDEX(Transactions!$J:$J,ROW()-8)="",TODAY(),INDEX(Transactions!$G:$G,ROW()-8))</f>
      </c>
      <c r="F6772">
        <f>IF(INDEX(Transactions!$J:$J,ROW()-8)="",0,INDEX(Transactions!$O:$O,ROW()-8))</f>
      </c>
    </row>
    <row r="6773" spans="1:7">
      <c r="B6773">
        <f>IF(INDEX(Transactions!$J:$J,ROW()-8)="",TODAY(),INDEX(Transactions!$G:$G,ROW()-8))</f>
      </c>
      <c r="F6773">
        <f>IF(INDEX(Transactions!$J:$J,ROW()-8)="",0,INDEX(Transactions!$O:$O,ROW()-8))</f>
      </c>
    </row>
    <row r="6774" spans="1:7">
      <c r="B6774">
        <f>IF(INDEX(Transactions!$J:$J,ROW()-8)="",TODAY(),INDEX(Transactions!$G:$G,ROW()-8))</f>
      </c>
      <c r="F6774">
        <f>IF(INDEX(Transactions!$J:$J,ROW()-8)="",0,INDEX(Transactions!$O:$O,ROW()-8))</f>
      </c>
    </row>
    <row r="6775" spans="1:7">
      <c r="B6775">
        <f>IF(INDEX(Transactions!$J:$J,ROW()-8)="",TODAY(),INDEX(Transactions!$G:$G,ROW()-8))</f>
      </c>
      <c r="F6775">
        <f>IF(INDEX(Transactions!$J:$J,ROW()-8)="",0,INDEX(Transactions!$O:$O,ROW()-8))</f>
      </c>
    </row>
    <row r="6776" spans="1:7">
      <c r="B6776">
        <f>IF(INDEX(Transactions!$J:$J,ROW()-8)="",TODAY(),INDEX(Transactions!$G:$G,ROW()-8))</f>
      </c>
      <c r="F6776">
        <f>IF(INDEX(Transactions!$J:$J,ROW()-8)="",0,INDEX(Transactions!$O:$O,ROW()-8))</f>
      </c>
    </row>
    <row r="6777" spans="1:7">
      <c r="B6777">
        <f>IF(INDEX(Transactions!$J:$J,ROW()-8)="",TODAY(),INDEX(Transactions!$G:$G,ROW()-8))</f>
      </c>
      <c r="F6777">
        <f>IF(INDEX(Transactions!$J:$J,ROW()-8)="",0,INDEX(Transactions!$O:$O,ROW()-8))</f>
      </c>
    </row>
    <row r="6778" spans="1:7">
      <c r="B6778">
        <f>IF(INDEX(Transactions!$J:$J,ROW()-8)="",TODAY(),INDEX(Transactions!$G:$G,ROW()-8))</f>
      </c>
      <c r="F6778">
        <f>IF(INDEX(Transactions!$J:$J,ROW()-8)="",0,INDEX(Transactions!$O:$O,ROW()-8))</f>
      </c>
    </row>
    <row r="6779" spans="1:7">
      <c r="B6779">
        <f>IF(INDEX(Transactions!$J:$J,ROW()-8)="",TODAY(),INDEX(Transactions!$G:$G,ROW()-8))</f>
      </c>
      <c r="F6779">
        <f>IF(INDEX(Transactions!$J:$J,ROW()-8)="",0,INDEX(Transactions!$O:$O,ROW()-8))</f>
      </c>
    </row>
    <row r="6780" spans="1:7">
      <c r="B6780">
        <f>IF(INDEX(Transactions!$J:$J,ROW()-8)="",TODAY(),INDEX(Transactions!$G:$G,ROW()-8))</f>
      </c>
      <c r="F6780">
        <f>IF(INDEX(Transactions!$J:$J,ROW()-8)="",0,INDEX(Transactions!$O:$O,ROW()-8))</f>
      </c>
    </row>
    <row r="6781" spans="1:7">
      <c r="B6781">
        <f>IF(INDEX(Transactions!$J:$J,ROW()-8)="",TODAY(),INDEX(Transactions!$G:$G,ROW()-8))</f>
      </c>
      <c r="F6781">
        <f>IF(INDEX(Transactions!$J:$J,ROW()-8)="",0,INDEX(Transactions!$O:$O,ROW()-8))</f>
      </c>
    </row>
    <row r="6782" spans="1:7">
      <c r="B6782">
        <f>IF(INDEX(Transactions!$J:$J,ROW()-8)="",TODAY(),INDEX(Transactions!$G:$G,ROW()-8))</f>
      </c>
      <c r="F6782">
        <f>IF(INDEX(Transactions!$J:$J,ROW()-8)="",0,INDEX(Transactions!$O:$O,ROW()-8))</f>
      </c>
    </row>
    <row r="6783" spans="1:7">
      <c r="B6783">
        <f>IF(INDEX(Transactions!$J:$J,ROW()-8)="",TODAY(),INDEX(Transactions!$G:$G,ROW()-8))</f>
      </c>
      <c r="F6783">
        <f>IF(INDEX(Transactions!$J:$J,ROW()-8)="",0,INDEX(Transactions!$O:$O,ROW()-8))</f>
      </c>
    </row>
    <row r="6784" spans="1:7">
      <c r="B6784">
        <f>IF(INDEX(Transactions!$J:$J,ROW()-8)="",TODAY(),INDEX(Transactions!$G:$G,ROW()-8))</f>
      </c>
      <c r="F6784">
        <f>IF(INDEX(Transactions!$J:$J,ROW()-8)="",0,INDEX(Transactions!$O:$O,ROW()-8))</f>
      </c>
    </row>
    <row r="6785" spans="1:7">
      <c r="B6785">
        <f>IF(INDEX(Transactions!$J:$J,ROW()-8)="",TODAY(),INDEX(Transactions!$G:$G,ROW()-8))</f>
      </c>
      <c r="F6785">
        <f>IF(INDEX(Transactions!$J:$J,ROW()-8)="",0,INDEX(Transactions!$O:$O,ROW()-8))</f>
      </c>
    </row>
    <row r="6786" spans="1:7">
      <c r="B6786">
        <f>IF(INDEX(Transactions!$J:$J,ROW()-8)="",TODAY(),INDEX(Transactions!$G:$G,ROW()-8))</f>
      </c>
      <c r="F6786">
        <f>IF(INDEX(Transactions!$J:$J,ROW()-8)="",0,INDEX(Transactions!$O:$O,ROW()-8))</f>
      </c>
    </row>
    <row r="6787" spans="1:7">
      <c r="B6787">
        <f>IF(INDEX(Transactions!$J:$J,ROW()-8)="",TODAY(),INDEX(Transactions!$G:$G,ROW()-8))</f>
      </c>
      <c r="F6787">
        <f>IF(INDEX(Transactions!$J:$J,ROW()-8)="",0,INDEX(Transactions!$O:$O,ROW()-8))</f>
      </c>
    </row>
    <row r="6788" spans="1:7">
      <c r="B6788">
        <f>IF(INDEX(Transactions!$J:$J,ROW()-8)="",TODAY(),INDEX(Transactions!$G:$G,ROW()-8))</f>
      </c>
      <c r="F6788">
        <f>IF(INDEX(Transactions!$J:$J,ROW()-8)="",0,INDEX(Transactions!$O:$O,ROW()-8))</f>
      </c>
    </row>
    <row r="6789" spans="1:7">
      <c r="B6789">
        <f>IF(INDEX(Transactions!$J:$J,ROW()-8)="",TODAY(),INDEX(Transactions!$G:$G,ROW()-8))</f>
      </c>
      <c r="F6789">
        <f>IF(INDEX(Transactions!$J:$J,ROW()-8)="",0,INDEX(Transactions!$O:$O,ROW()-8))</f>
      </c>
    </row>
    <row r="6790" spans="1:7">
      <c r="B6790">
        <f>IF(INDEX(Transactions!$J:$J,ROW()-8)="",TODAY(),INDEX(Transactions!$G:$G,ROW()-8))</f>
      </c>
      <c r="F6790">
        <f>IF(INDEX(Transactions!$J:$J,ROW()-8)="",0,INDEX(Transactions!$O:$O,ROW()-8))</f>
      </c>
    </row>
    <row r="6791" spans="1:7">
      <c r="B6791">
        <f>IF(INDEX(Transactions!$J:$J,ROW()-8)="",TODAY(),INDEX(Transactions!$G:$G,ROW()-8))</f>
      </c>
      <c r="F6791">
        <f>IF(INDEX(Transactions!$J:$J,ROW()-8)="",0,INDEX(Transactions!$O:$O,ROW()-8))</f>
      </c>
    </row>
    <row r="6792" spans="1:7">
      <c r="B6792">
        <f>IF(INDEX(Transactions!$J:$J,ROW()-8)="",TODAY(),INDEX(Transactions!$G:$G,ROW()-8))</f>
      </c>
      <c r="F6792">
        <f>IF(INDEX(Transactions!$J:$J,ROW()-8)="",0,INDEX(Transactions!$O:$O,ROW()-8))</f>
      </c>
    </row>
    <row r="6793" spans="1:7">
      <c r="B6793">
        <f>IF(INDEX(Transactions!$J:$J,ROW()-8)="",TODAY(),INDEX(Transactions!$G:$G,ROW()-8))</f>
      </c>
      <c r="F6793">
        <f>IF(INDEX(Transactions!$J:$J,ROW()-8)="",0,INDEX(Transactions!$O:$O,ROW()-8))</f>
      </c>
    </row>
    <row r="6794" spans="1:7">
      <c r="B6794">
        <f>IF(INDEX(Transactions!$J:$J,ROW()-8)="",TODAY(),INDEX(Transactions!$G:$G,ROW()-8))</f>
      </c>
      <c r="F6794">
        <f>IF(INDEX(Transactions!$J:$J,ROW()-8)="",0,INDEX(Transactions!$O:$O,ROW()-8))</f>
      </c>
    </row>
    <row r="6795" spans="1:7">
      <c r="B6795">
        <f>IF(INDEX(Transactions!$J:$J,ROW()-8)="",TODAY(),INDEX(Transactions!$G:$G,ROW()-8))</f>
      </c>
      <c r="F6795">
        <f>IF(INDEX(Transactions!$J:$J,ROW()-8)="",0,INDEX(Transactions!$O:$O,ROW()-8))</f>
      </c>
    </row>
    <row r="6796" spans="1:7">
      <c r="B6796">
        <f>IF(INDEX(Transactions!$J:$J,ROW()-8)="",TODAY(),INDEX(Transactions!$G:$G,ROW()-8))</f>
      </c>
      <c r="F6796">
        <f>IF(INDEX(Transactions!$J:$J,ROW()-8)="",0,INDEX(Transactions!$O:$O,ROW()-8))</f>
      </c>
    </row>
    <row r="6797" spans="1:7">
      <c r="B6797">
        <f>IF(INDEX(Transactions!$J:$J,ROW()-8)="",TODAY(),INDEX(Transactions!$G:$G,ROW()-8))</f>
      </c>
      <c r="F6797">
        <f>IF(INDEX(Transactions!$J:$J,ROW()-8)="",0,INDEX(Transactions!$O:$O,ROW()-8))</f>
      </c>
    </row>
    <row r="6798" spans="1:7">
      <c r="B6798">
        <f>IF(INDEX(Transactions!$J:$J,ROW()-8)="",TODAY(),INDEX(Transactions!$G:$G,ROW()-8))</f>
      </c>
      <c r="F6798">
        <f>IF(INDEX(Transactions!$J:$J,ROW()-8)="",0,INDEX(Transactions!$O:$O,ROW()-8))</f>
      </c>
    </row>
    <row r="6799" spans="1:7">
      <c r="B6799">
        <f>IF(INDEX(Transactions!$J:$J,ROW()-8)="",TODAY(),INDEX(Transactions!$G:$G,ROW()-8))</f>
      </c>
      <c r="F6799">
        <f>IF(INDEX(Transactions!$J:$J,ROW()-8)="",0,INDEX(Transactions!$O:$O,ROW()-8))</f>
      </c>
    </row>
    <row r="6800" spans="1:7">
      <c r="B6800">
        <f>IF(INDEX(Transactions!$J:$J,ROW()-8)="",TODAY(),INDEX(Transactions!$G:$G,ROW()-8))</f>
      </c>
      <c r="F6800">
        <f>IF(INDEX(Transactions!$J:$J,ROW()-8)="",0,INDEX(Transactions!$O:$O,ROW()-8))</f>
      </c>
    </row>
    <row r="6801" spans="1:7">
      <c r="B6801">
        <f>IF(INDEX(Transactions!$J:$J,ROW()-8)="",TODAY(),INDEX(Transactions!$G:$G,ROW()-8))</f>
      </c>
      <c r="F6801">
        <f>IF(INDEX(Transactions!$J:$J,ROW()-8)="",0,INDEX(Transactions!$O:$O,ROW()-8))</f>
      </c>
    </row>
    <row r="6802" spans="1:7">
      <c r="B6802">
        <f>IF(INDEX(Transactions!$J:$J,ROW()-8)="",TODAY(),INDEX(Transactions!$G:$G,ROW()-8))</f>
      </c>
      <c r="F6802">
        <f>IF(INDEX(Transactions!$J:$J,ROW()-8)="",0,INDEX(Transactions!$O:$O,ROW()-8))</f>
      </c>
    </row>
    <row r="6803" spans="1:7">
      <c r="B6803">
        <f>IF(INDEX(Transactions!$J:$J,ROW()-8)="",TODAY(),INDEX(Transactions!$G:$G,ROW()-8))</f>
      </c>
      <c r="F6803">
        <f>IF(INDEX(Transactions!$J:$J,ROW()-8)="",0,INDEX(Transactions!$O:$O,ROW()-8))</f>
      </c>
    </row>
    <row r="6804" spans="1:7">
      <c r="B6804">
        <f>IF(INDEX(Transactions!$J:$J,ROW()-8)="",TODAY(),INDEX(Transactions!$G:$G,ROW()-8))</f>
      </c>
      <c r="F6804">
        <f>IF(INDEX(Transactions!$J:$J,ROW()-8)="",0,INDEX(Transactions!$O:$O,ROW()-8))</f>
      </c>
    </row>
    <row r="6805" spans="1:7">
      <c r="B6805">
        <f>IF(INDEX(Transactions!$J:$J,ROW()-8)="",TODAY(),INDEX(Transactions!$G:$G,ROW()-8))</f>
      </c>
      <c r="F6805">
        <f>IF(INDEX(Transactions!$J:$J,ROW()-8)="",0,INDEX(Transactions!$O:$O,ROW()-8))</f>
      </c>
    </row>
    <row r="6806" spans="1:7">
      <c r="B6806">
        <f>IF(INDEX(Transactions!$J:$J,ROW()-8)="",TODAY(),INDEX(Transactions!$G:$G,ROW()-8))</f>
      </c>
      <c r="F6806">
        <f>IF(INDEX(Transactions!$J:$J,ROW()-8)="",0,INDEX(Transactions!$O:$O,ROW()-8))</f>
      </c>
    </row>
    <row r="6807" spans="1:7">
      <c r="B6807">
        <f>IF(INDEX(Transactions!$J:$J,ROW()-8)="",TODAY(),INDEX(Transactions!$G:$G,ROW()-8))</f>
      </c>
      <c r="F6807">
        <f>IF(INDEX(Transactions!$J:$J,ROW()-8)="",0,INDEX(Transactions!$O:$O,ROW()-8))</f>
      </c>
    </row>
    <row r="6808" spans="1:7">
      <c r="B6808">
        <f>IF(INDEX(Transactions!$J:$J,ROW()-8)="",TODAY(),INDEX(Transactions!$G:$G,ROW()-8))</f>
      </c>
      <c r="F6808">
        <f>IF(INDEX(Transactions!$J:$J,ROW()-8)="",0,INDEX(Transactions!$O:$O,ROW()-8))</f>
      </c>
    </row>
    <row r="6809" spans="1:7">
      <c r="B6809">
        <f>IF(INDEX(Transactions!$J:$J,ROW()-8)="",TODAY(),INDEX(Transactions!$G:$G,ROW()-8))</f>
      </c>
      <c r="F6809">
        <f>IF(INDEX(Transactions!$J:$J,ROW()-8)="",0,INDEX(Transactions!$O:$O,ROW()-8))</f>
      </c>
    </row>
    <row r="6810" spans="1:7">
      <c r="B6810">
        <f>IF(INDEX(Transactions!$J:$J,ROW()-8)="",TODAY(),INDEX(Transactions!$G:$G,ROW()-8))</f>
      </c>
      <c r="F6810">
        <f>IF(INDEX(Transactions!$J:$J,ROW()-8)="",0,INDEX(Transactions!$O:$O,ROW()-8))</f>
      </c>
    </row>
    <row r="6811" spans="1:7">
      <c r="B6811">
        <f>IF(INDEX(Transactions!$J:$J,ROW()-8)="",TODAY(),INDEX(Transactions!$G:$G,ROW()-8))</f>
      </c>
      <c r="F6811">
        <f>IF(INDEX(Transactions!$J:$J,ROW()-8)="",0,INDEX(Transactions!$O:$O,ROW()-8))</f>
      </c>
    </row>
    <row r="6812" spans="1:7">
      <c r="B6812">
        <f>IF(INDEX(Transactions!$J:$J,ROW()-8)="",TODAY(),INDEX(Transactions!$G:$G,ROW()-8))</f>
      </c>
      <c r="F6812">
        <f>IF(INDEX(Transactions!$J:$J,ROW()-8)="",0,INDEX(Transactions!$O:$O,ROW()-8))</f>
      </c>
    </row>
    <row r="6813" spans="1:7">
      <c r="B6813">
        <f>IF(INDEX(Transactions!$J:$J,ROW()-8)="",TODAY(),INDEX(Transactions!$G:$G,ROW()-8))</f>
      </c>
      <c r="F6813">
        <f>IF(INDEX(Transactions!$J:$J,ROW()-8)="",0,INDEX(Transactions!$O:$O,ROW()-8))</f>
      </c>
    </row>
    <row r="6814" spans="1:7">
      <c r="B6814">
        <f>IF(INDEX(Transactions!$J:$J,ROW()-8)="",TODAY(),INDEX(Transactions!$G:$G,ROW()-8))</f>
      </c>
      <c r="F6814">
        <f>IF(INDEX(Transactions!$J:$J,ROW()-8)="",0,INDEX(Transactions!$O:$O,ROW()-8))</f>
      </c>
    </row>
    <row r="6815" spans="1:7">
      <c r="B6815">
        <f>IF(INDEX(Transactions!$J:$J,ROW()-8)="",TODAY(),INDEX(Transactions!$G:$G,ROW()-8))</f>
      </c>
      <c r="F6815">
        <f>IF(INDEX(Transactions!$J:$J,ROW()-8)="",0,INDEX(Transactions!$O:$O,ROW()-8))</f>
      </c>
    </row>
    <row r="6816" spans="1:7">
      <c r="B6816">
        <f>IF(INDEX(Transactions!$J:$J,ROW()-8)="",TODAY(),INDEX(Transactions!$G:$G,ROW()-8))</f>
      </c>
      <c r="F6816">
        <f>IF(INDEX(Transactions!$J:$J,ROW()-8)="",0,INDEX(Transactions!$O:$O,ROW()-8))</f>
      </c>
    </row>
    <row r="6817" spans="1:7">
      <c r="B6817">
        <f>IF(INDEX(Transactions!$J:$J,ROW()-8)="",TODAY(),INDEX(Transactions!$G:$G,ROW()-8))</f>
      </c>
      <c r="F6817">
        <f>IF(INDEX(Transactions!$J:$J,ROW()-8)="",0,INDEX(Transactions!$O:$O,ROW()-8))</f>
      </c>
    </row>
    <row r="6818" spans="1:7">
      <c r="B6818">
        <f>IF(INDEX(Transactions!$J:$J,ROW()-8)="",TODAY(),INDEX(Transactions!$G:$G,ROW()-8))</f>
      </c>
      <c r="F6818">
        <f>IF(INDEX(Transactions!$J:$J,ROW()-8)="",0,INDEX(Transactions!$O:$O,ROW()-8))</f>
      </c>
    </row>
    <row r="6819" spans="1:7">
      <c r="B6819">
        <f>IF(INDEX(Transactions!$J:$J,ROW()-8)="",TODAY(),INDEX(Transactions!$G:$G,ROW()-8))</f>
      </c>
      <c r="F6819">
        <f>IF(INDEX(Transactions!$J:$J,ROW()-8)="",0,INDEX(Transactions!$O:$O,ROW()-8))</f>
      </c>
    </row>
    <row r="6820" spans="1:7">
      <c r="B6820">
        <f>IF(INDEX(Transactions!$J:$J,ROW()-8)="",TODAY(),INDEX(Transactions!$G:$G,ROW()-8))</f>
      </c>
      <c r="F6820">
        <f>IF(INDEX(Transactions!$J:$J,ROW()-8)="",0,INDEX(Transactions!$O:$O,ROW()-8))</f>
      </c>
    </row>
    <row r="6821" spans="1:7">
      <c r="B6821">
        <f>IF(INDEX(Transactions!$J:$J,ROW()-8)="",TODAY(),INDEX(Transactions!$G:$G,ROW()-8))</f>
      </c>
      <c r="F6821">
        <f>IF(INDEX(Transactions!$J:$J,ROW()-8)="",0,INDEX(Transactions!$O:$O,ROW()-8))</f>
      </c>
    </row>
    <row r="6822" spans="1:7">
      <c r="B6822">
        <f>IF(INDEX(Transactions!$J:$J,ROW()-8)="",TODAY(),INDEX(Transactions!$G:$G,ROW()-8))</f>
      </c>
      <c r="F6822">
        <f>IF(INDEX(Transactions!$J:$J,ROW()-8)="",0,INDEX(Transactions!$O:$O,ROW()-8))</f>
      </c>
    </row>
    <row r="6823" spans="1:7">
      <c r="B6823">
        <f>IF(INDEX(Transactions!$J:$J,ROW()-8)="",TODAY(),INDEX(Transactions!$G:$G,ROW()-8))</f>
      </c>
      <c r="F6823">
        <f>IF(INDEX(Transactions!$J:$J,ROW()-8)="",0,INDEX(Transactions!$O:$O,ROW()-8))</f>
      </c>
    </row>
    <row r="6824" spans="1:7">
      <c r="B6824">
        <f>IF(INDEX(Transactions!$J:$J,ROW()-8)="",TODAY(),INDEX(Transactions!$G:$G,ROW()-8))</f>
      </c>
      <c r="F6824">
        <f>IF(INDEX(Transactions!$J:$J,ROW()-8)="",0,INDEX(Transactions!$O:$O,ROW()-8))</f>
      </c>
    </row>
    <row r="6825" spans="1:7">
      <c r="B6825">
        <f>IF(INDEX(Transactions!$J:$J,ROW()-8)="",TODAY(),INDEX(Transactions!$G:$G,ROW()-8))</f>
      </c>
      <c r="F6825">
        <f>IF(INDEX(Transactions!$J:$J,ROW()-8)="",0,INDEX(Transactions!$O:$O,ROW()-8))</f>
      </c>
    </row>
    <row r="6826" spans="1:7">
      <c r="B6826">
        <f>IF(INDEX(Transactions!$J:$J,ROW()-8)="",TODAY(),INDEX(Transactions!$G:$G,ROW()-8))</f>
      </c>
      <c r="F6826">
        <f>IF(INDEX(Transactions!$J:$J,ROW()-8)="",0,INDEX(Transactions!$O:$O,ROW()-8))</f>
      </c>
    </row>
    <row r="6827" spans="1:7">
      <c r="B6827">
        <f>IF(INDEX(Transactions!$J:$J,ROW()-8)="",TODAY(),INDEX(Transactions!$G:$G,ROW()-8))</f>
      </c>
      <c r="F6827">
        <f>IF(INDEX(Transactions!$J:$J,ROW()-8)="",0,INDEX(Transactions!$O:$O,ROW()-8))</f>
      </c>
    </row>
    <row r="6828" spans="1:7">
      <c r="B6828">
        <f>IF(INDEX(Transactions!$J:$J,ROW()-8)="",TODAY(),INDEX(Transactions!$G:$G,ROW()-8))</f>
      </c>
      <c r="F6828">
        <f>IF(INDEX(Transactions!$J:$J,ROW()-8)="",0,INDEX(Transactions!$O:$O,ROW()-8))</f>
      </c>
    </row>
    <row r="6829" spans="1:7">
      <c r="B6829">
        <f>IF(INDEX(Transactions!$J:$J,ROW()-8)="",TODAY(),INDEX(Transactions!$G:$G,ROW()-8))</f>
      </c>
      <c r="F6829">
        <f>IF(INDEX(Transactions!$J:$J,ROW()-8)="",0,INDEX(Transactions!$O:$O,ROW()-8))</f>
      </c>
    </row>
    <row r="6830" spans="1:7">
      <c r="B6830">
        <f>IF(INDEX(Transactions!$J:$J,ROW()-8)="",TODAY(),INDEX(Transactions!$G:$G,ROW()-8))</f>
      </c>
      <c r="F6830">
        <f>IF(INDEX(Transactions!$J:$J,ROW()-8)="",0,INDEX(Transactions!$O:$O,ROW()-8))</f>
      </c>
    </row>
    <row r="6831" spans="1:7">
      <c r="B6831">
        <f>IF(INDEX(Transactions!$J:$J,ROW()-8)="",TODAY(),INDEX(Transactions!$G:$G,ROW()-8))</f>
      </c>
      <c r="F6831">
        <f>IF(INDEX(Transactions!$J:$J,ROW()-8)="",0,INDEX(Transactions!$O:$O,ROW()-8))</f>
      </c>
    </row>
    <row r="6832" spans="1:7">
      <c r="B6832">
        <f>IF(INDEX(Transactions!$J:$J,ROW()-8)="",TODAY(),INDEX(Transactions!$G:$G,ROW()-8))</f>
      </c>
      <c r="F6832">
        <f>IF(INDEX(Transactions!$J:$J,ROW()-8)="",0,INDEX(Transactions!$O:$O,ROW()-8))</f>
      </c>
    </row>
    <row r="6833" spans="1:7">
      <c r="B6833">
        <f>IF(INDEX(Transactions!$J:$J,ROW()-8)="",TODAY(),INDEX(Transactions!$G:$G,ROW()-8))</f>
      </c>
      <c r="F6833">
        <f>IF(INDEX(Transactions!$J:$J,ROW()-8)="",0,INDEX(Transactions!$O:$O,ROW()-8))</f>
      </c>
    </row>
    <row r="6834" spans="1:7">
      <c r="B6834">
        <f>IF(INDEX(Transactions!$J:$J,ROW()-8)="",TODAY(),INDEX(Transactions!$G:$G,ROW()-8))</f>
      </c>
      <c r="F6834">
        <f>IF(INDEX(Transactions!$J:$J,ROW()-8)="",0,INDEX(Transactions!$O:$O,ROW()-8))</f>
      </c>
    </row>
    <row r="6835" spans="1:7">
      <c r="B6835">
        <f>IF(INDEX(Transactions!$J:$J,ROW()-8)="",TODAY(),INDEX(Transactions!$G:$G,ROW()-8))</f>
      </c>
      <c r="F6835">
        <f>IF(INDEX(Transactions!$J:$J,ROW()-8)="",0,INDEX(Transactions!$O:$O,ROW()-8))</f>
      </c>
    </row>
    <row r="6836" spans="1:7">
      <c r="B6836">
        <f>IF(INDEX(Transactions!$J:$J,ROW()-8)="",TODAY(),INDEX(Transactions!$G:$G,ROW()-8))</f>
      </c>
      <c r="F6836">
        <f>IF(INDEX(Transactions!$J:$J,ROW()-8)="",0,INDEX(Transactions!$O:$O,ROW()-8))</f>
      </c>
    </row>
    <row r="6837" spans="1:7">
      <c r="B6837">
        <f>IF(INDEX(Transactions!$J:$J,ROW()-8)="",TODAY(),INDEX(Transactions!$G:$G,ROW()-8))</f>
      </c>
      <c r="F6837">
        <f>IF(INDEX(Transactions!$J:$J,ROW()-8)="",0,INDEX(Transactions!$O:$O,ROW()-8))</f>
      </c>
    </row>
    <row r="6838" spans="1:7">
      <c r="B6838">
        <f>IF(INDEX(Transactions!$J:$J,ROW()-8)="",TODAY(),INDEX(Transactions!$G:$G,ROW()-8))</f>
      </c>
      <c r="F6838">
        <f>IF(INDEX(Transactions!$J:$J,ROW()-8)="",0,INDEX(Transactions!$O:$O,ROW()-8))</f>
      </c>
    </row>
    <row r="6839" spans="1:7">
      <c r="B6839">
        <f>IF(INDEX(Transactions!$J:$J,ROW()-8)="",TODAY(),INDEX(Transactions!$G:$G,ROW()-8))</f>
      </c>
      <c r="F6839">
        <f>IF(INDEX(Transactions!$J:$J,ROW()-8)="",0,INDEX(Transactions!$O:$O,ROW()-8))</f>
      </c>
    </row>
    <row r="6840" spans="1:7">
      <c r="B6840">
        <f>IF(INDEX(Transactions!$J:$J,ROW()-8)="",TODAY(),INDEX(Transactions!$G:$G,ROW()-8))</f>
      </c>
      <c r="F6840">
        <f>IF(INDEX(Transactions!$J:$J,ROW()-8)="",0,INDEX(Transactions!$O:$O,ROW()-8))</f>
      </c>
    </row>
    <row r="6841" spans="1:7">
      <c r="B6841">
        <f>IF(INDEX(Transactions!$J:$J,ROW()-8)="",TODAY(),INDEX(Transactions!$G:$G,ROW()-8))</f>
      </c>
      <c r="F6841">
        <f>IF(INDEX(Transactions!$J:$J,ROW()-8)="",0,INDEX(Transactions!$O:$O,ROW()-8))</f>
      </c>
    </row>
    <row r="6842" spans="1:7">
      <c r="B6842">
        <f>IF(INDEX(Transactions!$J:$J,ROW()-8)="",TODAY(),INDEX(Transactions!$G:$G,ROW()-8))</f>
      </c>
      <c r="F6842">
        <f>IF(INDEX(Transactions!$J:$J,ROW()-8)="",0,INDEX(Transactions!$O:$O,ROW()-8))</f>
      </c>
    </row>
    <row r="6843" spans="1:7">
      <c r="B6843">
        <f>IF(INDEX(Transactions!$J:$J,ROW()-8)="",TODAY(),INDEX(Transactions!$G:$G,ROW()-8))</f>
      </c>
      <c r="F6843">
        <f>IF(INDEX(Transactions!$J:$J,ROW()-8)="",0,INDEX(Transactions!$O:$O,ROW()-8))</f>
      </c>
    </row>
    <row r="6844" spans="1:7">
      <c r="B6844">
        <f>IF(INDEX(Transactions!$J:$J,ROW()-8)="",TODAY(),INDEX(Transactions!$G:$G,ROW()-8))</f>
      </c>
      <c r="F6844">
        <f>IF(INDEX(Transactions!$J:$J,ROW()-8)="",0,INDEX(Transactions!$O:$O,ROW()-8))</f>
      </c>
    </row>
    <row r="6845" spans="1:7">
      <c r="B6845">
        <f>IF(INDEX(Transactions!$J:$J,ROW()-8)="",TODAY(),INDEX(Transactions!$G:$G,ROW()-8))</f>
      </c>
      <c r="F6845">
        <f>IF(INDEX(Transactions!$J:$J,ROW()-8)="",0,INDEX(Transactions!$O:$O,ROW()-8))</f>
      </c>
    </row>
    <row r="6846" spans="1:7">
      <c r="B6846">
        <f>IF(INDEX(Transactions!$J:$J,ROW()-8)="",TODAY(),INDEX(Transactions!$G:$G,ROW()-8))</f>
      </c>
      <c r="F6846">
        <f>IF(INDEX(Transactions!$J:$J,ROW()-8)="",0,INDEX(Transactions!$O:$O,ROW()-8))</f>
      </c>
    </row>
    <row r="6847" spans="1:7">
      <c r="B6847">
        <f>IF(INDEX(Transactions!$J:$J,ROW()-8)="",TODAY(),INDEX(Transactions!$G:$G,ROW()-8))</f>
      </c>
      <c r="F6847">
        <f>IF(INDEX(Transactions!$J:$J,ROW()-8)="",0,INDEX(Transactions!$O:$O,ROW()-8))</f>
      </c>
    </row>
    <row r="6848" spans="1:7">
      <c r="B6848">
        <f>IF(INDEX(Transactions!$J:$J,ROW()-8)="",TODAY(),INDEX(Transactions!$G:$G,ROW()-8))</f>
      </c>
      <c r="F6848">
        <f>IF(INDEX(Transactions!$J:$J,ROW()-8)="",0,INDEX(Transactions!$O:$O,ROW()-8))</f>
      </c>
    </row>
    <row r="6849" spans="1:7">
      <c r="B6849">
        <f>IF(INDEX(Transactions!$J:$J,ROW()-8)="",TODAY(),INDEX(Transactions!$G:$G,ROW()-8))</f>
      </c>
      <c r="F6849">
        <f>IF(INDEX(Transactions!$J:$J,ROW()-8)="",0,INDEX(Transactions!$O:$O,ROW()-8))</f>
      </c>
    </row>
    <row r="6850" spans="1:7">
      <c r="B6850">
        <f>IF(INDEX(Transactions!$J:$J,ROW()-8)="",TODAY(),INDEX(Transactions!$G:$G,ROW()-8))</f>
      </c>
      <c r="F6850">
        <f>IF(INDEX(Transactions!$J:$J,ROW()-8)="",0,INDEX(Transactions!$O:$O,ROW()-8))</f>
      </c>
    </row>
    <row r="6851" spans="1:7">
      <c r="B6851">
        <f>IF(INDEX(Transactions!$J:$J,ROW()-8)="",TODAY(),INDEX(Transactions!$G:$G,ROW()-8))</f>
      </c>
      <c r="F6851">
        <f>IF(INDEX(Transactions!$J:$J,ROW()-8)="",0,INDEX(Transactions!$O:$O,ROW()-8))</f>
      </c>
    </row>
    <row r="6852" spans="1:7">
      <c r="B6852">
        <f>IF(INDEX(Transactions!$J:$J,ROW()-8)="",TODAY(),INDEX(Transactions!$G:$G,ROW()-8))</f>
      </c>
      <c r="F6852">
        <f>IF(INDEX(Transactions!$J:$J,ROW()-8)="",0,INDEX(Transactions!$O:$O,ROW()-8))</f>
      </c>
    </row>
    <row r="6853" spans="1:7">
      <c r="B6853">
        <f>IF(INDEX(Transactions!$J:$J,ROW()-8)="",TODAY(),INDEX(Transactions!$G:$G,ROW()-8))</f>
      </c>
      <c r="F6853">
        <f>IF(INDEX(Transactions!$J:$J,ROW()-8)="",0,INDEX(Transactions!$O:$O,ROW()-8))</f>
      </c>
    </row>
    <row r="6854" spans="1:7">
      <c r="B6854">
        <f>IF(INDEX(Transactions!$J:$J,ROW()-8)="",TODAY(),INDEX(Transactions!$G:$G,ROW()-8))</f>
      </c>
      <c r="F6854">
        <f>IF(INDEX(Transactions!$J:$J,ROW()-8)="",0,INDEX(Transactions!$O:$O,ROW()-8))</f>
      </c>
    </row>
    <row r="6855" spans="1:7">
      <c r="B6855">
        <f>IF(INDEX(Transactions!$J:$J,ROW()-8)="",TODAY(),INDEX(Transactions!$G:$G,ROW()-8))</f>
      </c>
      <c r="F6855">
        <f>IF(INDEX(Transactions!$J:$J,ROW()-8)="",0,INDEX(Transactions!$O:$O,ROW()-8))</f>
      </c>
    </row>
    <row r="6856" spans="1:7">
      <c r="B6856">
        <f>IF(INDEX(Transactions!$J:$J,ROW()-8)="",TODAY(),INDEX(Transactions!$G:$G,ROW()-8))</f>
      </c>
      <c r="F6856">
        <f>IF(INDEX(Transactions!$J:$J,ROW()-8)="",0,INDEX(Transactions!$O:$O,ROW()-8))</f>
      </c>
    </row>
    <row r="6857" spans="1:7">
      <c r="B6857">
        <f>IF(INDEX(Transactions!$J:$J,ROW()-8)="",TODAY(),INDEX(Transactions!$G:$G,ROW()-8))</f>
      </c>
      <c r="F6857">
        <f>IF(INDEX(Transactions!$J:$J,ROW()-8)="",0,INDEX(Transactions!$O:$O,ROW()-8))</f>
      </c>
    </row>
    <row r="6858" spans="1:7">
      <c r="B6858">
        <f>IF(INDEX(Transactions!$J:$J,ROW()-8)="",TODAY(),INDEX(Transactions!$G:$G,ROW()-8))</f>
      </c>
      <c r="F6858">
        <f>IF(INDEX(Transactions!$J:$J,ROW()-8)="",0,INDEX(Transactions!$O:$O,ROW()-8))</f>
      </c>
    </row>
    <row r="6859" spans="1:7">
      <c r="B6859">
        <f>IF(INDEX(Transactions!$J:$J,ROW()-8)="",TODAY(),INDEX(Transactions!$G:$G,ROW()-8))</f>
      </c>
      <c r="F6859">
        <f>IF(INDEX(Transactions!$J:$J,ROW()-8)="",0,INDEX(Transactions!$O:$O,ROW()-8))</f>
      </c>
    </row>
    <row r="6860" spans="1:7">
      <c r="B6860">
        <f>IF(INDEX(Transactions!$J:$J,ROW()-8)="",TODAY(),INDEX(Transactions!$G:$G,ROW()-8))</f>
      </c>
      <c r="F6860">
        <f>IF(INDEX(Transactions!$J:$J,ROW()-8)="",0,INDEX(Transactions!$O:$O,ROW()-8))</f>
      </c>
    </row>
    <row r="6861" spans="1:7">
      <c r="B6861">
        <f>IF(INDEX(Transactions!$J:$J,ROW()-8)="",TODAY(),INDEX(Transactions!$G:$G,ROW()-8))</f>
      </c>
      <c r="F6861">
        <f>IF(INDEX(Transactions!$J:$J,ROW()-8)="",0,INDEX(Transactions!$O:$O,ROW()-8))</f>
      </c>
    </row>
    <row r="6862" spans="1:7">
      <c r="B6862">
        <f>IF(INDEX(Transactions!$J:$J,ROW()-8)="",TODAY(),INDEX(Transactions!$G:$G,ROW()-8))</f>
      </c>
      <c r="F6862">
        <f>IF(INDEX(Transactions!$J:$J,ROW()-8)="",0,INDEX(Transactions!$O:$O,ROW()-8))</f>
      </c>
    </row>
    <row r="6863" spans="1:7">
      <c r="B6863">
        <f>IF(INDEX(Transactions!$J:$J,ROW()-8)="",TODAY(),INDEX(Transactions!$G:$G,ROW()-8))</f>
      </c>
      <c r="F6863">
        <f>IF(INDEX(Transactions!$J:$J,ROW()-8)="",0,INDEX(Transactions!$O:$O,ROW()-8))</f>
      </c>
    </row>
    <row r="6864" spans="1:7">
      <c r="B6864">
        <f>IF(INDEX(Transactions!$J:$J,ROW()-8)="",TODAY(),INDEX(Transactions!$G:$G,ROW()-8))</f>
      </c>
      <c r="F6864">
        <f>IF(INDEX(Transactions!$J:$J,ROW()-8)="",0,INDEX(Transactions!$O:$O,ROW()-8))</f>
      </c>
    </row>
    <row r="6865" spans="1:7">
      <c r="B6865">
        <f>IF(INDEX(Transactions!$J:$J,ROW()-8)="",TODAY(),INDEX(Transactions!$G:$G,ROW()-8))</f>
      </c>
      <c r="F6865">
        <f>IF(INDEX(Transactions!$J:$J,ROW()-8)="",0,INDEX(Transactions!$O:$O,ROW()-8))</f>
      </c>
    </row>
    <row r="6866" spans="1:7">
      <c r="B6866">
        <f>IF(INDEX(Transactions!$J:$J,ROW()-8)="",TODAY(),INDEX(Transactions!$G:$G,ROW()-8))</f>
      </c>
      <c r="F6866">
        <f>IF(INDEX(Transactions!$J:$J,ROW()-8)="",0,INDEX(Transactions!$O:$O,ROW()-8))</f>
      </c>
    </row>
    <row r="6867" spans="1:7">
      <c r="B6867">
        <f>IF(INDEX(Transactions!$J:$J,ROW()-8)="",TODAY(),INDEX(Transactions!$G:$G,ROW()-8))</f>
      </c>
      <c r="F6867">
        <f>IF(INDEX(Transactions!$J:$J,ROW()-8)="",0,INDEX(Transactions!$O:$O,ROW()-8))</f>
      </c>
    </row>
    <row r="6868" spans="1:7">
      <c r="B6868">
        <f>IF(INDEX(Transactions!$J:$J,ROW()-8)="",TODAY(),INDEX(Transactions!$G:$G,ROW()-8))</f>
      </c>
      <c r="F6868">
        <f>IF(INDEX(Transactions!$J:$J,ROW()-8)="",0,INDEX(Transactions!$O:$O,ROW()-8))</f>
      </c>
    </row>
    <row r="6869" spans="1:7">
      <c r="B6869">
        <f>IF(INDEX(Transactions!$J:$J,ROW()-8)="",TODAY(),INDEX(Transactions!$G:$G,ROW()-8))</f>
      </c>
      <c r="F6869">
        <f>IF(INDEX(Transactions!$J:$J,ROW()-8)="",0,INDEX(Transactions!$O:$O,ROW()-8))</f>
      </c>
    </row>
    <row r="6870" spans="1:7">
      <c r="B6870">
        <f>IF(INDEX(Transactions!$J:$J,ROW()-8)="",TODAY(),INDEX(Transactions!$G:$G,ROW()-8))</f>
      </c>
      <c r="F6870">
        <f>IF(INDEX(Transactions!$J:$J,ROW()-8)="",0,INDEX(Transactions!$O:$O,ROW()-8))</f>
      </c>
    </row>
    <row r="6871" spans="1:7">
      <c r="B6871">
        <f>IF(INDEX(Transactions!$J:$J,ROW()-8)="",TODAY(),INDEX(Transactions!$G:$G,ROW()-8))</f>
      </c>
      <c r="F6871">
        <f>IF(INDEX(Transactions!$J:$J,ROW()-8)="",0,INDEX(Transactions!$O:$O,ROW()-8))</f>
      </c>
    </row>
    <row r="6872" spans="1:7">
      <c r="B6872">
        <f>IF(INDEX(Transactions!$J:$J,ROW()-8)="",TODAY(),INDEX(Transactions!$G:$G,ROW()-8))</f>
      </c>
      <c r="F6872">
        <f>IF(INDEX(Transactions!$J:$J,ROW()-8)="",0,INDEX(Transactions!$O:$O,ROW()-8))</f>
      </c>
    </row>
    <row r="6873" spans="1:7">
      <c r="B6873">
        <f>IF(INDEX(Transactions!$J:$J,ROW()-8)="",TODAY(),INDEX(Transactions!$G:$G,ROW()-8))</f>
      </c>
      <c r="F6873">
        <f>IF(INDEX(Transactions!$J:$J,ROW()-8)="",0,INDEX(Transactions!$O:$O,ROW()-8))</f>
      </c>
    </row>
    <row r="6874" spans="1:7">
      <c r="B6874">
        <f>IF(INDEX(Transactions!$J:$J,ROW()-8)="",TODAY(),INDEX(Transactions!$G:$G,ROW()-8))</f>
      </c>
      <c r="F6874">
        <f>IF(INDEX(Transactions!$J:$J,ROW()-8)="",0,INDEX(Transactions!$O:$O,ROW()-8))</f>
      </c>
    </row>
    <row r="6875" spans="1:7">
      <c r="B6875">
        <f>IF(INDEX(Transactions!$J:$J,ROW()-8)="",TODAY(),INDEX(Transactions!$G:$G,ROW()-8))</f>
      </c>
      <c r="F6875">
        <f>IF(INDEX(Transactions!$J:$J,ROW()-8)="",0,INDEX(Transactions!$O:$O,ROW()-8))</f>
      </c>
    </row>
    <row r="6876" spans="1:7">
      <c r="B6876">
        <f>IF(INDEX(Transactions!$J:$J,ROW()-8)="",TODAY(),INDEX(Transactions!$G:$G,ROW()-8))</f>
      </c>
      <c r="F6876">
        <f>IF(INDEX(Transactions!$J:$J,ROW()-8)="",0,INDEX(Transactions!$O:$O,ROW()-8))</f>
      </c>
    </row>
    <row r="6877" spans="1:7">
      <c r="B6877">
        <f>IF(INDEX(Transactions!$J:$J,ROW()-8)="",TODAY(),INDEX(Transactions!$G:$G,ROW()-8))</f>
      </c>
      <c r="F6877">
        <f>IF(INDEX(Transactions!$J:$J,ROW()-8)="",0,INDEX(Transactions!$O:$O,ROW()-8))</f>
      </c>
    </row>
    <row r="6878" spans="1:7">
      <c r="B6878">
        <f>IF(INDEX(Transactions!$J:$J,ROW()-8)="",TODAY(),INDEX(Transactions!$G:$G,ROW()-8))</f>
      </c>
      <c r="F6878">
        <f>IF(INDEX(Transactions!$J:$J,ROW()-8)="",0,INDEX(Transactions!$O:$O,ROW()-8))</f>
      </c>
    </row>
    <row r="6879" spans="1:7">
      <c r="B6879">
        <f>IF(INDEX(Transactions!$J:$J,ROW()-8)="",TODAY(),INDEX(Transactions!$G:$G,ROW()-8))</f>
      </c>
      <c r="F6879">
        <f>IF(INDEX(Transactions!$J:$J,ROW()-8)="",0,INDEX(Transactions!$O:$O,ROW()-8))</f>
      </c>
    </row>
    <row r="6880" spans="1:7">
      <c r="B6880">
        <f>IF(INDEX(Transactions!$J:$J,ROW()-8)="",TODAY(),INDEX(Transactions!$G:$G,ROW()-8))</f>
      </c>
      <c r="F6880">
        <f>IF(INDEX(Transactions!$J:$J,ROW()-8)="",0,INDEX(Transactions!$O:$O,ROW()-8))</f>
      </c>
    </row>
    <row r="6881" spans="1:7">
      <c r="B6881">
        <f>IF(INDEX(Transactions!$J:$J,ROW()-8)="",TODAY(),INDEX(Transactions!$G:$G,ROW()-8))</f>
      </c>
      <c r="F6881">
        <f>IF(INDEX(Transactions!$J:$J,ROW()-8)="",0,INDEX(Transactions!$O:$O,ROW()-8))</f>
      </c>
    </row>
    <row r="6882" spans="1:7">
      <c r="B6882">
        <f>IF(INDEX(Transactions!$J:$J,ROW()-8)="",TODAY(),INDEX(Transactions!$G:$G,ROW()-8))</f>
      </c>
      <c r="F6882">
        <f>IF(INDEX(Transactions!$J:$J,ROW()-8)="",0,INDEX(Transactions!$O:$O,ROW()-8))</f>
      </c>
    </row>
    <row r="6883" spans="1:7">
      <c r="B6883">
        <f>IF(INDEX(Transactions!$J:$J,ROW()-8)="",TODAY(),INDEX(Transactions!$G:$G,ROW()-8))</f>
      </c>
      <c r="F6883">
        <f>IF(INDEX(Transactions!$J:$J,ROW()-8)="",0,INDEX(Transactions!$O:$O,ROW()-8))</f>
      </c>
    </row>
    <row r="6884" spans="1:7">
      <c r="B6884">
        <f>IF(INDEX(Transactions!$J:$J,ROW()-8)="",TODAY(),INDEX(Transactions!$G:$G,ROW()-8))</f>
      </c>
      <c r="F6884">
        <f>IF(INDEX(Transactions!$J:$J,ROW()-8)="",0,INDEX(Transactions!$O:$O,ROW()-8))</f>
      </c>
    </row>
    <row r="6885" spans="1:7">
      <c r="B6885">
        <f>IF(INDEX(Transactions!$J:$J,ROW()-8)="",TODAY(),INDEX(Transactions!$G:$G,ROW()-8))</f>
      </c>
      <c r="F6885">
        <f>IF(INDEX(Transactions!$J:$J,ROW()-8)="",0,INDEX(Transactions!$O:$O,ROW()-8))</f>
      </c>
    </row>
    <row r="6886" spans="1:7">
      <c r="B6886">
        <f>IF(INDEX(Transactions!$J:$J,ROW()-8)="",TODAY(),INDEX(Transactions!$G:$G,ROW()-8))</f>
      </c>
      <c r="F6886">
        <f>IF(INDEX(Transactions!$J:$J,ROW()-8)="",0,INDEX(Transactions!$O:$O,ROW()-8))</f>
      </c>
    </row>
    <row r="6887" spans="1:7">
      <c r="B6887">
        <f>IF(INDEX(Transactions!$J:$J,ROW()-8)="",TODAY(),INDEX(Transactions!$G:$G,ROW()-8))</f>
      </c>
      <c r="F6887">
        <f>IF(INDEX(Transactions!$J:$J,ROW()-8)="",0,INDEX(Transactions!$O:$O,ROW()-8))</f>
      </c>
    </row>
    <row r="6888" spans="1:7">
      <c r="B6888">
        <f>IF(INDEX(Transactions!$J:$J,ROW()-8)="",TODAY(),INDEX(Transactions!$G:$G,ROW()-8))</f>
      </c>
      <c r="F6888">
        <f>IF(INDEX(Transactions!$J:$J,ROW()-8)="",0,INDEX(Transactions!$O:$O,ROW()-8))</f>
      </c>
    </row>
    <row r="6889" spans="1:7">
      <c r="B6889">
        <f>IF(INDEX(Transactions!$J:$J,ROW()-8)="",TODAY(),INDEX(Transactions!$G:$G,ROW()-8))</f>
      </c>
      <c r="F6889">
        <f>IF(INDEX(Transactions!$J:$J,ROW()-8)="",0,INDEX(Transactions!$O:$O,ROW()-8))</f>
      </c>
    </row>
    <row r="6890" spans="1:7">
      <c r="B6890">
        <f>IF(INDEX(Transactions!$J:$J,ROW()-8)="",TODAY(),INDEX(Transactions!$G:$G,ROW()-8))</f>
      </c>
      <c r="F6890">
        <f>IF(INDEX(Transactions!$J:$J,ROW()-8)="",0,INDEX(Transactions!$O:$O,ROW()-8))</f>
      </c>
    </row>
    <row r="6891" spans="1:7">
      <c r="B6891">
        <f>IF(INDEX(Transactions!$J:$J,ROW()-8)="",TODAY(),INDEX(Transactions!$G:$G,ROW()-8))</f>
      </c>
      <c r="F6891">
        <f>IF(INDEX(Transactions!$J:$J,ROW()-8)="",0,INDEX(Transactions!$O:$O,ROW()-8))</f>
      </c>
    </row>
    <row r="6892" spans="1:7">
      <c r="B6892">
        <f>IF(INDEX(Transactions!$J:$J,ROW()-8)="",TODAY(),INDEX(Transactions!$G:$G,ROW()-8))</f>
      </c>
      <c r="F6892">
        <f>IF(INDEX(Transactions!$J:$J,ROW()-8)="",0,INDEX(Transactions!$O:$O,ROW()-8))</f>
      </c>
    </row>
    <row r="6893" spans="1:7">
      <c r="B6893">
        <f>IF(INDEX(Transactions!$J:$J,ROW()-8)="",TODAY(),INDEX(Transactions!$G:$G,ROW()-8))</f>
      </c>
      <c r="F6893">
        <f>IF(INDEX(Transactions!$J:$J,ROW()-8)="",0,INDEX(Transactions!$O:$O,ROW()-8))</f>
      </c>
    </row>
    <row r="6894" spans="1:7">
      <c r="B6894">
        <f>IF(INDEX(Transactions!$J:$J,ROW()-8)="",TODAY(),INDEX(Transactions!$G:$G,ROW()-8))</f>
      </c>
      <c r="F6894">
        <f>IF(INDEX(Transactions!$J:$J,ROW()-8)="",0,INDEX(Transactions!$O:$O,ROW()-8))</f>
      </c>
    </row>
    <row r="6895" spans="1:7">
      <c r="B6895">
        <f>IF(INDEX(Transactions!$J:$J,ROW()-8)="",TODAY(),INDEX(Transactions!$G:$G,ROW()-8))</f>
      </c>
      <c r="F6895">
        <f>IF(INDEX(Transactions!$J:$J,ROW()-8)="",0,INDEX(Transactions!$O:$O,ROW()-8))</f>
      </c>
    </row>
    <row r="6896" spans="1:7">
      <c r="B6896">
        <f>IF(INDEX(Transactions!$J:$J,ROW()-8)="",TODAY(),INDEX(Transactions!$G:$G,ROW()-8))</f>
      </c>
      <c r="F6896">
        <f>IF(INDEX(Transactions!$J:$J,ROW()-8)="",0,INDEX(Transactions!$O:$O,ROW()-8))</f>
      </c>
    </row>
    <row r="6897" spans="1:7">
      <c r="B6897">
        <f>IF(INDEX(Transactions!$J:$J,ROW()-8)="",TODAY(),INDEX(Transactions!$G:$G,ROW()-8))</f>
      </c>
      <c r="F6897">
        <f>IF(INDEX(Transactions!$J:$J,ROW()-8)="",0,INDEX(Transactions!$O:$O,ROW()-8))</f>
      </c>
    </row>
    <row r="6898" spans="1:7">
      <c r="B6898">
        <f>IF(INDEX(Transactions!$J:$J,ROW()-8)="",TODAY(),INDEX(Transactions!$G:$G,ROW()-8))</f>
      </c>
      <c r="F6898">
        <f>IF(INDEX(Transactions!$J:$J,ROW()-8)="",0,INDEX(Transactions!$O:$O,ROW()-8))</f>
      </c>
    </row>
    <row r="6899" spans="1:7">
      <c r="B6899">
        <f>IF(INDEX(Transactions!$J:$J,ROW()-8)="",TODAY(),INDEX(Transactions!$G:$G,ROW()-8))</f>
      </c>
      <c r="F6899">
        <f>IF(INDEX(Transactions!$J:$J,ROW()-8)="",0,INDEX(Transactions!$O:$O,ROW()-8))</f>
      </c>
    </row>
    <row r="6900" spans="1:7">
      <c r="B6900">
        <f>IF(INDEX(Transactions!$J:$J,ROW()-8)="",TODAY(),INDEX(Transactions!$G:$G,ROW()-8))</f>
      </c>
      <c r="F6900">
        <f>IF(INDEX(Transactions!$J:$J,ROW()-8)="",0,INDEX(Transactions!$O:$O,ROW()-8))</f>
      </c>
    </row>
    <row r="6901" spans="1:7">
      <c r="B6901">
        <f>IF(INDEX(Transactions!$J:$J,ROW()-8)="",TODAY(),INDEX(Transactions!$G:$G,ROW()-8))</f>
      </c>
      <c r="F6901">
        <f>IF(INDEX(Transactions!$J:$J,ROW()-8)="",0,INDEX(Transactions!$O:$O,ROW()-8))</f>
      </c>
    </row>
    <row r="6902" spans="1:7">
      <c r="B6902">
        <f>IF(INDEX(Transactions!$J:$J,ROW()-8)="",TODAY(),INDEX(Transactions!$G:$G,ROW()-8))</f>
      </c>
      <c r="F6902">
        <f>IF(INDEX(Transactions!$J:$J,ROW()-8)="",0,INDEX(Transactions!$O:$O,ROW()-8))</f>
      </c>
    </row>
    <row r="6903" spans="1:7">
      <c r="B6903">
        <f>IF(INDEX(Transactions!$J:$J,ROW()-8)="",TODAY(),INDEX(Transactions!$G:$G,ROW()-8))</f>
      </c>
      <c r="F6903">
        <f>IF(INDEX(Transactions!$J:$J,ROW()-8)="",0,INDEX(Transactions!$O:$O,ROW()-8))</f>
      </c>
    </row>
    <row r="6904" spans="1:7">
      <c r="B6904">
        <f>IF(INDEX(Transactions!$J:$J,ROW()-8)="",TODAY(),INDEX(Transactions!$G:$G,ROW()-8))</f>
      </c>
      <c r="F6904">
        <f>IF(INDEX(Transactions!$J:$J,ROW()-8)="",0,INDEX(Transactions!$O:$O,ROW()-8))</f>
      </c>
    </row>
    <row r="6905" spans="1:7">
      <c r="B6905">
        <f>IF(INDEX(Transactions!$J:$J,ROW()-8)="",TODAY(),INDEX(Transactions!$G:$G,ROW()-8))</f>
      </c>
      <c r="F6905">
        <f>IF(INDEX(Transactions!$J:$J,ROW()-8)="",0,INDEX(Transactions!$O:$O,ROW()-8))</f>
      </c>
    </row>
    <row r="6906" spans="1:7">
      <c r="B6906">
        <f>IF(INDEX(Transactions!$J:$J,ROW()-8)="",TODAY(),INDEX(Transactions!$G:$G,ROW()-8))</f>
      </c>
      <c r="F6906">
        <f>IF(INDEX(Transactions!$J:$J,ROW()-8)="",0,INDEX(Transactions!$O:$O,ROW()-8))</f>
      </c>
    </row>
    <row r="6907" spans="1:7">
      <c r="B6907">
        <f>IF(INDEX(Transactions!$J:$J,ROW()-8)="",TODAY(),INDEX(Transactions!$G:$G,ROW()-8))</f>
      </c>
      <c r="F6907">
        <f>IF(INDEX(Transactions!$J:$J,ROW()-8)="",0,INDEX(Transactions!$O:$O,ROW()-8))</f>
      </c>
    </row>
    <row r="6908" spans="1:7">
      <c r="B6908">
        <f>IF(INDEX(Transactions!$J:$J,ROW()-8)="",TODAY(),INDEX(Transactions!$G:$G,ROW()-8))</f>
      </c>
      <c r="F6908">
        <f>IF(INDEX(Transactions!$J:$J,ROW()-8)="",0,INDEX(Transactions!$O:$O,ROW()-8))</f>
      </c>
    </row>
    <row r="6909" spans="1:7">
      <c r="B6909">
        <f>IF(INDEX(Transactions!$J:$J,ROW()-8)="",TODAY(),INDEX(Transactions!$G:$G,ROW()-8))</f>
      </c>
      <c r="F6909">
        <f>IF(INDEX(Transactions!$J:$J,ROW()-8)="",0,INDEX(Transactions!$O:$O,ROW()-8))</f>
      </c>
    </row>
    <row r="6910" spans="1:7">
      <c r="B6910">
        <f>IF(INDEX(Transactions!$J:$J,ROW()-8)="",TODAY(),INDEX(Transactions!$G:$G,ROW()-8))</f>
      </c>
      <c r="F6910">
        <f>IF(INDEX(Transactions!$J:$J,ROW()-8)="",0,INDEX(Transactions!$O:$O,ROW()-8))</f>
      </c>
    </row>
    <row r="6911" spans="1:7">
      <c r="B6911">
        <f>IF(INDEX(Transactions!$J:$J,ROW()-8)="",TODAY(),INDEX(Transactions!$G:$G,ROW()-8))</f>
      </c>
      <c r="F6911">
        <f>IF(INDEX(Transactions!$J:$J,ROW()-8)="",0,INDEX(Transactions!$O:$O,ROW()-8))</f>
      </c>
    </row>
    <row r="6912" spans="1:7">
      <c r="B6912">
        <f>IF(INDEX(Transactions!$J:$J,ROW()-8)="",TODAY(),INDEX(Transactions!$G:$G,ROW()-8))</f>
      </c>
      <c r="F6912">
        <f>IF(INDEX(Transactions!$J:$J,ROW()-8)="",0,INDEX(Transactions!$O:$O,ROW()-8))</f>
      </c>
    </row>
    <row r="6913" spans="1:7">
      <c r="B6913">
        <f>IF(INDEX(Transactions!$J:$J,ROW()-8)="",TODAY(),INDEX(Transactions!$G:$G,ROW()-8))</f>
      </c>
      <c r="F6913">
        <f>IF(INDEX(Transactions!$J:$J,ROW()-8)="",0,INDEX(Transactions!$O:$O,ROW()-8))</f>
      </c>
    </row>
    <row r="6914" spans="1:7">
      <c r="B6914">
        <f>IF(INDEX(Transactions!$J:$J,ROW()-8)="",TODAY(),INDEX(Transactions!$G:$G,ROW()-8))</f>
      </c>
      <c r="F6914">
        <f>IF(INDEX(Transactions!$J:$J,ROW()-8)="",0,INDEX(Transactions!$O:$O,ROW()-8))</f>
      </c>
    </row>
    <row r="6915" spans="1:7">
      <c r="B6915">
        <f>IF(INDEX(Transactions!$J:$J,ROW()-8)="",TODAY(),INDEX(Transactions!$G:$G,ROW()-8))</f>
      </c>
      <c r="F6915">
        <f>IF(INDEX(Transactions!$J:$J,ROW()-8)="",0,INDEX(Transactions!$O:$O,ROW()-8))</f>
      </c>
    </row>
    <row r="6916" spans="1:7">
      <c r="B6916">
        <f>IF(INDEX(Transactions!$J:$J,ROW()-8)="",TODAY(),INDEX(Transactions!$G:$G,ROW()-8))</f>
      </c>
      <c r="F6916">
        <f>IF(INDEX(Transactions!$J:$J,ROW()-8)="",0,INDEX(Transactions!$O:$O,ROW()-8))</f>
      </c>
    </row>
    <row r="6917" spans="1:7">
      <c r="B6917">
        <f>IF(INDEX(Transactions!$J:$J,ROW()-8)="",TODAY(),INDEX(Transactions!$G:$G,ROW()-8))</f>
      </c>
      <c r="F6917">
        <f>IF(INDEX(Transactions!$J:$J,ROW()-8)="",0,INDEX(Transactions!$O:$O,ROW()-8))</f>
      </c>
    </row>
    <row r="6918" spans="1:7">
      <c r="B6918">
        <f>IF(INDEX(Transactions!$J:$J,ROW()-8)="",TODAY(),INDEX(Transactions!$G:$G,ROW()-8))</f>
      </c>
      <c r="F6918">
        <f>IF(INDEX(Transactions!$J:$J,ROW()-8)="",0,INDEX(Transactions!$O:$O,ROW()-8))</f>
      </c>
    </row>
    <row r="6919" spans="1:7">
      <c r="B6919">
        <f>IF(INDEX(Transactions!$J:$J,ROW()-8)="",TODAY(),INDEX(Transactions!$G:$G,ROW()-8))</f>
      </c>
      <c r="F6919">
        <f>IF(INDEX(Transactions!$J:$J,ROW()-8)="",0,INDEX(Transactions!$O:$O,ROW()-8))</f>
      </c>
    </row>
    <row r="6920" spans="1:7">
      <c r="B6920">
        <f>IF(INDEX(Transactions!$J:$J,ROW()-8)="",TODAY(),INDEX(Transactions!$G:$G,ROW()-8))</f>
      </c>
      <c r="F6920">
        <f>IF(INDEX(Transactions!$J:$J,ROW()-8)="",0,INDEX(Transactions!$O:$O,ROW()-8))</f>
      </c>
    </row>
    <row r="6921" spans="1:7">
      <c r="B6921">
        <f>IF(INDEX(Transactions!$J:$J,ROW()-8)="",TODAY(),INDEX(Transactions!$G:$G,ROW()-8))</f>
      </c>
      <c r="F6921">
        <f>IF(INDEX(Transactions!$J:$J,ROW()-8)="",0,INDEX(Transactions!$O:$O,ROW()-8))</f>
      </c>
    </row>
    <row r="6922" spans="1:7">
      <c r="B6922">
        <f>IF(INDEX(Transactions!$J:$J,ROW()-8)="",TODAY(),INDEX(Transactions!$G:$G,ROW()-8))</f>
      </c>
      <c r="F6922">
        <f>IF(INDEX(Transactions!$J:$J,ROW()-8)="",0,INDEX(Transactions!$O:$O,ROW()-8))</f>
      </c>
    </row>
    <row r="6923" spans="1:7">
      <c r="B6923">
        <f>IF(INDEX(Transactions!$J:$J,ROW()-8)="",TODAY(),INDEX(Transactions!$G:$G,ROW()-8))</f>
      </c>
      <c r="F6923">
        <f>IF(INDEX(Transactions!$J:$J,ROW()-8)="",0,INDEX(Transactions!$O:$O,ROW()-8))</f>
      </c>
    </row>
    <row r="6924" spans="1:7">
      <c r="B6924">
        <f>IF(INDEX(Transactions!$J:$J,ROW()-8)="",TODAY(),INDEX(Transactions!$G:$G,ROW()-8))</f>
      </c>
      <c r="F6924">
        <f>IF(INDEX(Transactions!$J:$J,ROW()-8)="",0,INDEX(Transactions!$O:$O,ROW()-8))</f>
      </c>
    </row>
    <row r="6925" spans="1:7">
      <c r="B6925">
        <f>IF(INDEX(Transactions!$J:$J,ROW()-8)="",TODAY(),INDEX(Transactions!$G:$G,ROW()-8))</f>
      </c>
      <c r="F6925">
        <f>IF(INDEX(Transactions!$J:$J,ROW()-8)="",0,INDEX(Transactions!$O:$O,ROW()-8))</f>
      </c>
    </row>
    <row r="6926" spans="1:7">
      <c r="B6926">
        <f>IF(INDEX(Transactions!$J:$J,ROW()-8)="",TODAY(),INDEX(Transactions!$G:$G,ROW()-8))</f>
      </c>
      <c r="F6926">
        <f>IF(INDEX(Transactions!$J:$J,ROW()-8)="",0,INDEX(Transactions!$O:$O,ROW()-8))</f>
      </c>
    </row>
    <row r="6927" spans="1:7">
      <c r="B6927">
        <f>IF(INDEX(Transactions!$J:$J,ROW()-8)="",TODAY(),INDEX(Transactions!$G:$G,ROW()-8))</f>
      </c>
      <c r="F6927">
        <f>IF(INDEX(Transactions!$J:$J,ROW()-8)="",0,INDEX(Transactions!$O:$O,ROW()-8))</f>
      </c>
    </row>
    <row r="6928" spans="1:7">
      <c r="B6928">
        <f>IF(INDEX(Transactions!$J:$J,ROW()-8)="",TODAY(),INDEX(Transactions!$G:$G,ROW()-8))</f>
      </c>
      <c r="F6928">
        <f>IF(INDEX(Transactions!$J:$J,ROW()-8)="",0,INDEX(Transactions!$O:$O,ROW()-8))</f>
      </c>
    </row>
    <row r="6929" spans="1:7">
      <c r="B6929">
        <f>IF(INDEX(Transactions!$J:$J,ROW()-8)="",TODAY(),INDEX(Transactions!$G:$G,ROW()-8))</f>
      </c>
      <c r="F6929">
        <f>IF(INDEX(Transactions!$J:$J,ROW()-8)="",0,INDEX(Transactions!$O:$O,ROW()-8))</f>
      </c>
    </row>
    <row r="6930" spans="1:7">
      <c r="B6930">
        <f>IF(INDEX(Transactions!$J:$J,ROW()-8)="",TODAY(),INDEX(Transactions!$G:$G,ROW()-8))</f>
      </c>
      <c r="F6930">
        <f>IF(INDEX(Transactions!$J:$J,ROW()-8)="",0,INDEX(Transactions!$O:$O,ROW()-8))</f>
      </c>
    </row>
    <row r="6931" spans="1:7">
      <c r="B6931">
        <f>IF(INDEX(Transactions!$J:$J,ROW()-8)="",TODAY(),INDEX(Transactions!$G:$G,ROW()-8))</f>
      </c>
      <c r="F6931">
        <f>IF(INDEX(Transactions!$J:$J,ROW()-8)="",0,INDEX(Transactions!$O:$O,ROW()-8))</f>
      </c>
    </row>
    <row r="6932" spans="1:7">
      <c r="B6932">
        <f>IF(INDEX(Transactions!$J:$J,ROW()-8)="",TODAY(),INDEX(Transactions!$G:$G,ROW()-8))</f>
      </c>
      <c r="F6932">
        <f>IF(INDEX(Transactions!$J:$J,ROW()-8)="",0,INDEX(Transactions!$O:$O,ROW()-8))</f>
      </c>
    </row>
    <row r="6933" spans="1:7">
      <c r="B6933">
        <f>IF(INDEX(Transactions!$J:$J,ROW()-8)="",TODAY(),INDEX(Transactions!$G:$G,ROW()-8))</f>
      </c>
      <c r="F6933">
        <f>IF(INDEX(Transactions!$J:$J,ROW()-8)="",0,INDEX(Transactions!$O:$O,ROW()-8))</f>
      </c>
    </row>
    <row r="6934" spans="1:7">
      <c r="B6934">
        <f>IF(INDEX(Transactions!$J:$J,ROW()-8)="",TODAY(),INDEX(Transactions!$G:$G,ROW()-8))</f>
      </c>
      <c r="F6934">
        <f>IF(INDEX(Transactions!$J:$J,ROW()-8)="",0,INDEX(Transactions!$O:$O,ROW()-8))</f>
      </c>
    </row>
    <row r="6935" spans="1:7">
      <c r="B6935">
        <f>IF(INDEX(Transactions!$J:$J,ROW()-8)="",TODAY(),INDEX(Transactions!$G:$G,ROW()-8))</f>
      </c>
      <c r="F6935">
        <f>IF(INDEX(Transactions!$J:$J,ROW()-8)="",0,INDEX(Transactions!$O:$O,ROW()-8))</f>
      </c>
    </row>
    <row r="6936" spans="1:7">
      <c r="B6936">
        <f>IF(INDEX(Transactions!$J:$J,ROW()-8)="",TODAY(),INDEX(Transactions!$G:$G,ROW()-8))</f>
      </c>
      <c r="F6936">
        <f>IF(INDEX(Transactions!$J:$J,ROW()-8)="",0,INDEX(Transactions!$O:$O,ROW()-8))</f>
      </c>
    </row>
    <row r="6937" spans="1:7">
      <c r="B6937">
        <f>IF(INDEX(Transactions!$J:$J,ROW()-8)="",TODAY(),INDEX(Transactions!$G:$G,ROW()-8))</f>
      </c>
      <c r="F6937">
        <f>IF(INDEX(Transactions!$J:$J,ROW()-8)="",0,INDEX(Transactions!$O:$O,ROW()-8))</f>
      </c>
    </row>
    <row r="6938" spans="1:7">
      <c r="B6938">
        <f>IF(INDEX(Transactions!$J:$J,ROW()-8)="",TODAY(),INDEX(Transactions!$G:$G,ROW()-8))</f>
      </c>
      <c r="F6938">
        <f>IF(INDEX(Transactions!$J:$J,ROW()-8)="",0,INDEX(Transactions!$O:$O,ROW()-8))</f>
      </c>
    </row>
    <row r="6939" spans="1:7">
      <c r="B6939">
        <f>IF(INDEX(Transactions!$J:$J,ROW()-8)="",TODAY(),INDEX(Transactions!$G:$G,ROW()-8))</f>
      </c>
      <c r="F6939">
        <f>IF(INDEX(Transactions!$J:$J,ROW()-8)="",0,INDEX(Transactions!$O:$O,ROW()-8))</f>
      </c>
    </row>
    <row r="6940" spans="1:7">
      <c r="B6940">
        <f>IF(INDEX(Transactions!$J:$J,ROW()-8)="",TODAY(),INDEX(Transactions!$G:$G,ROW()-8))</f>
      </c>
      <c r="F6940">
        <f>IF(INDEX(Transactions!$J:$J,ROW()-8)="",0,INDEX(Transactions!$O:$O,ROW()-8))</f>
      </c>
    </row>
    <row r="6941" spans="1:7">
      <c r="B6941">
        <f>IF(INDEX(Transactions!$J:$J,ROW()-8)="",TODAY(),INDEX(Transactions!$G:$G,ROW()-8))</f>
      </c>
      <c r="F6941">
        <f>IF(INDEX(Transactions!$J:$J,ROW()-8)="",0,INDEX(Transactions!$O:$O,ROW()-8))</f>
      </c>
    </row>
    <row r="6942" spans="1:7">
      <c r="B6942">
        <f>IF(INDEX(Transactions!$J:$J,ROW()-8)="",TODAY(),INDEX(Transactions!$G:$G,ROW()-8))</f>
      </c>
      <c r="F6942">
        <f>IF(INDEX(Transactions!$J:$J,ROW()-8)="",0,INDEX(Transactions!$O:$O,ROW()-8))</f>
      </c>
    </row>
    <row r="6943" spans="1:7">
      <c r="B6943">
        <f>IF(INDEX(Transactions!$J:$J,ROW()-8)="",TODAY(),INDEX(Transactions!$G:$G,ROW()-8))</f>
      </c>
      <c r="F6943">
        <f>IF(INDEX(Transactions!$J:$J,ROW()-8)="",0,INDEX(Transactions!$O:$O,ROW()-8))</f>
      </c>
    </row>
    <row r="6944" spans="1:7">
      <c r="B6944">
        <f>IF(INDEX(Transactions!$J:$J,ROW()-8)="",TODAY(),INDEX(Transactions!$G:$G,ROW()-8))</f>
      </c>
      <c r="F6944">
        <f>IF(INDEX(Transactions!$J:$J,ROW()-8)="",0,INDEX(Transactions!$O:$O,ROW()-8))</f>
      </c>
    </row>
    <row r="6945" spans="1:7">
      <c r="B6945">
        <f>IF(INDEX(Transactions!$J:$J,ROW()-8)="",TODAY(),INDEX(Transactions!$G:$G,ROW()-8))</f>
      </c>
      <c r="F6945">
        <f>IF(INDEX(Transactions!$J:$J,ROW()-8)="",0,INDEX(Transactions!$O:$O,ROW()-8))</f>
      </c>
    </row>
    <row r="6946" spans="1:7">
      <c r="B6946">
        <f>IF(INDEX(Transactions!$J:$J,ROW()-8)="",TODAY(),INDEX(Transactions!$G:$G,ROW()-8))</f>
      </c>
      <c r="F6946">
        <f>IF(INDEX(Transactions!$J:$J,ROW()-8)="",0,INDEX(Transactions!$O:$O,ROW()-8))</f>
      </c>
    </row>
    <row r="6947" spans="1:7">
      <c r="B6947">
        <f>IF(INDEX(Transactions!$J:$J,ROW()-8)="",TODAY(),INDEX(Transactions!$G:$G,ROW()-8))</f>
      </c>
      <c r="F6947">
        <f>IF(INDEX(Transactions!$J:$J,ROW()-8)="",0,INDEX(Transactions!$O:$O,ROW()-8))</f>
      </c>
    </row>
    <row r="6948" spans="1:7">
      <c r="B6948">
        <f>IF(INDEX(Transactions!$J:$J,ROW()-8)="",TODAY(),INDEX(Transactions!$G:$G,ROW()-8))</f>
      </c>
      <c r="F6948">
        <f>IF(INDEX(Transactions!$J:$J,ROW()-8)="",0,INDEX(Transactions!$O:$O,ROW()-8))</f>
      </c>
    </row>
    <row r="6949" spans="1:7">
      <c r="B6949">
        <f>IF(INDEX(Transactions!$J:$J,ROW()-8)="",TODAY(),INDEX(Transactions!$G:$G,ROW()-8))</f>
      </c>
      <c r="F6949">
        <f>IF(INDEX(Transactions!$J:$J,ROW()-8)="",0,INDEX(Transactions!$O:$O,ROW()-8))</f>
      </c>
    </row>
    <row r="6950" spans="1:7">
      <c r="B6950">
        <f>IF(INDEX(Transactions!$J:$J,ROW()-8)="",TODAY(),INDEX(Transactions!$G:$G,ROW()-8))</f>
      </c>
      <c r="F6950">
        <f>IF(INDEX(Transactions!$J:$J,ROW()-8)="",0,INDEX(Transactions!$O:$O,ROW()-8))</f>
      </c>
    </row>
    <row r="6951" spans="1:7">
      <c r="B6951">
        <f>IF(INDEX(Transactions!$J:$J,ROW()-8)="",TODAY(),INDEX(Transactions!$G:$G,ROW()-8))</f>
      </c>
      <c r="F6951">
        <f>IF(INDEX(Transactions!$J:$J,ROW()-8)="",0,INDEX(Transactions!$O:$O,ROW()-8))</f>
      </c>
    </row>
    <row r="6952" spans="1:7">
      <c r="B6952">
        <f>IF(INDEX(Transactions!$J:$J,ROW()-8)="",TODAY(),INDEX(Transactions!$G:$G,ROW()-8))</f>
      </c>
      <c r="F6952">
        <f>IF(INDEX(Transactions!$J:$J,ROW()-8)="",0,INDEX(Transactions!$O:$O,ROW()-8))</f>
      </c>
    </row>
    <row r="6953" spans="1:7">
      <c r="B6953">
        <f>IF(INDEX(Transactions!$J:$J,ROW()-8)="",TODAY(),INDEX(Transactions!$G:$G,ROW()-8))</f>
      </c>
      <c r="F6953">
        <f>IF(INDEX(Transactions!$J:$J,ROW()-8)="",0,INDEX(Transactions!$O:$O,ROW()-8))</f>
      </c>
    </row>
    <row r="6954" spans="1:7">
      <c r="B6954">
        <f>IF(INDEX(Transactions!$J:$J,ROW()-8)="",TODAY(),INDEX(Transactions!$G:$G,ROW()-8))</f>
      </c>
      <c r="F6954">
        <f>IF(INDEX(Transactions!$J:$J,ROW()-8)="",0,INDEX(Transactions!$O:$O,ROW()-8))</f>
      </c>
    </row>
    <row r="6955" spans="1:7">
      <c r="B6955">
        <f>IF(INDEX(Transactions!$J:$J,ROW()-8)="",TODAY(),INDEX(Transactions!$G:$G,ROW()-8))</f>
      </c>
      <c r="F6955">
        <f>IF(INDEX(Transactions!$J:$J,ROW()-8)="",0,INDEX(Transactions!$O:$O,ROW()-8))</f>
      </c>
    </row>
    <row r="6956" spans="1:7">
      <c r="B6956">
        <f>IF(INDEX(Transactions!$J:$J,ROW()-8)="",TODAY(),INDEX(Transactions!$G:$G,ROW()-8))</f>
      </c>
      <c r="F6956">
        <f>IF(INDEX(Transactions!$J:$J,ROW()-8)="",0,INDEX(Transactions!$O:$O,ROW()-8))</f>
      </c>
    </row>
    <row r="6957" spans="1:7">
      <c r="B6957">
        <f>IF(INDEX(Transactions!$J:$J,ROW()-8)="",TODAY(),INDEX(Transactions!$G:$G,ROW()-8))</f>
      </c>
      <c r="F6957">
        <f>IF(INDEX(Transactions!$J:$J,ROW()-8)="",0,INDEX(Transactions!$O:$O,ROW()-8))</f>
      </c>
    </row>
    <row r="6958" spans="1:7">
      <c r="B6958">
        <f>IF(INDEX(Transactions!$J:$J,ROW()-8)="",TODAY(),INDEX(Transactions!$G:$G,ROW()-8))</f>
      </c>
      <c r="F6958">
        <f>IF(INDEX(Transactions!$J:$J,ROW()-8)="",0,INDEX(Transactions!$O:$O,ROW()-8))</f>
      </c>
    </row>
    <row r="6959" spans="1:7">
      <c r="B6959">
        <f>IF(INDEX(Transactions!$J:$J,ROW()-8)="",TODAY(),INDEX(Transactions!$G:$G,ROW()-8))</f>
      </c>
      <c r="F6959">
        <f>IF(INDEX(Transactions!$J:$J,ROW()-8)="",0,INDEX(Transactions!$O:$O,ROW()-8))</f>
      </c>
    </row>
    <row r="6960" spans="1:7">
      <c r="B6960">
        <f>IF(INDEX(Transactions!$J:$J,ROW()-8)="",TODAY(),INDEX(Transactions!$G:$G,ROW()-8))</f>
      </c>
      <c r="F6960">
        <f>IF(INDEX(Transactions!$J:$J,ROW()-8)="",0,INDEX(Transactions!$O:$O,ROW()-8))</f>
      </c>
    </row>
    <row r="6961" spans="1:7">
      <c r="B6961">
        <f>IF(INDEX(Transactions!$J:$J,ROW()-8)="",TODAY(),INDEX(Transactions!$G:$G,ROW()-8))</f>
      </c>
      <c r="F6961">
        <f>IF(INDEX(Transactions!$J:$J,ROW()-8)="",0,INDEX(Transactions!$O:$O,ROW()-8))</f>
      </c>
    </row>
    <row r="6962" spans="1:7">
      <c r="B6962">
        <f>IF(INDEX(Transactions!$J:$J,ROW()-8)="",TODAY(),INDEX(Transactions!$G:$G,ROW()-8))</f>
      </c>
      <c r="F6962">
        <f>IF(INDEX(Transactions!$J:$J,ROW()-8)="",0,INDEX(Transactions!$O:$O,ROW()-8))</f>
      </c>
    </row>
    <row r="6963" spans="1:7">
      <c r="B6963">
        <f>IF(INDEX(Transactions!$J:$J,ROW()-8)="",TODAY(),INDEX(Transactions!$G:$G,ROW()-8))</f>
      </c>
      <c r="F6963">
        <f>IF(INDEX(Transactions!$J:$J,ROW()-8)="",0,INDEX(Transactions!$O:$O,ROW()-8))</f>
      </c>
    </row>
    <row r="6964" spans="1:7">
      <c r="B6964">
        <f>IF(INDEX(Transactions!$J:$J,ROW()-8)="",TODAY(),INDEX(Transactions!$G:$G,ROW()-8))</f>
      </c>
      <c r="F6964">
        <f>IF(INDEX(Transactions!$J:$J,ROW()-8)="",0,INDEX(Transactions!$O:$O,ROW()-8))</f>
      </c>
    </row>
    <row r="6965" spans="1:7">
      <c r="B6965">
        <f>IF(INDEX(Transactions!$J:$J,ROW()-8)="",TODAY(),INDEX(Transactions!$G:$G,ROW()-8))</f>
      </c>
      <c r="F6965">
        <f>IF(INDEX(Transactions!$J:$J,ROW()-8)="",0,INDEX(Transactions!$O:$O,ROW()-8))</f>
      </c>
    </row>
    <row r="6966" spans="1:7">
      <c r="B6966">
        <f>IF(INDEX(Transactions!$J:$J,ROW()-8)="",TODAY(),INDEX(Transactions!$G:$G,ROW()-8))</f>
      </c>
      <c r="F6966">
        <f>IF(INDEX(Transactions!$J:$J,ROW()-8)="",0,INDEX(Transactions!$O:$O,ROW()-8))</f>
      </c>
    </row>
    <row r="6967" spans="1:7">
      <c r="B6967">
        <f>IF(INDEX(Transactions!$J:$J,ROW()-8)="",TODAY(),INDEX(Transactions!$G:$G,ROW()-8))</f>
      </c>
      <c r="F6967">
        <f>IF(INDEX(Transactions!$J:$J,ROW()-8)="",0,INDEX(Transactions!$O:$O,ROW()-8))</f>
      </c>
    </row>
    <row r="6968" spans="1:7">
      <c r="B6968">
        <f>IF(INDEX(Transactions!$J:$J,ROW()-8)="",TODAY(),INDEX(Transactions!$G:$G,ROW()-8))</f>
      </c>
      <c r="F6968">
        <f>IF(INDEX(Transactions!$J:$J,ROW()-8)="",0,INDEX(Transactions!$O:$O,ROW()-8))</f>
      </c>
    </row>
    <row r="6969" spans="1:7">
      <c r="B6969">
        <f>IF(INDEX(Transactions!$J:$J,ROW()-8)="",TODAY(),INDEX(Transactions!$G:$G,ROW()-8))</f>
      </c>
      <c r="F6969">
        <f>IF(INDEX(Transactions!$J:$J,ROW()-8)="",0,INDEX(Transactions!$O:$O,ROW()-8))</f>
      </c>
    </row>
    <row r="6970" spans="1:7">
      <c r="B6970">
        <f>IF(INDEX(Transactions!$J:$J,ROW()-8)="",TODAY(),INDEX(Transactions!$G:$G,ROW()-8))</f>
      </c>
      <c r="F6970">
        <f>IF(INDEX(Transactions!$J:$J,ROW()-8)="",0,INDEX(Transactions!$O:$O,ROW()-8))</f>
      </c>
    </row>
    <row r="6971" spans="1:7">
      <c r="B6971">
        <f>IF(INDEX(Transactions!$J:$J,ROW()-8)="",TODAY(),INDEX(Transactions!$G:$G,ROW()-8))</f>
      </c>
      <c r="F6971">
        <f>IF(INDEX(Transactions!$J:$J,ROW()-8)="",0,INDEX(Transactions!$O:$O,ROW()-8))</f>
      </c>
    </row>
    <row r="6972" spans="1:7">
      <c r="B6972">
        <f>IF(INDEX(Transactions!$J:$J,ROW()-8)="",TODAY(),INDEX(Transactions!$G:$G,ROW()-8))</f>
      </c>
      <c r="F6972">
        <f>IF(INDEX(Transactions!$J:$J,ROW()-8)="",0,INDEX(Transactions!$O:$O,ROW()-8))</f>
      </c>
    </row>
    <row r="6973" spans="1:7">
      <c r="B6973">
        <f>IF(INDEX(Transactions!$J:$J,ROW()-8)="",TODAY(),INDEX(Transactions!$G:$G,ROW()-8))</f>
      </c>
      <c r="F6973">
        <f>IF(INDEX(Transactions!$J:$J,ROW()-8)="",0,INDEX(Transactions!$O:$O,ROW()-8))</f>
      </c>
    </row>
    <row r="6974" spans="1:7">
      <c r="B6974">
        <f>IF(INDEX(Transactions!$J:$J,ROW()-8)="",TODAY(),INDEX(Transactions!$G:$G,ROW()-8))</f>
      </c>
      <c r="F6974">
        <f>IF(INDEX(Transactions!$J:$J,ROW()-8)="",0,INDEX(Transactions!$O:$O,ROW()-8))</f>
      </c>
    </row>
    <row r="6975" spans="1:7">
      <c r="B6975">
        <f>IF(INDEX(Transactions!$J:$J,ROW()-8)="",TODAY(),INDEX(Transactions!$G:$G,ROW()-8))</f>
      </c>
      <c r="F6975">
        <f>IF(INDEX(Transactions!$J:$J,ROW()-8)="",0,INDEX(Transactions!$O:$O,ROW()-8))</f>
      </c>
    </row>
    <row r="6976" spans="1:7">
      <c r="B6976">
        <f>IF(INDEX(Transactions!$J:$J,ROW()-8)="",TODAY(),INDEX(Transactions!$G:$G,ROW()-8))</f>
      </c>
      <c r="F6976">
        <f>IF(INDEX(Transactions!$J:$J,ROW()-8)="",0,INDEX(Transactions!$O:$O,ROW()-8))</f>
      </c>
    </row>
    <row r="6977" spans="1:7">
      <c r="B6977">
        <f>IF(INDEX(Transactions!$J:$J,ROW()-8)="",TODAY(),INDEX(Transactions!$G:$G,ROW()-8))</f>
      </c>
      <c r="F6977">
        <f>IF(INDEX(Transactions!$J:$J,ROW()-8)="",0,INDEX(Transactions!$O:$O,ROW()-8))</f>
      </c>
    </row>
    <row r="6978" spans="1:7">
      <c r="B6978">
        <f>IF(INDEX(Transactions!$J:$J,ROW()-8)="",TODAY(),INDEX(Transactions!$G:$G,ROW()-8))</f>
      </c>
      <c r="F6978">
        <f>IF(INDEX(Transactions!$J:$J,ROW()-8)="",0,INDEX(Transactions!$O:$O,ROW()-8))</f>
      </c>
    </row>
    <row r="6979" spans="1:7">
      <c r="B6979">
        <f>IF(INDEX(Transactions!$J:$J,ROW()-8)="",TODAY(),INDEX(Transactions!$G:$G,ROW()-8))</f>
      </c>
      <c r="F6979">
        <f>IF(INDEX(Transactions!$J:$J,ROW()-8)="",0,INDEX(Transactions!$O:$O,ROW()-8))</f>
      </c>
    </row>
    <row r="6980" spans="1:7">
      <c r="B6980">
        <f>IF(INDEX(Transactions!$J:$J,ROW()-8)="",TODAY(),INDEX(Transactions!$G:$G,ROW()-8))</f>
      </c>
      <c r="F6980">
        <f>IF(INDEX(Transactions!$J:$J,ROW()-8)="",0,INDEX(Transactions!$O:$O,ROW()-8))</f>
      </c>
    </row>
    <row r="6981" spans="1:7">
      <c r="B6981">
        <f>IF(INDEX(Transactions!$J:$J,ROW()-8)="",TODAY(),INDEX(Transactions!$G:$G,ROW()-8))</f>
      </c>
      <c r="F6981">
        <f>IF(INDEX(Transactions!$J:$J,ROW()-8)="",0,INDEX(Transactions!$O:$O,ROW()-8))</f>
      </c>
    </row>
    <row r="6982" spans="1:7">
      <c r="B6982">
        <f>IF(INDEX(Transactions!$J:$J,ROW()-8)="",TODAY(),INDEX(Transactions!$G:$G,ROW()-8))</f>
      </c>
      <c r="F6982">
        <f>IF(INDEX(Transactions!$J:$J,ROW()-8)="",0,INDEX(Transactions!$O:$O,ROW()-8))</f>
      </c>
    </row>
    <row r="6983" spans="1:7">
      <c r="B6983">
        <f>IF(INDEX(Transactions!$J:$J,ROW()-8)="",TODAY(),INDEX(Transactions!$G:$G,ROW()-8))</f>
      </c>
      <c r="F6983">
        <f>IF(INDEX(Transactions!$J:$J,ROW()-8)="",0,INDEX(Transactions!$O:$O,ROW()-8))</f>
      </c>
    </row>
    <row r="6984" spans="1:7">
      <c r="B6984">
        <f>IF(INDEX(Transactions!$J:$J,ROW()-8)="",TODAY(),INDEX(Transactions!$G:$G,ROW()-8))</f>
      </c>
      <c r="F6984">
        <f>IF(INDEX(Transactions!$J:$J,ROW()-8)="",0,INDEX(Transactions!$O:$O,ROW()-8))</f>
      </c>
    </row>
    <row r="6985" spans="1:7">
      <c r="B6985">
        <f>IF(INDEX(Transactions!$J:$J,ROW()-8)="",TODAY(),INDEX(Transactions!$G:$G,ROW()-8))</f>
      </c>
      <c r="F6985">
        <f>IF(INDEX(Transactions!$J:$J,ROW()-8)="",0,INDEX(Transactions!$O:$O,ROW()-8))</f>
      </c>
    </row>
    <row r="6986" spans="1:7">
      <c r="B6986">
        <f>IF(INDEX(Transactions!$J:$J,ROW()-8)="",TODAY(),INDEX(Transactions!$G:$G,ROW()-8))</f>
      </c>
      <c r="F6986">
        <f>IF(INDEX(Transactions!$J:$J,ROW()-8)="",0,INDEX(Transactions!$O:$O,ROW()-8))</f>
      </c>
    </row>
    <row r="6987" spans="1:7">
      <c r="B6987">
        <f>IF(INDEX(Transactions!$J:$J,ROW()-8)="",TODAY(),INDEX(Transactions!$G:$G,ROW()-8))</f>
      </c>
      <c r="F6987">
        <f>IF(INDEX(Transactions!$J:$J,ROW()-8)="",0,INDEX(Transactions!$O:$O,ROW()-8))</f>
      </c>
    </row>
    <row r="6988" spans="1:7">
      <c r="B6988">
        <f>IF(INDEX(Transactions!$J:$J,ROW()-8)="",TODAY(),INDEX(Transactions!$G:$G,ROW()-8))</f>
      </c>
      <c r="F6988">
        <f>IF(INDEX(Transactions!$J:$J,ROW()-8)="",0,INDEX(Transactions!$O:$O,ROW()-8))</f>
      </c>
    </row>
    <row r="6989" spans="1:7">
      <c r="B6989">
        <f>IF(INDEX(Transactions!$J:$J,ROW()-8)="",TODAY(),INDEX(Transactions!$G:$G,ROW()-8))</f>
      </c>
      <c r="F6989">
        <f>IF(INDEX(Transactions!$J:$J,ROW()-8)="",0,INDEX(Transactions!$O:$O,ROW()-8))</f>
      </c>
    </row>
    <row r="6990" spans="1:7">
      <c r="B6990">
        <f>IF(INDEX(Transactions!$J:$J,ROW()-8)="",TODAY(),INDEX(Transactions!$G:$G,ROW()-8))</f>
      </c>
      <c r="F6990">
        <f>IF(INDEX(Transactions!$J:$J,ROW()-8)="",0,INDEX(Transactions!$O:$O,ROW()-8))</f>
      </c>
    </row>
    <row r="6991" spans="1:7">
      <c r="B6991">
        <f>IF(INDEX(Transactions!$J:$J,ROW()-8)="",TODAY(),INDEX(Transactions!$G:$G,ROW()-8))</f>
      </c>
      <c r="F6991">
        <f>IF(INDEX(Transactions!$J:$J,ROW()-8)="",0,INDEX(Transactions!$O:$O,ROW()-8))</f>
      </c>
    </row>
    <row r="6992" spans="1:7">
      <c r="B6992">
        <f>IF(INDEX(Transactions!$J:$J,ROW()-8)="",TODAY(),INDEX(Transactions!$G:$G,ROW()-8))</f>
      </c>
      <c r="F6992">
        <f>IF(INDEX(Transactions!$J:$J,ROW()-8)="",0,INDEX(Transactions!$O:$O,ROW()-8))</f>
      </c>
    </row>
    <row r="6993" spans="1:7">
      <c r="B6993">
        <f>IF(INDEX(Transactions!$J:$J,ROW()-8)="",TODAY(),INDEX(Transactions!$G:$G,ROW()-8))</f>
      </c>
      <c r="F6993">
        <f>IF(INDEX(Transactions!$J:$J,ROW()-8)="",0,INDEX(Transactions!$O:$O,ROW()-8))</f>
      </c>
    </row>
    <row r="6994" spans="1:7">
      <c r="B6994">
        <f>IF(INDEX(Transactions!$J:$J,ROW()-8)="",TODAY(),INDEX(Transactions!$G:$G,ROW()-8))</f>
      </c>
      <c r="F6994">
        <f>IF(INDEX(Transactions!$J:$J,ROW()-8)="",0,INDEX(Transactions!$O:$O,ROW()-8))</f>
      </c>
    </row>
    <row r="6995" spans="1:7">
      <c r="B6995">
        <f>IF(INDEX(Transactions!$J:$J,ROW()-8)="",TODAY(),INDEX(Transactions!$G:$G,ROW()-8))</f>
      </c>
      <c r="F6995">
        <f>IF(INDEX(Transactions!$J:$J,ROW()-8)="",0,INDEX(Transactions!$O:$O,ROW()-8))</f>
      </c>
    </row>
    <row r="6996" spans="1:7">
      <c r="B6996">
        <f>IF(INDEX(Transactions!$J:$J,ROW()-8)="",TODAY(),INDEX(Transactions!$G:$G,ROW()-8))</f>
      </c>
      <c r="F6996">
        <f>IF(INDEX(Transactions!$J:$J,ROW()-8)="",0,INDEX(Transactions!$O:$O,ROW()-8))</f>
      </c>
    </row>
    <row r="6997" spans="1:7">
      <c r="B6997">
        <f>IF(INDEX(Transactions!$J:$J,ROW()-8)="",TODAY(),INDEX(Transactions!$G:$G,ROW()-8))</f>
      </c>
      <c r="F6997">
        <f>IF(INDEX(Transactions!$J:$J,ROW()-8)="",0,INDEX(Transactions!$O:$O,ROW()-8))</f>
      </c>
    </row>
    <row r="6998" spans="1:7">
      <c r="B6998">
        <f>IF(INDEX(Transactions!$J:$J,ROW()-8)="",TODAY(),INDEX(Transactions!$G:$G,ROW()-8))</f>
      </c>
      <c r="F6998">
        <f>IF(INDEX(Transactions!$J:$J,ROW()-8)="",0,INDEX(Transactions!$O:$O,ROW()-8))</f>
      </c>
    </row>
    <row r="6999" spans="1:7">
      <c r="B6999">
        <f>IF(INDEX(Transactions!$J:$J,ROW()-8)="",TODAY(),INDEX(Transactions!$G:$G,ROW()-8))</f>
      </c>
      <c r="F6999">
        <f>IF(INDEX(Transactions!$J:$J,ROW()-8)="",0,INDEX(Transactions!$O:$O,ROW()-8))</f>
      </c>
    </row>
    <row r="7000" spans="1:7">
      <c r="B7000">
        <f>IF(INDEX(Transactions!$J:$J,ROW()-8)="",TODAY(),INDEX(Transactions!$G:$G,ROW()-8))</f>
      </c>
      <c r="F7000">
        <f>IF(INDEX(Transactions!$J:$J,ROW()-8)="",0,INDEX(Transactions!$O:$O,ROW()-8))</f>
      </c>
    </row>
    <row r="7001" spans="1:7">
      <c r="B7001">
        <f>IF(INDEX(Transactions!$J:$J,ROW()-8)="",TODAY(),INDEX(Transactions!$G:$G,ROW()-8))</f>
      </c>
      <c r="F7001">
        <f>IF(INDEX(Transactions!$J:$J,ROW()-8)="",0,INDEX(Transactions!$O:$O,ROW()-8))</f>
      </c>
    </row>
    <row r="7002" spans="1:7">
      <c r="B7002">
        <f>IF(INDEX(Transactions!$J:$J,ROW()-8)="",TODAY(),INDEX(Transactions!$G:$G,ROW()-8))</f>
      </c>
      <c r="F7002">
        <f>IF(INDEX(Transactions!$J:$J,ROW()-8)="",0,INDEX(Transactions!$O:$O,ROW()-8))</f>
      </c>
    </row>
    <row r="7003" spans="1:7">
      <c r="B7003">
        <f>IF(INDEX(Transactions!$J:$J,ROW()-8)="",TODAY(),INDEX(Transactions!$G:$G,ROW()-8))</f>
      </c>
      <c r="F7003">
        <f>IF(INDEX(Transactions!$J:$J,ROW()-8)="",0,INDEX(Transactions!$O:$O,ROW()-8))</f>
      </c>
    </row>
    <row r="7004" spans="1:7">
      <c r="B7004">
        <f>IF(INDEX(Transactions!$J:$J,ROW()-8)="",TODAY(),INDEX(Transactions!$G:$G,ROW()-8))</f>
      </c>
      <c r="F7004">
        <f>IF(INDEX(Transactions!$J:$J,ROW()-8)="",0,INDEX(Transactions!$O:$O,ROW()-8))</f>
      </c>
    </row>
    <row r="7005" spans="1:7">
      <c r="B7005">
        <f>IF(INDEX(Transactions!$J:$J,ROW()-8)="",TODAY(),INDEX(Transactions!$G:$G,ROW()-8))</f>
      </c>
      <c r="F7005">
        <f>IF(INDEX(Transactions!$J:$J,ROW()-8)="",0,INDEX(Transactions!$O:$O,ROW()-8))</f>
      </c>
    </row>
    <row r="7006" spans="1:7">
      <c r="B7006">
        <f>IF(INDEX(Transactions!$J:$J,ROW()-8)="",TODAY(),INDEX(Transactions!$G:$G,ROW()-8))</f>
      </c>
      <c r="F7006">
        <f>IF(INDEX(Transactions!$J:$J,ROW()-8)="",0,INDEX(Transactions!$O:$O,ROW()-8))</f>
      </c>
    </row>
    <row r="7007" spans="1:7">
      <c r="B7007">
        <f>IF(INDEX(Transactions!$J:$J,ROW()-8)="",TODAY(),INDEX(Transactions!$G:$G,ROW()-8))</f>
      </c>
      <c r="F7007">
        <f>IF(INDEX(Transactions!$J:$J,ROW()-8)="",0,INDEX(Transactions!$O:$O,ROW()-8))</f>
      </c>
    </row>
    <row r="7008" spans="1:7">
      <c r="B7008">
        <f>IF(INDEX(Transactions!$J:$J,ROW()-8)="",TODAY(),INDEX(Transactions!$G:$G,ROW()-8))</f>
      </c>
      <c r="F7008">
        <f>IF(INDEX(Transactions!$J:$J,ROW()-8)="",0,INDEX(Transactions!$O:$O,ROW()-8))</f>
      </c>
    </row>
    <row r="7009" spans="1:7">
      <c r="B7009">
        <f>IF(INDEX(Transactions!$J:$J,ROW()-8)="",TODAY(),INDEX(Transactions!$G:$G,ROW()-8))</f>
      </c>
      <c r="F7009">
        <f>IF(INDEX(Transactions!$J:$J,ROW()-8)="",0,INDEX(Transactions!$O:$O,ROW()-8))</f>
      </c>
    </row>
    <row r="7010" spans="1:7">
      <c r="B7010">
        <f>IF(INDEX(Transactions!$J:$J,ROW()-8)="",TODAY(),INDEX(Transactions!$G:$G,ROW()-8))</f>
      </c>
      <c r="F7010">
        <f>IF(INDEX(Transactions!$J:$J,ROW()-8)="",0,INDEX(Transactions!$O:$O,ROW()-8))</f>
      </c>
    </row>
    <row r="7011" spans="1:7">
      <c r="B7011">
        <f>IF(INDEX(Transactions!$J:$J,ROW()-8)="",TODAY(),INDEX(Transactions!$G:$G,ROW()-8))</f>
      </c>
      <c r="F7011">
        <f>IF(INDEX(Transactions!$J:$J,ROW()-8)="",0,INDEX(Transactions!$O:$O,ROW()-8))</f>
      </c>
    </row>
    <row r="7012" spans="1:7">
      <c r="B7012">
        <f>IF(INDEX(Transactions!$J:$J,ROW()-8)="",TODAY(),INDEX(Transactions!$G:$G,ROW()-8))</f>
      </c>
      <c r="F7012">
        <f>IF(INDEX(Transactions!$J:$J,ROW()-8)="",0,INDEX(Transactions!$O:$O,ROW()-8))</f>
      </c>
    </row>
    <row r="7013" spans="1:7">
      <c r="B7013">
        <f>IF(INDEX(Transactions!$J:$J,ROW()-8)="",TODAY(),INDEX(Transactions!$G:$G,ROW()-8))</f>
      </c>
      <c r="F7013">
        <f>IF(INDEX(Transactions!$J:$J,ROW()-8)="",0,INDEX(Transactions!$O:$O,ROW()-8))</f>
      </c>
    </row>
    <row r="7014" spans="1:7">
      <c r="B7014">
        <f>IF(INDEX(Transactions!$J:$J,ROW()-8)="",TODAY(),INDEX(Transactions!$G:$G,ROW()-8))</f>
      </c>
      <c r="F7014">
        <f>IF(INDEX(Transactions!$J:$J,ROW()-8)="",0,INDEX(Transactions!$O:$O,ROW()-8))</f>
      </c>
    </row>
    <row r="7015" spans="1:7">
      <c r="B7015">
        <f>IF(INDEX(Transactions!$J:$J,ROW()-8)="",TODAY(),INDEX(Transactions!$G:$G,ROW()-8))</f>
      </c>
      <c r="F7015">
        <f>IF(INDEX(Transactions!$J:$J,ROW()-8)="",0,INDEX(Transactions!$O:$O,ROW()-8))</f>
      </c>
    </row>
    <row r="7016" spans="1:7">
      <c r="B7016">
        <f>IF(INDEX(Transactions!$J:$J,ROW()-8)="",TODAY(),INDEX(Transactions!$G:$G,ROW()-8))</f>
      </c>
      <c r="F7016">
        <f>IF(INDEX(Transactions!$J:$J,ROW()-8)="",0,INDEX(Transactions!$O:$O,ROW()-8))</f>
      </c>
    </row>
    <row r="7017" spans="1:7">
      <c r="B7017">
        <f>IF(INDEX(Transactions!$J:$J,ROW()-8)="",TODAY(),INDEX(Transactions!$G:$G,ROW()-8))</f>
      </c>
      <c r="F7017">
        <f>IF(INDEX(Transactions!$J:$J,ROW()-8)="",0,INDEX(Transactions!$O:$O,ROW()-8))</f>
      </c>
    </row>
    <row r="7018" spans="1:7">
      <c r="B7018">
        <f>IF(INDEX(Transactions!$J:$J,ROW()-8)="",TODAY(),INDEX(Transactions!$G:$G,ROW()-8))</f>
      </c>
      <c r="F7018">
        <f>IF(INDEX(Transactions!$J:$J,ROW()-8)="",0,INDEX(Transactions!$O:$O,ROW()-8))</f>
      </c>
    </row>
    <row r="7019" spans="1:7">
      <c r="B7019">
        <f>IF(INDEX(Transactions!$J:$J,ROW()-8)="",TODAY(),INDEX(Transactions!$G:$G,ROW()-8))</f>
      </c>
      <c r="F7019">
        <f>IF(INDEX(Transactions!$J:$J,ROW()-8)="",0,INDEX(Transactions!$O:$O,ROW()-8))</f>
      </c>
    </row>
    <row r="7020" spans="1:7">
      <c r="B7020">
        <f>IF(INDEX(Transactions!$J:$J,ROW()-8)="",TODAY(),INDEX(Transactions!$G:$G,ROW()-8))</f>
      </c>
      <c r="F7020">
        <f>IF(INDEX(Transactions!$J:$J,ROW()-8)="",0,INDEX(Transactions!$O:$O,ROW()-8))</f>
      </c>
    </row>
    <row r="7021" spans="1:7">
      <c r="B7021">
        <f>IF(INDEX(Transactions!$J:$J,ROW()-8)="",TODAY(),INDEX(Transactions!$G:$G,ROW()-8))</f>
      </c>
      <c r="F7021">
        <f>IF(INDEX(Transactions!$J:$J,ROW()-8)="",0,INDEX(Transactions!$O:$O,ROW()-8))</f>
      </c>
    </row>
    <row r="7022" spans="1:7">
      <c r="B7022">
        <f>IF(INDEX(Transactions!$J:$J,ROW()-8)="",TODAY(),INDEX(Transactions!$G:$G,ROW()-8))</f>
      </c>
      <c r="F7022">
        <f>IF(INDEX(Transactions!$J:$J,ROW()-8)="",0,INDEX(Transactions!$O:$O,ROW()-8))</f>
      </c>
    </row>
    <row r="7023" spans="1:7">
      <c r="B7023">
        <f>IF(INDEX(Transactions!$J:$J,ROW()-8)="",TODAY(),INDEX(Transactions!$G:$G,ROW()-8))</f>
      </c>
      <c r="F7023">
        <f>IF(INDEX(Transactions!$J:$J,ROW()-8)="",0,INDEX(Transactions!$O:$O,ROW()-8))</f>
      </c>
    </row>
    <row r="7024" spans="1:7">
      <c r="B7024">
        <f>IF(INDEX(Transactions!$J:$J,ROW()-8)="",TODAY(),INDEX(Transactions!$G:$G,ROW()-8))</f>
      </c>
      <c r="F7024">
        <f>IF(INDEX(Transactions!$J:$J,ROW()-8)="",0,INDEX(Transactions!$O:$O,ROW()-8))</f>
      </c>
    </row>
    <row r="7025" spans="1:7">
      <c r="B7025">
        <f>IF(INDEX(Transactions!$J:$J,ROW()-8)="",TODAY(),INDEX(Transactions!$G:$G,ROW()-8))</f>
      </c>
      <c r="F7025">
        <f>IF(INDEX(Transactions!$J:$J,ROW()-8)="",0,INDEX(Transactions!$O:$O,ROW()-8))</f>
      </c>
    </row>
    <row r="7026" spans="1:7">
      <c r="B7026">
        <f>IF(INDEX(Transactions!$J:$J,ROW()-8)="",TODAY(),INDEX(Transactions!$G:$G,ROW()-8))</f>
      </c>
      <c r="F7026">
        <f>IF(INDEX(Transactions!$J:$J,ROW()-8)="",0,INDEX(Transactions!$O:$O,ROW()-8))</f>
      </c>
    </row>
    <row r="7027" spans="1:7">
      <c r="B7027">
        <f>IF(INDEX(Transactions!$J:$J,ROW()-8)="",TODAY(),INDEX(Transactions!$G:$G,ROW()-8))</f>
      </c>
      <c r="F7027">
        <f>IF(INDEX(Transactions!$J:$J,ROW()-8)="",0,INDEX(Transactions!$O:$O,ROW()-8))</f>
      </c>
    </row>
    <row r="7028" spans="1:7">
      <c r="B7028">
        <f>IF(INDEX(Transactions!$J:$J,ROW()-8)="",TODAY(),INDEX(Transactions!$G:$G,ROW()-8))</f>
      </c>
      <c r="F7028">
        <f>IF(INDEX(Transactions!$J:$J,ROW()-8)="",0,INDEX(Transactions!$O:$O,ROW()-8))</f>
      </c>
    </row>
    <row r="7029" spans="1:7">
      <c r="B7029">
        <f>IF(INDEX(Transactions!$J:$J,ROW()-8)="",TODAY(),INDEX(Transactions!$G:$G,ROW()-8))</f>
      </c>
      <c r="F7029">
        <f>IF(INDEX(Transactions!$J:$J,ROW()-8)="",0,INDEX(Transactions!$O:$O,ROW()-8))</f>
      </c>
    </row>
    <row r="7030" spans="1:7">
      <c r="B7030">
        <f>IF(INDEX(Transactions!$J:$J,ROW()-8)="",TODAY(),INDEX(Transactions!$G:$G,ROW()-8))</f>
      </c>
      <c r="F7030">
        <f>IF(INDEX(Transactions!$J:$J,ROW()-8)="",0,INDEX(Transactions!$O:$O,ROW()-8))</f>
      </c>
    </row>
    <row r="7031" spans="1:7">
      <c r="B7031">
        <f>IF(INDEX(Transactions!$J:$J,ROW()-8)="",TODAY(),INDEX(Transactions!$G:$G,ROW()-8))</f>
      </c>
      <c r="F7031">
        <f>IF(INDEX(Transactions!$J:$J,ROW()-8)="",0,INDEX(Transactions!$O:$O,ROW()-8))</f>
      </c>
    </row>
    <row r="7032" spans="1:7">
      <c r="B7032">
        <f>IF(INDEX(Transactions!$J:$J,ROW()-8)="",TODAY(),INDEX(Transactions!$G:$G,ROW()-8))</f>
      </c>
      <c r="F7032">
        <f>IF(INDEX(Transactions!$J:$J,ROW()-8)="",0,INDEX(Transactions!$O:$O,ROW()-8))</f>
      </c>
    </row>
    <row r="7033" spans="1:7">
      <c r="B7033">
        <f>IF(INDEX(Transactions!$J:$J,ROW()-8)="",TODAY(),INDEX(Transactions!$G:$G,ROW()-8))</f>
      </c>
      <c r="F7033">
        <f>IF(INDEX(Transactions!$J:$J,ROW()-8)="",0,INDEX(Transactions!$O:$O,ROW()-8))</f>
      </c>
    </row>
    <row r="7034" spans="1:7">
      <c r="B7034">
        <f>IF(INDEX(Transactions!$J:$J,ROW()-8)="",TODAY(),INDEX(Transactions!$G:$G,ROW()-8))</f>
      </c>
      <c r="F7034">
        <f>IF(INDEX(Transactions!$J:$J,ROW()-8)="",0,INDEX(Transactions!$O:$O,ROW()-8))</f>
      </c>
    </row>
    <row r="7035" spans="1:7">
      <c r="B7035">
        <f>IF(INDEX(Transactions!$J:$J,ROW()-8)="",TODAY(),INDEX(Transactions!$G:$G,ROW()-8))</f>
      </c>
      <c r="F7035">
        <f>IF(INDEX(Transactions!$J:$J,ROW()-8)="",0,INDEX(Transactions!$O:$O,ROW()-8))</f>
      </c>
    </row>
    <row r="7036" spans="1:7">
      <c r="B7036">
        <f>IF(INDEX(Transactions!$J:$J,ROW()-8)="",TODAY(),INDEX(Transactions!$G:$G,ROW()-8))</f>
      </c>
      <c r="F7036">
        <f>IF(INDEX(Transactions!$J:$J,ROW()-8)="",0,INDEX(Transactions!$O:$O,ROW()-8))</f>
      </c>
    </row>
    <row r="7037" spans="1:7">
      <c r="B7037">
        <f>IF(INDEX(Transactions!$J:$J,ROW()-8)="",TODAY(),INDEX(Transactions!$G:$G,ROW()-8))</f>
      </c>
      <c r="F7037">
        <f>IF(INDEX(Transactions!$J:$J,ROW()-8)="",0,INDEX(Transactions!$O:$O,ROW()-8))</f>
      </c>
    </row>
    <row r="7038" spans="1:7">
      <c r="B7038">
        <f>IF(INDEX(Transactions!$J:$J,ROW()-8)="",TODAY(),INDEX(Transactions!$G:$G,ROW()-8))</f>
      </c>
      <c r="F7038">
        <f>IF(INDEX(Transactions!$J:$J,ROW()-8)="",0,INDEX(Transactions!$O:$O,ROW()-8))</f>
      </c>
    </row>
    <row r="7039" spans="1:7">
      <c r="B7039">
        <f>IF(INDEX(Transactions!$J:$J,ROW()-8)="",TODAY(),INDEX(Transactions!$G:$G,ROW()-8))</f>
      </c>
      <c r="F7039">
        <f>IF(INDEX(Transactions!$J:$J,ROW()-8)="",0,INDEX(Transactions!$O:$O,ROW()-8))</f>
      </c>
    </row>
    <row r="7040" spans="1:7">
      <c r="B7040">
        <f>IF(INDEX(Transactions!$J:$J,ROW()-8)="",TODAY(),INDEX(Transactions!$G:$G,ROW()-8))</f>
      </c>
      <c r="F7040">
        <f>IF(INDEX(Transactions!$J:$J,ROW()-8)="",0,INDEX(Transactions!$O:$O,ROW()-8))</f>
      </c>
    </row>
    <row r="7041" spans="1:7">
      <c r="B7041">
        <f>IF(INDEX(Transactions!$J:$J,ROW()-8)="",TODAY(),INDEX(Transactions!$G:$G,ROW()-8))</f>
      </c>
      <c r="F7041">
        <f>IF(INDEX(Transactions!$J:$J,ROW()-8)="",0,INDEX(Transactions!$O:$O,ROW()-8))</f>
      </c>
    </row>
    <row r="7042" spans="1:7">
      <c r="B7042">
        <f>IF(INDEX(Transactions!$J:$J,ROW()-8)="",TODAY(),INDEX(Transactions!$G:$G,ROW()-8))</f>
      </c>
      <c r="F7042">
        <f>IF(INDEX(Transactions!$J:$J,ROW()-8)="",0,INDEX(Transactions!$O:$O,ROW()-8))</f>
      </c>
    </row>
    <row r="7043" spans="1:7">
      <c r="B7043">
        <f>IF(INDEX(Transactions!$J:$J,ROW()-8)="",TODAY(),INDEX(Transactions!$G:$G,ROW()-8))</f>
      </c>
      <c r="F7043">
        <f>IF(INDEX(Transactions!$J:$J,ROW()-8)="",0,INDEX(Transactions!$O:$O,ROW()-8))</f>
      </c>
    </row>
    <row r="7044" spans="1:7">
      <c r="B7044">
        <f>IF(INDEX(Transactions!$J:$J,ROW()-8)="",TODAY(),INDEX(Transactions!$G:$G,ROW()-8))</f>
      </c>
      <c r="F7044">
        <f>IF(INDEX(Transactions!$J:$J,ROW()-8)="",0,INDEX(Transactions!$O:$O,ROW()-8))</f>
      </c>
    </row>
    <row r="7045" spans="1:7">
      <c r="B7045">
        <f>IF(INDEX(Transactions!$J:$J,ROW()-8)="",TODAY(),INDEX(Transactions!$G:$G,ROW()-8))</f>
      </c>
      <c r="F7045">
        <f>IF(INDEX(Transactions!$J:$J,ROW()-8)="",0,INDEX(Transactions!$O:$O,ROW()-8))</f>
      </c>
    </row>
    <row r="7046" spans="1:7">
      <c r="B7046">
        <f>IF(INDEX(Transactions!$J:$J,ROW()-8)="",TODAY(),INDEX(Transactions!$G:$G,ROW()-8))</f>
      </c>
      <c r="F7046">
        <f>IF(INDEX(Transactions!$J:$J,ROW()-8)="",0,INDEX(Transactions!$O:$O,ROW()-8))</f>
      </c>
    </row>
    <row r="7047" spans="1:7">
      <c r="B7047">
        <f>IF(INDEX(Transactions!$J:$J,ROW()-8)="",TODAY(),INDEX(Transactions!$G:$G,ROW()-8))</f>
      </c>
      <c r="F7047">
        <f>IF(INDEX(Transactions!$J:$J,ROW()-8)="",0,INDEX(Transactions!$O:$O,ROW()-8))</f>
      </c>
    </row>
    <row r="7048" spans="1:7">
      <c r="B7048">
        <f>IF(INDEX(Transactions!$J:$J,ROW()-8)="",TODAY(),INDEX(Transactions!$G:$G,ROW()-8))</f>
      </c>
      <c r="F7048">
        <f>IF(INDEX(Transactions!$J:$J,ROW()-8)="",0,INDEX(Transactions!$O:$O,ROW()-8))</f>
      </c>
    </row>
    <row r="7049" spans="1:7">
      <c r="B7049">
        <f>IF(INDEX(Transactions!$J:$J,ROW()-8)="",TODAY(),INDEX(Transactions!$G:$G,ROW()-8))</f>
      </c>
      <c r="F7049">
        <f>IF(INDEX(Transactions!$J:$J,ROW()-8)="",0,INDEX(Transactions!$O:$O,ROW()-8))</f>
      </c>
    </row>
    <row r="7050" spans="1:7">
      <c r="B7050">
        <f>IF(INDEX(Transactions!$J:$J,ROW()-8)="",TODAY(),INDEX(Transactions!$G:$G,ROW()-8))</f>
      </c>
      <c r="F7050">
        <f>IF(INDEX(Transactions!$J:$J,ROW()-8)="",0,INDEX(Transactions!$O:$O,ROW()-8))</f>
      </c>
    </row>
    <row r="7051" spans="1:7">
      <c r="B7051">
        <f>IF(INDEX(Transactions!$J:$J,ROW()-8)="",TODAY(),INDEX(Transactions!$G:$G,ROW()-8))</f>
      </c>
      <c r="F7051">
        <f>IF(INDEX(Transactions!$J:$J,ROW()-8)="",0,INDEX(Transactions!$O:$O,ROW()-8))</f>
      </c>
    </row>
    <row r="7052" spans="1:7">
      <c r="B7052">
        <f>IF(INDEX(Transactions!$J:$J,ROW()-8)="",TODAY(),INDEX(Transactions!$G:$G,ROW()-8))</f>
      </c>
      <c r="F7052">
        <f>IF(INDEX(Transactions!$J:$J,ROW()-8)="",0,INDEX(Transactions!$O:$O,ROW()-8))</f>
      </c>
    </row>
    <row r="7053" spans="1:7">
      <c r="B7053">
        <f>IF(INDEX(Transactions!$J:$J,ROW()-8)="",TODAY(),INDEX(Transactions!$G:$G,ROW()-8))</f>
      </c>
      <c r="F7053">
        <f>IF(INDEX(Transactions!$J:$J,ROW()-8)="",0,INDEX(Transactions!$O:$O,ROW()-8))</f>
      </c>
    </row>
    <row r="7054" spans="1:7">
      <c r="B7054">
        <f>IF(INDEX(Transactions!$J:$J,ROW()-8)="",TODAY(),INDEX(Transactions!$G:$G,ROW()-8))</f>
      </c>
      <c r="F7054">
        <f>IF(INDEX(Transactions!$J:$J,ROW()-8)="",0,INDEX(Transactions!$O:$O,ROW()-8))</f>
      </c>
    </row>
    <row r="7055" spans="1:7">
      <c r="B7055">
        <f>IF(INDEX(Transactions!$J:$J,ROW()-8)="",TODAY(),INDEX(Transactions!$G:$G,ROW()-8))</f>
      </c>
      <c r="F7055">
        <f>IF(INDEX(Transactions!$J:$J,ROW()-8)="",0,INDEX(Transactions!$O:$O,ROW()-8))</f>
      </c>
    </row>
    <row r="7056" spans="1:7">
      <c r="B7056">
        <f>IF(INDEX(Transactions!$J:$J,ROW()-8)="",TODAY(),INDEX(Transactions!$G:$G,ROW()-8))</f>
      </c>
      <c r="F7056">
        <f>IF(INDEX(Transactions!$J:$J,ROW()-8)="",0,INDEX(Transactions!$O:$O,ROW()-8))</f>
      </c>
    </row>
    <row r="7057" spans="1:7">
      <c r="B7057">
        <f>IF(INDEX(Transactions!$J:$J,ROW()-8)="",TODAY(),INDEX(Transactions!$G:$G,ROW()-8))</f>
      </c>
      <c r="F7057">
        <f>IF(INDEX(Transactions!$J:$J,ROW()-8)="",0,INDEX(Transactions!$O:$O,ROW()-8))</f>
      </c>
    </row>
    <row r="7058" spans="1:7">
      <c r="B7058">
        <f>IF(INDEX(Transactions!$J:$J,ROW()-8)="",TODAY(),INDEX(Transactions!$G:$G,ROW()-8))</f>
      </c>
      <c r="F7058">
        <f>IF(INDEX(Transactions!$J:$J,ROW()-8)="",0,INDEX(Transactions!$O:$O,ROW()-8))</f>
      </c>
    </row>
    <row r="7059" spans="1:7">
      <c r="B7059">
        <f>IF(INDEX(Transactions!$J:$J,ROW()-8)="",TODAY(),INDEX(Transactions!$G:$G,ROW()-8))</f>
      </c>
      <c r="F7059">
        <f>IF(INDEX(Transactions!$J:$J,ROW()-8)="",0,INDEX(Transactions!$O:$O,ROW()-8))</f>
      </c>
    </row>
    <row r="7060" spans="1:7">
      <c r="B7060">
        <f>IF(INDEX(Transactions!$J:$J,ROW()-8)="",TODAY(),INDEX(Transactions!$G:$G,ROW()-8))</f>
      </c>
      <c r="F7060">
        <f>IF(INDEX(Transactions!$J:$J,ROW()-8)="",0,INDEX(Transactions!$O:$O,ROW()-8))</f>
      </c>
    </row>
    <row r="7061" spans="1:7">
      <c r="B7061">
        <f>IF(INDEX(Transactions!$J:$J,ROW()-8)="",TODAY(),INDEX(Transactions!$G:$G,ROW()-8))</f>
      </c>
      <c r="F7061">
        <f>IF(INDEX(Transactions!$J:$J,ROW()-8)="",0,INDEX(Transactions!$O:$O,ROW()-8))</f>
      </c>
    </row>
    <row r="7062" spans="1:7">
      <c r="B7062">
        <f>IF(INDEX(Transactions!$J:$J,ROW()-8)="",TODAY(),INDEX(Transactions!$G:$G,ROW()-8))</f>
      </c>
      <c r="F7062">
        <f>IF(INDEX(Transactions!$J:$J,ROW()-8)="",0,INDEX(Transactions!$O:$O,ROW()-8))</f>
      </c>
    </row>
    <row r="7063" spans="1:7">
      <c r="B7063">
        <f>IF(INDEX(Transactions!$J:$J,ROW()-8)="",TODAY(),INDEX(Transactions!$G:$G,ROW()-8))</f>
      </c>
      <c r="F7063">
        <f>IF(INDEX(Transactions!$J:$J,ROW()-8)="",0,INDEX(Transactions!$O:$O,ROW()-8))</f>
      </c>
    </row>
    <row r="7064" spans="1:7">
      <c r="B7064">
        <f>IF(INDEX(Transactions!$J:$J,ROW()-8)="",TODAY(),INDEX(Transactions!$G:$G,ROW()-8))</f>
      </c>
      <c r="F7064">
        <f>IF(INDEX(Transactions!$J:$J,ROW()-8)="",0,INDEX(Transactions!$O:$O,ROW()-8))</f>
      </c>
    </row>
    <row r="7065" spans="1:7">
      <c r="B7065">
        <f>IF(INDEX(Transactions!$J:$J,ROW()-8)="",TODAY(),INDEX(Transactions!$G:$G,ROW()-8))</f>
      </c>
      <c r="F7065">
        <f>IF(INDEX(Transactions!$J:$J,ROW()-8)="",0,INDEX(Transactions!$O:$O,ROW()-8))</f>
      </c>
    </row>
    <row r="7066" spans="1:7">
      <c r="B7066">
        <f>IF(INDEX(Transactions!$J:$J,ROW()-8)="",TODAY(),INDEX(Transactions!$G:$G,ROW()-8))</f>
      </c>
      <c r="F7066">
        <f>IF(INDEX(Transactions!$J:$J,ROW()-8)="",0,INDEX(Transactions!$O:$O,ROW()-8))</f>
      </c>
    </row>
    <row r="7067" spans="1:7">
      <c r="B7067">
        <f>IF(INDEX(Transactions!$J:$J,ROW()-8)="",TODAY(),INDEX(Transactions!$G:$G,ROW()-8))</f>
      </c>
      <c r="F7067">
        <f>IF(INDEX(Transactions!$J:$J,ROW()-8)="",0,INDEX(Transactions!$O:$O,ROW()-8))</f>
      </c>
    </row>
    <row r="7068" spans="1:7">
      <c r="B7068">
        <f>IF(INDEX(Transactions!$J:$J,ROW()-8)="",TODAY(),INDEX(Transactions!$G:$G,ROW()-8))</f>
      </c>
      <c r="F7068">
        <f>IF(INDEX(Transactions!$J:$J,ROW()-8)="",0,INDEX(Transactions!$O:$O,ROW()-8))</f>
      </c>
    </row>
    <row r="7069" spans="1:7">
      <c r="B7069">
        <f>IF(INDEX(Transactions!$J:$J,ROW()-8)="",TODAY(),INDEX(Transactions!$G:$G,ROW()-8))</f>
      </c>
      <c r="F7069">
        <f>IF(INDEX(Transactions!$J:$J,ROW()-8)="",0,INDEX(Transactions!$O:$O,ROW()-8))</f>
      </c>
    </row>
    <row r="7070" spans="1:7">
      <c r="B7070">
        <f>IF(INDEX(Transactions!$J:$J,ROW()-8)="",TODAY(),INDEX(Transactions!$G:$G,ROW()-8))</f>
      </c>
      <c r="F7070">
        <f>IF(INDEX(Transactions!$J:$J,ROW()-8)="",0,INDEX(Transactions!$O:$O,ROW()-8))</f>
      </c>
    </row>
    <row r="7071" spans="1:7">
      <c r="B7071">
        <f>IF(INDEX(Transactions!$J:$J,ROW()-8)="",TODAY(),INDEX(Transactions!$G:$G,ROW()-8))</f>
      </c>
      <c r="F7071">
        <f>IF(INDEX(Transactions!$J:$J,ROW()-8)="",0,INDEX(Transactions!$O:$O,ROW()-8))</f>
      </c>
    </row>
    <row r="7072" spans="1:7">
      <c r="B7072">
        <f>IF(INDEX(Transactions!$J:$J,ROW()-8)="",TODAY(),INDEX(Transactions!$G:$G,ROW()-8))</f>
      </c>
      <c r="F7072">
        <f>IF(INDEX(Transactions!$J:$J,ROW()-8)="",0,INDEX(Transactions!$O:$O,ROW()-8))</f>
      </c>
    </row>
    <row r="7073" spans="1:7">
      <c r="B7073">
        <f>IF(INDEX(Transactions!$J:$J,ROW()-8)="",TODAY(),INDEX(Transactions!$G:$G,ROW()-8))</f>
      </c>
      <c r="F7073">
        <f>IF(INDEX(Transactions!$J:$J,ROW()-8)="",0,INDEX(Transactions!$O:$O,ROW()-8))</f>
      </c>
    </row>
    <row r="7074" spans="1:7">
      <c r="B7074">
        <f>IF(INDEX(Transactions!$J:$J,ROW()-8)="",TODAY(),INDEX(Transactions!$G:$G,ROW()-8))</f>
      </c>
      <c r="F7074">
        <f>IF(INDEX(Transactions!$J:$J,ROW()-8)="",0,INDEX(Transactions!$O:$O,ROW()-8))</f>
      </c>
    </row>
    <row r="7075" spans="1:7">
      <c r="B7075">
        <f>IF(INDEX(Transactions!$J:$J,ROW()-8)="",TODAY(),INDEX(Transactions!$G:$G,ROW()-8))</f>
      </c>
      <c r="F7075">
        <f>IF(INDEX(Transactions!$J:$J,ROW()-8)="",0,INDEX(Transactions!$O:$O,ROW()-8))</f>
      </c>
    </row>
    <row r="7076" spans="1:7">
      <c r="B7076">
        <f>IF(INDEX(Transactions!$J:$J,ROW()-8)="",TODAY(),INDEX(Transactions!$G:$G,ROW()-8))</f>
      </c>
      <c r="F7076">
        <f>IF(INDEX(Transactions!$J:$J,ROW()-8)="",0,INDEX(Transactions!$O:$O,ROW()-8))</f>
      </c>
    </row>
    <row r="7077" spans="1:7">
      <c r="B7077">
        <f>IF(INDEX(Transactions!$J:$J,ROW()-8)="",TODAY(),INDEX(Transactions!$G:$G,ROW()-8))</f>
      </c>
      <c r="F7077">
        <f>IF(INDEX(Transactions!$J:$J,ROW()-8)="",0,INDEX(Transactions!$O:$O,ROW()-8))</f>
      </c>
    </row>
    <row r="7078" spans="1:7">
      <c r="B7078">
        <f>IF(INDEX(Transactions!$J:$J,ROW()-8)="",TODAY(),INDEX(Transactions!$G:$G,ROW()-8))</f>
      </c>
      <c r="F7078">
        <f>IF(INDEX(Transactions!$J:$J,ROW()-8)="",0,INDEX(Transactions!$O:$O,ROW()-8))</f>
      </c>
    </row>
    <row r="7079" spans="1:7">
      <c r="B7079">
        <f>IF(INDEX(Transactions!$J:$J,ROW()-8)="",TODAY(),INDEX(Transactions!$G:$G,ROW()-8))</f>
      </c>
      <c r="F7079">
        <f>IF(INDEX(Transactions!$J:$J,ROW()-8)="",0,INDEX(Transactions!$O:$O,ROW()-8))</f>
      </c>
    </row>
    <row r="7080" spans="1:7">
      <c r="B7080">
        <f>IF(INDEX(Transactions!$J:$J,ROW()-8)="",TODAY(),INDEX(Transactions!$G:$G,ROW()-8))</f>
      </c>
      <c r="F7080">
        <f>IF(INDEX(Transactions!$J:$J,ROW()-8)="",0,INDEX(Transactions!$O:$O,ROW()-8))</f>
      </c>
    </row>
    <row r="7081" spans="1:7">
      <c r="B7081">
        <f>IF(INDEX(Transactions!$J:$J,ROW()-8)="",TODAY(),INDEX(Transactions!$G:$G,ROW()-8))</f>
      </c>
      <c r="F7081">
        <f>IF(INDEX(Transactions!$J:$J,ROW()-8)="",0,INDEX(Transactions!$O:$O,ROW()-8))</f>
      </c>
    </row>
    <row r="7082" spans="1:7">
      <c r="B7082">
        <f>IF(INDEX(Transactions!$J:$J,ROW()-8)="",TODAY(),INDEX(Transactions!$G:$G,ROW()-8))</f>
      </c>
      <c r="F7082">
        <f>IF(INDEX(Transactions!$J:$J,ROW()-8)="",0,INDEX(Transactions!$O:$O,ROW()-8))</f>
      </c>
    </row>
    <row r="7083" spans="1:7">
      <c r="B7083">
        <f>IF(INDEX(Transactions!$J:$J,ROW()-8)="",TODAY(),INDEX(Transactions!$G:$G,ROW()-8))</f>
      </c>
      <c r="F7083">
        <f>IF(INDEX(Transactions!$J:$J,ROW()-8)="",0,INDEX(Transactions!$O:$O,ROW()-8))</f>
      </c>
    </row>
    <row r="7084" spans="1:7">
      <c r="B7084">
        <f>IF(INDEX(Transactions!$J:$J,ROW()-8)="",TODAY(),INDEX(Transactions!$G:$G,ROW()-8))</f>
      </c>
      <c r="F7084">
        <f>IF(INDEX(Transactions!$J:$J,ROW()-8)="",0,INDEX(Transactions!$O:$O,ROW()-8))</f>
      </c>
    </row>
    <row r="7085" spans="1:7">
      <c r="B7085">
        <f>IF(INDEX(Transactions!$J:$J,ROW()-8)="",TODAY(),INDEX(Transactions!$G:$G,ROW()-8))</f>
      </c>
      <c r="F7085">
        <f>IF(INDEX(Transactions!$J:$J,ROW()-8)="",0,INDEX(Transactions!$O:$O,ROW()-8))</f>
      </c>
    </row>
    <row r="7086" spans="1:7">
      <c r="B7086">
        <f>IF(INDEX(Transactions!$J:$J,ROW()-8)="",TODAY(),INDEX(Transactions!$G:$G,ROW()-8))</f>
      </c>
      <c r="F7086">
        <f>IF(INDEX(Transactions!$J:$J,ROW()-8)="",0,INDEX(Transactions!$O:$O,ROW()-8))</f>
      </c>
    </row>
    <row r="7087" spans="1:7">
      <c r="B7087">
        <f>IF(INDEX(Transactions!$J:$J,ROW()-8)="",TODAY(),INDEX(Transactions!$G:$G,ROW()-8))</f>
      </c>
      <c r="F7087">
        <f>IF(INDEX(Transactions!$J:$J,ROW()-8)="",0,INDEX(Transactions!$O:$O,ROW()-8))</f>
      </c>
    </row>
    <row r="7088" spans="1:7">
      <c r="B7088">
        <f>IF(INDEX(Transactions!$J:$J,ROW()-8)="",TODAY(),INDEX(Transactions!$G:$G,ROW()-8))</f>
      </c>
      <c r="F7088">
        <f>IF(INDEX(Transactions!$J:$J,ROW()-8)="",0,INDEX(Transactions!$O:$O,ROW()-8))</f>
      </c>
    </row>
    <row r="7089" spans="1:7">
      <c r="B7089">
        <f>IF(INDEX(Transactions!$J:$J,ROW()-8)="",TODAY(),INDEX(Transactions!$G:$G,ROW()-8))</f>
      </c>
      <c r="F7089">
        <f>IF(INDEX(Transactions!$J:$J,ROW()-8)="",0,INDEX(Transactions!$O:$O,ROW()-8))</f>
      </c>
    </row>
    <row r="7090" spans="1:7">
      <c r="B7090">
        <f>IF(INDEX(Transactions!$J:$J,ROW()-8)="",TODAY(),INDEX(Transactions!$G:$G,ROW()-8))</f>
      </c>
      <c r="F7090">
        <f>IF(INDEX(Transactions!$J:$J,ROW()-8)="",0,INDEX(Transactions!$O:$O,ROW()-8))</f>
      </c>
    </row>
    <row r="7091" spans="1:7">
      <c r="B7091">
        <f>IF(INDEX(Transactions!$J:$J,ROW()-8)="",TODAY(),INDEX(Transactions!$G:$G,ROW()-8))</f>
      </c>
      <c r="F7091">
        <f>IF(INDEX(Transactions!$J:$J,ROW()-8)="",0,INDEX(Transactions!$O:$O,ROW()-8))</f>
      </c>
    </row>
    <row r="7092" spans="1:7">
      <c r="B7092">
        <f>IF(INDEX(Transactions!$J:$J,ROW()-8)="",TODAY(),INDEX(Transactions!$G:$G,ROW()-8))</f>
      </c>
      <c r="F7092">
        <f>IF(INDEX(Transactions!$J:$J,ROW()-8)="",0,INDEX(Transactions!$O:$O,ROW()-8))</f>
      </c>
    </row>
    <row r="7093" spans="1:7">
      <c r="B7093">
        <f>IF(INDEX(Transactions!$J:$J,ROW()-8)="",TODAY(),INDEX(Transactions!$G:$G,ROW()-8))</f>
      </c>
      <c r="F7093">
        <f>IF(INDEX(Transactions!$J:$J,ROW()-8)="",0,INDEX(Transactions!$O:$O,ROW()-8))</f>
      </c>
    </row>
    <row r="7094" spans="1:7">
      <c r="B7094">
        <f>IF(INDEX(Transactions!$J:$J,ROW()-8)="",TODAY(),INDEX(Transactions!$G:$G,ROW()-8))</f>
      </c>
      <c r="F7094">
        <f>IF(INDEX(Transactions!$J:$J,ROW()-8)="",0,INDEX(Transactions!$O:$O,ROW()-8))</f>
      </c>
    </row>
    <row r="7095" spans="1:7">
      <c r="B7095">
        <f>IF(INDEX(Transactions!$J:$J,ROW()-8)="",TODAY(),INDEX(Transactions!$G:$G,ROW()-8))</f>
      </c>
      <c r="F7095">
        <f>IF(INDEX(Transactions!$J:$J,ROW()-8)="",0,INDEX(Transactions!$O:$O,ROW()-8))</f>
      </c>
    </row>
    <row r="7096" spans="1:7">
      <c r="B7096">
        <f>IF(INDEX(Transactions!$J:$J,ROW()-8)="",TODAY(),INDEX(Transactions!$G:$G,ROW()-8))</f>
      </c>
      <c r="F7096">
        <f>IF(INDEX(Transactions!$J:$J,ROW()-8)="",0,INDEX(Transactions!$O:$O,ROW()-8))</f>
      </c>
    </row>
    <row r="7097" spans="1:7">
      <c r="B7097">
        <f>IF(INDEX(Transactions!$J:$J,ROW()-8)="",TODAY(),INDEX(Transactions!$G:$G,ROW()-8))</f>
      </c>
      <c r="F7097">
        <f>IF(INDEX(Transactions!$J:$J,ROW()-8)="",0,INDEX(Transactions!$O:$O,ROW()-8))</f>
      </c>
    </row>
    <row r="7098" spans="1:7">
      <c r="B7098">
        <f>IF(INDEX(Transactions!$J:$J,ROW()-8)="",TODAY(),INDEX(Transactions!$G:$G,ROW()-8))</f>
      </c>
      <c r="F7098">
        <f>IF(INDEX(Transactions!$J:$J,ROW()-8)="",0,INDEX(Transactions!$O:$O,ROW()-8))</f>
      </c>
    </row>
    <row r="7099" spans="1:7">
      <c r="B7099">
        <f>IF(INDEX(Transactions!$J:$J,ROW()-8)="",TODAY(),INDEX(Transactions!$G:$G,ROW()-8))</f>
      </c>
      <c r="F7099">
        <f>IF(INDEX(Transactions!$J:$J,ROW()-8)="",0,INDEX(Transactions!$O:$O,ROW()-8))</f>
      </c>
    </row>
    <row r="7100" spans="1:7">
      <c r="B7100">
        <f>IF(INDEX(Transactions!$J:$J,ROW()-8)="",TODAY(),INDEX(Transactions!$G:$G,ROW()-8))</f>
      </c>
      <c r="F7100">
        <f>IF(INDEX(Transactions!$J:$J,ROW()-8)="",0,INDEX(Transactions!$O:$O,ROW()-8))</f>
      </c>
    </row>
    <row r="7101" spans="1:7">
      <c r="B7101">
        <f>IF(INDEX(Transactions!$J:$J,ROW()-8)="",TODAY(),INDEX(Transactions!$G:$G,ROW()-8))</f>
      </c>
      <c r="F7101">
        <f>IF(INDEX(Transactions!$J:$J,ROW()-8)="",0,INDEX(Transactions!$O:$O,ROW()-8))</f>
      </c>
    </row>
    <row r="7102" spans="1:7">
      <c r="B7102">
        <f>IF(INDEX(Transactions!$J:$J,ROW()-8)="",TODAY(),INDEX(Transactions!$G:$G,ROW()-8))</f>
      </c>
      <c r="F7102">
        <f>IF(INDEX(Transactions!$J:$J,ROW()-8)="",0,INDEX(Transactions!$O:$O,ROW()-8))</f>
      </c>
    </row>
    <row r="7103" spans="1:7">
      <c r="B7103">
        <f>IF(INDEX(Transactions!$J:$J,ROW()-8)="",TODAY(),INDEX(Transactions!$G:$G,ROW()-8))</f>
      </c>
      <c r="F7103">
        <f>IF(INDEX(Transactions!$J:$J,ROW()-8)="",0,INDEX(Transactions!$O:$O,ROW()-8))</f>
      </c>
    </row>
    <row r="7104" spans="1:7">
      <c r="B7104">
        <f>IF(INDEX(Transactions!$J:$J,ROW()-8)="",TODAY(),INDEX(Transactions!$G:$G,ROW()-8))</f>
      </c>
      <c r="F7104">
        <f>IF(INDEX(Transactions!$J:$J,ROW()-8)="",0,INDEX(Transactions!$O:$O,ROW()-8))</f>
      </c>
    </row>
    <row r="7105" spans="1:7">
      <c r="B7105">
        <f>IF(INDEX(Transactions!$J:$J,ROW()-8)="",TODAY(),INDEX(Transactions!$G:$G,ROW()-8))</f>
      </c>
      <c r="F7105">
        <f>IF(INDEX(Transactions!$J:$J,ROW()-8)="",0,INDEX(Transactions!$O:$O,ROW()-8))</f>
      </c>
    </row>
    <row r="7106" spans="1:7">
      <c r="B7106">
        <f>IF(INDEX(Transactions!$J:$J,ROW()-8)="",TODAY(),INDEX(Transactions!$G:$G,ROW()-8))</f>
      </c>
      <c r="F7106">
        <f>IF(INDEX(Transactions!$J:$J,ROW()-8)="",0,INDEX(Transactions!$O:$O,ROW()-8))</f>
      </c>
    </row>
    <row r="7107" spans="1:7">
      <c r="B7107">
        <f>IF(INDEX(Transactions!$J:$J,ROW()-8)="",TODAY(),INDEX(Transactions!$G:$G,ROW()-8))</f>
      </c>
      <c r="F7107">
        <f>IF(INDEX(Transactions!$J:$J,ROW()-8)="",0,INDEX(Transactions!$O:$O,ROW()-8))</f>
      </c>
    </row>
    <row r="7108" spans="1:7">
      <c r="B7108">
        <f>IF(INDEX(Transactions!$J:$J,ROW()-8)="",TODAY(),INDEX(Transactions!$G:$G,ROW()-8))</f>
      </c>
      <c r="F7108">
        <f>IF(INDEX(Transactions!$J:$J,ROW()-8)="",0,INDEX(Transactions!$O:$O,ROW()-8))</f>
      </c>
    </row>
    <row r="7109" spans="1:7">
      <c r="B7109">
        <f>IF(INDEX(Transactions!$J:$J,ROW()-8)="",TODAY(),INDEX(Transactions!$G:$G,ROW()-8))</f>
      </c>
      <c r="F7109">
        <f>IF(INDEX(Transactions!$J:$J,ROW()-8)="",0,INDEX(Transactions!$O:$O,ROW()-8))</f>
      </c>
    </row>
    <row r="7110" spans="1:7">
      <c r="B7110">
        <f>IF(INDEX(Transactions!$J:$J,ROW()-8)="",TODAY(),INDEX(Transactions!$G:$G,ROW()-8))</f>
      </c>
      <c r="F7110">
        <f>IF(INDEX(Transactions!$J:$J,ROW()-8)="",0,INDEX(Transactions!$O:$O,ROW()-8))</f>
      </c>
    </row>
    <row r="7111" spans="1:7">
      <c r="B7111">
        <f>IF(INDEX(Transactions!$J:$J,ROW()-8)="",TODAY(),INDEX(Transactions!$G:$G,ROW()-8))</f>
      </c>
      <c r="F7111">
        <f>IF(INDEX(Transactions!$J:$J,ROW()-8)="",0,INDEX(Transactions!$O:$O,ROW()-8))</f>
      </c>
    </row>
    <row r="7112" spans="1:7">
      <c r="B7112">
        <f>IF(INDEX(Transactions!$J:$J,ROW()-8)="",TODAY(),INDEX(Transactions!$G:$G,ROW()-8))</f>
      </c>
      <c r="F7112">
        <f>IF(INDEX(Transactions!$J:$J,ROW()-8)="",0,INDEX(Transactions!$O:$O,ROW()-8))</f>
      </c>
    </row>
    <row r="7113" spans="1:7">
      <c r="B7113">
        <f>IF(INDEX(Transactions!$J:$J,ROW()-8)="",TODAY(),INDEX(Transactions!$G:$G,ROW()-8))</f>
      </c>
      <c r="F7113">
        <f>IF(INDEX(Transactions!$J:$J,ROW()-8)="",0,INDEX(Transactions!$O:$O,ROW()-8))</f>
      </c>
    </row>
    <row r="7114" spans="1:7">
      <c r="B7114">
        <f>IF(INDEX(Transactions!$J:$J,ROW()-8)="",TODAY(),INDEX(Transactions!$G:$G,ROW()-8))</f>
      </c>
      <c r="F7114">
        <f>IF(INDEX(Transactions!$J:$J,ROW()-8)="",0,INDEX(Transactions!$O:$O,ROW()-8))</f>
      </c>
    </row>
    <row r="7115" spans="1:7">
      <c r="B7115">
        <f>IF(INDEX(Transactions!$J:$J,ROW()-8)="",TODAY(),INDEX(Transactions!$G:$G,ROW()-8))</f>
      </c>
      <c r="F7115">
        <f>IF(INDEX(Transactions!$J:$J,ROW()-8)="",0,INDEX(Transactions!$O:$O,ROW()-8))</f>
      </c>
    </row>
    <row r="7116" spans="1:7">
      <c r="B7116">
        <f>IF(INDEX(Transactions!$J:$J,ROW()-8)="",TODAY(),INDEX(Transactions!$G:$G,ROW()-8))</f>
      </c>
      <c r="F7116">
        <f>IF(INDEX(Transactions!$J:$J,ROW()-8)="",0,INDEX(Transactions!$O:$O,ROW()-8))</f>
      </c>
    </row>
    <row r="7117" spans="1:7">
      <c r="B7117">
        <f>IF(INDEX(Transactions!$J:$J,ROW()-8)="",TODAY(),INDEX(Transactions!$G:$G,ROW()-8))</f>
      </c>
      <c r="F7117">
        <f>IF(INDEX(Transactions!$J:$J,ROW()-8)="",0,INDEX(Transactions!$O:$O,ROW()-8))</f>
      </c>
    </row>
    <row r="7118" spans="1:7">
      <c r="B7118">
        <f>IF(INDEX(Transactions!$J:$J,ROW()-8)="",TODAY(),INDEX(Transactions!$G:$G,ROW()-8))</f>
      </c>
      <c r="F7118">
        <f>IF(INDEX(Transactions!$J:$J,ROW()-8)="",0,INDEX(Transactions!$O:$O,ROW()-8))</f>
      </c>
    </row>
    <row r="7119" spans="1:7">
      <c r="B7119">
        <f>IF(INDEX(Transactions!$J:$J,ROW()-8)="",TODAY(),INDEX(Transactions!$G:$G,ROW()-8))</f>
      </c>
      <c r="F7119">
        <f>IF(INDEX(Transactions!$J:$J,ROW()-8)="",0,INDEX(Transactions!$O:$O,ROW()-8))</f>
      </c>
    </row>
    <row r="7120" spans="1:7">
      <c r="B7120">
        <f>IF(INDEX(Transactions!$J:$J,ROW()-8)="",TODAY(),INDEX(Transactions!$G:$G,ROW()-8))</f>
      </c>
      <c r="F7120">
        <f>IF(INDEX(Transactions!$J:$J,ROW()-8)="",0,INDEX(Transactions!$O:$O,ROW()-8))</f>
      </c>
    </row>
    <row r="7121" spans="1:7">
      <c r="B7121">
        <f>IF(INDEX(Transactions!$J:$J,ROW()-8)="",TODAY(),INDEX(Transactions!$G:$G,ROW()-8))</f>
      </c>
      <c r="F7121">
        <f>IF(INDEX(Transactions!$J:$J,ROW()-8)="",0,INDEX(Transactions!$O:$O,ROW()-8))</f>
      </c>
    </row>
    <row r="7122" spans="1:7">
      <c r="B7122">
        <f>IF(INDEX(Transactions!$J:$J,ROW()-8)="",TODAY(),INDEX(Transactions!$G:$G,ROW()-8))</f>
      </c>
      <c r="F7122">
        <f>IF(INDEX(Transactions!$J:$J,ROW()-8)="",0,INDEX(Transactions!$O:$O,ROW()-8))</f>
      </c>
    </row>
    <row r="7123" spans="1:7">
      <c r="B7123">
        <f>IF(INDEX(Transactions!$J:$J,ROW()-8)="",TODAY(),INDEX(Transactions!$G:$G,ROW()-8))</f>
      </c>
      <c r="F7123">
        <f>IF(INDEX(Transactions!$J:$J,ROW()-8)="",0,INDEX(Transactions!$O:$O,ROW()-8))</f>
      </c>
    </row>
    <row r="7124" spans="1:7">
      <c r="B7124">
        <f>IF(INDEX(Transactions!$J:$J,ROW()-8)="",TODAY(),INDEX(Transactions!$G:$G,ROW()-8))</f>
      </c>
      <c r="F7124">
        <f>IF(INDEX(Transactions!$J:$J,ROW()-8)="",0,INDEX(Transactions!$O:$O,ROW()-8))</f>
      </c>
    </row>
    <row r="7125" spans="1:7">
      <c r="B7125">
        <f>IF(INDEX(Transactions!$J:$J,ROW()-8)="",TODAY(),INDEX(Transactions!$G:$G,ROW()-8))</f>
      </c>
      <c r="F7125">
        <f>IF(INDEX(Transactions!$J:$J,ROW()-8)="",0,INDEX(Transactions!$O:$O,ROW()-8))</f>
      </c>
    </row>
    <row r="7126" spans="1:7">
      <c r="B7126">
        <f>IF(INDEX(Transactions!$J:$J,ROW()-8)="",TODAY(),INDEX(Transactions!$G:$G,ROW()-8))</f>
      </c>
      <c r="F7126">
        <f>IF(INDEX(Transactions!$J:$J,ROW()-8)="",0,INDEX(Transactions!$O:$O,ROW()-8))</f>
      </c>
    </row>
    <row r="7127" spans="1:7">
      <c r="B7127">
        <f>IF(INDEX(Transactions!$J:$J,ROW()-8)="",TODAY(),INDEX(Transactions!$G:$G,ROW()-8))</f>
      </c>
      <c r="F7127">
        <f>IF(INDEX(Transactions!$J:$J,ROW()-8)="",0,INDEX(Transactions!$O:$O,ROW()-8))</f>
      </c>
    </row>
    <row r="7128" spans="1:7">
      <c r="B7128">
        <f>IF(INDEX(Transactions!$J:$J,ROW()-8)="",TODAY(),INDEX(Transactions!$G:$G,ROW()-8))</f>
      </c>
      <c r="F7128">
        <f>IF(INDEX(Transactions!$J:$J,ROW()-8)="",0,INDEX(Transactions!$O:$O,ROW()-8))</f>
      </c>
    </row>
    <row r="7129" spans="1:7">
      <c r="B7129">
        <f>IF(INDEX(Transactions!$J:$J,ROW()-8)="",TODAY(),INDEX(Transactions!$G:$G,ROW()-8))</f>
      </c>
      <c r="F7129">
        <f>IF(INDEX(Transactions!$J:$J,ROW()-8)="",0,INDEX(Transactions!$O:$O,ROW()-8))</f>
      </c>
    </row>
    <row r="7130" spans="1:7">
      <c r="B7130">
        <f>IF(INDEX(Transactions!$J:$J,ROW()-8)="",TODAY(),INDEX(Transactions!$G:$G,ROW()-8))</f>
      </c>
      <c r="F7130">
        <f>IF(INDEX(Transactions!$J:$J,ROW()-8)="",0,INDEX(Transactions!$O:$O,ROW()-8))</f>
      </c>
    </row>
    <row r="7131" spans="1:7">
      <c r="B7131">
        <f>IF(INDEX(Transactions!$J:$J,ROW()-8)="",TODAY(),INDEX(Transactions!$G:$G,ROW()-8))</f>
      </c>
      <c r="F7131">
        <f>IF(INDEX(Transactions!$J:$J,ROW()-8)="",0,INDEX(Transactions!$O:$O,ROW()-8))</f>
      </c>
    </row>
    <row r="7132" spans="1:7">
      <c r="B7132">
        <f>IF(INDEX(Transactions!$J:$J,ROW()-8)="",TODAY(),INDEX(Transactions!$G:$G,ROW()-8))</f>
      </c>
      <c r="F7132">
        <f>IF(INDEX(Transactions!$J:$J,ROW()-8)="",0,INDEX(Transactions!$O:$O,ROW()-8))</f>
      </c>
    </row>
    <row r="7133" spans="1:7">
      <c r="B7133">
        <f>IF(INDEX(Transactions!$J:$J,ROW()-8)="",TODAY(),INDEX(Transactions!$G:$G,ROW()-8))</f>
      </c>
      <c r="F7133">
        <f>IF(INDEX(Transactions!$J:$J,ROW()-8)="",0,INDEX(Transactions!$O:$O,ROW()-8))</f>
      </c>
    </row>
    <row r="7134" spans="1:7">
      <c r="B7134">
        <f>IF(INDEX(Transactions!$J:$J,ROW()-8)="",TODAY(),INDEX(Transactions!$G:$G,ROW()-8))</f>
      </c>
      <c r="F7134">
        <f>IF(INDEX(Transactions!$J:$J,ROW()-8)="",0,INDEX(Transactions!$O:$O,ROW()-8))</f>
      </c>
    </row>
    <row r="7135" spans="1:7">
      <c r="B7135">
        <f>IF(INDEX(Transactions!$J:$J,ROW()-8)="",TODAY(),INDEX(Transactions!$G:$G,ROW()-8))</f>
      </c>
      <c r="F7135">
        <f>IF(INDEX(Transactions!$J:$J,ROW()-8)="",0,INDEX(Transactions!$O:$O,ROW()-8))</f>
      </c>
    </row>
    <row r="7136" spans="1:7">
      <c r="B7136">
        <f>IF(INDEX(Transactions!$J:$J,ROW()-8)="",TODAY(),INDEX(Transactions!$G:$G,ROW()-8))</f>
      </c>
      <c r="F7136">
        <f>IF(INDEX(Transactions!$J:$J,ROW()-8)="",0,INDEX(Transactions!$O:$O,ROW()-8))</f>
      </c>
    </row>
    <row r="7137" spans="1:7">
      <c r="B7137">
        <f>IF(INDEX(Transactions!$J:$J,ROW()-8)="",TODAY(),INDEX(Transactions!$G:$G,ROW()-8))</f>
      </c>
      <c r="F7137">
        <f>IF(INDEX(Transactions!$J:$J,ROW()-8)="",0,INDEX(Transactions!$O:$O,ROW()-8))</f>
      </c>
    </row>
    <row r="7138" spans="1:7">
      <c r="B7138">
        <f>IF(INDEX(Transactions!$J:$J,ROW()-8)="",TODAY(),INDEX(Transactions!$G:$G,ROW()-8))</f>
      </c>
      <c r="F7138">
        <f>IF(INDEX(Transactions!$J:$J,ROW()-8)="",0,INDEX(Transactions!$O:$O,ROW()-8))</f>
      </c>
    </row>
    <row r="7139" spans="1:7">
      <c r="B7139">
        <f>IF(INDEX(Transactions!$J:$J,ROW()-8)="",TODAY(),INDEX(Transactions!$G:$G,ROW()-8))</f>
      </c>
      <c r="F7139">
        <f>IF(INDEX(Transactions!$J:$J,ROW()-8)="",0,INDEX(Transactions!$O:$O,ROW()-8))</f>
      </c>
    </row>
    <row r="7140" spans="1:7">
      <c r="B7140">
        <f>IF(INDEX(Transactions!$J:$J,ROW()-8)="",TODAY(),INDEX(Transactions!$G:$G,ROW()-8))</f>
      </c>
      <c r="F7140">
        <f>IF(INDEX(Transactions!$J:$J,ROW()-8)="",0,INDEX(Transactions!$O:$O,ROW()-8))</f>
      </c>
    </row>
    <row r="7141" spans="1:7">
      <c r="B7141">
        <f>IF(INDEX(Transactions!$J:$J,ROW()-8)="",TODAY(),INDEX(Transactions!$G:$G,ROW()-8))</f>
      </c>
      <c r="F7141">
        <f>IF(INDEX(Transactions!$J:$J,ROW()-8)="",0,INDEX(Transactions!$O:$O,ROW()-8))</f>
      </c>
    </row>
    <row r="7142" spans="1:7">
      <c r="B7142">
        <f>IF(INDEX(Transactions!$J:$J,ROW()-8)="",TODAY(),INDEX(Transactions!$G:$G,ROW()-8))</f>
      </c>
      <c r="F7142">
        <f>IF(INDEX(Transactions!$J:$J,ROW()-8)="",0,INDEX(Transactions!$O:$O,ROW()-8))</f>
      </c>
    </row>
    <row r="7143" spans="1:7">
      <c r="B7143">
        <f>IF(INDEX(Transactions!$J:$J,ROW()-8)="",TODAY(),INDEX(Transactions!$G:$G,ROW()-8))</f>
      </c>
      <c r="F7143">
        <f>IF(INDEX(Transactions!$J:$J,ROW()-8)="",0,INDEX(Transactions!$O:$O,ROW()-8))</f>
      </c>
    </row>
    <row r="7144" spans="1:7">
      <c r="B7144">
        <f>IF(INDEX(Transactions!$J:$J,ROW()-8)="",TODAY(),INDEX(Transactions!$G:$G,ROW()-8))</f>
      </c>
      <c r="F7144">
        <f>IF(INDEX(Transactions!$J:$J,ROW()-8)="",0,INDEX(Transactions!$O:$O,ROW()-8))</f>
      </c>
    </row>
    <row r="7145" spans="1:7">
      <c r="B7145">
        <f>IF(INDEX(Transactions!$J:$J,ROW()-8)="",TODAY(),INDEX(Transactions!$G:$G,ROW()-8))</f>
      </c>
      <c r="F7145">
        <f>IF(INDEX(Transactions!$J:$J,ROW()-8)="",0,INDEX(Transactions!$O:$O,ROW()-8))</f>
      </c>
    </row>
    <row r="7146" spans="1:7">
      <c r="B7146">
        <f>IF(INDEX(Transactions!$J:$J,ROW()-8)="",TODAY(),INDEX(Transactions!$G:$G,ROW()-8))</f>
      </c>
      <c r="F7146">
        <f>IF(INDEX(Transactions!$J:$J,ROW()-8)="",0,INDEX(Transactions!$O:$O,ROW()-8))</f>
      </c>
    </row>
    <row r="7147" spans="1:7">
      <c r="B7147">
        <f>IF(INDEX(Transactions!$J:$J,ROW()-8)="",TODAY(),INDEX(Transactions!$G:$G,ROW()-8))</f>
      </c>
      <c r="F7147">
        <f>IF(INDEX(Transactions!$J:$J,ROW()-8)="",0,INDEX(Transactions!$O:$O,ROW()-8))</f>
      </c>
    </row>
    <row r="7148" spans="1:7">
      <c r="B7148">
        <f>IF(INDEX(Transactions!$J:$J,ROW()-8)="",TODAY(),INDEX(Transactions!$G:$G,ROW()-8))</f>
      </c>
      <c r="F7148">
        <f>IF(INDEX(Transactions!$J:$J,ROW()-8)="",0,INDEX(Transactions!$O:$O,ROW()-8))</f>
      </c>
    </row>
    <row r="7149" spans="1:7">
      <c r="B7149">
        <f>IF(INDEX(Transactions!$J:$J,ROW()-8)="",TODAY(),INDEX(Transactions!$G:$G,ROW()-8))</f>
      </c>
      <c r="F7149">
        <f>IF(INDEX(Transactions!$J:$J,ROW()-8)="",0,INDEX(Transactions!$O:$O,ROW()-8))</f>
      </c>
    </row>
    <row r="7150" spans="1:7">
      <c r="B7150">
        <f>IF(INDEX(Transactions!$J:$J,ROW()-8)="",TODAY(),INDEX(Transactions!$G:$G,ROW()-8))</f>
      </c>
      <c r="F7150">
        <f>IF(INDEX(Transactions!$J:$J,ROW()-8)="",0,INDEX(Transactions!$O:$O,ROW()-8))</f>
      </c>
    </row>
    <row r="7151" spans="1:7">
      <c r="B7151">
        <f>IF(INDEX(Transactions!$J:$J,ROW()-8)="",TODAY(),INDEX(Transactions!$G:$G,ROW()-8))</f>
      </c>
      <c r="F7151">
        <f>IF(INDEX(Transactions!$J:$J,ROW()-8)="",0,INDEX(Transactions!$O:$O,ROW()-8))</f>
      </c>
    </row>
    <row r="7152" spans="1:7">
      <c r="B7152">
        <f>IF(INDEX(Transactions!$J:$J,ROW()-8)="",TODAY(),INDEX(Transactions!$G:$G,ROW()-8))</f>
      </c>
      <c r="F7152">
        <f>IF(INDEX(Transactions!$J:$J,ROW()-8)="",0,INDEX(Transactions!$O:$O,ROW()-8))</f>
      </c>
    </row>
    <row r="7153" spans="1:7">
      <c r="B7153">
        <f>IF(INDEX(Transactions!$J:$J,ROW()-8)="",TODAY(),INDEX(Transactions!$G:$G,ROW()-8))</f>
      </c>
      <c r="F7153">
        <f>IF(INDEX(Transactions!$J:$J,ROW()-8)="",0,INDEX(Transactions!$O:$O,ROW()-8))</f>
      </c>
    </row>
    <row r="7154" spans="1:7">
      <c r="B7154">
        <f>IF(INDEX(Transactions!$J:$J,ROW()-8)="",TODAY(),INDEX(Transactions!$G:$G,ROW()-8))</f>
      </c>
      <c r="F7154">
        <f>IF(INDEX(Transactions!$J:$J,ROW()-8)="",0,INDEX(Transactions!$O:$O,ROW()-8))</f>
      </c>
    </row>
    <row r="7155" spans="1:7">
      <c r="B7155">
        <f>IF(INDEX(Transactions!$J:$J,ROW()-8)="",TODAY(),INDEX(Transactions!$G:$G,ROW()-8))</f>
      </c>
      <c r="F7155">
        <f>IF(INDEX(Transactions!$J:$J,ROW()-8)="",0,INDEX(Transactions!$O:$O,ROW()-8))</f>
      </c>
    </row>
    <row r="7156" spans="1:7">
      <c r="B7156">
        <f>IF(INDEX(Transactions!$J:$J,ROW()-8)="",TODAY(),INDEX(Transactions!$G:$G,ROW()-8))</f>
      </c>
      <c r="F7156">
        <f>IF(INDEX(Transactions!$J:$J,ROW()-8)="",0,INDEX(Transactions!$O:$O,ROW()-8))</f>
      </c>
    </row>
    <row r="7157" spans="1:7">
      <c r="B7157">
        <f>IF(INDEX(Transactions!$J:$J,ROW()-8)="",TODAY(),INDEX(Transactions!$G:$G,ROW()-8))</f>
      </c>
      <c r="F7157">
        <f>IF(INDEX(Transactions!$J:$J,ROW()-8)="",0,INDEX(Transactions!$O:$O,ROW()-8))</f>
      </c>
    </row>
    <row r="7158" spans="1:7">
      <c r="B7158">
        <f>IF(INDEX(Transactions!$J:$J,ROW()-8)="",TODAY(),INDEX(Transactions!$G:$G,ROW()-8))</f>
      </c>
      <c r="F7158">
        <f>IF(INDEX(Transactions!$J:$J,ROW()-8)="",0,INDEX(Transactions!$O:$O,ROW()-8))</f>
      </c>
    </row>
    <row r="7159" spans="1:7">
      <c r="B7159">
        <f>IF(INDEX(Transactions!$J:$J,ROW()-8)="",TODAY(),INDEX(Transactions!$G:$G,ROW()-8))</f>
      </c>
      <c r="F7159">
        <f>IF(INDEX(Transactions!$J:$J,ROW()-8)="",0,INDEX(Transactions!$O:$O,ROW()-8))</f>
      </c>
    </row>
    <row r="7160" spans="1:7">
      <c r="B7160">
        <f>IF(INDEX(Transactions!$J:$J,ROW()-8)="",TODAY(),INDEX(Transactions!$G:$G,ROW()-8))</f>
      </c>
      <c r="F7160">
        <f>IF(INDEX(Transactions!$J:$J,ROW()-8)="",0,INDEX(Transactions!$O:$O,ROW()-8))</f>
      </c>
    </row>
    <row r="7161" spans="1:7">
      <c r="B7161">
        <f>IF(INDEX(Transactions!$J:$J,ROW()-8)="",TODAY(),INDEX(Transactions!$G:$G,ROW()-8))</f>
      </c>
      <c r="F7161">
        <f>IF(INDEX(Transactions!$J:$J,ROW()-8)="",0,INDEX(Transactions!$O:$O,ROW()-8))</f>
      </c>
    </row>
    <row r="7162" spans="1:7">
      <c r="B7162">
        <f>IF(INDEX(Transactions!$J:$J,ROW()-8)="",TODAY(),INDEX(Transactions!$G:$G,ROW()-8))</f>
      </c>
      <c r="F7162">
        <f>IF(INDEX(Transactions!$J:$J,ROW()-8)="",0,INDEX(Transactions!$O:$O,ROW()-8))</f>
      </c>
    </row>
    <row r="7163" spans="1:7">
      <c r="B7163">
        <f>IF(INDEX(Transactions!$J:$J,ROW()-8)="",TODAY(),INDEX(Transactions!$G:$G,ROW()-8))</f>
      </c>
      <c r="F7163">
        <f>IF(INDEX(Transactions!$J:$J,ROW()-8)="",0,INDEX(Transactions!$O:$O,ROW()-8))</f>
      </c>
    </row>
    <row r="7164" spans="1:7">
      <c r="B7164">
        <f>IF(INDEX(Transactions!$J:$J,ROW()-8)="",TODAY(),INDEX(Transactions!$G:$G,ROW()-8))</f>
      </c>
      <c r="F7164">
        <f>IF(INDEX(Transactions!$J:$J,ROW()-8)="",0,INDEX(Transactions!$O:$O,ROW()-8))</f>
      </c>
    </row>
    <row r="7165" spans="1:7">
      <c r="B7165">
        <f>IF(INDEX(Transactions!$J:$J,ROW()-8)="",TODAY(),INDEX(Transactions!$G:$G,ROW()-8))</f>
      </c>
      <c r="F7165">
        <f>IF(INDEX(Transactions!$J:$J,ROW()-8)="",0,INDEX(Transactions!$O:$O,ROW()-8))</f>
      </c>
    </row>
    <row r="7166" spans="1:7">
      <c r="B7166">
        <f>IF(INDEX(Transactions!$J:$J,ROW()-8)="",TODAY(),INDEX(Transactions!$G:$G,ROW()-8))</f>
      </c>
      <c r="F7166">
        <f>IF(INDEX(Transactions!$J:$J,ROW()-8)="",0,INDEX(Transactions!$O:$O,ROW()-8))</f>
      </c>
    </row>
    <row r="7167" spans="1:7">
      <c r="B7167">
        <f>IF(INDEX(Transactions!$J:$J,ROW()-8)="",TODAY(),INDEX(Transactions!$G:$G,ROW()-8))</f>
      </c>
      <c r="F7167">
        <f>IF(INDEX(Transactions!$J:$J,ROW()-8)="",0,INDEX(Transactions!$O:$O,ROW()-8))</f>
      </c>
    </row>
    <row r="7168" spans="1:7">
      <c r="B7168">
        <f>IF(INDEX(Transactions!$J:$J,ROW()-8)="",TODAY(),INDEX(Transactions!$G:$G,ROW()-8))</f>
      </c>
      <c r="F7168">
        <f>IF(INDEX(Transactions!$J:$J,ROW()-8)="",0,INDEX(Transactions!$O:$O,ROW()-8))</f>
      </c>
    </row>
    <row r="7169" spans="1:7">
      <c r="B7169">
        <f>IF(INDEX(Transactions!$J:$J,ROW()-8)="",TODAY(),INDEX(Transactions!$G:$G,ROW()-8))</f>
      </c>
      <c r="F7169">
        <f>IF(INDEX(Transactions!$J:$J,ROW()-8)="",0,INDEX(Transactions!$O:$O,ROW()-8))</f>
      </c>
    </row>
    <row r="7170" spans="1:7">
      <c r="B7170">
        <f>IF(INDEX(Transactions!$J:$J,ROW()-8)="",TODAY(),INDEX(Transactions!$G:$G,ROW()-8))</f>
      </c>
      <c r="F7170">
        <f>IF(INDEX(Transactions!$J:$J,ROW()-8)="",0,INDEX(Transactions!$O:$O,ROW()-8))</f>
      </c>
    </row>
    <row r="7171" spans="1:7">
      <c r="B7171">
        <f>IF(INDEX(Transactions!$J:$J,ROW()-8)="",TODAY(),INDEX(Transactions!$G:$G,ROW()-8))</f>
      </c>
      <c r="F7171">
        <f>IF(INDEX(Transactions!$J:$J,ROW()-8)="",0,INDEX(Transactions!$O:$O,ROW()-8))</f>
      </c>
    </row>
    <row r="7172" spans="1:7">
      <c r="B7172">
        <f>IF(INDEX(Transactions!$J:$J,ROW()-8)="",TODAY(),INDEX(Transactions!$G:$G,ROW()-8))</f>
      </c>
      <c r="F7172">
        <f>IF(INDEX(Transactions!$J:$J,ROW()-8)="",0,INDEX(Transactions!$O:$O,ROW()-8))</f>
      </c>
    </row>
    <row r="7173" spans="1:7">
      <c r="B7173">
        <f>IF(INDEX(Transactions!$J:$J,ROW()-8)="",TODAY(),INDEX(Transactions!$G:$G,ROW()-8))</f>
      </c>
      <c r="F7173">
        <f>IF(INDEX(Transactions!$J:$J,ROW()-8)="",0,INDEX(Transactions!$O:$O,ROW()-8))</f>
      </c>
    </row>
    <row r="7174" spans="1:7">
      <c r="B7174">
        <f>IF(INDEX(Transactions!$J:$J,ROW()-8)="",TODAY(),INDEX(Transactions!$G:$G,ROW()-8))</f>
      </c>
      <c r="F7174">
        <f>IF(INDEX(Transactions!$J:$J,ROW()-8)="",0,INDEX(Transactions!$O:$O,ROW()-8))</f>
      </c>
    </row>
    <row r="7175" spans="1:7">
      <c r="B7175">
        <f>IF(INDEX(Transactions!$J:$J,ROW()-8)="",TODAY(),INDEX(Transactions!$G:$G,ROW()-8))</f>
      </c>
      <c r="F7175">
        <f>IF(INDEX(Transactions!$J:$J,ROW()-8)="",0,INDEX(Transactions!$O:$O,ROW()-8))</f>
      </c>
    </row>
    <row r="7176" spans="1:7">
      <c r="B7176">
        <f>IF(INDEX(Transactions!$J:$J,ROW()-8)="",TODAY(),INDEX(Transactions!$G:$G,ROW()-8))</f>
      </c>
      <c r="F7176">
        <f>IF(INDEX(Transactions!$J:$J,ROW()-8)="",0,INDEX(Transactions!$O:$O,ROW()-8))</f>
      </c>
    </row>
    <row r="7177" spans="1:7">
      <c r="B7177">
        <f>IF(INDEX(Transactions!$J:$J,ROW()-8)="",TODAY(),INDEX(Transactions!$G:$G,ROW()-8))</f>
      </c>
      <c r="F7177">
        <f>IF(INDEX(Transactions!$J:$J,ROW()-8)="",0,INDEX(Transactions!$O:$O,ROW()-8))</f>
      </c>
    </row>
    <row r="7178" spans="1:7">
      <c r="B7178">
        <f>IF(INDEX(Transactions!$J:$J,ROW()-8)="",TODAY(),INDEX(Transactions!$G:$G,ROW()-8))</f>
      </c>
      <c r="F7178">
        <f>IF(INDEX(Transactions!$J:$J,ROW()-8)="",0,INDEX(Transactions!$O:$O,ROW()-8))</f>
      </c>
    </row>
    <row r="7179" spans="1:7">
      <c r="B7179">
        <f>IF(INDEX(Transactions!$J:$J,ROW()-8)="",TODAY(),INDEX(Transactions!$G:$G,ROW()-8))</f>
      </c>
      <c r="F7179">
        <f>IF(INDEX(Transactions!$J:$J,ROW()-8)="",0,INDEX(Transactions!$O:$O,ROW()-8))</f>
      </c>
    </row>
    <row r="7180" spans="1:7">
      <c r="B7180">
        <f>IF(INDEX(Transactions!$J:$J,ROW()-8)="",TODAY(),INDEX(Transactions!$G:$G,ROW()-8))</f>
      </c>
      <c r="F7180">
        <f>IF(INDEX(Transactions!$J:$J,ROW()-8)="",0,INDEX(Transactions!$O:$O,ROW()-8))</f>
      </c>
    </row>
    <row r="7181" spans="1:7">
      <c r="B7181">
        <f>IF(INDEX(Transactions!$J:$J,ROW()-8)="",TODAY(),INDEX(Transactions!$G:$G,ROW()-8))</f>
      </c>
      <c r="F7181">
        <f>IF(INDEX(Transactions!$J:$J,ROW()-8)="",0,INDEX(Transactions!$O:$O,ROW()-8))</f>
      </c>
    </row>
    <row r="7182" spans="1:7">
      <c r="B7182">
        <f>IF(INDEX(Transactions!$J:$J,ROW()-8)="",TODAY(),INDEX(Transactions!$G:$G,ROW()-8))</f>
      </c>
      <c r="F7182">
        <f>IF(INDEX(Transactions!$J:$J,ROW()-8)="",0,INDEX(Transactions!$O:$O,ROW()-8))</f>
      </c>
    </row>
    <row r="7183" spans="1:7">
      <c r="B7183">
        <f>IF(INDEX(Transactions!$J:$J,ROW()-8)="",TODAY(),INDEX(Transactions!$G:$G,ROW()-8))</f>
      </c>
      <c r="F7183">
        <f>IF(INDEX(Transactions!$J:$J,ROW()-8)="",0,INDEX(Transactions!$O:$O,ROW()-8))</f>
      </c>
    </row>
    <row r="7184" spans="1:7">
      <c r="B7184">
        <f>IF(INDEX(Transactions!$J:$J,ROW()-8)="",TODAY(),INDEX(Transactions!$G:$G,ROW()-8))</f>
      </c>
      <c r="F7184">
        <f>IF(INDEX(Transactions!$J:$J,ROW()-8)="",0,INDEX(Transactions!$O:$O,ROW()-8))</f>
      </c>
    </row>
    <row r="7185" spans="1:7">
      <c r="B7185">
        <f>IF(INDEX(Transactions!$J:$J,ROW()-8)="",TODAY(),INDEX(Transactions!$G:$G,ROW()-8))</f>
      </c>
      <c r="F7185">
        <f>IF(INDEX(Transactions!$J:$J,ROW()-8)="",0,INDEX(Transactions!$O:$O,ROW()-8))</f>
      </c>
    </row>
    <row r="7186" spans="1:7">
      <c r="B7186">
        <f>IF(INDEX(Transactions!$J:$J,ROW()-8)="",TODAY(),INDEX(Transactions!$G:$G,ROW()-8))</f>
      </c>
      <c r="F7186">
        <f>IF(INDEX(Transactions!$J:$J,ROW()-8)="",0,INDEX(Transactions!$O:$O,ROW()-8))</f>
      </c>
    </row>
    <row r="7187" spans="1:7">
      <c r="B7187">
        <f>IF(INDEX(Transactions!$J:$J,ROW()-8)="",TODAY(),INDEX(Transactions!$G:$G,ROW()-8))</f>
      </c>
      <c r="F7187">
        <f>IF(INDEX(Transactions!$J:$J,ROW()-8)="",0,INDEX(Transactions!$O:$O,ROW()-8))</f>
      </c>
    </row>
    <row r="7188" spans="1:7">
      <c r="B7188">
        <f>IF(INDEX(Transactions!$J:$J,ROW()-8)="",TODAY(),INDEX(Transactions!$G:$G,ROW()-8))</f>
      </c>
      <c r="F7188">
        <f>IF(INDEX(Transactions!$J:$J,ROW()-8)="",0,INDEX(Transactions!$O:$O,ROW()-8))</f>
      </c>
    </row>
    <row r="7189" spans="1:7">
      <c r="B7189">
        <f>IF(INDEX(Transactions!$J:$J,ROW()-8)="",TODAY(),INDEX(Transactions!$G:$G,ROW()-8))</f>
      </c>
      <c r="F7189">
        <f>IF(INDEX(Transactions!$J:$J,ROW()-8)="",0,INDEX(Transactions!$O:$O,ROW()-8))</f>
      </c>
    </row>
    <row r="7190" spans="1:7">
      <c r="B7190">
        <f>IF(INDEX(Transactions!$J:$J,ROW()-8)="",TODAY(),INDEX(Transactions!$G:$G,ROW()-8))</f>
      </c>
      <c r="F7190">
        <f>IF(INDEX(Transactions!$J:$J,ROW()-8)="",0,INDEX(Transactions!$O:$O,ROW()-8))</f>
      </c>
    </row>
    <row r="7191" spans="1:7">
      <c r="B7191">
        <f>IF(INDEX(Transactions!$J:$J,ROW()-8)="",TODAY(),INDEX(Transactions!$G:$G,ROW()-8))</f>
      </c>
      <c r="F7191">
        <f>IF(INDEX(Transactions!$J:$J,ROW()-8)="",0,INDEX(Transactions!$O:$O,ROW()-8))</f>
      </c>
    </row>
    <row r="7192" spans="1:7">
      <c r="B7192">
        <f>IF(INDEX(Transactions!$J:$J,ROW()-8)="",TODAY(),INDEX(Transactions!$G:$G,ROW()-8))</f>
      </c>
      <c r="F7192">
        <f>IF(INDEX(Transactions!$J:$J,ROW()-8)="",0,INDEX(Transactions!$O:$O,ROW()-8))</f>
      </c>
    </row>
    <row r="7193" spans="1:7">
      <c r="B7193">
        <f>IF(INDEX(Transactions!$J:$J,ROW()-8)="",TODAY(),INDEX(Transactions!$G:$G,ROW()-8))</f>
      </c>
      <c r="F7193">
        <f>IF(INDEX(Transactions!$J:$J,ROW()-8)="",0,INDEX(Transactions!$O:$O,ROW()-8))</f>
      </c>
    </row>
    <row r="7194" spans="1:7">
      <c r="B7194">
        <f>IF(INDEX(Transactions!$J:$J,ROW()-8)="",TODAY(),INDEX(Transactions!$G:$G,ROW()-8))</f>
      </c>
      <c r="F7194">
        <f>IF(INDEX(Transactions!$J:$J,ROW()-8)="",0,INDEX(Transactions!$O:$O,ROW()-8))</f>
      </c>
    </row>
    <row r="7195" spans="1:7">
      <c r="B7195">
        <f>IF(INDEX(Transactions!$J:$J,ROW()-8)="",TODAY(),INDEX(Transactions!$G:$G,ROW()-8))</f>
      </c>
      <c r="F7195">
        <f>IF(INDEX(Transactions!$J:$J,ROW()-8)="",0,INDEX(Transactions!$O:$O,ROW()-8))</f>
      </c>
    </row>
    <row r="7196" spans="1:7">
      <c r="B7196">
        <f>IF(INDEX(Transactions!$J:$J,ROW()-8)="",TODAY(),INDEX(Transactions!$G:$G,ROW()-8))</f>
      </c>
      <c r="F7196">
        <f>IF(INDEX(Transactions!$J:$J,ROW()-8)="",0,INDEX(Transactions!$O:$O,ROW()-8))</f>
      </c>
    </row>
    <row r="7197" spans="1:7">
      <c r="B7197">
        <f>IF(INDEX(Transactions!$J:$J,ROW()-8)="",TODAY(),INDEX(Transactions!$G:$G,ROW()-8))</f>
      </c>
      <c r="F7197">
        <f>IF(INDEX(Transactions!$J:$J,ROW()-8)="",0,INDEX(Transactions!$O:$O,ROW()-8))</f>
      </c>
    </row>
    <row r="7198" spans="1:7">
      <c r="B7198">
        <f>IF(INDEX(Transactions!$J:$J,ROW()-8)="",TODAY(),INDEX(Transactions!$G:$G,ROW()-8))</f>
      </c>
      <c r="F7198">
        <f>IF(INDEX(Transactions!$J:$J,ROW()-8)="",0,INDEX(Transactions!$O:$O,ROW()-8))</f>
      </c>
    </row>
    <row r="7199" spans="1:7">
      <c r="B7199">
        <f>IF(INDEX(Transactions!$J:$J,ROW()-8)="",TODAY(),INDEX(Transactions!$G:$G,ROW()-8))</f>
      </c>
      <c r="F7199">
        <f>IF(INDEX(Transactions!$J:$J,ROW()-8)="",0,INDEX(Transactions!$O:$O,ROW()-8))</f>
      </c>
    </row>
    <row r="7200" spans="1:7">
      <c r="B7200">
        <f>IF(INDEX(Transactions!$J:$J,ROW()-8)="",TODAY(),INDEX(Transactions!$G:$G,ROW()-8))</f>
      </c>
      <c r="F7200">
        <f>IF(INDEX(Transactions!$J:$J,ROW()-8)="",0,INDEX(Transactions!$O:$O,ROW()-8))</f>
      </c>
    </row>
    <row r="7201" spans="1:7">
      <c r="B7201">
        <f>IF(INDEX(Transactions!$J:$J,ROW()-8)="",TODAY(),INDEX(Transactions!$G:$G,ROW()-8))</f>
      </c>
      <c r="F7201">
        <f>IF(INDEX(Transactions!$J:$J,ROW()-8)="",0,INDEX(Transactions!$O:$O,ROW()-8))</f>
      </c>
    </row>
    <row r="7202" spans="1:7">
      <c r="B7202">
        <f>IF(INDEX(Transactions!$J:$J,ROW()-8)="",TODAY(),INDEX(Transactions!$G:$G,ROW()-8))</f>
      </c>
      <c r="F7202">
        <f>IF(INDEX(Transactions!$J:$J,ROW()-8)="",0,INDEX(Transactions!$O:$O,ROW()-8))</f>
      </c>
    </row>
    <row r="7203" spans="1:7">
      <c r="B7203">
        <f>IF(INDEX(Transactions!$J:$J,ROW()-8)="",TODAY(),INDEX(Transactions!$G:$G,ROW()-8))</f>
      </c>
      <c r="F7203">
        <f>IF(INDEX(Transactions!$J:$J,ROW()-8)="",0,INDEX(Transactions!$O:$O,ROW()-8))</f>
      </c>
    </row>
    <row r="7204" spans="1:7">
      <c r="B7204">
        <f>IF(INDEX(Transactions!$J:$J,ROW()-8)="",TODAY(),INDEX(Transactions!$G:$G,ROW()-8))</f>
      </c>
      <c r="F7204">
        <f>IF(INDEX(Transactions!$J:$J,ROW()-8)="",0,INDEX(Transactions!$O:$O,ROW()-8))</f>
      </c>
    </row>
    <row r="7205" spans="1:7">
      <c r="B7205">
        <f>IF(INDEX(Transactions!$J:$J,ROW()-8)="",TODAY(),INDEX(Transactions!$G:$G,ROW()-8))</f>
      </c>
      <c r="F7205">
        <f>IF(INDEX(Transactions!$J:$J,ROW()-8)="",0,INDEX(Transactions!$O:$O,ROW()-8))</f>
      </c>
    </row>
    <row r="7206" spans="1:7">
      <c r="B7206">
        <f>IF(INDEX(Transactions!$J:$J,ROW()-8)="",TODAY(),INDEX(Transactions!$G:$G,ROW()-8))</f>
      </c>
      <c r="F7206">
        <f>IF(INDEX(Transactions!$J:$J,ROW()-8)="",0,INDEX(Transactions!$O:$O,ROW()-8))</f>
      </c>
    </row>
    <row r="7207" spans="1:7">
      <c r="B7207">
        <f>IF(INDEX(Transactions!$J:$J,ROW()-8)="",TODAY(),INDEX(Transactions!$G:$G,ROW()-8))</f>
      </c>
      <c r="F7207">
        <f>IF(INDEX(Transactions!$J:$J,ROW()-8)="",0,INDEX(Transactions!$O:$O,ROW()-8))</f>
      </c>
    </row>
    <row r="7208" spans="1:7">
      <c r="B7208">
        <f>IF(INDEX(Transactions!$J:$J,ROW()-8)="",TODAY(),INDEX(Transactions!$G:$G,ROW()-8))</f>
      </c>
      <c r="F7208">
        <f>IF(INDEX(Transactions!$J:$J,ROW()-8)="",0,INDEX(Transactions!$O:$O,ROW()-8))</f>
      </c>
    </row>
    <row r="7209" spans="1:7">
      <c r="B7209">
        <f>IF(INDEX(Transactions!$J:$J,ROW()-8)="",TODAY(),INDEX(Transactions!$G:$G,ROW()-8))</f>
      </c>
      <c r="F7209">
        <f>IF(INDEX(Transactions!$J:$J,ROW()-8)="",0,INDEX(Transactions!$O:$O,ROW()-8))</f>
      </c>
    </row>
    <row r="7210" spans="1:7">
      <c r="B7210">
        <f>IF(INDEX(Transactions!$J:$J,ROW()-8)="",TODAY(),INDEX(Transactions!$G:$G,ROW()-8))</f>
      </c>
      <c r="F7210">
        <f>IF(INDEX(Transactions!$J:$J,ROW()-8)="",0,INDEX(Transactions!$O:$O,ROW()-8))</f>
      </c>
    </row>
    <row r="7211" spans="1:7">
      <c r="B7211">
        <f>IF(INDEX(Transactions!$J:$J,ROW()-8)="",TODAY(),INDEX(Transactions!$G:$G,ROW()-8))</f>
      </c>
      <c r="F7211">
        <f>IF(INDEX(Transactions!$J:$J,ROW()-8)="",0,INDEX(Transactions!$O:$O,ROW()-8))</f>
      </c>
    </row>
    <row r="7212" spans="1:7">
      <c r="B7212">
        <f>IF(INDEX(Transactions!$J:$J,ROW()-8)="",TODAY(),INDEX(Transactions!$G:$G,ROW()-8))</f>
      </c>
      <c r="F7212">
        <f>IF(INDEX(Transactions!$J:$J,ROW()-8)="",0,INDEX(Transactions!$O:$O,ROW()-8))</f>
      </c>
    </row>
    <row r="7213" spans="1:7">
      <c r="B7213">
        <f>IF(INDEX(Transactions!$J:$J,ROW()-8)="",TODAY(),INDEX(Transactions!$G:$G,ROW()-8))</f>
      </c>
      <c r="F7213">
        <f>IF(INDEX(Transactions!$J:$J,ROW()-8)="",0,INDEX(Transactions!$O:$O,ROW()-8))</f>
      </c>
    </row>
    <row r="7214" spans="1:7">
      <c r="B7214">
        <f>IF(INDEX(Transactions!$J:$J,ROW()-8)="",TODAY(),INDEX(Transactions!$G:$G,ROW()-8))</f>
      </c>
      <c r="F7214">
        <f>IF(INDEX(Transactions!$J:$J,ROW()-8)="",0,INDEX(Transactions!$O:$O,ROW()-8))</f>
      </c>
    </row>
    <row r="7215" spans="1:7">
      <c r="B7215">
        <f>IF(INDEX(Transactions!$J:$J,ROW()-8)="",TODAY(),INDEX(Transactions!$G:$G,ROW()-8))</f>
      </c>
      <c r="F7215">
        <f>IF(INDEX(Transactions!$J:$J,ROW()-8)="",0,INDEX(Transactions!$O:$O,ROW()-8))</f>
      </c>
    </row>
    <row r="7216" spans="1:7">
      <c r="B7216">
        <f>IF(INDEX(Transactions!$J:$J,ROW()-8)="",TODAY(),INDEX(Transactions!$G:$G,ROW()-8))</f>
      </c>
      <c r="F7216">
        <f>IF(INDEX(Transactions!$J:$J,ROW()-8)="",0,INDEX(Transactions!$O:$O,ROW()-8))</f>
      </c>
    </row>
    <row r="7217" spans="1:7">
      <c r="B7217">
        <f>IF(INDEX(Transactions!$J:$J,ROW()-8)="",TODAY(),INDEX(Transactions!$G:$G,ROW()-8))</f>
      </c>
      <c r="F7217">
        <f>IF(INDEX(Transactions!$J:$J,ROW()-8)="",0,INDEX(Transactions!$O:$O,ROW()-8))</f>
      </c>
    </row>
    <row r="7218" spans="1:7">
      <c r="B7218">
        <f>IF(INDEX(Transactions!$J:$J,ROW()-8)="",TODAY(),INDEX(Transactions!$G:$G,ROW()-8))</f>
      </c>
      <c r="F7218">
        <f>IF(INDEX(Transactions!$J:$J,ROW()-8)="",0,INDEX(Transactions!$O:$O,ROW()-8))</f>
      </c>
    </row>
    <row r="7219" spans="1:7">
      <c r="B7219">
        <f>IF(INDEX(Transactions!$J:$J,ROW()-8)="",TODAY(),INDEX(Transactions!$G:$G,ROW()-8))</f>
      </c>
      <c r="F7219">
        <f>IF(INDEX(Transactions!$J:$J,ROW()-8)="",0,INDEX(Transactions!$O:$O,ROW()-8))</f>
      </c>
    </row>
    <row r="7220" spans="1:7">
      <c r="B7220">
        <f>IF(INDEX(Transactions!$J:$J,ROW()-8)="",TODAY(),INDEX(Transactions!$G:$G,ROW()-8))</f>
      </c>
      <c r="F7220">
        <f>IF(INDEX(Transactions!$J:$J,ROW()-8)="",0,INDEX(Transactions!$O:$O,ROW()-8))</f>
      </c>
    </row>
    <row r="7221" spans="1:7">
      <c r="B7221">
        <f>IF(INDEX(Transactions!$J:$J,ROW()-8)="",TODAY(),INDEX(Transactions!$G:$G,ROW()-8))</f>
      </c>
      <c r="F7221">
        <f>IF(INDEX(Transactions!$J:$J,ROW()-8)="",0,INDEX(Transactions!$O:$O,ROW()-8))</f>
      </c>
    </row>
    <row r="7222" spans="1:7">
      <c r="B7222">
        <f>IF(INDEX(Transactions!$J:$J,ROW()-8)="",TODAY(),INDEX(Transactions!$G:$G,ROW()-8))</f>
      </c>
      <c r="F7222">
        <f>IF(INDEX(Transactions!$J:$J,ROW()-8)="",0,INDEX(Transactions!$O:$O,ROW()-8))</f>
      </c>
    </row>
    <row r="7223" spans="1:7">
      <c r="B7223">
        <f>IF(INDEX(Transactions!$J:$J,ROW()-8)="",TODAY(),INDEX(Transactions!$G:$G,ROW()-8))</f>
      </c>
      <c r="F7223">
        <f>IF(INDEX(Transactions!$J:$J,ROW()-8)="",0,INDEX(Transactions!$O:$O,ROW()-8))</f>
      </c>
    </row>
    <row r="7224" spans="1:7">
      <c r="B7224">
        <f>IF(INDEX(Transactions!$J:$J,ROW()-8)="",TODAY(),INDEX(Transactions!$G:$G,ROW()-8))</f>
      </c>
      <c r="F7224">
        <f>IF(INDEX(Transactions!$J:$J,ROW()-8)="",0,INDEX(Transactions!$O:$O,ROW()-8))</f>
      </c>
    </row>
    <row r="7225" spans="1:7">
      <c r="B7225">
        <f>IF(INDEX(Transactions!$J:$J,ROW()-8)="",TODAY(),INDEX(Transactions!$G:$G,ROW()-8))</f>
      </c>
      <c r="F7225">
        <f>IF(INDEX(Transactions!$J:$J,ROW()-8)="",0,INDEX(Transactions!$O:$O,ROW()-8))</f>
      </c>
    </row>
    <row r="7226" spans="1:7">
      <c r="B7226">
        <f>IF(INDEX(Transactions!$J:$J,ROW()-8)="",TODAY(),INDEX(Transactions!$G:$G,ROW()-8))</f>
      </c>
      <c r="F7226">
        <f>IF(INDEX(Transactions!$J:$J,ROW()-8)="",0,INDEX(Transactions!$O:$O,ROW()-8))</f>
      </c>
    </row>
    <row r="7227" spans="1:7">
      <c r="B7227">
        <f>IF(INDEX(Transactions!$J:$J,ROW()-8)="",TODAY(),INDEX(Transactions!$G:$G,ROW()-8))</f>
      </c>
      <c r="F7227">
        <f>IF(INDEX(Transactions!$J:$J,ROW()-8)="",0,INDEX(Transactions!$O:$O,ROW()-8))</f>
      </c>
    </row>
    <row r="7228" spans="1:7">
      <c r="B7228">
        <f>IF(INDEX(Transactions!$J:$J,ROW()-8)="",TODAY(),INDEX(Transactions!$G:$G,ROW()-8))</f>
      </c>
      <c r="F7228">
        <f>IF(INDEX(Transactions!$J:$J,ROW()-8)="",0,INDEX(Transactions!$O:$O,ROW()-8))</f>
      </c>
    </row>
    <row r="7229" spans="1:7">
      <c r="B7229">
        <f>IF(INDEX(Transactions!$J:$J,ROW()-8)="",TODAY(),INDEX(Transactions!$G:$G,ROW()-8))</f>
      </c>
      <c r="F7229">
        <f>IF(INDEX(Transactions!$J:$J,ROW()-8)="",0,INDEX(Transactions!$O:$O,ROW()-8))</f>
      </c>
    </row>
    <row r="7230" spans="1:7">
      <c r="B7230">
        <f>IF(INDEX(Transactions!$J:$J,ROW()-8)="",TODAY(),INDEX(Transactions!$G:$G,ROW()-8))</f>
      </c>
      <c r="F7230">
        <f>IF(INDEX(Transactions!$J:$J,ROW()-8)="",0,INDEX(Transactions!$O:$O,ROW()-8))</f>
      </c>
    </row>
    <row r="7231" spans="1:7">
      <c r="B7231">
        <f>IF(INDEX(Transactions!$J:$J,ROW()-8)="",TODAY(),INDEX(Transactions!$G:$G,ROW()-8))</f>
      </c>
      <c r="F7231">
        <f>IF(INDEX(Transactions!$J:$J,ROW()-8)="",0,INDEX(Transactions!$O:$O,ROW()-8))</f>
      </c>
    </row>
    <row r="7232" spans="1:7">
      <c r="B7232">
        <f>IF(INDEX(Transactions!$J:$J,ROW()-8)="",TODAY(),INDEX(Transactions!$G:$G,ROW()-8))</f>
      </c>
      <c r="F7232">
        <f>IF(INDEX(Transactions!$J:$J,ROW()-8)="",0,INDEX(Transactions!$O:$O,ROW()-8))</f>
      </c>
    </row>
    <row r="7233" spans="1:7">
      <c r="B7233">
        <f>IF(INDEX(Transactions!$J:$J,ROW()-8)="",TODAY(),INDEX(Transactions!$G:$G,ROW()-8))</f>
      </c>
      <c r="F7233">
        <f>IF(INDEX(Transactions!$J:$J,ROW()-8)="",0,INDEX(Transactions!$O:$O,ROW()-8))</f>
      </c>
    </row>
    <row r="7234" spans="1:7">
      <c r="B7234">
        <f>IF(INDEX(Transactions!$J:$J,ROW()-8)="",TODAY(),INDEX(Transactions!$G:$G,ROW()-8))</f>
      </c>
      <c r="F7234">
        <f>IF(INDEX(Transactions!$J:$J,ROW()-8)="",0,INDEX(Transactions!$O:$O,ROW()-8))</f>
      </c>
    </row>
    <row r="7235" spans="1:7">
      <c r="B7235">
        <f>IF(INDEX(Transactions!$J:$J,ROW()-8)="",TODAY(),INDEX(Transactions!$G:$G,ROW()-8))</f>
      </c>
      <c r="F7235">
        <f>IF(INDEX(Transactions!$J:$J,ROW()-8)="",0,INDEX(Transactions!$O:$O,ROW()-8))</f>
      </c>
    </row>
    <row r="7236" spans="1:7">
      <c r="B7236">
        <f>IF(INDEX(Transactions!$J:$J,ROW()-8)="",TODAY(),INDEX(Transactions!$G:$G,ROW()-8))</f>
      </c>
      <c r="F7236">
        <f>IF(INDEX(Transactions!$J:$J,ROW()-8)="",0,INDEX(Transactions!$O:$O,ROW()-8))</f>
      </c>
    </row>
    <row r="7237" spans="1:7">
      <c r="B7237">
        <f>IF(INDEX(Transactions!$J:$J,ROW()-8)="",TODAY(),INDEX(Transactions!$G:$G,ROW()-8))</f>
      </c>
      <c r="F7237">
        <f>IF(INDEX(Transactions!$J:$J,ROW()-8)="",0,INDEX(Transactions!$O:$O,ROW()-8))</f>
      </c>
    </row>
    <row r="7238" spans="1:7">
      <c r="B7238">
        <f>IF(INDEX(Transactions!$J:$J,ROW()-8)="",TODAY(),INDEX(Transactions!$G:$G,ROW()-8))</f>
      </c>
      <c r="F7238">
        <f>IF(INDEX(Transactions!$J:$J,ROW()-8)="",0,INDEX(Transactions!$O:$O,ROW()-8))</f>
      </c>
    </row>
    <row r="7239" spans="1:7">
      <c r="B7239">
        <f>IF(INDEX(Transactions!$J:$J,ROW()-8)="",TODAY(),INDEX(Transactions!$G:$G,ROW()-8))</f>
      </c>
      <c r="F7239">
        <f>IF(INDEX(Transactions!$J:$J,ROW()-8)="",0,INDEX(Transactions!$O:$O,ROW()-8))</f>
      </c>
    </row>
    <row r="7240" spans="1:7">
      <c r="B7240">
        <f>IF(INDEX(Transactions!$J:$J,ROW()-8)="",TODAY(),INDEX(Transactions!$G:$G,ROW()-8))</f>
      </c>
      <c r="F7240">
        <f>IF(INDEX(Transactions!$J:$J,ROW()-8)="",0,INDEX(Transactions!$O:$O,ROW()-8))</f>
      </c>
    </row>
    <row r="7241" spans="1:7">
      <c r="B7241">
        <f>IF(INDEX(Transactions!$J:$J,ROW()-8)="",TODAY(),INDEX(Transactions!$G:$G,ROW()-8))</f>
      </c>
      <c r="F7241">
        <f>IF(INDEX(Transactions!$J:$J,ROW()-8)="",0,INDEX(Transactions!$O:$O,ROW()-8))</f>
      </c>
    </row>
    <row r="7242" spans="1:7">
      <c r="B7242">
        <f>IF(INDEX(Transactions!$J:$J,ROW()-8)="",TODAY(),INDEX(Transactions!$G:$G,ROW()-8))</f>
      </c>
      <c r="F7242">
        <f>IF(INDEX(Transactions!$J:$J,ROW()-8)="",0,INDEX(Transactions!$O:$O,ROW()-8))</f>
      </c>
    </row>
    <row r="7243" spans="1:7">
      <c r="B7243">
        <f>IF(INDEX(Transactions!$J:$J,ROW()-8)="",TODAY(),INDEX(Transactions!$G:$G,ROW()-8))</f>
      </c>
      <c r="F7243">
        <f>IF(INDEX(Transactions!$J:$J,ROW()-8)="",0,INDEX(Transactions!$O:$O,ROW()-8))</f>
      </c>
    </row>
    <row r="7244" spans="1:7">
      <c r="B7244">
        <f>IF(INDEX(Transactions!$J:$J,ROW()-8)="",TODAY(),INDEX(Transactions!$G:$G,ROW()-8))</f>
      </c>
      <c r="F7244">
        <f>IF(INDEX(Transactions!$J:$J,ROW()-8)="",0,INDEX(Transactions!$O:$O,ROW()-8))</f>
      </c>
    </row>
    <row r="7245" spans="1:7">
      <c r="B7245">
        <f>IF(INDEX(Transactions!$J:$J,ROW()-8)="",TODAY(),INDEX(Transactions!$G:$G,ROW()-8))</f>
      </c>
      <c r="F7245">
        <f>IF(INDEX(Transactions!$J:$J,ROW()-8)="",0,INDEX(Transactions!$O:$O,ROW()-8))</f>
      </c>
    </row>
    <row r="7246" spans="1:7">
      <c r="B7246">
        <f>IF(INDEX(Transactions!$J:$J,ROW()-8)="",TODAY(),INDEX(Transactions!$G:$G,ROW()-8))</f>
      </c>
      <c r="F7246">
        <f>IF(INDEX(Transactions!$J:$J,ROW()-8)="",0,INDEX(Transactions!$O:$O,ROW()-8))</f>
      </c>
    </row>
    <row r="7247" spans="1:7">
      <c r="B7247">
        <f>IF(INDEX(Transactions!$J:$J,ROW()-8)="",TODAY(),INDEX(Transactions!$G:$G,ROW()-8))</f>
      </c>
      <c r="F7247">
        <f>IF(INDEX(Transactions!$J:$J,ROW()-8)="",0,INDEX(Transactions!$O:$O,ROW()-8))</f>
      </c>
    </row>
    <row r="7248" spans="1:7">
      <c r="B7248">
        <f>IF(INDEX(Transactions!$J:$J,ROW()-8)="",TODAY(),INDEX(Transactions!$G:$G,ROW()-8))</f>
      </c>
      <c r="F7248">
        <f>IF(INDEX(Transactions!$J:$J,ROW()-8)="",0,INDEX(Transactions!$O:$O,ROW()-8))</f>
      </c>
    </row>
    <row r="7249" spans="1:7">
      <c r="B7249">
        <f>IF(INDEX(Transactions!$J:$J,ROW()-8)="",TODAY(),INDEX(Transactions!$G:$G,ROW()-8))</f>
      </c>
      <c r="F7249">
        <f>IF(INDEX(Transactions!$J:$J,ROW()-8)="",0,INDEX(Transactions!$O:$O,ROW()-8))</f>
      </c>
    </row>
    <row r="7250" spans="1:7">
      <c r="B7250">
        <f>IF(INDEX(Transactions!$J:$J,ROW()-8)="",TODAY(),INDEX(Transactions!$G:$G,ROW()-8))</f>
      </c>
      <c r="F7250">
        <f>IF(INDEX(Transactions!$J:$J,ROW()-8)="",0,INDEX(Transactions!$O:$O,ROW()-8))</f>
      </c>
    </row>
    <row r="7251" spans="1:7">
      <c r="B7251">
        <f>IF(INDEX(Transactions!$J:$J,ROW()-8)="",TODAY(),INDEX(Transactions!$G:$G,ROW()-8))</f>
      </c>
      <c r="F7251">
        <f>IF(INDEX(Transactions!$J:$J,ROW()-8)="",0,INDEX(Transactions!$O:$O,ROW()-8))</f>
      </c>
    </row>
    <row r="7252" spans="1:7">
      <c r="B7252">
        <f>IF(INDEX(Transactions!$J:$J,ROW()-8)="",TODAY(),INDEX(Transactions!$G:$G,ROW()-8))</f>
      </c>
      <c r="F7252">
        <f>IF(INDEX(Transactions!$J:$J,ROW()-8)="",0,INDEX(Transactions!$O:$O,ROW()-8))</f>
      </c>
    </row>
    <row r="7253" spans="1:7">
      <c r="B7253">
        <f>IF(INDEX(Transactions!$J:$J,ROW()-8)="",TODAY(),INDEX(Transactions!$G:$G,ROW()-8))</f>
      </c>
      <c r="F7253">
        <f>IF(INDEX(Transactions!$J:$J,ROW()-8)="",0,INDEX(Transactions!$O:$O,ROW()-8))</f>
      </c>
    </row>
    <row r="7254" spans="1:7">
      <c r="B7254">
        <f>IF(INDEX(Transactions!$J:$J,ROW()-8)="",TODAY(),INDEX(Transactions!$G:$G,ROW()-8))</f>
      </c>
      <c r="F7254">
        <f>IF(INDEX(Transactions!$J:$J,ROW()-8)="",0,INDEX(Transactions!$O:$O,ROW()-8))</f>
      </c>
    </row>
    <row r="7255" spans="1:7">
      <c r="B7255">
        <f>IF(INDEX(Transactions!$J:$J,ROW()-8)="",TODAY(),INDEX(Transactions!$G:$G,ROW()-8))</f>
      </c>
      <c r="F7255">
        <f>IF(INDEX(Transactions!$J:$J,ROW()-8)="",0,INDEX(Transactions!$O:$O,ROW()-8))</f>
      </c>
    </row>
    <row r="7256" spans="1:7">
      <c r="B7256">
        <f>IF(INDEX(Transactions!$J:$J,ROW()-8)="",TODAY(),INDEX(Transactions!$G:$G,ROW()-8))</f>
      </c>
      <c r="F7256">
        <f>IF(INDEX(Transactions!$J:$J,ROW()-8)="",0,INDEX(Transactions!$O:$O,ROW()-8))</f>
      </c>
    </row>
    <row r="7257" spans="1:7">
      <c r="B7257">
        <f>IF(INDEX(Transactions!$J:$J,ROW()-8)="",TODAY(),INDEX(Transactions!$G:$G,ROW()-8))</f>
      </c>
      <c r="F7257">
        <f>IF(INDEX(Transactions!$J:$J,ROW()-8)="",0,INDEX(Transactions!$O:$O,ROW()-8))</f>
      </c>
    </row>
    <row r="7258" spans="1:7">
      <c r="B7258">
        <f>IF(INDEX(Transactions!$J:$J,ROW()-8)="",TODAY(),INDEX(Transactions!$G:$G,ROW()-8))</f>
      </c>
      <c r="F7258">
        <f>IF(INDEX(Transactions!$J:$J,ROW()-8)="",0,INDEX(Transactions!$O:$O,ROW()-8))</f>
      </c>
    </row>
    <row r="7259" spans="1:7">
      <c r="B7259">
        <f>IF(INDEX(Transactions!$J:$J,ROW()-8)="",TODAY(),INDEX(Transactions!$G:$G,ROW()-8))</f>
      </c>
      <c r="F7259">
        <f>IF(INDEX(Transactions!$J:$J,ROW()-8)="",0,INDEX(Transactions!$O:$O,ROW()-8))</f>
      </c>
    </row>
    <row r="7260" spans="1:7">
      <c r="B7260">
        <f>IF(INDEX(Transactions!$J:$J,ROW()-8)="",TODAY(),INDEX(Transactions!$G:$G,ROW()-8))</f>
      </c>
      <c r="F7260">
        <f>IF(INDEX(Transactions!$J:$J,ROW()-8)="",0,INDEX(Transactions!$O:$O,ROW()-8))</f>
      </c>
    </row>
    <row r="7261" spans="1:7">
      <c r="B7261">
        <f>IF(INDEX(Transactions!$J:$J,ROW()-8)="",TODAY(),INDEX(Transactions!$G:$G,ROW()-8))</f>
      </c>
      <c r="F7261">
        <f>IF(INDEX(Transactions!$J:$J,ROW()-8)="",0,INDEX(Transactions!$O:$O,ROW()-8))</f>
      </c>
    </row>
    <row r="7262" spans="1:7">
      <c r="B7262">
        <f>IF(INDEX(Transactions!$J:$J,ROW()-8)="",TODAY(),INDEX(Transactions!$G:$G,ROW()-8))</f>
      </c>
      <c r="F7262">
        <f>IF(INDEX(Transactions!$J:$J,ROW()-8)="",0,INDEX(Transactions!$O:$O,ROW()-8))</f>
      </c>
    </row>
    <row r="7263" spans="1:7">
      <c r="B7263">
        <f>IF(INDEX(Transactions!$J:$J,ROW()-8)="",TODAY(),INDEX(Transactions!$G:$G,ROW()-8))</f>
      </c>
      <c r="F7263">
        <f>IF(INDEX(Transactions!$J:$J,ROW()-8)="",0,INDEX(Transactions!$O:$O,ROW()-8))</f>
      </c>
    </row>
    <row r="7264" spans="1:7">
      <c r="B7264">
        <f>IF(INDEX(Transactions!$J:$J,ROW()-8)="",TODAY(),INDEX(Transactions!$G:$G,ROW()-8))</f>
      </c>
      <c r="F7264">
        <f>IF(INDEX(Transactions!$J:$J,ROW()-8)="",0,INDEX(Transactions!$O:$O,ROW()-8))</f>
      </c>
    </row>
    <row r="7265" spans="1:7">
      <c r="B7265">
        <f>IF(INDEX(Transactions!$J:$J,ROW()-8)="",TODAY(),INDEX(Transactions!$G:$G,ROW()-8))</f>
      </c>
      <c r="F7265">
        <f>IF(INDEX(Transactions!$J:$J,ROW()-8)="",0,INDEX(Transactions!$O:$O,ROW()-8))</f>
      </c>
    </row>
    <row r="7266" spans="1:7">
      <c r="B7266">
        <f>IF(INDEX(Transactions!$J:$J,ROW()-8)="",TODAY(),INDEX(Transactions!$G:$G,ROW()-8))</f>
      </c>
      <c r="F7266">
        <f>IF(INDEX(Transactions!$J:$J,ROW()-8)="",0,INDEX(Transactions!$O:$O,ROW()-8))</f>
      </c>
    </row>
    <row r="7267" spans="1:7">
      <c r="B7267">
        <f>IF(INDEX(Transactions!$J:$J,ROW()-8)="",TODAY(),INDEX(Transactions!$G:$G,ROW()-8))</f>
      </c>
      <c r="F7267">
        <f>IF(INDEX(Transactions!$J:$J,ROW()-8)="",0,INDEX(Transactions!$O:$O,ROW()-8))</f>
      </c>
    </row>
    <row r="7268" spans="1:7">
      <c r="B7268">
        <f>IF(INDEX(Transactions!$J:$J,ROW()-8)="",TODAY(),INDEX(Transactions!$G:$G,ROW()-8))</f>
      </c>
      <c r="F7268">
        <f>IF(INDEX(Transactions!$J:$J,ROW()-8)="",0,INDEX(Transactions!$O:$O,ROW()-8))</f>
      </c>
    </row>
    <row r="7269" spans="1:7">
      <c r="B7269">
        <f>IF(INDEX(Transactions!$J:$J,ROW()-8)="",TODAY(),INDEX(Transactions!$G:$G,ROW()-8))</f>
      </c>
      <c r="F7269">
        <f>IF(INDEX(Transactions!$J:$J,ROW()-8)="",0,INDEX(Transactions!$O:$O,ROW()-8))</f>
      </c>
    </row>
    <row r="7270" spans="1:7">
      <c r="B7270">
        <f>IF(INDEX(Transactions!$J:$J,ROW()-8)="",TODAY(),INDEX(Transactions!$G:$G,ROW()-8))</f>
      </c>
      <c r="F7270">
        <f>IF(INDEX(Transactions!$J:$J,ROW()-8)="",0,INDEX(Transactions!$O:$O,ROW()-8))</f>
      </c>
    </row>
    <row r="7271" spans="1:7">
      <c r="B7271">
        <f>IF(INDEX(Transactions!$J:$J,ROW()-8)="",TODAY(),INDEX(Transactions!$G:$G,ROW()-8))</f>
      </c>
      <c r="F7271">
        <f>IF(INDEX(Transactions!$J:$J,ROW()-8)="",0,INDEX(Transactions!$O:$O,ROW()-8))</f>
      </c>
    </row>
    <row r="7272" spans="1:7">
      <c r="B7272">
        <f>IF(INDEX(Transactions!$J:$J,ROW()-8)="",TODAY(),INDEX(Transactions!$G:$G,ROW()-8))</f>
      </c>
      <c r="F7272">
        <f>IF(INDEX(Transactions!$J:$J,ROW()-8)="",0,INDEX(Transactions!$O:$O,ROW()-8))</f>
      </c>
    </row>
    <row r="7273" spans="1:7">
      <c r="B7273">
        <f>IF(INDEX(Transactions!$J:$J,ROW()-8)="",TODAY(),INDEX(Transactions!$G:$G,ROW()-8))</f>
      </c>
      <c r="F7273">
        <f>IF(INDEX(Transactions!$J:$J,ROW()-8)="",0,INDEX(Transactions!$O:$O,ROW()-8))</f>
      </c>
    </row>
    <row r="7274" spans="1:7">
      <c r="B7274">
        <f>IF(INDEX(Transactions!$J:$J,ROW()-8)="",TODAY(),INDEX(Transactions!$G:$G,ROW()-8))</f>
      </c>
      <c r="F7274">
        <f>IF(INDEX(Transactions!$J:$J,ROW()-8)="",0,INDEX(Transactions!$O:$O,ROW()-8))</f>
      </c>
    </row>
    <row r="7275" spans="1:7">
      <c r="B7275">
        <f>IF(INDEX(Transactions!$J:$J,ROW()-8)="",TODAY(),INDEX(Transactions!$G:$G,ROW()-8))</f>
      </c>
      <c r="F7275">
        <f>IF(INDEX(Transactions!$J:$J,ROW()-8)="",0,INDEX(Transactions!$O:$O,ROW()-8))</f>
      </c>
    </row>
    <row r="7276" spans="1:7">
      <c r="B7276">
        <f>IF(INDEX(Transactions!$J:$J,ROW()-8)="",TODAY(),INDEX(Transactions!$G:$G,ROW()-8))</f>
      </c>
      <c r="F7276">
        <f>IF(INDEX(Transactions!$J:$J,ROW()-8)="",0,INDEX(Transactions!$O:$O,ROW()-8))</f>
      </c>
    </row>
    <row r="7277" spans="1:7">
      <c r="B7277">
        <f>IF(INDEX(Transactions!$J:$J,ROW()-8)="",TODAY(),INDEX(Transactions!$G:$G,ROW()-8))</f>
      </c>
      <c r="F7277">
        <f>IF(INDEX(Transactions!$J:$J,ROW()-8)="",0,INDEX(Transactions!$O:$O,ROW()-8))</f>
      </c>
    </row>
    <row r="7278" spans="1:7">
      <c r="B7278">
        <f>IF(INDEX(Transactions!$J:$J,ROW()-8)="",TODAY(),INDEX(Transactions!$G:$G,ROW()-8))</f>
      </c>
      <c r="F7278">
        <f>IF(INDEX(Transactions!$J:$J,ROW()-8)="",0,INDEX(Transactions!$O:$O,ROW()-8))</f>
      </c>
    </row>
    <row r="7279" spans="1:7">
      <c r="B7279">
        <f>IF(INDEX(Transactions!$J:$J,ROW()-8)="",TODAY(),INDEX(Transactions!$G:$G,ROW()-8))</f>
      </c>
      <c r="F7279">
        <f>IF(INDEX(Transactions!$J:$J,ROW()-8)="",0,INDEX(Transactions!$O:$O,ROW()-8))</f>
      </c>
    </row>
    <row r="7280" spans="1:7">
      <c r="B7280">
        <f>IF(INDEX(Transactions!$J:$J,ROW()-8)="",TODAY(),INDEX(Transactions!$G:$G,ROW()-8))</f>
      </c>
      <c r="F7280">
        <f>IF(INDEX(Transactions!$J:$J,ROW()-8)="",0,INDEX(Transactions!$O:$O,ROW()-8))</f>
      </c>
    </row>
    <row r="7281" spans="1:7">
      <c r="B7281">
        <f>IF(INDEX(Transactions!$J:$J,ROW()-8)="",TODAY(),INDEX(Transactions!$G:$G,ROW()-8))</f>
      </c>
      <c r="F7281">
        <f>IF(INDEX(Transactions!$J:$J,ROW()-8)="",0,INDEX(Transactions!$O:$O,ROW()-8))</f>
      </c>
    </row>
    <row r="7282" spans="1:7">
      <c r="B7282">
        <f>IF(INDEX(Transactions!$J:$J,ROW()-8)="",TODAY(),INDEX(Transactions!$G:$G,ROW()-8))</f>
      </c>
      <c r="F7282">
        <f>IF(INDEX(Transactions!$J:$J,ROW()-8)="",0,INDEX(Transactions!$O:$O,ROW()-8))</f>
      </c>
    </row>
    <row r="7283" spans="1:7">
      <c r="B7283">
        <f>IF(INDEX(Transactions!$J:$J,ROW()-8)="",TODAY(),INDEX(Transactions!$G:$G,ROW()-8))</f>
      </c>
      <c r="F7283">
        <f>IF(INDEX(Transactions!$J:$J,ROW()-8)="",0,INDEX(Transactions!$O:$O,ROW()-8))</f>
      </c>
    </row>
    <row r="7284" spans="1:7">
      <c r="B7284">
        <f>IF(INDEX(Transactions!$J:$J,ROW()-8)="",TODAY(),INDEX(Transactions!$G:$G,ROW()-8))</f>
      </c>
      <c r="F7284">
        <f>IF(INDEX(Transactions!$J:$J,ROW()-8)="",0,INDEX(Transactions!$O:$O,ROW()-8))</f>
      </c>
    </row>
    <row r="7285" spans="1:7">
      <c r="B7285">
        <f>IF(INDEX(Transactions!$J:$J,ROW()-8)="",TODAY(),INDEX(Transactions!$G:$G,ROW()-8))</f>
      </c>
      <c r="F7285">
        <f>IF(INDEX(Transactions!$J:$J,ROW()-8)="",0,INDEX(Transactions!$O:$O,ROW()-8))</f>
      </c>
    </row>
    <row r="7286" spans="1:7">
      <c r="B7286">
        <f>IF(INDEX(Transactions!$J:$J,ROW()-8)="",TODAY(),INDEX(Transactions!$G:$G,ROW()-8))</f>
      </c>
      <c r="F7286">
        <f>IF(INDEX(Transactions!$J:$J,ROW()-8)="",0,INDEX(Transactions!$O:$O,ROW()-8))</f>
      </c>
    </row>
    <row r="7287" spans="1:7">
      <c r="B7287">
        <f>IF(INDEX(Transactions!$J:$J,ROW()-8)="",TODAY(),INDEX(Transactions!$G:$G,ROW()-8))</f>
      </c>
      <c r="F7287">
        <f>IF(INDEX(Transactions!$J:$J,ROW()-8)="",0,INDEX(Transactions!$O:$O,ROW()-8))</f>
      </c>
    </row>
    <row r="7288" spans="1:7">
      <c r="B7288">
        <f>IF(INDEX(Transactions!$J:$J,ROW()-8)="",TODAY(),INDEX(Transactions!$G:$G,ROW()-8))</f>
      </c>
      <c r="F7288">
        <f>IF(INDEX(Transactions!$J:$J,ROW()-8)="",0,INDEX(Transactions!$O:$O,ROW()-8))</f>
      </c>
    </row>
    <row r="7289" spans="1:7">
      <c r="B7289">
        <f>IF(INDEX(Transactions!$J:$J,ROW()-8)="",TODAY(),INDEX(Transactions!$G:$G,ROW()-8))</f>
      </c>
      <c r="F7289">
        <f>IF(INDEX(Transactions!$J:$J,ROW()-8)="",0,INDEX(Transactions!$O:$O,ROW()-8))</f>
      </c>
    </row>
    <row r="7290" spans="1:7">
      <c r="B7290">
        <f>IF(INDEX(Transactions!$J:$J,ROW()-8)="",TODAY(),INDEX(Transactions!$G:$G,ROW()-8))</f>
      </c>
      <c r="F7290">
        <f>IF(INDEX(Transactions!$J:$J,ROW()-8)="",0,INDEX(Transactions!$O:$O,ROW()-8))</f>
      </c>
    </row>
    <row r="7291" spans="1:7">
      <c r="B7291">
        <f>IF(INDEX(Transactions!$J:$J,ROW()-8)="",TODAY(),INDEX(Transactions!$G:$G,ROW()-8))</f>
      </c>
      <c r="F7291">
        <f>IF(INDEX(Transactions!$J:$J,ROW()-8)="",0,INDEX(Transactions!$O:$O,ROW()-8))</f>
      </c>
    </row>
    <row r="7292" spans="1:7">
      <c r="B7292">
        <f>IF(INDEX(Transactions!$J:$J,ROW()-8)="",TODAY(),INDEX(Transactions!$G:$G,ROW()-8))</f>
      </c>
      <c r="F7292">
        <f>IF(INDEX(Transactions!$J:$J,ROW()-8)="",0,INDEX(Transactions!$O:$O,ROW()-8))</f>
      </c>
    </row>
    <row r="7293" spans="1:7">
      <c r="B7293">
        <f>IF(INDEX(Transactions!$J:$J,ROW()-8)="",TODAY(),INDEX(Transactions!$G:$G,ROW()-8))</f>
      </c>
      <c r="F7293">
        <f>IF(INDEX(Transactions!$J:$J,ROW()-8)="",0,INDEX(Transactions!$O:$O,ROW()-8))</f>
      </c>
    </row>
    <row r="7294" spans="1:7">
      <c r="B7294">
        <f>IF(INDEX(Transactions!$J:$J,ROW()-8)="",TODAY(),INDEX(Transactions!$G:$G,ROW()-8))</f>
      </c>
      <c r="F7294">
        <f>IF(INDEX(Transactions!$J:$J,ROW()-8)="",0,INDEX(Transactions!$O:$O,ROW()-8))</f>
      </c>
    </row>
    <row r="7295" spans="1:7">
      <c r="B7295">
        <f>IF(INDEX(Transactions!$J:$J,ROW()-8)="",TODAY(),INDEX(Transactions!$G:$G,ROW()-8))</f>
      </c>
      <c r="F7295">
        <f>IF(INDEX(Transactions!$J:$J,ROW()-8)="",0,INDEX(Transactions!$O:$O,ROW()-8))</f>
      </c>
    </row>
    <row r="7296" spans="1:7">
      <c r="B7296">
        <f>IF(INDEX(Transactions!$J:$J,ROW()-8)="",TODAY(),INDEX(Transactions!$G:$G,ROW()-8))</f>
      </c>
      <c r="F7296">
        <f>IF(INDEX(Transactions!$J:$J,ROW()-8)="",0,INDEX(Transactions!$O:$O,ROW()-8))</f>
      </c>
    </row>
    <row r="7297" spans="1:7">
      <c r="B7297">
        <f>IF(INDEX(Transactions!$J:$J,ROW()-8)="",TODAY(),INDEX(Transactions!$G:$G,ROW()-8))</f>
      </c>
      <c r="F7297">
        <f>IF(INDEX(Transactions!$J:$J,ROW()-8)="",0,INDEX(Transactions!$O:$O,ROW()-8))</f>
      </c>
    </row>
    <row r="7298" spans="1:7">
      <c r="B7298">
        <f>IF(INDEX(Transactions!$J:$J,ROW()-8)="",TODAY(),INDEX(Transactions!$G:$G,ROW()-8))</f>
      </c>
      <c r="F7298">
        <f>IF(INDEX(Transactions!$J:$J,ROW()-8)="",0,INDEX(Transactions!$O:$O,ROW()-8))</f>
      </c>
    </row>
    <row r="7299" spans="1:7">
      <c r="B7299">
        <f>IF(INDEX(Transactions!$J:$J,ROW()-8)="",TODAY(),INDEX(Transactions!$G:$G,ROW()-8))</f>
      </c>
      <c r="F7299">
        <f>IF(INDEX(Transactions!$J:$J,ROW()-8)="",0,INDEX(Transactions!$O:$O,ROW()-8))</f>
      </c>
    </row>
    <row r="7300" spans="1:7">
      <c r="B7300">
        <f>IF(INDEX(Transactions!$J:$J,ROW()-8)="",TODAY(),INDEX(Transactions!$G:$G,ROW()-8))</f>
      </c>
      <c r="F7300">
        <f>IF(INDEX(Transactions!$J:$J,ROW()-8)="",0,INDEX(Transactions!$O:$O,ROW()-8))</f>
      </c>
    </row>
    <row r="7301" spans="1:7">
      <c r="B7301">
        <f>IF(INDEX(Transactions!$J:$J,ROW()-8)="",TODAY(),INDEX(Transactions!$G:$G,ROW()-8))</f>
      </c>
      <c r="F7301">
        <f>IF(INDEX(Transactions!$J:$J,ROW()-8)="",0,INDEX(Transactions!$O:$O,ROW()-8))</f>
      </c>
    </row>
    <row r="7302" spans="1:7">
      <c r="B7302">
        <f>IF(INDEX(Transactions!$J:$J,ROW()-8)="",TODAY(),INDEX(Transactions!$G:$G,ROW()-8))</f>
      </c>
      <c r="F7302">
        <f>IF(INDEX(Transactions!$J:$J,ROW()-8)="",0,INDEX(Transactions!$O:$O,ROW()-8))</f>
      </c>
    </row>
    <row r="7303" spans="1:7">
      <c r="B7303">
        <f>IF(INDEX(Transactions!$J:$J,ROW()-8)="",TODAY(),INDEX(Transactions!$G:$G,ROW()-8))</f>
      </c>
      <c r="F7303">
        <f>IF(INDEX(Transactions!$J:$J,ROW()-8)="",0,INDEX(Transactions!$O:$O,ROW()-8))</f>
      </c>
    </row>
    <row r="7304" spans="1:7">
      <c r="B7304">
        <f>IF(INDEX(Transactions!$J:$J,ROW()-8)="",TODAY(),INDEX(Transactions!$G:$G,ROW()-8))</f>
      </c>
      <c r="F7304">
        <f>IF(INDEX(Transactions!$J:$J,ROW()-8)="",0,INDEX(Transactions!$O:$O,ROW()-8))</f>
      </c>
    </row>
    <row r="7305" spans="1:7">
      <c r="B7305">
        <f>IF(INDEX(Transactions!$J:$J,ROW()-8)="",TODAY(),INDEX(Transactions!$G:$G,ROW()-8))</f>
      </c>
      <c r="F7305">
        <f>IF(INDEX(Transactions!$J:$J,ROW()-8)="",0,INDEX(Transactions!$O:$O,ROW()-8))</f>
      </c>
    </row>
    <row r="7306" spans="1:7">
      <c r="B7306">
        <f>IF(INDEX(Transactions!$J:$J,ROW()-8)="",TODAY(),INDEX(Transactions!$G:$G,ROW()-8))</f>
      </c>
      <c r="F7306">
        <f>IF(INDEX(Transactions!$J:$J,ROW()-8)="",0,INDEX(Transactions!$O:$O,ROW()-8))</f>
      </c>
    </row>
    <row r="7307" spans="1:7">
      <c r="B7307">
        <f>IF(INDEX(Transactions!$J:$J,ROW()-8)="",TODAY(),INDEX(Transactions!$G:$G,ROW()-8))</f>
      </c>
      <c r="F7307">
        <f>IF(INDEX(Transactions!$J:$J,ROW()-8)="",0,INDEX(Transactions!$O:$O,ROW()-8))</f>
      </c>
    </row>
    <row r="7308" spans="1:7">
      <c r="B7308">
        <f>IF(INDEX(Transactions!$J:$J,ROW()-8)="",TODAY(),INDEX(Transactions!$G:$G,ROW()-8))</f>
      </c>
      <c r="F7308">
        <f>IF(INDEX(Transactions!$J:$J,ROW()-8)="",0,INDEX(Transactions!$O:$O,ROW()-8))</f>
      </c>
    </row>
    <row r="7309" spans="1:7">
      <c r="B7309">
        <f>IF(INDEX(Transactions!$J:$J,ROW()-8)="",TODAY(),INDEX(Transactions!$G:$G,ROW()-8))</f>
      </c>
      <c r="F7309">
        <f>IF(INDEX(Transactions!$J:$J,ROW()-8)="",0,INDEX(Transactions!$O:$O,ROW()-8))</f>
      </c>
    </row>
    <row r="7310" spans="1:7">
      <c r="B7310">
        <f>IF(INDEX(Transactions!$J:$J,ROW()-8)="",TODAY(),INDEX(Transactions!$G:$G,ROW()-8))</f>
      </c>
      <c r="F7310">
        <f>IF(INDEX(Transactions!$J:$J,ROW()-8)="",0,INDEX(Transactions!$O:$O,ROW()-8))</f>
      </c>
    </row>
    <row r="7311" spans="1:7">
      <c r="B7311">
        <f>IF(INDEX(Transactions!$J:$J,ROW()-8)="",TODAY(),INDEX(Transactions!$G:$G,ROW()-8))</f>
      </c>
      <c r="F7311">
        <f>IF(INDEX(Transactions!$J:$J,ROW()-8)="",0,INDEX(Transactions!$O:$O,ROW()-8))</f>
      </c>
    </row>
    <row r="7312" spans="1:7">
      <c r="B7312">
        <f>IF(INDEX(Transactions!$J:$J,ROW()-8)="",TODAY(),INDEX(Transactions!$G:$G,ROW()-8))</f>
      </c>
      <c r="F7312">
        <f>IF(INDEX(Transactions!$J:$J,ROW()-8)="",0,INDEX(Transactions!$O:$O,ROW()-8))</f>
      </c>
    </row>
    <row r="7313" spans="1:7">
      <c r="B7313">
        <f>IF(INDEX(Transactions!$J:$J,ROW()-8)="",TODAY(),INDEX(Transactions!$G:$G,ROW()-8))</f>
      </c>
      <c r="F7313">
        <f>IF(INDEX(Transactions!$J:$J,ROW()-8)="",0,INDEX(Transactions!$O:$O,ROW()-8))</f>
      </c>
    </row>
    <row r="7314" spans="1:7">
      <c r="B7314">
        <f>IF(INDEX(Transactions!$J:$J,ROW()-8)="",TODAY(),INDEX(Transactions!$G:$G,ROW()-8))</f>
      </c>
      <c r="F7314">
        <f>IF(INDEX(Transactions!$J:$J,ROW()-8)="",0,INDEX(Transactions!$O:$O,ROW()-8))</f>
      </c>
    </row>
    <row r="7315" spans="1:7">
      <c r="B7315">
        <f>IF(INDEX(Transactions!$J:$J,ROW()-8)="",TODAY(),INDEX(Transactions!$G:$G,ROW()-8))</f>
      </c>
      <c r="F7315">
        <f>IF(INDEX(Transactions!$J:$J,ROW()-8)="",0,INDEX(Transactions!$O:$O,ROW()-8))</f>
      </c>
    </row>
    <row r="7316" spans="1:7">
      <c r="B7316">
        <f>IF(INDEX(Transactions!$J:$J,ROW()-8)="",TODAY(),INDEX(Transactions!$G:$G,ROW()-8))</f>
      </c>
      <c r="F7316">
        <f>IF(INDEX(Transactions!$J:$J,ROW()-8)="",0,INDEX(Transactions!$O:$O,ROW()-8))</f>
      </c>
    </row>
    <row r="7317" spans="1:7">
      <c r="B7317">
        <f>IF(INDEX(Transactions!$J:$J,ROW()-8)="",TODAY(),INDEX(Transactions!$G:$G,ROW()-8))</f>
      </c>
      <c r="F7317">
        <f>IF(INDEX(Transactions!$J:$J,ROW()-8)="",0,INDEX(Transactions!$O:$O,ROW()-8))</f>
      </c>
    </row>
    <row r="7318" spans="1:7">
      <c r="B7318">
        <f>IF(INDEX(Transactions!$J:$J,ROW()-8)="",TODAY(),INDEX(Transactions!$G:$G,ROW()-8))</f>
      </c>
      <c r="F7318">
        <f>IF(INDEX(Transactions!$J:$J,ROW()-8)="",0,INDEX(Transactions!$O:$O,ROW()-8))</f>
      </c>
    </row>
    <row r="7319" spans="1:7">
      <c r="B7319">
        <f>IF(INDEX(Transactions!$J:$J,ROW()-8)="",TODAY(),INDEX(Transactions!$G:$G,ROW()-8))</f>
      </c>
      <c r="F7319">
        <f>IF(INDEX(Transactions!$J:$J,ROW()-8)="",0,INDEX(Transactions!$O:$O,ROW()-8))</f>
      </c>
    </row>
    <row r="7320" spans="1:7">
      <c r="B7320">
        <f>IF(INDEX(Transactions!$J:$J,ROW()-8)="",TODAY(),INDEX(Transactions!$G:$G,ROW()-8))</f>
      </c>
      <c r="F7320">
        <f>IF(INDEX(Transactions!$J:$J,ROW()-8)="",0,INDEX(Transactions!$O:$O,ROW()-8))</f>
      </c>
    </row>
    <row r="7321" spans="1:7">
      <c r="B7321">
        <f>IF(INDEX(Transactions!$J:$J,ROW()-8)="",TODAY(),INDEX(Transactions!$G:$G,ROW()-8))</f>
      </c>
      <c r="F7321">
        <f>IF(INDEX(Transactions!$J:$J,ROW()-8)="",0,INDEX(Transactions!$O:$O,ROW()-8))</f>
      </c>
    </row>
    <row r="7322" spans="1:7">
      <c r="B7322">
        <f>IF(INDEX(Transactions!$J:$J,ROW()-8)="",TODAY(),INDEX(Transactions!$G:$G,ROW()-8))</f>
      </c>
      <c r="F7322">
        <f>IF(INDEX(Transactions!$J:$J,ROW()-8)="",0,INDEX(Transactions!$O:$O,ROW()-8))</f>
      </c>
    </row>
    <row r="7323" spans="1:7">
      <c r="B7323">
        <f>IF(INDEX(Transactions!$J:$J,ROW()-8)="",TODAY(),INDEX(Transactions!$G:$G,ROW()-8))</f>
      </c>
      <c r="F7323">
        <f>IF(INDEX(Transactions!$J:$J,ROW()-8)="",0,INDEX(Transactions!$O:$O,ROW()-8))</f>
      </c>
    </row>
    <row r="7324" spans="1:7">
      <c r="B7324">
        <f>IF(INDEX(Transactions!$J:$J,ROW()-8)="",TODAY(),INDEX(Transactions!$G:$G,ROW()-8))</f>
      </c>
      <c r="F7324">
        <f>IF(INDEX(Transactions!$J:$J,ROW()-8)="",0,INDEX(Transactions!$O:$O,ROW()-8))</f>
      </c>
    </row>
    <row r="7325" spans="1:7">
      <c r="B7325">
        <f>IF(INDEX(Transactions!$J:$J,ROW()-8)="",TODAY(),INDEX(Transactions!$G:$G,ROW()-8))</f>
      </c>
      <c r="F7325">
        <f>IF(INDEX(Transactions!$J:$J,ROW()-8)="",0,INDEX(Transactions!$O:$O,ROW()-8))</f>
      </c>
    </row>
    <row r="7326" spans="1:7">
      <c r="B7326">
        <f>IF(INDEX(Transactions!$J:$J,ROW()-8)="",TODAY(),INDEX(Transactions!$G:$G,ROW()-8))</f>
      </c>
      <c r="F7326">
        <f>IF(INDEX(Transactions!$J:$J,ROW()-8)="",0,INDEX(Transactions!$O:$O,ROW()-8))</f>
      </c>
    </row>
    <row r="7327" spans="1:7">
      <c r="B7327">
        <f>IF(INDEX(Transactions!$J:$J,ROW()-8)="",TODAY(),INDEX(Transactions!$G:$G,ROW()-8))</f>
      </c>
      <c r="F7327">
        <f>IF(INDEX(Transactions!$J:$J,ROW()-8)="",0,INDEX(Transactions!$O:$O,ROW()-8))</f>
      </c>
    </row>
    <row r="7328" spans="1:7">
      <c r="B7328">
        <f>IF(INDEX(Transactions!$J:$J,ROW()-8)="",TODAY(),INDEX(Transactions!$G:$G,ROW()-8))</f>
      </c>
      <c r="F7328">
        <f>IF(INDEX(Transactions!$J:$J,ROW()-8)="",0,INDEX(Transactions!$O:$O,ROW()-8))</f>
      </c>
    </row>
    <row r="7329" spans="1:7">
      <c r="B7329">
        <f>IF(INDEX(Transactions!$J:$J,ROW()-8)="",TODAY(),INDEX(Transactions!$G:$G,ROW()-8))</f>
      </c>
      <c r="F7329">
        <f>IF(INDEX(Transactions!$J:$J,ROW()-8)="",0,INDEX(Transactions!$O:$O,ROW()-8))</f>
      </c>
    </row>
    <row r="7330" spans="1:7">
      <c r="B7330">
        <f>IF(INDEX(Transactions!$J:$J,ROW()-8)="",TODAY(),INDEX(Transactions!$G:$G,ROW()-8))</f>
      </c>
      <c r="F7330">
        <f>IF(INDEX(Transactions!$J:$J,ROW()-8)="",0,INDEX(Transactions!$O:$O,ROW()-8))</f>
      </c>
    </row>
    <row r="7331" spans="1:7">
      <c r="B7331">
        <f>IF(INDEX(Transactions!$J:$J,ROW()-8)="",TODAY(),INDEX(Transactions!$G:$G,ROW()-8))</f>
      </c>
      <c r="F7331">
        <f>IF(INDEX(Transactions!$J:$J,ROW()-8)="",0,INDEX(Transactions!$O:$O,ROW()-8))</f>
      </c>
    </row>
    <row r="7332" spans="1:7">
      <c r="B7332">
        <f>IF(INDEX(Transactions!$J:$J,ROW()-8)="",TODAY(),INDEX(Transactions!$G:$G,ROW()-8))</f>
      </c>
      <c r="F7332">
        <f>IF(INDEX(Transactions!$J:$J,ROW()-8)="",0,INDEX(Transactions!$O:$O,ROW()-8))</f>
      </c>
    </row>
    <row r="7333" spans="1:7">
      <c r="B7333">
        <f>IF(INDEX(Transactions!$J:$J,ROW()-8)="",TODAY(),INDEX(Transactions!$G:$G,ROW()-8))</f>
      </c>
      <c r="F7333">
        <f>IF(INDEX(Transactions!$J:$J,ROW()-8)="",0,INDEX(Transactions!$O:$O,ROW()-8))</f>
      </c>
    </row>
    <row r="7334" spans="1:7">
      <c r="B7334">
        <f>IF(INDEX(Transactions!$J:$J,ROW()-8)="",TODAY(),INDEX(Transactions!$G:$G,ROW()-8))</f>
      </c>
      <c r="F7334">
        <f>IF(INDEX(Transactions!$J:$J,ROW()-8)="",0,INDEX(Transactions!$O:$O,ROW()-8))</f>
      </c>
    </row>
    <row r="7335" spans="1:7">
      <c r="B7335">
        <f>IF(INDEX(Transactions!$J:$J,ROW()-8)="",TODAY(),INDEX(Transactions!$G:$G,ROW()-8))</f>
      </c>
      <c r="F7335">
        <f>IF(INDEX(Transactions!$J:$J,ROW()-8)="",0,INDEX(Transactions!$O:$O,ROW()-8))</f>
      </c>
    </row>
    <row r="7336" spans="1:7">
      <c r="B7336">
        <f>IF(INDEX(Transactions!$J:$J,ROW()-8)="",TODAY(),INDEX(Transactions!$G:$G,ROW()-8))</f>
      </c>
      <c r="F7336">
        <f>IF(INDEX(Transactions!$J:$J,ROW()-8)="",0,INDEX(Transactions!$O:$O,ROW()-8))</f>
      </c>
    </row>
    <row r="7337" spans="1:7">
      <c r="B7337">
        <f>IF(INDEX(Transactions!$J:$J,ROW()-8)="",TODAY(),INDEX(Transactions!$G:$G,ROW()-8))</f>
      </c>
      <c r="F7337">
        <f>IF(INDEX(Transactions!$J:$J,ROW()-8)="",0,INDEX(Transactions!$O:$O,ROW()-8))</f>
      </c>
    </row>
    <row r="7338" spans="1:7">
      <c r="B7338">
        <f>IF(INDEX(Transactions!$J:$J,ROW()-8)="",TODAY(),INDEX(Transactions!$G:$G,ROW()-8))</f>
      </c>
      <c r="F7338">
        <f>IF(INDEX(Transactions!$J:$J,ROW()-8)="",0,INDEX(Transactions!$O:$O,ROW()-8))</f>
      </c>
    </row>
    <row r="7339" spans="1:7">
      <c r="B7339">
        <f>IF(INDEX(Transactions!$J:$J,ROW()-8)="",TODAY(),INDEX(Transactions!$G:$G,ROW()-8))</f>
      </c>
      <c r="F7339">
        <f>IF(INDEX(Transactions!$J:$J,ROW()-8)="",0,INDEX(Transactions!$O:$O,ROW()-8))</f>
      </c>
    </row>
    <row r="7340" spans="1:7">
      <c r="B7340">
        <f>IF(INDEX(Transactions!$J:$J,ROW()-8)="",TODAY(),INDEX(Transactions!$G:$G,ROW()-8))</f>
      </c>
      <c r="F7340">
        <f>IF(INDEX(Transactions!$J:$J,ROW()-8)="",0,INDEX(Transactions!$O:$O,ROW()-8))</f>
      </c>
    </row>
    <row r="7341" spans="1:7">
      <c r="B7341">
        <f>IF(INDEX(Transactions!$J:$J,ROW()-8)="",TODAY(),INDEX(Transactions!$G:$G,ROW()-8))</f>
      </c>
      <c r="F7341">
        <f>IF(INDEX(Transactions!$J:$J,ROW()-8)="",0,INDEX(Transactions!$O:$O,ROW()-8))</f>
      </c>
    </row>
    <row r="7342" spans="1:7">
      <c r="B7342">
        <f>IF(INDEX(Transactions!$J:$J,ROW()-8)="",TODAY(),INDEX(Transactions!$G:$G,ROW()-8))</f>
      </c>
      <c r="F7342">
        <f>IF(INDEX(Transactions!$J:$J,ROW()-8)="",0,INDEX(Transactions!$O:$O,ROW()-8))</f>
      </c>
    </row>
    <row r="7343" spans="1:7">
      <c r="B7343">
        <f>IF(INDEX(Transactions!$J:$J,ROW()-8)="",TODAY(),INDEX(Transactions!$G:$G,ROW()-8))</f>
      </c>
      <c r="F7343">
        <f>IF(INDEX(Transactions!$J:$J,ROW()-8)="",0,INDEX(Transactions!$O:$O,ROW()-8))</f>
      </c>
    </row>
    <row r="7344" spans="1:7">
      <c r="B7344">
        <f>IF(INDEX(Transactions!$J:$J,ROW()-8)="",TODAY(),INDEX(Transactions!$G:$G,ROW()-8))</f>
      </c>
      <c r="F7344">
        <f>IF(INDEX(Transactions!$J:$J,ROW()-8)="",0,INDEX(Transactions!$O:$O,ROW()-8))</f>
      </c>
    </row>
    <row r="7345" spans="1:7">
      <c r="B7345">
        <f>IF(INDEX(Transactions!$J:$J,ROW()-8)="",TODAY(),INDEX(Transactions!$G:$G,ROW()-8))</f>
      </c>
      <c r="F7345">
        <f>IF(INDEX(Transactions!$J:$J,ROW()-8)="",0,INDEX(Transactions!$O:$O,ROW()-8))</f>
      </c>
    </row>
    <row r="7346" spans="1:7">
      <c r="B7346">
        <f>IF(INDEX(Transactions!$J:$J,ROW()-8)="",TODAY(),INDEX(Transactions!$G:$G,ROW()-8))</f>
      </c>
      <c r="F7346">
        <f>IF(INDEX(Transactions!$J:$J,ROW()-8)="",0,INDEX(Transactions!$O:$O,ROW()-8))</f>
      </c>
    </row>
    <row r="7347" spans="1:7">
      <c r="B7347">
        <f>IF(INDEX(Transactions!$J:$J,ROW()-8)="",TODAY(),INDEX(Transactions!$G:$G,ROW()-8))</f>
      </c>
      <c r="F7347">
        <f>IF(INDEX(Transactions!$J:$J,ROW()-8)="",0,INDEX(Transactions!$O:$O,ROW()-8))</f>
      </c>
    </row>
    <row r="7348" spans="1:7">
      <c r="B7348">
        <f>IF(INDEX(Transactions!$J:$J,ROW()-8)="",TODAY(),INDEX(Transactions!$G:$G,ROW()-8))</f>
      </c>
      <c r="F7348">
        <f>IF(INDEX(Transactions!$J:$J,ROW()-8)="",0,INDEX(Transactions!$O:$O,ROW()-8))</f>
      </c>
    </row>
    <row r="7349" spans="1:7">
      <c r="B7349">
        <f>IF(INDEX(Transactions!$J:$J,ROW()-8)="",TODAY(),INDEX(Transactions!$G:$G,ROW()-8))</f>
      </c>
      <c r="F7349">
        <f>IF(INDEX(Transactions!$J:$J,ROW()-8)="",0,INDEX(Transactions!$O:$O,ROW()-8))</f>
      </c>
    </row>
    <row r="7350" spans="1:7">
      <c r="B7350">
        <f>IF(INDEX(Transactions!$J:$J,ROW()-8)="",TODAY(),INDEX(Transactions!$G:$G,ROW()-8))</f>
      </c>
      <c r="F7350">
        <f>IF(INDEX(Transactions!$J:$J,ROW()-8)="",0,INDEX(Transactions!$O:$O,ROW()-8))</f>
      </c>
    </row>
    <row r="7351" spans="1:7">
      <c r="B7351">
        <f>IF(INDEX(Transactions!$J:$J,ROW()-8)="",TODAY(),INDEX(Transactions!$G:$G,ROW()-8))</f>
      </c>
      <c r="F7351">
        <f>IF(INDEX(Transactions!$J:$J,ROW()-8)="",0,INDEX(Transactions!$O:$O,ROW()-8))</f>
      </c>
    </row>
    <row r="7352" spans="1:7">
      <c r="B7352">
        <f>IF(INDEX(Transactions!$J:$J,ROW()-8)="",TODAY(),INDEX(Transactions!$G:$G,ROW()-8))</f>
      </c>
      <c r="F7352">
        <f>IF(INDEX(Transactions!$J:$J,ROW()-8)="",0,INDEX(Transactions!$O:$O,ROW()-8))</f>
      </c>
    </row>
    <row r="7353" spans="1:7">
      <c r="B7353">
        <f>IF(INDEX(Transactions!$J:$J,ROW()-8)="",TODAY(),INDEX(Transactions!$G:$G,ROW()-8))</f>
      </c>
      <c r="F7353">
        <f>IF(INDEX(Transactions!$J:$J,ROW()-8)="",0,INDEX(Transactions!$O:$O,ROW()-8))</f>
      </c>
    </row>
    <row r="7354" spans="1:7">
      <c r="B7354">
        <f>IF(INDEX(Transactions!$J:$J,ROW()-8)="",TODAY(),INDEX(Transactions!$G:$G,ROW()-8))</f>
      </c>
      <c r="F7354">
        <f>IF(INDEX(Transactions!$J:$J,ROW()-8)="",0,INDEX(Transactions!$O:$O,ROW()-8))</f>
      </c>
    </row>
    <row r="7355" spans="1:7">
      <c r="B7355">
        <f>IF(INDEX(Transactions!$J:$J,ROW()-8)="",TODAY(),INDEX(Transactions!$G:$G,ROW()-8))</f>
      </c>
      <c r="F7355">
        <f>IF(INDEX(Transactions!$J:$J,ROW()-8)="",0,INDEX(Transactions!$O:$O,ROW()-8))</f>
      </c>
    </row>
    <row r="7356" spans="1:7">
      <c r="B7356">
        <f>IF(INDEX(Transactions!$J:$J,ROW()-8)="",TODAY(),INDEX(Transactions!$G:$G,ROW()-8))</f>
      </c>
      <c r="F7356">
        <f>IF(INDEX(Transactions!$J:$J,ROW()-8)="",0,INDEX(Transactions!$O:$O,ROW()-8))</f>
      </c>
    </row>
    <row r="7357" spans="1:7">
      <c r="B7357">
        <f>IF(INDEX(Transactions!$J:$J,ROW()-8)="",TODAY(),INDEX(Transactions!$G:$G,ROW()-8))</f>
      </c>
      <c r="F7357">
        <f>IF(INDEX(Transactions!$J:$J,ROW()-8)="",0,INDEX(Transactions!$O:$O,ROW()-8))</f>
      </c>
    </row>
    <row r="7358" spans="1:7">
      <c r="B7358">
        <f>IF(INDEX(Transactions!$J:$J,ROW()-8)="",TODAY(),INDEX(Transactions!$G:$G,ROW()-8))</f>
      </c>
      <c r="F7358">
        <f>IF(INDEX(Transactions!$J:$J,ROW()-8)="",0,INDEX(Transactions!$O:$O,ROW()-8))</f>
      </c>
    </row>
    <row r="7359" spans="1:7">
      <c r="B7359">
        <f>IF(INDEX(Transactions!$J:$J,ROW()-8)="",TODAY(),INDEX(Transactions!$G:$G,ROW()-8))</f>
      </c>
      <c r="F7359">
        <f>IF(INDEX(Transactions!$J:$J,ROW()-8)="",0,INDEX(Transactions!$O:$O,ROW()-8))</f>
      </c>
    </row>
    <row r="7360" spans="1:7">
      <c r="B7360">
        <f>IF(INDEX(Transactions!$J:$J,ROW()-8)="",TODAY(),INDEX(Transactions!$G:$G,ROW()-8))</f>
      </c>
      <c r="F7360">
        <f>IF(INDEX(Transactions!$J:$J,ROW()-8)="",0,INDEX(Transactions!$O:$O,ROW()-8))</f>
      </c>
    </row>
    <row r="7361" spans="1:7">
      <c r="B7361">
        <f>IF(INDEX(Transactions!$J:$J,ROW()-8)="",TODAY(),INDEX(Transactions!$G:$G,ROW()-8))</f>
      </c>
      <c r="F7361">
        <f>IF(INDEX(Transactions!$J:$J,ROW()-8)="",0,INDEX(Transactions!$O:$O,ROW()-8))</f>
      </c>
    </row>
    <row r="7362" spans="1:7">
      <c r="B7362">
        <f>IF(INDEX(Transactions!$J:$J,ROW()-8)="",TODAY(),INDEX(Transactions!$G:$G,ROW()-8))</f>
      </c>
      <c r="F7362">
        <f>IF(INDEX(Transactions!$J:$J,ROW()-8)="",0,INDEX(Transactions!$O:$O,ROW()-8))</f>
      </c>
    </row>
    <row r="7363" spans="1:7">
      <c r="B7363">
        <f>IF(INDEX(Transactions!$J:$J,ROW()-8)="",TODAY(),INDEX(Transactions!$G:$G,ROW()-8))</f>
      </c>
      <c r="F7363">
        <f>IF(INDEX(Transactions!$J:$J,ROW()-8)="",0,INDEX(Transactions!$O:$O,ROW()-8))</f>
      </c>
    </row>
    <row r="7364" spans="1:7">
      <c r="B7364">
        <f>IF(INDEX(Transactions!$J:$J,ROW()-8)="",TODAY(),INDEX(Transactions!$G:$G,ROW()-8))</f>
      </c>
      <c r="F7364">
        <f>IF(INDEX(Transactions!$J:$J,ROW()-8)="",0,INDEX(Transactions!$O:$O,ROW()-8))</f>
      </c>
    </row>
    <row r="7365" spans="1:7">
      <c r="B7365">
        <f>IF(INDEX(Transactions!$J:$J,ROW()-8)="",TODAY(),INDEX(Transactions!$G:$G,ROW()-8))</f>
      </c>
      <c r="F7365">
        <f>IF(INDEX(Transactions!$J:$J,ROW()-8)="",0,INDEX(Transactions!$O:$O,ROW()-8))</f>
      </c>
    </row>
    <row r="7366" spans="1:7">
      <c r="B7366">
        <f>IF(INDEX(Transactions!$J:$J,ROW()-8)="",TODAY(),INDEX(Transactions!$G:$G,ROW()-8))</f>
      </c>
      <c r="F7366">
        <f>IF(INDEX(Transactions!$J:$J,ROW()-8)="",0,INDEX(Transactions!$O:$O,ROW()-8))</f>
      </c>
    </row>
    <row r="7367" spans="1:7">
      <c r="B7367">
        <f>IF(INDEX(Transactions!$J:$J,ROW()-8)="",TODAY(),INDEX(Transactions!$G:$G,ROW()-8))</f>
      </c>
      <c r="F7367">
        <f>IF(INDEX(Transactions!$J:$J,ROW()-8)="",0,INDEX(Transactions!$O:$O,ROW()-8))</f>
      </c>
    </row>
    <row r="7368" spans="1:7">
      <c r="B7368">
        <f>IF(INDEX(Transactions!$J:$J,ROW()-8)="",TODAY(),INDEX(Transactions!$G:$G,ROW()-8))</f>
      </c>
      <c r="F7368">
        <f>IF(INDEX(Transactions!$J:$J,ROW()-8)="",0,INDEX(Transactions!$O:$O,ROW()-8))</f>
      </c>
    </row>
    <row r="7369" spans="1:7">
      <c r="B7369">
        <f>IF(INDEX(Transactions!$J:$J,ROW()-8)="",TODAY(),INDEX(Transactions!$G:$G,ROW()-8))</f>
      </c>
      <c r="F7369">
        <f>IF(INDEX(Transactions!$J:$J,ROW()-8)="",0,INDEX(Transactions!$O:$O,ROW()-8))</f>
      </c>
    </row>
    <row r="7370" spans="1:7">
      <c r="B7370">
        <f>IF(INDEX(Transactions!$J:$J,ROW()-8)="",TODAY(),INDEX(Transactions!$G:$G,ROW()-8))</f>
      </c>
      <c r="F7370">
        <f>IF(INDEX(Transactions!$J:$J,ROW()-8)="",0,INDEX(Transactions!$O:$O,ROW()-8))</f>
      </c>
    </row>
    <row r="7371" spans="1:7">
      <c r="B7371">
        <f>IF(INDEX(Transactions!$J:$J,ROW()-8)="",TODAY(),INDEX(Transactions!$G:$G,ROW()-8))</f>
      </c>
      <c r="F7371">
        <f>IF(INDEX(Transactions!$J:$J,ROW()-8)="",0,INDEX(Transactions!$O:$O,ROW()-8))</f>
      </c>
    </row>
    <row r="7372" spans="1:7">
      <c r="B7372">
        <f>IF(INDEX(Transactions!$J:$J,ROW()-8)="",TODAY(),INDEX(Transactions!$G:$G,ROW()-8))</f>
      </c>
      <c r="F7372">
        <f>IF(INDEX(Transactions!$J:$J,ROW()-8)="",0,INDEX(Transactions!$O:$O,ROW()-8))</f>
      </c>
    </row>
    <row r="7373" spans="1:7">
      <c r="B7373">
        <f>IF(INDEX(Transactions!$J:$J,ROW()-8)="",TODAY(),INDEX(Transactions!$G:$G,ROW()-8))</f>
      </c>
      <c r="F7373">
        <f>IF(INDEX(Transactions!$J:$J,ROW()-8)="",0,INDEX(Transactions!$O:$O,ROW()-8))</f>
      </c>
    </row>
    <row r="7374" spans="1:7">
      <c r="B7374">
        <f>IF(INDEX(Transactions!$J:$J,ROW()-8)="",TODAY(),INDEX(Transactions!$G:$G,ROW()-8))</f>
      </c>
      <c r="F7374">
        <f>IF(INDEX(Transactions!$J:$J,ROW()-8)="",0,INDEX(Transactions!$O:$O,ROW()-8))</f>
      </c>
    </row>
    <row r="7375" spans="1:7">
      <c r="B7375">
        <f>IF(INDEX(Transactions!$J:$J,ROW()-8)="",TODAY(),INDEX(Transactions!$G:$G,ROW()-8))</f>
      </c>
      <c r="F7375">
        <f>IF(INDEX(Transactions!$J:$J,ROW()-8)="",0,INDEX(Transactions!$O:$O,ROW()-8))</f>
      </c>
    </row>
    <row r="7376" spans="1:7">
      <c r="B7376">
        <f>IF(INDEX(Transactions!$J:$J,ROW()-8)="",TODAY(),INDEX(Transactions!$G:$G,ROW()-8))</f>
      </c>
      <c r="F7376">
        <f>IF(INDEX(Transactions!$J:$J,ROW()-8)="",0,INDEX(Transactions!$O:$O,ROW()-8))</f>
      </c>
    </row>
    <row r="7377" spans="1:7">
      <c r="B7377">
        <f>IF(INDEX(Transactions!$J:$J,ROW()-8)="",TODAY(),INDEX(Transactions!$G:$G,ROW()-8))</f>
      </c>
      <c r="F7377">
        <f>IF(INDEX(Transactions!$J:$J,ROW()-8)="",0,INDEX(Transactions!$O:$O,ROW()-8))</f>
      </c>
    </row>
    <row r="7378" spans="1:7">
      <c r="B7378">
        <f>IF(INDEX(Transactions!$J:$J,ROW()-8)="",TODAY(),INDEX(Transactions!$G:$G,ROW()-8))</f>
      </c>
      <c r="F7378">
        <f>IF(INDEX(Transactions!$J:$J,ROW()-8)="",0,INDEX(Transactions!$O:$O,ROW()-8))</f>
      </c>
    </row>
    <row r="7379" spans="1:7">
      <c r="B7379">
        <f>IF(INDEX(Transactions!$J:$J,ROW()-8)="",TODAY(),INDEX(Transactions!$G:$G,ROW()-8))</f>
      </c>
      <c r="F7379">
        <f>IF(INDEX(Transactions!$J:$J,ROW()-8)="",0,INDEX(Transactions!$O:$O,ROW()-8))</f>
      </c>
    </row>
    <row r="7380" spans="1:7">
      <c r="B7380">
        <f>IF(INDEX(Transactions!$J:$J,ROW()-8)="",TODAY(),INDEX(Transactions!$G:$G,ROW()-8))</f>
      </c>
      <c r="F7380">
        <f>IF(INDEX(Transactions!$J:$J,ROW()-8)="",0,INDEX(Transactions!$O:$O,ROW()-8))</f>
      </c>
    </row>
    <row r="7381" spans="1:7">
      <c r="B7381">
        <f>IF(INDEX(Transactions!$J:$J,ROW()-8)="",TODAY(),INDEX(Transactions!$G:$G,ROW()-8))</f>
      </c>
      <c r="F7381">
        <f>IF(INDEX(Transactions!$J:$J,ROW()-8)="",0,INDEX(Transactions!$O:$O,ROW()-8))</f>
      </c>
    </row>
    <row r="7382" spans="1:7">
      <c r="B7382">
        <f>IF(INDEX(Transactions!$J:$J,ROW()-8)="",TODAY(),INDEX(Transactions!$G:$G,ROW()-8))</f>
      </c>
      <c r="F7382">
        <f>IF(INDEX(Transactions!$J:$J,ROW()-8)="",0,INDEX(Transactions!$O:$O,ROW()-8))</f>
      </c>
    </row>
    <row r="7383" spans="1:7">
      <c r="B7383">
        <f>IF(INDEX(Transactions!$J:$J,ROW()-8)="",TODAY(),INDEX(Transactions!$G:$G,ROW()-8))</f>
      </c>
      <c r="F7383">
        <f>IF(INDEX(Transactions!$J:$J,ROW()-8)="",0,INDEX(Transactions!$O:$O,ROW()-8))</f>
      </c>
    </row>
    <row r="7384" spans="1:7">
      <c r="B7384">
        <f>IF(INDEX(Transactions!$J:$J,ROW()-8)="",TODAY(),INDEX(Transactions!$G:$G,ROW()-8))</f>
      </c>
      <c r="F7384">
        <f>IF(INDEX(Transactions!$J:$J,ROW()-8)="",0,INDEX(Transactions!$O:$O,ROW()-8))</f>
      </c>
    </row>
    <row r="7385" spans="1:7">
      <c r="B7385">
        <f>IF(INDEX(Transactions!$J:$J,ROW()-8)="",TODAY(),INDEX(Transactions!$G:$G,ROW()-8))</f>
      </c>
      <c r="F7385">
        <f>IF(INDEX(Transactions!$J:$J,ROW()-8)="",0,INDEX(Transactions!$O:$O,ROW()-8))</f>
      </c>
    </row>
    <row r="7386" spans="1:7">
      <c r="B7386">
        <f>IF(INDEX(Transactions!$J:$J,ROW()-8)="",TODAY(),INDEX(Transactions!$G:$G,ROW()-8))</f>
      </c>
      <c r="F7386">
        <f>IF(INDEX(Transactions!$J:$J,ROW()-8)="",0,INDEX(Transactions!$O:$O,ROW()-8))</f>
      </c>
    </row>
    <row r="7387" spans="1:7">
      <c r="B7387">
        <f>IF(INDEX(Transactions!$J:$J,ROW()-8)="",TODAY(),INDEX(Transactions!$G:$G,ROW()-8))</f>
      </c>
      <c r="F7387">
        <f>IF(INDEX(Transactions!$J:$J,ROW()-8)="",0,INDEX(Transactions!$O:$O,ROW()-8))</f>
      </c>
    </row>
    <row r="7388" spans="1:7">
      <c r="B7388">
        <f>IF(INDEX(Transactions!$J:$J,ROW()-8)="",TODAY(),INDEX(Transactions!$G:$G,ROW()-8))</f>
      </c>
      <c r="F7388">
        <f>IF(INDEX(Transactions!$J:$J,ROW()-8)="",0,INDEX(Transactions!$O:$O,ROW()-8))</f>
      </c>
    </row>
    <row r="7389" spans="1:7">
      <c r="B7389">
        <f>IF(INDEX(Transactions!$J:$J,ROW()-8)="",TODAY(),INDEX(Transactions!$G:$G,ROW()-8))</f>
      </c>
      <c r="F7389">
        <f>IF(INDEX(Transactions!$J:$J,ROW()-8)="",0,INDEX(Transactions!$O:$O,ROW()-8))</f>
      </c>
    </row>
    <row r="7390" spans="1:7">
      <c r="B7390">
        <f>IF(INDEX(Transactions!$J:$J,ROW()-8)="",TODAY(),INDEX(Transactions!$G:$G,ROW()-8))</f>
      </c>
      <c r="F7390">
        <f>IF(INDEX(Transactions!$J:$J,ROW()-8)="",0,INDEX(Transactions!$O:$O,ROW()-8))</f>
      </c>
    </row>
    <row r="7391" spans="1:7">
      <c r="B7391">
        <f>IF(INDEX(Transactions!$J:$J,ROW()-8)="",TODAY(),INDEX(Transactions!$G:$G,ROW()-8))</f>
      </c>
      <c r="F7391">
        <f>IF(INDEX(Transactions!$J:$J,ROW()-8)="",0,INDEX(Transactions!$O:$O,ROW()-8))</f>
      </c>
    </row>
    <row r="7392" spans="1:7">
      <c r="B7392">
        <f>IF(INDEX(Transactions!$J:$J,ROW()-8)="",TODAY(),INDEX(Transactions!$G:$G,ROW()-8))</f>
      </c>
      <c r="F7392">
        <f>IF(INDEX(Transactions!$J:$J,ROW()-8)="",0,INDEX(Transactions!$O:$O,ROW()-8))</f>
      </c>
    </row>
    <row r="7393" spans="1:7">
      <c r="B7393">
        <f>IF(INDEX(Transactions!$J:$J,ROW()-8)="",TODAY(),INDEX(Transactions!$G:$G,ROW()-8))</f>
      </c>
      <c r="F7393">
        <f>IF(INDEX(Transactions!$J:$J,ROW()-8)="",0,INDEX(Transactions!$O:$O,ROW()-8))</f>
      </c>
    </row>
    <row r="7394" spans="1:7">
      <c r="B7394">
        <f>IF(INDEX(Transactions!$J:$J,ROW()-8)="",TODAY(),INDEX(Transactions!$G:$G,ROW()-8))</f>
      </c>
      <c r="F7394">
        <f>IF(INDEX(Transactions!$J:$J,ROW()-8)="",0,INDEX(Transactions!$O:$O,ROW()-8))</f>
      </c>
    </row>
    <row r="7395" spans="1:7">
      <c r="B7395">
        <f>IF(INDEX(Transactions!$J:$J,ROW()-8)="",TODAY(),INDEX(Transactions!$G:$G,ROW()-8))</f>
      </c>
      <c r="F7395">
        <f>IF(INDEX(Transactions!$J:$J,ROW()-8)="",0,INDEX(Transactions!$O:$O,ROW()-8))</f>
      </c>
    </row>
    <row r="7396" spans="1:7">
      <c r="B7396">
        <f>IF(INDEX(Transactions!$J:$J,ROW()-8)="",TODAY(),INDEX(Transactions!$G:$G,ROW()-8))</f>
      </c>
      <c r="F7396">
        <f>IF(INDEX(Transactions!$J:$J,ROW()-8)="",0,INDEX(Transactions!$O:$O,ROW()-8))</f>
      </c>
    </row>
    <row r="7397" spans="1:7">
      <c r="B7397">
        <f>IF(INDEX(Transactions!$J:$J,ROW()-8)="",TODAY(),INDEX(Transactions!$G:$G,ROW()-8))</f>
      </c>
      <c r="F7397">
        <f>IF(INDEX(Transactions!$J:$J,ROW()-8)="",0,INDEX(Transactions!$O:$O,ROW()-8))</f>
      </c>
    </row>
    <row r="7398" spans="1:7">
      <c r="B7398">
        <f>IF(INDEX(Transactions!$J:$J,ROW()-8)="",TODAY(),INDEX(Transactions!$G:$G,ROW()-8))</f>
      </c>
      <c r="F7398">
        <f>IF(INDEX(Transactions!$J:$J,ROW()-8)="",0,INDEX(Transactions!$O:$O,ROW()-8))</f>
      </c>
    </row>
    <row r="7399" spans="1:7">
      <c r="B7399">
        <f>IF(INDEX(Transactions!$J:$J,ROW()-8)="",TODAY(),INDEX(Transactions!$G:$G,ROW()-8))</f>
      </c>
      <c r="F7399">
        <f>IF(INDEX(Transactions!$J:$J,ROW()-8)="",0,INDEX(Transactions!$O:$O,ROW()-8))</f>
      </c>
    </row>
    <row r="7400" spans="1:7">
      <c r="B7400">
        <f>IF(INDEX(Transactions!$J:$J,ROW()-8)="",TODAY(),INDEX(Transactions!$G:$G,ROW()-8))</f>
      </c>
      <c r="F7400">
        <f>IF(INDEX(Transactions!$J:$J,ROW()-8)="",0,INDEX(Transactions!$O:$O,ROW()-8))</f>
      </c>
    </row>
    <row r="7401" spans="1:7">
      <c r="B7401">
        <f>IF(INDEX(Transactions!$J:$J,ROW()-8)="",TODAY(),INDEX(Transactions!$G:$G,ROW()-8))</f>
      </c>
      <c r="F7401">
        <f>IF(INDEX(Transactions!$J:$J,ROW()-8)="",0,INDEX(Transactions!$O:$O,ROW()-8))</f>
      </c>
    </row>
    <row r="7402" spans="1:7">
      <c r="B7402">
        <f>IF(INDEX(Transactions!$J:$J,ROW()-8)="",TODAY(),INDEX(Transactions!$G:$G,ROW()-8))</f>
      </c>
      <c r="F7402">
        <f>IF(INDEX(Transactions!$J:$J,ROW()-8)="",0,INDEX(Transactions!$O:$O,ROW()-8))</f>
      </c>
    </row>
    <row r="7403" spans="1:7">
      <c r="B7403">
        <f>IF(INDEX(Transactions!$J:$J,ROW()-8)="",TODAY(),INDEX(Transactions!$G:$G,ROW()-8))</f>
      </c>
      <c r="F7403">
        <f>IF(INDEX(Transactions!$J:$J,ROW()-8)="",0,INDEX(Transactions!$O:$O,ROW()-8))</f>
      </c>
    </row>
    <row r="7404" spans="1:7">
      <c r="B7404">
        <f>IF(INDEX(Transactions!$J:$J,ROW()-8)="",TODAY(),INDEX(Transactions!$G:$G,ROW()-8))</f>
      </c>
      <c r="F7404">
        <f>IF(INDEX(Transactions!$J:$J,ROW()-8)="",0,INDEX(Transactions!$O:$O,ROW()-8))</f>
      </c>
    </row>
    <row r="7405" spans="1:7">
      <c r="B7405">
        <f>IF(INDEX(Transactions!$J:$J,ROW()-8)="",TODAY(),INDEX(Transactions!$G:$G,ROW()-8))</f>
      </c>
      <c r="F7405">
        <f>IF(INDEX(Transactions!$J:$J,ROW()-8)="",0,INDEX(Transactions!$O:$O,ROW()-8))</f>
      </c>
    </row>
    <row r="7406" spans="1:7">
      <c r="B7406">
        <f>IF(INDEX(Transactions!$J:$J,ROW()-8)="",TODAY(),INDEX(Transactions!$G:$G,ROW()-8))</f>
      </c>
      <c r="F7406">
        <f>IF(INDEX(Transactions!$J:$J,ROW()-8)="",0,INDEX(Transactions!$O:$O,ROW()-8))</f>
      </c>
    </row>
    <row r="7407" spans="1:7">
      <c r="B7407">
        <f>IF(INDEX(Transactions!$J:$J,ROW()-8)="",TODAY(),INDEX(Transactions!$G:$G,ROW()-8))</f>
      </c>
      <c r="F7407">
        <f>IF(INDEX(Transactions!$J:$J,ROW()-8)="",0,INDEX(Transactions!$O:$O,ROW()-8))</f>
      </c>
    </row>
    <row r="7408" spans="1:7">
      <c r="B7408">
        <f>IF(INDEX(Transactions!$J:$J,ROW()-8)="",TODAY(),INDEX(Transactions!$G:$G,ROW()-8))</f>
      </c>
      <c r="F7408">
        <f>IF(INDEX(Transactions!$J:$J,ROW()-8)="",0,INDEX(Transactions!$O:$O,ROW()-8))</f>
      </c>
    </row>
    <row r="7409" spans="1:7">
      <c r="B7409">
        <f>IF(INDEX(Transactions!$J:$J,ROW()-8)="",TODAY(),INDEX(Transactions!$G:$G,ROW()-8))</f>
      </c>
      <c r="F7409">
        <f>IF(INDEX(Transactions!$J:$J,ROW()-8)="",0,INDEX(Transactions!$O:$O,ROW()-8))</f>
      </c>
    </row>
    <row r="7410" spans="1:7">
      <c r="B7410">
        <f>IF(INDEX(Transactions!$J:$J,ROW()-8)="",TODAY(),INDEX(Transactions!$G:$G,ROW()-8))</f>
      </c>
      <c r="F7410">
        <f>IF(INDEX(Transactions!$J:$J,ROW()-8)="",0,INDEX(Transactions!$O:$O,ROW()-8))</f>
      </c>
    </row>
    <row r="7411" spans="1:7">
      <c r="B7411">
        <f>IF(INDEX(Transactions!$J:$J,ROW()-8)="",TODAY(),INDEX(Transactions!$G:$G,ROW()-8))</f>
      </c>
      <c r="F7411">
        <f>IF(INDEX(Transactions!$J:$J,ROW()-8)="",0,INDEX(Transactions!$O:$O,ROW()-8))</f>
      </c>
    </row>
    <row r="7412" spans="1:7">
      <c r="B7412">
        <f>IF(INDEX(Transactions!$J:$J,ROW()-8)="",TODAY(),INDEX(Transactions!$G:$G,ROW()-8))</f>
      </c>
      <c r="F7412">
        <f>IF(INDEX(Transactions!$J:$J,ROW()-8)="",0,INDEX(Transactions!$O:$O,ROW()-8))</f>
      </c>
    </row>
    <row r="7413" spans="1:7">
      <c r="B7413">
        <f>IF(INDEX(Transactions!$J:$J,ROW()-8)="",TODAY(),INDEX(Transactions!$G:$G,ROW()-8))</f>
      </c>
      <c r="F7413">
        <f>IF(INDEX(Transactions!$J:$J,ROW()-8)="",0,INDEX(Transactions!$O:$O,ROW()-8))</f>
      </c>
    </row>
    <row r="7414" spans="1:7">
      <c r="B7414">
        <f>IF(INDEX(Transactions!$J:$J,ROW()-8)="",TODAY(),INDEX(Transactions!$G:$G,ROW()-8))</f>
      </c>
      <c r="F7414">
        <f>IF(INDEX(Transactions!$J:$J,ROW()-8)="",0,INDEX(Transactions!$O:$O,ROW()-8))</f>
      </c>
    </row>
    <row r="7415" spans="1:7">
      <c r="B7415">
        <f>IF(INDEX(Transactions!$J:$J,ROW()-8)="",TODAY(),INDEX(Transactions!$G:$G,ROW()-8))</f>
      </c>
      <c r="F7415">
        <f>IF(INDEX(Transactions!$J:$J,ROW()-8)="",0,INDEX(Transactions!$O:$O,ROW()-8))</f>
      </c>
    </row>
    <row r="7416" spans="1:7">
      <c r="B7416">
        <f>IF(INDEX(Transactions!$J:$J,ROW()-8)="",TODAY(),INDEX(Transactions!$G:$G,ROW()-8))</f>
      </c>
      <c r="F7416">
        <f>IF(INDEX(Transactions!$J:$J,ROW()-8)="",0,INDEX(Transactions!$O:$O,ROW()-8))</f>
      </c>
    </row>
    <row r="7417" spans="1:7">
      <c r="B7417">
        <f>IF(INDEX(Transactions!$J:$J,ROW()-8)="",TODAY(),INDEX(Transactions!$G:$G,ROW()-8))</f>
      </c>
      <c r="F7417">
        <f>IF(INDEX(Transactions!$J:$J,ROW()-8)="",0,INDEX(Transactions!$O:$O,ROW()-8))</f>
      </c>
    </row>
    <row r="7418" spans="1:7">
      <c r="B7418">
        <f>IF(INDEX(Transactions!$J:$J,ROW()-8)="",TODAY(),INDEX(Transactions!$G:$G,ROW()-8))</f>
      </c>
      <c r="F7418">
        <f>IF(INDEX(Transactions!$J:$J,ROW()-8)="",0,INDEX(Transactions!$O:$O,ROW()-8))</f>
      </c>
    </row>
    <row r="7419" spans="1:7">
      <c r="B7419">
        <f>IF(INDEX(Transactions!$J:$J,ROW()-8)="",TODAY(),INDEX(Transactions!$G:$G,ROW()-8))</f>
      </c>
      <c r="F7419">
        <f>IF(INDEX(Transactions!$J:$J,ROW()-8)="",0,INDEX(Transactions!$O:$O,ROW()-8))</f>
      </c>
    </row>
    <row r="7420" spans="1:7">
      <c r="B7420">
        <f>IF(INDEX(Transactions!$J:$J,ROW()-8)="",TODAY(),INDEX(Transactions!$G:$G,ROW()-8))</f>
      </c>
      <c r="F7420">
        <f>IF(INDEX(Transactions!$J:$J,ROW()-8)="",0,INDEX(Transactions!$O:$O,ROW()-8))</f>
      </c>
    </row>
    <row r="7421" spans="1:7">
      <c r="B7421">
        <f>IF(INDEX(Transactions!$J:$J,ROW()-8)="",TODAY(),INDEX(Transactions!$G:$G,ROW()-8))</f>
      </c>
      <c r="F7421">
        <f>IF(INDEX(Transactions!$J:$J,ROW()-8)="",0,INDEX(Transactions!$O:$O,ROW()-8))</f>
      </c>
    </row>
    <row r="7422" spans="1:7">
      <c r="B7422">
        <f>IF(INDEX(Transactions!$J:$J,ROW()-8)="",TODAY(),INDEX(Transactions!$G:$G,ROW()-8))</f>
      </c>
      <c r="F7422">
        <f>IF(INDEX(Transactions!$J:$J,ROW()-8)="",0,INDEX(Transactions!$O:$O,ROW()-8))</f>
      </c>
    </row>
    <row r="7423" spans="1:7">
      <c r="B7423">
        <f>IF(INDEX(Transactions!$J:$J,ROW()-8)="",TODAY(),INDEX(Transactions!$G:$G,ROW()-8))</f>
      </c>
      <c r="F7423">
        <f>IF(INDEX(Transactions!$J:$J,ROW()-8)="",0,INDEX(Transactions!$O:$O,ROW()-8))</f>
      </c>
    </row>
    <row r="7424" spans="1:7">
      <c r="B7424">
        <f>IF(INDEX(Transactions!$J:$J,ROW()-8)="",TODAY(),INDEX(Transactions!$G:$G,ROW()-8))</f>
      </c>
      <c r="F7424">
        <f>IF(INDEX(Transactions!$J:$J,ROW()-8)="",0,INDEX(Transactions!$O:$O,ROW()-8))</f>
      </c>
    </row>
    <row r="7425" spans="1:7">
      <c r="B7425">
        <f>IF(INDEX(Transactions!$J:$J,ROW()-8)="",TODAY(),INDEX(Transactions!$G:$G,ROW()-8))</f>
      </c>
      <c r="F7425">
        <f>IF(INDEX(Transactions!$J:$J,ROW()-8)="",0,INDEX(Transactions!$O:$O,ROW()-8))</f>
      </c>
    </row>
    <row r="7426" spans="1:7">
      <c r="B7426">
        <f>IF(INDEX(Transactions!$J:$J,ROW()-8)="",TODAY(),INDEX(Transactions!$G:$G,ROW()-8))</f>
      </c>
      <c r="F7426">
        <f>IF(INDEX(Transactions!$J:$J,ROW()-8)="",0,INDEX(Transactions!$O:$O,ROW()-8))</f>
      </c>
    </row>
    <row r="7427" spans="1:7">
      <c r="B7427">
        <f>IF(INDEX(Transactions!$J:$J,ROW()-8)="",TODAY(),INDEX(Transactions!$G:$G,ROW()-8))</f>
      </c>
      <c r="F7427">
        <f>IF(INDEX(Transactions!$J:$J,ROW()-8)="",0,INDEX(Transactions!$O:$O,ROW()-8))</f>
      </c>
    </row>
    <row r="7428" spans="1:7">
      <c r="B7428">
        <f>IF(INDEX(Transactions!$J:$J,ROW()-8)="",TODAY(),INDEX(Transactions!$G:$G,ROW()-8))</f>
      </c>
      <c r="F7428">
        <f>IF(INDEX(Transactions!$J:$J,ROW()-8)="",0,INDEX(Transactions!$O:$O,ROW()-8))</f>
      </c>
    </row>
    <row r="7429" spans="1:7">
      <c r="B7429">
        <f>IF(INDEX(Transactions!$J:$J,ROW()-8)="",TODAY(),INDEX(Transactions!$G:$G,ROW()-8))</f>
      </c>
      <c r="F7429">
        <f>IF(INDEX(Transactions!$J:$J,ROW()-8)="",0,INDEX(Transactions!$O:$O,ROW()-8))</f>
      </c>
    </row>
    <row r="7430" spans="1:7">
      <c r="B7430">
        <f>IF(INDEX(Transactions!$J:$J,ROW()-8)="",TODAY(),INDEX(Transactions!$G:$G,ROW()-8))</f>
      </c>
      <c r="F7430">
        <f>IF(INDEX(Transactions!$J:$J,ROW()-8)="",0,INDEX(Transactions!$O:$O,ROW()-8))</f>
      </c>
    </row>
    <row r="7431" spans="1:7">
      <c r="B7431">
        <f>IF(INDEX(Transactions!$J:$J,ROW()-8)="",TODAY(),INDEX(Transactions!$G:$G,ROW()-8))</f>
      </c>
      <c r="F7431">
        <f>IF(INDEX(Transactions!$J:$J,ROW()-8)="",0,INDEX(Transactions!$O:$O,ROW()-8))</f>
      </c>
    </row>
    <row r="7432" spans="1:7">
      <c r="B7432">
        <f>IF(INDEX(Transactions!$J:$J,ROW()-8)="",TODAY(),INDEX(Transactions!$G:$G,ROW()-8))</f>
      </c>
      <c r="F7432">
        <f>IF(INDEX(Transactions!$J:$J,ROW()-8)="",0,INDEX(Transactions!$O:$O,ROW()-8))</f>
      </c>
    </row>
    <row r="7433" spans="1:7">
      <c r="B7433">
        <f>IF(INDEX(Transactions!$J:$J,ROW()-8)="",TODAY(),INDEX(Transactions!$G:$G,ROW()-8))</f>
      </c>
      <c r="F7433">
        <f>IF(INDEX(Transactions!$J:$J,ROW()-8)="",0,INDEX(Transactions!$O:$O,ROW()-8))</f>
      </c>
    </row>
    <row r="7434" spans="1:7">
      <c r="B7434">
        <f>IF(INDEX(Transactions!$J:$J,ROW()-8)="",TODAY(),INDEX(Transactions!$G:$G,ROW()-8))</f>
      </c>
      <c r="F7434">
        <f>IF(INDEX(Transactions!$J:$J,ROW()-8)="",0,INDEX(Transactions!$O:$O,ROW()-8))</f>
      </c>
    </row>
    <row r="7435" spans="1:7">
      <c r="B7435">
        <f>IF(INDEX(Transactions!$J:$J,ROW()-8)="",TODAY(),INDEX(Transactions!$G:$G,ROW()-8))</f>
      </c>
      <c r="F7435">
        <f>IF(INDEX(Transactions!$J:$J,ROW()-8)="",0,INDEX(Transactions!$O:$O,ROW()-8))</f>
      </c>
    </row>
    <row r="7436" spans="1:7">
      <c r="B7436">
        <f>IF(INDEX(Transactions!$J:$J,ROW()-8)="",TODAY(),INDEX(Transactions!$G:$G,ROW()-8))</f>
      </c>
      <c r="F7436">
        <f>IF(INDEX(Transactions!$J:$J,ROW()-8)="",0,INDEX(Transactions!$O:$O,ROW()-8))</f>
      </c>
    </row>
    <row r="7437" spans="1:7">
      <c r="B7437">
        <f>IF(INDEX(Transactions!$J:$J,ROW()-8)="",TODAY(),INDEX(Transactions!$G:$G,ROW()-8))</f>
      </c>
      <c r="F7437">
        <f>IF(INDEX(Transactions!$J:$J,ROW()-8)="",0,INDEX(Transactions!$O:$O,ROW()-8))</f>
      </c>
    </row>
    <row r="7438" spans="1:7">
      <c r="B7438">
        <f>IF(INDEX(Transactions!$J:$J,ROW()-8)="",TODAY(),INDEX(Transactions!$G:$G,ROW()-8))</f>
      </c>
      <c r="F7438">
        <f>IF(INDEX(Transactions!$J:$J,ROW()-8)="",0,INDEX(Transactions!$O:$O,ROW()-8))</f>
      </c>
    </row>
    <row r="7439" spans="1:7">
      <c r="B7439">
        <f>IF(INDEX(Transactions!$J:$J,ROW()-8)="",TODAY(),INDEX(Transactions!$G:$G,ROW()-8))</f>
      </c>
      <c r="F7439">
        <f>IF(INDEX(Transactions!$J:$J,ROW()-8)="",0,INDEX(Transactions!$O:$O,ROW()-8))</f>
      </c>
    </row>
    <row r="7440" spans="1:7">
      <c r="B7440">
        <f>IF(INDEX(Transactions!$J:$J,ROW()-8)="",TODAY(),INDEX(Transactions!$G:$G,ROW()-8))</f>
      </c>
      <c r="F7440">
        <f>IF(INDEX(Transactions!$J:$J,ROW()-8)="",0,INDEX(Transactions!$O:$O,ROW()-8))</f>
      </c>
    </row>
    <row r="7441" spans="1:7">
      <c r="B7441">
        <f>IF(INDEX(Transactions!$J:$J,ROW()-8)="",TODAY(),INDEX(Transactions!$G:$G,ROW()-8))</f>
      </c>
      <c r="F7441">
        <f>IF(INDEX(Transactions!$J:$J,ROW()-8)="",0,INDEX(Transactions!$O:$O,ROW()-8))</f>
      </c>
    </row>
    <row r="7442" spans="1:7">
      <c r="B7442">
        <f>IF(INDEX(Transactions!$J:$J,ROW()-8)="",TODAY(),INDEX(Transactions!$G:$G,ROW()-8))</f>
      </c>
      <c r="F7442">
        <f>IF(INDEX(Transactions!$J:$J,ROW()-8)="",0,INDEX(Transactions!$O:$O,ROW()-8))</f>
      </c>
    </row>
    <row r="7443" spans="1:7">
      <c r="B7443">
        <f>IF(INDEX(Transactions!$J:$J,ROW()-8)="",TODAY(),INDEX(Transactions!$G:$G,ROW()-8))</f>
      </c>
      <c r="F7443">
        <f>IF(INDEX(Transactions!$J:$J,ROW()-8)="",0,INDEX(Transactions!$O:$O,ROW()-8))</f>
      </c>
    </row>
    <row r="7444" spans="1:7">
      <c r="B7444">
        <f>IF(INDEX(Transactions!$J:$J,ROW()-8)="",TODAY(),INDEX(Transactions!$G:$G,ROW()-8))</f>
      </c>
      <c r="F7444">
        <f>IF(INDEX(Transactions!$J:$J,ROW()-8)="",0,INDEX(Transactions!$O:$O,ROW()-8))</f>
      </c>
    </row>
    <row r="7445" spans="1:7">
      <c r="B7445">
        <f>IF(INDEX(Transactions!$J:$J,ROW()-8)="",TODAY(),INDEX(Transactions!$G:$G,ROW()-8))</f>
      </c>
      <c r="F7445">
        <f>IF(INDEX(Transactions!$J:$J,ROW()-8)="",0,INDEX(Transactions!$O:$O,ROW()-8))</f>
      </c>
    </row>
    <row r="7446" spans="1:7">
      <c r="B7446">
        <f>IF(INDEX(Transactions!$J:$J,ROW()-8)="",TODAY(),INDEX(Transactions!$G:$G,ROW()-8))</f>
      </c>
      <c r="F7446">
        <f>IF(INDEX(Transactions!$J:$J,ROW()-8)="",0,INDEX(Transactions!$O:$O,ROW()-8))</f>
      </c>
    </row>
    <row r="7447" spans="1:7">
      <c r="B7447">
        <f>IF(INDEX(Transactions!$J:$J,ROW()-8)="",TODAY(),INDEX(Transactions!$G:$G,ROW()-8))</f>
      </c>
      <c r="F7447">
        <f>IF(INDEX(Transactions!$J:$J,ROW()-8)="",0,INDEX(Transactions!$O:$O,ROW()-8))</f>
      </c>
    </row>
    <row r="7448" spans="1:7">
      <c r="B7448">
        <f>IF(INDEX(Transactions!$J:$J,ROW()-8)="",TODAY(),INDEX(Transactions!$G:$G,ROW()-8))</f>
      </c>
      <c r="F7448">
        <f>IF(INDEX(Transactions!$J:$J,ROW()-8)="",0,INDEX(Transactions!$O:$O,ROW()-8))</f>
      </c>
    </row>
    <row r="7449" spans="1:7">
      <c r="B7449">
        <f>IF(INDEX(Transactions!$J:$J,ROW()-8)="",TODAY(),INDEX(Transactions!$G:$G,ROW()-8))</f>
      </c>
      <c r="F7449">
        <f>IF(INDEX(Transactions!$J:$J,ROW()-8)="",0,INDEX(Transactions!$O:$O,ROW()-8))</f>
      </c>
    </row>
    <row r="7450" spans="1:7">
      <c r="B7450">
        <f>IF(INDEX(Transactions!$J:$J,ROW()-8)="",TODAY(),INDEX(Transactions!$G:$G,ROW()-8))</f>
      </c>
      <c r="F7450">
        <f>IF(INDEX(Transactions!$J:$J,ROW()-8)="",0,INDEX(Transactions!$O:$O,ROW()-8))</f>
      </c>
    </row>
    <row r="7451" spans="1:7">
      <c r="B7451">
        <f>IF(INDEX(Transactions!$J:$J,ROW()-8)="",TODAY(),INDEX(Transactions!$G:$G,ROW()-8))</f>
      </c>
      <c r="F7451">
        <f>IF(INDEX(Transactions!$J:$J,ROW()-8)="",0,INDEX(Transactions!$O:$O,ROW()-8))</f>
      </c>
    </row>
    <row r="7452" spans="1:7">
      <c r="B7452">
        <f>IF(INDEX(Transactions!$J:$J,ROW()-8)="",TODAY(),INDEX(Transactions!$G:$G,ROW()-8))</f>
      </c>
      <c r="F7452">
        <f>IF(INDEX(Transactions!$J:$J,ROW()-8)="",0,INDEX(Transactions!$O:$O,ROW()-8))</f>
      </c>
    </row>
    <row r="7453" spans="1:7">
      <c r="B7453">
        <f>IF(INDEX(Transactions!$J:$J,ROW()-8)="",TODAY(),INDEX(Transactions!$G:$G,ROW()-8))</f>
      </c>
      <c r="F7453">
        <f>IF(INDEX(Transactions!$J:$J,ROW()-8)="",0,INDEX(Transactions!$O:$O,ROW()-8))</f>
      </c>
    </row>
    <row r="7454" spans="1:7">
      <c r="B7454">
        <f>IF(INDEX(Transactions!$J:$J,ROW()-8)="",TODAY(),INDEX(Transactions!$G:$G,ROW()-8))</f>
      </c>
      <c r="F7454">
        <f>IF(INDEX(Transactions!$J:$J,ROW()-8)="",0,INDEX(Transactions!$O:$O,ROW()-8))</f>
      </c>
    </row>
    <row r="7455" spans="1:7">
      <c r="B7455">
        <f>IF(INDEX(Transactions!$J:$J,ROW()-8)="",TODAY(),INDEX(Transactions!$G:$G,ROW()-8))</f>
      </c>
      <c r="F7455">
        <f>IF(INDEX(Transactions!$J:$J,ROW()-8)="",0,INDEX(Transactions!$O:$O,ROW()-8))</f>
      </c>
    </row>
    <row r="7456" spans="1:7">
      <c r="B7456">
        <f>IF(INDEX(Transactions!$J:$J,ROW()-8)="",TODAY(),INDEX(Transactions!$G:$G,ROW()-8))</f>
      </c>
      <c r="F7456">
        <f>IF(INDEX(Transactions!$J:$J,ROW()-8)="",0,INDEX(Transactions!$O:$O,ROW()-8))</f>
      </c>
    </row>
    <row r="7457" spans="1:7">
      <c r="B7457">
        <f>IF(INDEX(Transactions!$J:$J,ROW()-8)="",TODAY(),INDEX(Transactions!$G:$G,ROW()-8))</f>
      </c>
      <c r="F7457">
        <f>IF(INDEX(Transactions!$J:$J,ROW()-8)="",0,INDEX(Transactions!$O:$O,ROW()-8))</f>
      </c>
    </row>
    <row r="7458" spans="1:7">
      <c r="B7458">
        <f>IF(INDEX(Transactions!$J:$J,ROW()-8)="",TODAY(),INDEX(Transactions!$G:$G,ROW()-8))</f>
      </c>
      <c r="F7458">
        <f>IF(INDEX(Transactions!$J:$J,ROW()-8)="",0,INDEX(Transactions!$O:$O,ROW()-8))</f>
      </c>
    </row>
    <row r="7459" spans="1:7">
      <c r="B7459">
        <f>IF(INDEX(Transactions!$J:$J,ROW()-8)="",TODAY(),INDEX(Transactions!$G:$G,ROW()-8))</f>
      </c>
      <c r="F7459">
        <f>IF(INDEX(Transactions!$J:$J,ROW()-8)="",0,INDEX(Transactions!$O:$O,ROW()-8))</f>
      </c>
    </row>
    <row r="7460" spans="1:7">
      <c r="B7460">
        <f>IF(INDEX(Transactions!$J:$J,ROW()-8)="",TODAY(),INDEX(Transactions!$G:$G,ROW()-8))</f>
      </c>
      <c r="F7460">
        <f>IF(INDEX(Transactions!$J:$J,ROW()-8)="",0,INDEX(Transactions!$O:$O,ROW()-8))</f>
      </c>
    </row>
    <row r="7461" spans="1:7">
      <c r="B7461">
        <f>IF(INDEX(Transactions!$J:$J,ROW()-8)="",TODAY(),INDEX(Transactions!$G:$G,ROW()-8))</f>
      </c>
      <c r="F7461">
        <f>IF(INDEX(Transactions!$J:$J,ROW()-8)="",0,INDEX(Transactions!$O:$O,ROW()-8))</f>
      </c>
    </row>
    <row r="7462" spans="1:7">
      <c r="B7462">
        <f>IF(INDEX(Transactions!$J:$J,ROW()-8)="",TODAY(),INDEX(Transactions!$G:$G,ROW()-8))</f>
      </c>
      <c r="F7462">
        <f>IF(INDEX(Transactions!$J:$J,ROW()-8)="",0,INDEX(Transactions!$O:$O,ROW()-8))</f>
      </c>
    </row>
    <row r="7463" spans="1:7">
      <c r="B7463">
        <f>IF(INDEX(Transactions!$J:$J,ROW()-8)="",TODAY(),INDEX(Transactions!$G:$G,ROW()-8))</f>
      </c>
      <c r="F7463">
        <f>IF(INDEX(Transactions!$J:$J,ROW()-8)="",0,INDEX(Transactions!$O:$O,ROW()-8))</f>
      </c>
    </row>
    <row r="7464" spans="1:7">
      <c r="B7464">
        <f>IF(INDEX(Transactions!$J:$J,ROW()-8)="",TODAY(),INDEX(Transactions!$G:$G,ROW()-8))</f>
      </c>
      <c r="F7464">
        <f>IF(INDEX(Transactions!$J:$J,ROW()-8)="",0,INDEX(Transactions!$O:$O,ROW()-8))</f>
      </c>
    </row>
    <row r="7465" spans="1:7">
      <c r="B7465">
        <f>IF(INDEX(Transactions!$J:$J,ROW()-8)="",TODAY(),INDEX(Transactions!$G:$G,ROW()-8))</f>
      </c>
      <c r="F7465">
        <f>IF(INDEX(Transactions!$J:$J,ROW()-8)="",0,INDEX(Transactions!$O:$O,ROW()-8))</f>
      </c>
    </row>
    <row r="7466" spans="1:7">
      <c r="B7466">
        <f>IF(INDEX(Transactions!$J:$J,ROW()-8)="",TODAY(),INDEX(Transactions!$G:$G,ROW()-8))</f>
      </c>
      <c r="F7466">
        <f>IF(INDEX(Transactions!$J:$J,ROW()-8)="",0,INDEX(Transactions!$O:$O,ROW()-8))</f>
      </c>
    </row>
    <row r="7467" spans="1:7">
      <c r="B7467">
        <f>IF(INDEX(Transactions!$J:$J,ROW()-8)="",TODAY(),INDEX(Transactions!$G:$G,ROW()-8))</f>
      </c>
      <c r="F7467">
        <f>IF(INDEX(Transactions!$J:$J,ROW()-8)="",0,INDEX(Transactions!$O:$O,ROW()-8))</f>
      </c>
    </row>
    <row r="7468" spans="1:7">
      <c r="B7468">
        <f>IF(INDEX(Transactions!$J:$J,ROW()-8)="",TODAY(),INDEX(Transactions!$G:$G,ROW()-8))</f>
      </c>
      <c r="F7468">
        <f>IF(INDEX(Transactions!$J:$J,ROW()-8)="",0,INDEX(Transactions!$O:$O,ROW()-8))</f>
      </c>
    </row>
    <row r="7469" spans="1:7">
      <c r="B7469">
        <f>IF(INDEX(Transactions!$J:$J,ROW()-8)="",TODAY(),INDEX(Transactions!$G:$G,ROW()-8))</f>
      </c>
      <c r="F7469">
        <f>IF(INDEX(Transactions!$J:$J,ROW()-8)="",0,INDEX(Transactions!$O:$O,ROW()-8))</f>
      </c>
    </row>
    <row r="7470" spans="1:7">
      <c r="B7470">
        <f>IF(INDEX(Transactions!$J:$J,ROW()-8)="",TODAY(),INDEX(Transactions!$G:$G,ROW()-8))</f>
      </c>
      <c r="F7470">
        <f>IF(INDEX(Transactions!$J:$J,ROW()-8)="",0,INDEX(Transactions!$O:$O,ROW()-8))</f>
      </c>
    </row>
    <row r="7471" spans="1:7">
      <c r="B7471">
        <f>IF(INDEX(Transactions!$J:$J,ROW()-8)="",TODAY(),INDEX(Transactions!$G:$G,ROW()-8))</f>
      </c>
      <c r="F7471">
        <f>IF(INDEX(Transactions!$J:$J,ROW()-8)="",0,INDEX(Transactions!$O:$O,ROW()-8))</f>
      </c>
    </row>
    <row r="7472" spans="1:7">
      <c r="B7472">
        <f>IF(INDEX(Transactions!$J:$J,ROW()-8)="",TODAY(),INDEX(Transactions!$G:$G,ROW()-8))</f>
      </c>
      <c r="F7472">
        <f>IF(INDEX(Transactions!$J:$J,ROW()-8)="",0,INDEX(Transactions!$O:$O,ROW()-8))</f>
      </c>
    </row>
    <row r="7473" spans="1:7">
      <c r="B7473">
        <f>IF(INDEX(Transactions!$J:$J,ROW()-8)="",TODAY(),INDEX(Transactions!$G:$G,ROW()-8))</f>
      </c>
      <c r="F7473">
        <f>IF(INDEX(Transactions!$J:$J,ROW()-8)="",0,INDEX(Transactions!$O:$O,ROW()-8))</f>
      </c>
    </row>
    <row r="7474" spans="1:7">
      <c r="B7474">
        <f>IF(INDEX(Transactions!$J:$J,ROW()-8)="",TODAY(),INDEX(Transactions!$G:$G,ROW()-8))</f>
      </c>
      <c r="F7474">
        <f>IF(INDEX(Transactions!$J:$J,ROW()-8)="",0,INDEX(Transactions!$O:$O,ROW()-8))</f>
      </c>
    </row>
    <row r="7475" spans="1:7">
      <c r="B7475">
        <f>IF(INDEX(Transactions!$J:$J,ROW()-8)="",TODAY(),INDEX(Transactions!$G:$G,ROW()-8))</f>
      </c>
      <c r="F7475">
        <f>IF(INDEX(Transactions!$J:$J,ROW()-8)="",0,INDEX(Transactions!$O:$O,ROW()-8))</f>
      </c>
    </row>
    <row r="7476" spans="1:7">
      <c r="B7476">
        <f>IF(INDEX(Transactions!$J:$J,ROW()-8)="",TODAY(),INDEX(Transactions!$G:$G,ROW()-8))</f>
      </c>
      <c r="F7476">
        <f>IF(INDEX(Transactions!$J:$J,ROW()-8)="",0,INDEX(Transactions!$O:$O,ROW()-8))</f>
      </c>
    </row>
    <row r="7477" spans="1:7">
      <c r="B7477">
        <f>IF(INDEX(Transactions!$J:$J,ROW()-8)="",TODAY(),INDEX(Transactions!$G:$G,ROW()-8))</f>
      </c>
      <c r="F7477">
        <f>IF(INDEX(Transactions!$J:$J,ROW()-8)="",0,INDEX(Transactions!$O:$O,ROW()-8))</f>
      </c>
    </row>
    <row r="7478" spans="1:7">
      <c r="B7478">
        <f>IF(INDEX(Transactions!$J:$J,ROW()-8)="",TODAY(),INDEX(Transactions!$G:$G,ROW()-8))</f>
      </c>
      <c r="F7478">
        <f>IF(INDEX(Transactions!$J:$J,ROW()-8)="",0,INDEX(Transactions!$O:$O,ROW()-8))</f>
      </c>
    </row>
    <row r="7479" spans="1:7">
      <c r="B7479">
        <f>IF(INDEX(Transactions!$J:$J,ROW()-8)="",TODAY(),INDEX(Transactions!$G:$G,ROW()-8))</f>
      </c>
      <c r="F7479">
        <f>IF(INDEX(Transactions!$J:$J,ROW()-8)="",0,INDEX(Transactions!$O:$O,ROW()-8))</f>
      </c>
    </row>
    <row r="7480" spans="1:7">
      <c r="B7480">
        <f>IF(INDEX(Transactions!$J:$J,ROW()-8)="",TODAY(),INDEX(Transactions!$G:$G,ROW()-8))</f>
      </c>
      <c r="F7480">
        <f>IF(INDEX(Transactions!$J:$J,ROW()-8)="",0,INDEX(Transactions!$O:$O,ROW()-8))</f>
      </c>
    </row>
    <row r="7481" spans="1:7">
      <c r="B7481">
        <f>IF(INDEX(Transactions!$J:$J,ROW()-8)="",TODAY(),INDEX(Transactions!$G:$G,ROW()-8))</f>
      </c>
      <c r="F7481">
        <f>IF(INDEX(Transactions!$J:$J,ROW()-8)="",0,INDEX(Transactions!$O:$O,ROW()-8))</f>
      </c>
    </row>
    <row r="7482" spans="1:7">
      <c r="B7482">
        <f>IF(INDEX(Transactions!$J:$J,ROW()-8)="",TODAY(),INDEX(Transactions!$G:$G,ROW()-8))</f>
      </c>
      <c r="F7482">
        <f>IF(INDEX(Transactions!$J:$J,ROW()-8)="",0,INDEX(Transactions!$O:$O,ROW()-8))</f>
      </c>
    </row>
    <row r="7483" spans="1:7">
      <c r="B7483">
        <f>IF(INDEX(Transactions!$J:$J,ROW()-8)="",TODAY(),INDEX(Transactions!$G:$G,ROW()-8))</f>
      </c>
      <c r="F7483">
        <f>IF(INDEX(Transactions!$J:$J,ROW()-8)="",0,INDEX(Transactions!$O:$O,ROW()-8))</f>
      </c>
    </row>
    <row r="7484" spans="1:7">
      <c r="B7484">
        <f>IF(INDEX(Transactions!$J:$J,ROW()-8)="",TODAY(),INDEX(Transactions!$G:$G,ROW()-8))</f>
      </c>
      <c r="F7484">
        <f>IF(INDEX(Transactions!$J:$J,ROW()-8)="",0,INDEX(Transactions!$O:$O,ROW()-8))</f>
      </c>
    </row>
    <row r="7485" spans="1:7">
      <c r="B7485">
        <f>IF(INDEX(Transactions!$J:$J,ROW()-8)="",TODAY(),INDEX(Transactions!$G:$G,ROW()-8))</f>
      </c>
      <c r="F7485">
        <f>IF(INDEX(Transactions!$J:$J,ROW()-8)="",0,INDEX(Transactions!$O:$O,ROW()-8))</f>
      </c>
    </row>
    <row r="7486" spans="1:7">
      <c r="B7486">
        <f>IF(INDEX(Transactions!$J:$J,ROW()-8)="",TODAY(),INDEX(Transactions!$G:$G,ROW()-8))</f>
      </c>
      <c r="F7486">
        <f>IF(INDEX(Transactions!$J:$J,ROW()-8)="",0,INDEX(Transactions!$O:$O,ROW()-8))</f>
      </c>
    </row>
    <row r="7487" spans="1:7">
      <c r="B7487">
        <f>IF(INDEX(Transactions!$J:$J,ROW()-8)="",TODAY(),INDEX(Transactions!$G:$G,ROW()-8))</f>
      </c>
      <c r="F7487">
        <f>IF(INDEX(Transactions!$J:$J,ROW()-8)="",0,INDEX(Transactions!$O:$O,ROW()-8))</f>
      </c>
    </row>
    <row r="7488" spans="1:7">
      <c r="B7488">
        <f>IF(INDEX(Transactions!$J:$J,ROW()-8)="",TODAY(),INDEX(Transactions!$G:$G,ROW()-8))</f>
      </c>
      <c r="F7488">
        <f>IF(INDEX(Transactions!$J:$J,ROW()-8)="",0,INDEX(Transactions!$O:$O,ROW()-8))</f>
      </c>
    </row>
    <row r="7489" spans="1:7">
      <c r="B7489">
        <f>IF(INDEX(Transactions!$J:$J,ROW()-8)="",TODAY(),INDEX(Transactions!$G:$G,ROW()-8))</f>
      </c>
      <c r="F7489">
        <f>IF(INDEX(Transactions!$J:$J,ROW()-8)="",0,INDEX(Transactions!$O:$O,ROW()-8))</f>
      </c>
    </row>
    <row r="7490" spans="1:7">
      <c r="B7490">
        <f>IF(INDEX(Transactions!$J:$J,ROW()-8)="",TODAY(),INDEX(Transactions!$G:$G,ROW()-8))</f>
      </c>
      <c r="F7490">
        <f>IF(INDEX(Transactions!$J:$J,ROW()-8)="",0,INDEX(Transactions!$O:$O,ROW()-8))</f>
      </c>
    </row>
    <row r="7491" spans="1:7">
      <c r="B7491">
        <f>IF(INDEX(Transactions!$J:$J,ROW()-8)="",TODAY(),INDEX(Transactions!$G:$G,ROW()-8))</f>
      </c>
      <c r="F7491">
        <f>IF(INDEX(Transactions!$J:$J,ROW()-8)="",0,INDEX(Transactions!$O:$O,ROW()-8))</f>
      </c>
    </row>
    <row r="7492" spans="1:7">
      <c r="B7492">
        <f>IF(INDEX(Transactions!$J:$J,ROW()-8)="",TODAY(),INDEX(Transactions!$G:$G,ROW()-8))</f>
      </c>
      <c r="F7492">
        <f>IF(INDEX(Transactions!$J:$J,ROW()-8)="",0,INDEX(Transactions!$O:$O,ROW()-8))</f>
      </c>
    </row>
    <row r="7493" spans="1:7">
      <c r="B7493">
        <f>IF(INDEX(Transactions!$J:$J,ROW()-8)="",TODAY(),INDEX(Transactions!$G:$G,ROW()-8))</f>
      </c>
      <c r="F7493">
        <f>IF(INDEX(Transactions!$J:$J,ROW()-8)="",0,INDEX(Transactions!$O:$O,ROW()-8))</f>
      </c>
    </row>
    <row r="7494" spans="1:7">
      <c r="B7494">
        <f>IF(INDEX(Transactions!$J:$J,ROW()-8)="",TODAY(),INDEX(Transactions!$G:$G,ROW()-8))</f>
      </c>
      <c r="F7494">
        <f>IF(INDEX(Transactions!$J:$J,ROW()-8)="",0,INDEX(Transactions!$O:$O,ROW()-8))</f>
      </c>
    </row>
    <row r="7495" spans="1:7">
      <c r="B7495">
        <f>IF(INDEX(Transactions!$J:$J,ROW()-8)="",TODAY(),INDEX(Transactions!$G:$G,ROW()-8))</f>
      </c>
      <c r="F7495">
        <f>IF(INDEX(Transactions!$J:$J,ROW()-8)="",0,INDEX(Transactions!$O:$O,ROW()-8))</f>
      </c>
    </row>
    <row r="7496" spans="1:7">
      <c r="B7496">
        <f>IF(INDEX(Transactions!$J:$J,ROW()-8)="",TODAY(),INDEX(Transactions!$G:$G,ROW()-8))</f>
      </c>
      <c r="F7496">
        <f>IF(INDEX(Transactions!$J:$J,ROW()-8)="",0,INDEX(Transactions!$O:$O,ROW()-8))</f>
      </c>
    </row>
    <row r="7497" spans="1:7">
      <c r="B7497">
        <f>IF(INDEX(Transactions!$J:$J,ROW()-8)="",TODAY(),INDEX(Transactions!$G:$G,ROW()-8))</f>
      </c>
      <c r="F7497">
        <f>IF(INDEX(Transactions!$J:$J,ROW()-8)="",0,INDEX(Transactions!$O:$O,ROW()-8))</f>
      </c>
    </row>
    <row r="7498" spans="1:7">
      <c r="B7498">
        <f>IF(INDEX(Transactions!$J:$J,ROW()-8)="",TODAY(),INDEX(Transactions!$G:$G,ROW()-8))</f>
      </c>
      <c r="F7498">
        <f>IF(INDEX(Transactions!$J:$J,ROW()-8)="",0,INDEX(Transactions!$O:$O,ROW()-8))</f>
      </c>
    </row>
    <row r="7499" spans="1:7">
      <c r="B7499">
        <f>IF(INDEX(Transactions!$J:$J,ROW()-8)="",TODAY(),INDEX(Transactions!$G:$G,ROW()-8))</f>
      </c>
      <c r="F7499">
        <f>IF(INDEX(Transactions!$J:$J,ROW()-8)="",0,INDEX(Transactions!$O:$O,ROW()-8))</f>
      </c>
    </row>
    <row r="7500" spans="1:7">
      <c r="B7500">
        <f>IF(INDEX(Transactions!$J:$J,ROW()-8)="",TODAY(),INDEX(Transactions!$G:$G,ROW()-8))</f>
      </c>
      <c r="F7500">
        <f>IF(INDEX(Transactions!$J:$J,ROW()-8)="",0,INDEX(Transactions!$O:$O,ROW()-8))</f>
      </c>
    </row>
    <row r="7501" spans="1:7">
      <c r="B7501">
        <f>IF(INDEX(Transactions!$J:$J,ROW()-8)="",TODAY(),INDEX(Transactions!$G:$G,ROW()-8))</f>
      </c>
      <c r="F7501">
        <f>IF(INDEX(Transactions!$J:$J,ROW()-8)="",0,INDEX(Transactions!$O:$O,ROW()-8))</f>
      </c>
    </row>
    <row r="7502" spans="1:7">
      <c r="B7502">
        <f>IF(INDEX(Transactions!$J:$J,ROW()-8)="",TODAY(),INDEX(Transactions!$G:$G,ROW()-8))</f>
      </c>
      <c r="F7502">
        <f>IF(INDEX(Transactions!$J:$J,ROW()-8)="",0,INDEX(Transactions!$O:$O,ROW()-8))</f>
      </c>
    </row>
    <row r="7503" spans="1:7">
      <c r="B7503">
        <f>IF(INDEX(Transactions!$J:$J,ROW()-8)="",TODAY(),INDEX(Transactions!$G:$G,ROW()-8))</f>
      </c>
      <c r="F7503">
        <f>IF(INDEX(Transactions!$J:$J,ROW()-8)="",0,INDEX(Transactions!$O:$O,ROW()-8))</f>
      </c>
    </row>
    <row r="7504" spans="1:7">
      <c r="B7504">
        <f>IF(INDEX(Transactions!$J:$J,ROW()-8)="",TODAY(),INDEX(Transactions!$G:$G,ROW()-8))</f>
      </c>
      <c r="F7504">
        <f>IF(INDEX(Transactions!$J:$J,ROW()-8)="",0,INDEX(Transactions!$O:$O,ROW()-8))</f>
      </c>
    </row>
    <row r="7505" spans="1:7">
      <c r="B7505">
        <f>IF(INDEX(Transactions!$J:$J,ROW()-8)="",TODAY(),INDEX(Transactions!$G:$G,ROW()-8))</f>
      </c>
      <c r="F7505">
        <f>IF(INDEX(Transactions!$J:$J,ROW()-8)="",0,INDEX(Transactions!$O:$O,ROW()-8))</f>
      </c>
    </row>
    <row r="7506" spans="1:7">
      <c r="B7506">
        <f>IF(INDEX(Transactions!$J:$J,ROW()-8)="",TODAY(),INDEX(Transactions!$G:$G,ROW()-8))</f>
      </c>
      <c r="F7506">
        <f>IF(INDEX(Transactions!$J:$J,ROW()-8)="",0,INDEX(Transactions!$O:$O,ROW()-8))</f>
      </c>
    </row>
    <row r="7507" spans="1:7">
      <c r="B7507">
        <f>IF(INDEX(Transactions!$J:$J,ROW()-8)="",TODAY(),INDEX(Transactions!$G:$G,ROW()-8))</f>
      </c>
      <c r="F7507">
        <f>IF(INDEX(Transactions!$J:$J,ROW()-8)="",0,INDEX(Transactions!$O:$O,ROW()-8))</f>
      </c>
    </row>
    <row r="7508" spans="1:7">
      <c r="B7508">
        <f>IF(INDEX(Transactions!$J:$J,ROW()-8)="",TODAY(),INDEX(Transactions!$G:$G,ROW()-8))</f>
      </c>
      <c r="F7508">
        <f>IF(INDEX(Transactions!$J:$J,ROW()-8)="",0,INDEX(Transactions!$O:$O,ROW()-8))</f>
      </c>
    </row>
    <row r="7509" spans="1:7">
      <c r="B7509">
        <f>IF(INDEX(Transactions!$J:$J,ROW()-8)="",TODAY(),INDEX(Transactions!$G:$G,ROW()-8))</f>
      </c>
      <c r="F7509">
        <f>IF(INDEX(Transactions!$J:$J,ROW()-8)="",0,INDEX(Transactions!$O:$O,ROW()-8))</f>
      </c>
    </row>
    <row r="7510" spans="1:7">
      <c r="B7510">
        <f>IF(INDEX(Transactions!$J:$J,ROW()-8)="",TODAY(),INDEX(Transactions!$G:$G,ROW()-8))</f>
      </c>
      <c r="F7510">
        <f>IF(INDEX(Transactions!$J:$J,ROW()-8)="",0,INDEX(Transactions!$O:$O,ROW()-8))</f>
      </c>
    </row>
    <row r="7511" spans="1:7">
      <c r="B7511">
        <f>IF(INDEX(Transactions!$J:$J,ROW()-8)="",TODAY(),INDEX(Transactions!$G:$G,ROW()-8))</f>
      </c>
      <c r="F7511">
        <f>IF(INDEX(Transactions!$J:$J,ROW()-8)="",0,INDEX(Transactions!$O:$O,ROW()-8))</f>
      </c>
    </row>
    <row r="7512" spans="1:7">
      <c r="B7512">
        <f>IF(INDEX(Transactions!$J:$J,ROW()-8)="",TODAY(),INDEX(Transactions!$G:$G,ROW()-8))</f>
      </c>
      <c r="F7512">
        <f>IF(INDEX(Transactions!$J:$J,ROW()-8)="",0,INDEX(Transactions!$O:$O,ROW()-8))</f>
      </c>
    </row>
    <row r="7513" spans="1:7">
      <c r="B7513">
        <f>IF(INDEX(Transactions!$J:$J,ROW()-8)="",TODAY(),INDEX(Transactions!$G:$G,ROW()-8))</f>
      </c>
      <c r="F7513">
        <f>IF(INDEX(Transactions!$J:$J,ROW()-8)="",0,INDEX(Transactions!$O:$O,ROW()-8))</f>
      </c>
    </row>
    <row r="7514" spans="1:7">
      <c r="B7514">
        <f>IF(INDEX(Transactions!$J:$J,ROW()-8)="",TODAY(),INDEX(Transactions!$G:$G,ROW()-8))</f>
      </c>
      <c r="F7514">
        <f>IF(INDEX(Transactions!$J:$J,ROW()-8)="",0,INDEX(Transactions!$O:$O,ROW()-8))</f>
      </c>
    </row>
    <row r="7515" spans="1:7">
      <c r="B7515">
        <f>IF(INDEX(Transactions!$J:$J,ROW()-8)="",TODAY(),INDEX(Transactions!$G:$G,ROW()-8))</f>
      </c>
      <c r="F7515">
        <f>IF(INDEX(Transactions!$J:$J,ROW()-8)="",0,INDEX(Transactions!$O:$O,ROW()-8))</f>
      </c>
    </row>
    <row r="7516" spans="1:7">
      <c r="B7516">
        <f>IF(INDEX(Transactions!$J:$J,ROW()-8)="",TODAY(),INDEX(Transactions!$G:$G,ROW()-8))</f>
      </c>
      <c r="F7516">
        <f>IF(INDEX(Transactions!$J:$J,ROW()-8)="",0,INDEX(Transactions!$O:$O,ROW()-8))</f>
      </c>
    </row>
    <row r="7517" spans="1:7">
      <c r="B7517">
        <f>IF(INDEX(Transactions!$J:$J,ROW()-8)="",TODAY(),INDEX(Transactions!$G:$G,ROW()-8))</f>
      </c>
      <c r="F7517">
        <f>IF(INDEX(Transactions!$J:$J,ROW()-8)="",0,INDEX(Transactions!$O:$O,ROW()-8))</f>
      </c>
    </row>
    <row r="7518" spans="1:7">
      <c r="B7518">
        <f>IF(INDEX(Transactions!$J:$J,ROW()-8)="",TODAY(),INDEX(Transactions!$G:$G,ROW()-8))</f>
      </c>
      <c r="F7518">
        <f>IF(INDEX(Transactions!$J:$J,ROW()-8)="",0,INDEX(Transactions!$O:$O,ROW()-8))</f>
      </c>
    </row>
    <row r="7519" spans="1:7">
      <c r="B7519">
        <f>IF(INDEX(Transactions!$J:$J,ROW()-8)="",TODAY(),INDEX(Transactions!$G:$G,ROW()-8))</f>
      </c>
      <c r="F7519">
        <f>IF(INDEX(Transactions!$J:$J,ROW()-8)="",0,INDEX(Transactions!$O:$O,ROW()-8))</f>
      </c>
    </row>
    <row r="7520" spans="1:7">
      <c r="B7520">
        <f>IF(INDEX(Transactions!$J:$J,ROW()-8)="",TODAY(),INDEX(Transactions!$G:$G,ROW()-8))</f>
      </c>
      <c r="F7520">
        <f>IF(INDEX(Transactions!$J:$J,ROW()-8)="",0,INDEX(Transactions!$O:$O,ROW()-8))</f>
      </c>
    </row>
    <row r="7521" spans="1:7">
      <c r="B7521">
        <f>IF(INDEX(Transactions!$J:$J,ROW()-8)="",TODAY(),INDEX(Transactions!$G:$G,ROW()-8))</f>
      </c>
      <c r="F7521">
        <f>IF(INDEX(Transactions!$J:$J,ROW()-8)="",0,INDEX(Transactions!$O:$O,ROW()-8))</f>
      </c>
    </row>
    <row r="7522" spans="1:7">
      <c r="B7522">
        <f>IF(INDEX(Transactions!$J:$J,ROW()-8)="",TODAY(),INDEX(Transactions!$G:$G,ROW()-8))</f>
      </c>
      <c r="F7522">
        <f>IF(INDEX(Transactions!$J:$J,ROW()-8)="",0,INDEX(Transactions!$O:$O,ROW()-8))</f>
      </c>
    </row>
    <row r="7523" spans="1:7">
      <c r="B7523">
        <f>IF(INDEX(Transactions!$J:$J,ROW()-8)="",TODAY(),INDEX(Transactions!$G:$G,ROW()-8))</f>
      </c>
      <c r="F7523">
        <f>IF(INDEX(Transactions!$J:$J,ROW()-8)="",0,INDEX(Transactions!$O:$O,ROW()-8))</f>
      </c>
    </row>
    <row r="7524" spans="1:7">
      <c r="B7524">
        <f>IF(INDEX(Transactions!$J:$J,ROW()-8)="",TODAY(),INDEX(Transactions!$G:$G,ROW()-8))</f>
      </c>
      <c r="F7524">
        <f>IF(INDEX(Transactions!$J:$J,ROW()-8)="",0,INDEX(Transactions!$O:$O,ROW()-8))</f>
      </c>
    </row>
    <row r="7525" spans="1:7">
      <c r="B7525">
        <f>IF(INDEX(Transactions!$J:$J,ROW()-8)="",TODAY(),INDEX(Transactions!$G:$G,ROW()-8))</f>
      </c>
      <c r="F7525">
        <f>IF(INDEX(Transactions!$J:$J,ROW()-8)="",0,INDEX(Transactions!$O:$O,ROW()-8))</f>
      </c>
    </row>
    <row r="7526" spans="1:7">
      <c r="B7526">
        <f>IF(INDEX(Transactions!$J:$J,ROW()-8)="",TODAY(),INDEX(Transactions!$G:$G,ROW()-8))</f>
      </c>
      <c r="F7526">
        <f>IF(INDEX(Transactions!$J:$J,ROW()-8)="",0,INDEX(Transactions!$O:$O,ROW()-8))</f>
      </c>
    </row>
    <row r="7527" spans="1:7">
      <c r="B7527">
        <f>IF(INDEX(Transactions!$J:$J,ROW()-8)="",TODAY(),INDEX(Transactions!$G:$G,ROW()-8))</f>
      </c>
      <c r="F7527">
        <f>IF(INDEX(Transactions!$J:$J,ROW()-8)="",0,INDEX(Transactions!$O:$O,ROW()-8))</f>
      </c>
    </row>
    <row r="7528" spans="1:7">
      <c r="B7528">
        <f>IF(INDEX(Transactions!$J:$J,ROW()-8)="",TODAY(),INDEX(Transactions!$G:$G,ROW()-8))</f>
      </c>
      <c r="F7528">
        <f>IF(INDEX(Transactions!$J:$J,ROW()-8)="",0,INDEX(Transactions!$O:$O,ROW()-8))</f>
      </c>
    </row>
    <row r="7529" spans="1:7">
      <c r="B7529">
        <f>IF(INDEX(Transactions!$J:$J,ROW()-8)="",TODAY(),INDEX(Transactions!$G:$G,ROW()-8))</f>
      </c>
      <c r="F7529">
        <f>IF(INDEX(Transactions!$J:$J,ROW()-8)="",0,INDEX(Transactions!$O:$O,ROW()-8))</f>
      </c>
    </row>
    <row r="7530" spans="1:7">
      <c r="B7530">
        <f>IF(INDEX(Transactions!$J:$J,ROW()-8)="",TODAY(),INDEX(Transactions!$G:$G,ROW()-8))</f>
      </c>
      <c r="F7530">
        <f>IF(INDEX(Transactions!$J:$J,ROW()-8)="",0,INDEX(Transactions!$O:$O,ROW()-8))</f>
      </c>
    </row>
    <row r="7531" spans="1:7">
      <c r="B7531">
        <f>IF(INDEX(Transactions!$J:$J,ROW()-8)="",TODAY(),INDEX(Transactions!$G:$G,ROW()-8))</f>
      </c>
      <c r="F7531">
        <f>IF(INDEX(Transactions!$J:$J,ROW()-8)="",0,INDEX(Transactions!$O:$O,ROW()-8))</f>
      </c>
    </row>
    <row r="7532" spans="1:7">
      <c r="B7532">
        <f>IF(INDEX(Transactions!$J:$J,ROW()-8)="",TODAY(),INDEX(Transactions!$G:$G,ROW()-8))</f>
      </c>
      <c r="F7532">
        <f>IF(INDEX(Transactions!$J:$J,ROW()-8)="",0,INDEX(Transactions!$O:$O,ROW()-8))</f>
      </c>
    </row>
    <row r="7533" spans="1:7">
      <c r="B7533">
        <f>IF(INDEX(Transactions!$J:$J,ROW()-8)="",TODAY(),INDEX(Transactions!$G:$G,ROW()-8))</f>
      </c>
      <c r="F7533">
        <f>IF(INDEX(Transactions!$J:$J,ROW()-8)="",0,INDEX(Transactions!$O:$O,ROW()-8))</f>
      </c>
    </row>
    <row r="7534" spans="1:7">
      <c r="B7534">
        <f>IF(INDEX(Transactions!$J:$J,ROW()-8)="",TODAY(),INDEX(Transactions!$G:$G,ROW()-8))</f>
      </c>
      <c r="F7534">
        <f>IF(INDEX(Transactions!$J:$J,ROW()-8)="",0,INDEX(Transactions!$O:$O,ROW()-8))</f>
      </c>
    </row>
    <row r="7535" spans="1:7">
      <c r="B7535">
        <f>IF(INDEX(Transactions!$J:$J,ROW()-8)="",TODAY(),INDEX(Transactions!$G:$G,ROW()-8))</f>
      </c>
      <c r="F7535">
        <f>IF(INDEX(Transactions!$J:$J,ROW()-8)="",0,INDEX(Transactions!$O:$O,ROW()-8))</f>
      </c>
    </row>
    <row r="7536" spans="1:7">
      <c r="B7536">
        <f>IF(INDEX(Transactions!$J:$J,ROW()-8)="",TODAY(),INDEX(Transactions!$G:$G,ROW()-8))</f>
      </c>
      <c r="F7536">
        <f>IF(INDEX(Transactions!$J:$J,ROW()-8)="",0,INDEX(Transactions!$O:$O,ROW()-8))</f>
      </c>
    </row>
    <row r="7537" spans="1:7">
      <c r="B7537">
        <f>IF(INDEX(Transactions!$J:$J,ROW()-8)="",TODAY(),INDEX(Transactions!$G:$G,ROW()-8))</f>
      </c>
      <c r="F7537">
        <f>IF(INDEX(Transactions!$J:$J,ROW()-8)="",0,INDEX(Transactions!$O:$O,ROW()-8))</f>
      </c>
    </row>
    <row r="7538" spans="1:7">
      <c r="B7538">
        <f>IF(INDEX(Transactions!$J:$J,ROW()-8)="",TODAY(),INDEX(Transactions!$G:$G,ROW()-8))</f>
      </c>
      <c r="F7538">
        <f>IF(INDEX(Transactions!$J:$J,ROW()-8)="",0,INDEX(Transactions!$O:$O,ROW()-8))</f>
      </c>
    </row>
    <row r="7539" spans="1:7">
      <c r="B7539">
        <f>IF(INDEX(Transactions!$J:$J,ROW()-8)="",TODAY(),INDEX(Transactions!$G:$G,ROW()-8))</f>
      </c>
      <c r="F7539">
        <f>IF(INDEX(Transactions!$J:$J,ROW()-8)="",0,INDEX(Transactions!$O:$O,ROW()-8))</f>
      </c>
    </row>
    <row r="7540" spans="1:7">
      <c r="B7540">
        <f>IF(INDEX(Transactions!$J:$J,ROW()-8)="",TODAY(),INDEX(Transactions!$G:$G,ROW()-8))</f>
      </c>
      <c r="F7540">
        <f>IF(INDEX(Transactions!$J:$J,ROW()-8)="",0,INDEX(Transactions!$O:$O,ROW()-8))</f>
      </c>
    </row>
    <row r="7541" spans="1:7">
      <c r="B7541">
        <f>IF(INDEX(Transactions!$J:$J,ROW()-8)="",TODAY(),INDEX(Transactions!$G:$G,ROW()-8))</f>
      </c>
      <c r="F7541">
        <f>IF(INDEX(Transactions!$J:$J,ROW()-8)="",0,INDEX(Transactions!$O:$O,ROW()-8))</f>
      </c>
    </row>
    <row r="7542" spans="1:7">
      <c r="B7542">
        <f>IF(INDEX(Transactions!$J:$J,ROW()-8)="",TODAY(),INDEX(Transactions!$G:$G,ROW()-8))</f>
      </c>
      <c r="F7542">
        <f>IF(INDEX(Transactions!$J:$J,ROW()-8)="",0,INDEX(Transactions!$O:$O,ROW()-8))</f>
      </c>
    </row>
    <row r="7543" spans="1:7">
      <c r="B7543">
        <f>IF(INDEX(Transactions!$J:$J,ROW()-8)="",TODAY(),INDEX(Transactions!$G:$G,ROW()-8))</f>
      </c>
      <c r="F7543">
        <f>IF(INDEX(Transactions!$J:$J,ROW()-8)="",0,INDEX(Transactions!$O:$O,ROW()-8))</f>
      </c>
    </row>
    <row r="7544" spans="1:7">
      <c r="B7544">
        <f>IF(INDEX(Transactions!$J:$J,ROW()-8)="",TODAY(),INDEX(Transactions!$G:$G,ROW()-8))</f>
      </c>
      <c r="F7544">
        <f>IF(INDEX(Transactions!$J:$J,ROW()-8)="",0,INDEX(Transactions!$O:$O,ROW()-8))</f>
      </c>
    </row>
    <row r="7545" spans="1:7">
      <c r="B7545">
        <f>IF(INDEX(Transactions!$J:$J,ROW()-8)="",TODAY(),INDEX(Transactions!$G:$G,ROW()-8))</f>
      </c>
      <c r="F7545">
        <f>IF(INDEX(Transactions!$J:$J,ROW()-8)="",0,INDEX(Transactions!$O:$O,ROW()-8))</f>
      </c>
    </row>
    <row r="7546" spans="1:7">
      <c r="B7546">
        <f>IF(INDEX(Transactions!$J:$J,ROW()-8)="",TODAY(),INDEX(Transactions!$G:$G,ROW()-8))</f>
      </c>
      <c r="F7546">
        <f>IF(INDEX(Transactions!$J:$J,ROW()-8)="",0,INDEX(Transactions!$O:$O,ROW()-8))</f>
      </c>
    </row>
    <row r="7547" spans="1:7">
      <c r="B7547">
        <f>IF(INDEX(Transactions!$J:$J,ROW()-8)="",TODAY(),INDEX(Transactions!$G:$G,ROW()-8))</f>
      </c>
      <c r="F7547">
        <f>IF(INDEX(Transactions!$J:$J,ROW()-8)="",0,INDEX(Transactions!$O:$O,ROW()-8))</f>
      </c>
    </row>
    <row r="7548" spans="1:7">
      <c r="B7548">
        <f>IF(INDEX(Transactions!$J:$J,ROW()-8)="",TODAY(),INDEX(Transactions!$G:$G,ROW()-8))</f>
      </c>
      <c r="F7548">
        <f>IF(INDEX(Transactions!$J:$J,ROW()-8)="",0,INDEX(Transactions!$O:$O,ROW()-8))</f>
      </c>
    </row>
    <row r="7549" spans="1:7">
      <c r="B7549">
        <f>IF(INDEX(Transactions!$J:$J,ROW()-8)="",TODAY(),INDEX(Transactions!$G:$G,ROW()-8))</f>
      </c>
      <c r="F7549">
        <f>IF(INDEX(Transactions!$J:$J,ROW()-8)="",0,INDEX(Transactions!$O:$O,ROW()-8))</f>
      </c>
    </row>
    <row r="7550" spans="1:7">
      <c r="B7550">
        <f>IF(INDEX(Transactions!$J:$J,ROW()-8)="",TODAY(),INDEX(Transactions!$G:$G,ROW()-8))</f>
      </c>
      <c r="F7550">
        <f>IF(INDEX(Transactions!$J:$J,ROW()-8)="",0,INDEX(Transactions!$O:$O,ROW()-8))</f>
      </c>
    </row>
    <row r="7551" spans="1:7">
      <c r="B7551">
        <f>IF(INDEX(Transactions!$J:$J,ROW()-8)="",TODAY(),INDEX(Transactions!$G:$G,ROW()-8))</f>
      </c>
      <c r="F7551">
        <f>IF(INDEX(Transactions!$J:$J,ROW()-8)="",0,INDEX(Transactions!$O:$O,ROW()-8))</f>
      </c>
    </row>
    <row r="7552" spans="1:7">
      <c r="B7552">
        <f>IF(INDEX(Transactions!$J:$J,ROW()-8)="",TODAY(),INDEX(Transactions!$G:$G,ROW()-8))</f>
      </c>
      <c r="F7552">
        <f>IF(INDEX(Transactions!$J:$J,ROW()-8)="",0,INDEX(Transactions!$O:$O,ROW()-8))</f>
      </c>
    </row>
    <row r="7553" spans="1:7">
      <c r="B7553">
        <f>IF(INDEX(Transactions!$J:$J,ROW()-8)="",TODAY(),INDEX(Transactions!$G:$G,ROW()-8))</f>
      </c>
      <c r="F7553">
        <f>IF(INDEX(Transactions!$J:$J,ROW()-8)="",0,INDEX(Transactions!$O:$O,ROW()-8))</f>
      </c>
    </row>
    <row r="7554" spans="1:7">
      <c r="B7554">
        <f>IF(INDEX(Transactions!$J:$J,ROW()-8)="",TODAY(),INDEX(Transactions!$G:$G,ROW()-8))</f>
      </c>
      <c r="F7554">
        <f>IF(INDEX(Transactions!$J:$J,ROW()-8)="",0,INDEX(Transactions!$O:$O,ROW()-8))</f>
      </c>
    </row>
    <row r="7555" spans="1:7">
      <c r="B7555">
        <f>IF(INDEX(Transactions!$J:$J,ROW()-8)="",TODAY(),INDEX(Transactions!$G:$G,ROW()-8))</f>
      </c>
      <c r="F7555">
        <f>IF(INDEX(Transactions!$J:$J,ROW()-8)="",0,INDEX(Transactions!$O:$O,ROW()-8))</f>
      </c>
    </row>
    <row r="7556" spans="1:7">
      <c r="B7556">
        <f>IF(INDEX(Transactions!$J:$J,ROW()-8)="",TODAY(),INDEX(Transactions!$G:$G,ROW()-8))</f>
      </c>
      <c r="F7556">
        <f>IF(INDEX(Transactions!$J:$J,ROW()-8)="",0,INDEX(Transactions!$O:$O,ROW()-8))</f>
      </c>
    </row>
    <row r="7557" spans="1:7">
      <c r="B7557">
        <f>IF(INDEX(Transactions!$J:$J,ROW()-8)="",TODAY(),INDEX(Transactions!$G:$G,ROW()-8))</f>
      </c>
      <c r="F7557">
        <f>IF(INDEX(Transactions!$J:$J,ROW()-8)="",0,INDEX(Transactions!$O:$O,ROW()-8))</f>
      </c>
    </row>
    <row r="7558" spans="1:7">
      <c r="B7558">
        <f>IF(INDEX(Transactions!$J:$J,ROW()-8)="",TODAY(),INDEX(Transactions!$G:$G,ROW()-8))</f>
      </c>
      <c r="F7558">
        <f>IF(INDEX(Transactions!$J:$J,ROW()-8)="",0,INDEX(Transactions!$O:$O,ROW()-8))</f>
      </c>
    </row>
    <row r="7559" spans="1:7">
      <c r="B7559">
        <f>IF(INDEX(Transactions!$J:$J,ROW()-8)="",TODAY(),INDEX(Transactions!$G:$G,ROW()-8))</f>
      </c>
      <c r="F7559">
        <f>IF(INDEX(Transactions!$J:$J,ROW()-8)="",0,INDEX(Transactions!$O:$O,ROW()-8))</f>
      </c>
    </row>
    <row r="7560" spans="1:7">
      <c r="B7560">
        <f>IF(INDEX(Transactions!$J:$J,ROW()-8)="",TODAY(),INDEX(Transactions!$G:$G,ROW()-8))</f>
      </c>
      <c r="F7560">
        <f>IF(INDEX(Transactions!$J:$J,ROW()-8)="",0,INDEX(Transactions!$O:$O,ROW()-8))</f>
      </c>
    </row>
    <row r="7561" spans="1:7">
      <c r="B7561">
        <f>IF(INDEX(Transactions!$J:$J,ROW()-8)="",TODAY(),INDEX(Transactions!$G:$G,ROW()-8))</f>
      </c>
      <c r="F7561">
        <f>IF(INDEX(Transactions!$J:$J,ROW()-8)="",0,INDEX(Transactions!$O:$O,ROW()-8))</f>
      </c>
    </row>
    <row r="7562" spans="1:7">
      <c r="B7562">
        <f>IF(INDEX(Transactions!$J:$J,ROW()-8)="",TODAY(),INDEX(Transactions!$G:$G,ROW()-8))</f>
      </c>
      <c r="F7562">
        <f>IF(INDEX(Transactions!$J:$J,ROW()-8)="",0,INDEX(Transactions!$O:$O,ROW()-8))</f>
      </c>
    </row>
    <row r="7563" spans="1:7">
      <c r="B7563">
        <f>IF(INDEX(Transactions!$J:$J,ROW()-8)="",TODAY(),INDEX(Transactions!$G:$G,ROW()-8))</f>
      </c>
      <c r="F7563">
        <f>IF(INDEX(Transactions!$J:$J,ROW()-8)="",0,INDEX(Transactions!$O:$O,ROW()-8))</f>
      </c>
    </row>
    <row r="7564" spans="1:7">
      <c r="B7564">
        <f>IF(INDEX(Transactions!$J:$J,ROW()-8)="",TODAY(),INDEX(Transactions!$G:$G,ROW()-8))</f>
      </c>
      <c r="F7564">
        <f>IF(INDEX(Transactions!$J:$J,ROW()-8)="",0,INDEX(Transactions!$O:$O,ROW()-8))</f>
      </c>
    </row>
    <row r="7565" spans="1:7">
      <c r="B7565">
        <f>IF(INDEX(Transactions!$J:$J,ROW()-8)="",TODAY(),INDEX(Transactions!$G:$G,ROW()-8))</f>
      </c>
      <c r="F7565">
        <f>IF(INDEX(Transactions!$J:$J,ROW()-8)="",0,INDEX(Transactions!$O:$O,ROW()-8))</f>
      </c>
    </row>
    <row r="7566" spans="1:7">
      <c r="B7566">
        <f>IF(INDEX(Transactions!$J:$J,ROW()-8)="",TODAY(),INDEX(Transactions!$G:$G,ROW()-8))</f>
      </c>
      <c r="F7566">
        <f>IF(INDEX(Transactions!$J:$J,ROW()-8)="",0,INDEX(Transactions!$O:$O,ROW()-8))</f>
      </c>
    </row>
    <row r="7567" spans="1:7">
      <c r="B7567">
        <f>IF(INDEX(Transactions!$J:$J,ROW()-8)="",TODAY(),INDEX(Transactions!$G:$G,ROW()-8))</f>
      </c>
      <c r="F7567">
        <f>IF(INDEX(Transactions!$J:$J,ROW()-8)="",0,INDEX(Transactions!$O:$O,ROW()-8))</f>
      </c>
    </row>
    <row r="7568" spans="1:7">
      <c r="B7568">
        <f>IF(INDEX(Transactions!$J:$J,ROW()-8)="",TODAY(),INDEX(Transactions!$G:$G,ROW()-8))</f>
      </c>
      <c r="F7568">
        <f>IF(INDEX(Transactions!$J:$J,ROW()-8)="",0,INDEX(Transactions!$O:$O,ROW()-8))</f>
      </c>
    </row>
    <row r="7569" spans="1:7">
      <c r="B7569">
        <f>IF(INDEX(Transactions!$J:$J,ROW()-8)="",TODAY(),INDEX(Transactions!$G:$G,ROW()-8))</f>
      </c>
      <c r="F7569">
        <f>IF(INDEX(Transactions!$J:$J,ROW()-8)="",0,INDEX(Transactions!$O:$O,ROW()-8))</f>
      </c>
    </row>
    <row r="7570" spans="1:7">
      <c r="B7570">
        <f>IF(INDEX(Transactions!$J:$J,ROW()-8)="",TODAY(),INDEX(Transactions!$G:$G,ROW()-8))</f>
      </c>
      <c r="F7570">
        <f>IF(INDEX(Transactions!$J:$J,ROW()-8)="",0,INDEX(Transactions!$O:$O,ROW()-8))</f>
      </c>
    </row>
    <row r="7571" spans="1:7">
      <c r="B7571">
        <f>IF(INDEX(Transactions!$J:$J,ROW()-8)="",TODAY(),INDEX(Transactions!$G:$G,ROW()-8))</f>
      </c>
      <c r="F7571">
        <f>IF(INDEX(Transactions!$J:$J,ROW()-8)="",0,INDEX(Transactions!$O:$O,ROW()-8))</f>
      </c>
    </row>
    <row r="7572" spans="1:7">
      <c r="B7572">
        <f>IF(INDEX(Transactions!$J:$J,ROW()-8)="",TODAY(),INDEX(Transactions!$G:$G,ROW()-8))</f>
      </c>
      <c r="F7572">
        <f>IF(INDEX(Transactions!$J:$J,ROW()-8)="",0,INDEX(Transactions!$O:$O,ROW()-8))</f>
      </c>
    </row>
    <row r="7573" spans="1:7">
      <c r="B7573">
        <f>IF(INDEX(Transactions!$J:$J,ROW()-8)="",TODAY(),INDEX(Transactions!$G:$G,ROW()-8))</f>
      </c>
      <c r="F7573">
        <f>IF(INDEX(Transactions!$J:$J,ROW()-8)="",0,INDEX(Transactions!$O:$O,ROW()-8))</f>
      </c>
    </row>
    <row r="7574" spans="1:7">
      <c r="B7574">
        <f>IF(INDEX(Transactions!$J:$J,ROW()-8)="",TODAY(),INDEX(Transactions!$G:$G,ROW()-8))</f>
      </c>
      <c r="F7574">
        <f>IF(INDEX(Transactions!$J:$J,ROW()-8)="",0,INDEX(Transactions!$O:$O,ROW()-8))</f>
      </c>
    </row>
    <row r="7575" spans="1:7">
      <c r="B7575">
        <f>IF(INDEX(Transactions!$J:$J,ROW()-8)="",TODAY(),INDEX(Transactions!$G:$G,ROW()-8))</f>
      </c>
      <c r="F7575">
        <f>IF(INDEX(Transactions!$J:$J,ROW()-8)="",0,INDEX(Transactions!$O:$O,ROW()-8))</f>
      </c>
    </row>
    <row r="7576" spans="1:7">
      <c r="B7576">
        <f>IF(INDEX(Transactions!$J:$J,ROW()-8)="",TODAY(),INDEX(Transactions!$G:$G,ROW()-8))</f>
      </c>
      <c r="F7576">
        <f>IF(INDEX(Transactions!$J:$J,ROW()-8)="",0,INDEX(Transactions!$O:$O,ROW()-8))</f>
      </c>
    </row>
    <row r="7577" spans="1:7">
      <c r="B7577">
        <f>IF(INDEX(Transactions!$J:$J,ROW()-8)="",TODAY(),INDEX(Transactions!$G:$G,ROW()-8))</f>
      </c>
      <c r="F7577">
        <f>IF(INDEX(Transactions!$J:$J,ROW()-8)="",0,INDEX(Transactions!$O:$O,ROW()-8))</f>
      </c>
    </row>
    <row r="7578" spans="1:7">
      <c r="B7578">
        <f>IF(INDEX(Transactions!$J:$J,ROW()-8)="",TODAY(),INDEX(Transactions!$G:$G,ROW()-8))</f>
      </c>
      <c r="F7578">
        <f>IF(INDEX(Transactions!$J:$J,ROW()-8)="",0,INDEX(Transactions!$O:$O,ROW()-8))</f>
      </c>
    </row>
    <row r="7579" spans="1:7">
      <c r="B7579">
        <f>IF(INDEX(Transactions!$J:$J,ROW()-8)="",TODAY(),INDEX(Transactions!$G:$G,ROW()-8))</f>
      </c>
      <c r="F7579">
        <f>IF(INDEX(Transactions!$J:$J,ROW()-8)="",0,INDEX(Transactions!$O:$O,ROW()-8))</f>
      </c>
    </row>
    <row r="7580" spans="1:7">
      <c r="B7580">
        <f>IF(INDEX(Transactions!$J:$J,ROW()-8)="",TODAY(),INDEX(Transactions!$G:$G,ROW()-8))</f>
      </c>
      <c r="F7580">
        <f>IF(INDEX(Transactions!$J:$J,ROW()-8)="",0,INDEX(Transactions!$O:$O,ROW()-8))</f>
      </c>
    </row>
    <row r="7581" spans="1:7">
      <c r="B7581">
        <f>IF(INDEX(Transactions!$J:$J,ROW()-8)="",TODAY(),INDEX(Transactions!$G:$G,ROW()-8))</f>
      </c>
      <c r="F7581">
        <f>IF(INDEX(Transactions!$J:$J,ROW()-8)="",0,INDEX(Transactions!$O:$O,ROW()-8))</f>
      </c>
    </row>
    <row r="7582" spans="1:7">
      <c r="B7582">
        <f>IF(INDEX(Transactions!$J:$J,ROW()-8)="",TODAY(),INDEX(Transactions!$G:$G,ROW()-8))</f>
      </c>
      <c r="F7582">
        <f>IF(INDEX(Transactions!$J:$J,ROW()-8)="",0,INDEX(Transactions!$O:$O,ROW()-8))</f>
      </c>
    </row>
    <row r="7583" spans="1:7">
      <c r="B7583">
        <f>IF(INDEX(Transactions!$J:$J,ROW()-8)="",TODAY(),INDEX(Transactions!$G:$G,ROW()-8))</f>
      </c>
      <c r="F7583">
        <f>IF(INDEX(Transactions!$J:$J,ROW()-8)="",0,INDEX(Transactions!$O:$O,ROW()-8))</f>
      </c>
    </row>
    <row r="7584" spans="1:7">
      <c r="B7584">
        <f>IF(INDEX(Transactions!$J:$J,ROW()-8)="",TODAY(),INDEX(Transactions!$G:$G,ROW()-8))</f>
      </c>
      <c r="F7584">
        <f>IF(INDEX(Transactions!$J:$J,ROW()-8)="",0,INDEX(Transactions!$O:$O,ROW()-8))</f>
      </c>
    </row>
    <row r="7585" spans="1:7">
      <c r="B7585">
        <f>IF(INDEX(Transactions!$J:$J,ROW()-8)="",TODAY(),INDEX(Transactions!$G:$G,ROW()-8))</f>
      </c>
      <c r="F7585">
        <f>IF(INDEX(Transactions!$J:$J,ROW()-8)="",0,INDEX(Transactions!$O:$O,ROW()-8))</f>
      </c>
    </row>
    <row r="7586" spans="1:7">
      <c r="B7586">
        <f>IF(INDEX(Transactions!$J:$J,ROW()-8)="",TODAY(),INDEX(Transactions!$G:$G,ROW()-8))</f>
      </c>
      <c r="F7586">
        <f>IF(INDEX(Transactions!$J:$J,ROW()-8)="",0,INDEX(Transactions!$O:$O,ROW()-8))</f>
      </c>
    </row>
    <row r="7587" spans="1:7">
      <c r="B7587">
        <f>IF(INDEX(Transactions!$J:$J,ROW()-8)="",TODAY(),INDEX(Transactions!$G:$G,ROW()-8))</f>
      </c>
      <c r="F7587">
        <f>IF(INDEX(Transactions!$J:$J,ROW()-8)="",0,INDEX(Transactions!$O:$O,ROW()-8))</f>
      </c>
    </row>
    <row r="7588" spans="1:7">
      <c r="B7588">
        <f>IF(INDEX(Transactions!$J:$J,ROW()-8)="",TODAY(),INDEX(Transactions!$G:$G,ROW()-8))</f>
      </c>
      <c r="F7588">
        <f>IF(INDEX(Transactions!$J:$J,ROW()-8)="",0,INDEX(Transactions!$O:$O,ROW()-8))</f>
      </c>
    </row>
    <row r="7589" spans="1:7">
      <c r="B7589">
        <f>IF(INDEX(Transactions!$J:$J,ROW()-8)="",TODAY(),INDEX(Transactions!$G:$G,ROW()-8))</f>
      </c>
      <c r="F7589">
        <f>IF(INDEX(Transactions!$J:$J,ROW()-8)="",0,INDEX(Transactions!$O:$O,ROW()-8))</f>
      </c>
    </row>
    <row r="7590" spans="1:7">
      <c r="B7590">
        <f>IF(INDEX(Transactions!$J:$J,ROW()-8)="",TODAY(),INDEX(Transactions!$G:$G,ROW()-8))</f>
      </c>
      <c r="F7590">
        <f>IF(INDEX(Transactions!$J:$J,ROW()-8)="",0,INDEX(Transactions!$O:$O,ROW()-8))</f>
      </c>
    </row>
    <row r="7591" spans="1:7">
      <c r="B7591">
        <f>IF(INDEX(Transactions!$J:$J,ROW()-8)="",TODAY(),INDEX(Transactions!$G:$G,ROW()-8))</f>
      </c>
      <c r="F7591">
        <f>IF(INDEX(Transactions!$J:$J,ROW()-8)="",0,INDEX(Transactions!$O:$O,ROW()-8))</f>
      </c>
    </row>
    <row r="7592" spans="1:7">
      <c r="B7592">
        <f>IF(INDEX(Transactions!$J:$J,ROW()-8)="",TODAY(),INDEX(Transactions!$G:$G,ROW()-8))</f>
      </c>
      <c r="F7592">
        <f>IF(INDEX(Transactions!$J:$J,ROW()-8)="",0,INDEX(Transactions!$O:$O,ROW()-8))</f>
      </c>
    </row>
    <row r="7593" spans="1:7">
      <c r="B7593">
        <f>IF(INDEX(Transactions!$J:$J,ROW()-8)="",TODAY(),INDEX(Transactions!$G:$G,ROW()-8))</f>
      </c>
      <c r="F7593">
        <f>IF(INDEX(Transactions!$J:$J,ROW()-8)="",0,INDEX(Transactions!$O:$O,ROW()-8))</f>
      </c>
    </row>
    <row r="7594" spans="1:7">
      <c r="B7594">
        <f>IF(INDEX(Transactions!$J:$J,ROW()-8)="",TODAY(),INDEX(Transactions!$G:$G,ROW()-8))</f>
      </c>
      <c r="F7594">
        <f>IF(INDEX(Transactions!$J:$J,ROW()-8)="",0,INDEX(Transactions!$O:$O,ROW()-8))</f>
      </c>
    </row>
    <row r="7595" spans="1:7">
      <c r="B7595">
        <f>IF(INDEX(Transactions!$J:$J,ROW()-8)="",TODAY(),INDEX(Transactions!$G:$G,ROW()-8))</f>
      </c>
      <c r="F7595">
        <f>IF(INDEX(Transactions!$J:$J,ROW()-8)="",0,INDEX(Transactions!$O:$O,ROW()-8))</f>
      </c>
    </row>
    <row r="7596" spans="1:7">
      <c r="B7596">
        <f>IF(INDEX(Transactions!$J:$J,ROW()-8)="",TODAY(),INDEX(Transactions!$G:$G,ROW()-8))</f>
      </c>
      <c r="F7596">
        <f>IF(INDEX(Transactions!$J:$J,ROW()-8)="",0,INDEX(Transactions!$O:$O,ROW()-8))</f>
      </c>
    </row>
    <row r="7597" spans="1:7">
      <c r="B7597">
        <f>IF(INDEX(Transactions!$J:$J,ROW()-8)="",TODAY(),INDEX(Transactions!$G:$G,ROW()-8))</f>
      </c>
      <c r="F7597">
        <f>IF(INDEX(Transactions!$J:$J,ROW()-8)="",0,INDEX(Transactions!$O:$O,ROW()-8))</f>
      </c>
    </row>
    <row r="7598" spans="1:7">
      <c r="B7598">
        <f>IF(INDEX(Transactions!$J:$J,ROW()-8)="",TODAY(),INDEX(Transactions!$G:$G,ROW()-8))</f>
      </c>
      <c r="F7598">
        <f>IF(INDEX(Transactions!$J:$J,ROW()-8)="",0,INDEX(Transactions!$O:$O,ROW()-8))</f>
      </c>
    </row>
    <row r="7599" spans="1:7">
      <c r="B7599">
        <f>IF(INDEX(Transactions!$J:$J,ROW()-8)="",TODAY(),INDEX(Transactions!$G:$G,ROW()-8))</f>
      </c>
      <c r="F7599">
        <f>IF(INDEX(Transactions!$J:$J,ROW()-8)="",0,INDEX(Transactions!$O:$O,ROW()-8))</f>
      </c>
    </row>
    <row r="7600" spans="1:7">
      <c r="B7600">
        <f>IF(INDEX(Transactions!$J:$J,ROW()-8)="",TODAY(),INDEX(Transactions!$G:$G,ROW()-8))</f>
      </c>
      <c r="F7600">
        <f>IF(INDEX(Transactions!$J:$J,ROW()-8)="",0,INDEX(Transactions!$O:$O,ROW()-8))</f>
      </c>
    </row>
    <row r="7601" spans="1:7">
      <c r="B7601">
        <f>IF(INDEX(Transactions!$J:$J,ROW()-8)="",TODAY(),INDEX(Transactions!$G:$G,ROW()-8))</f>
      </c>
      <c r="F7601">
        <f>IF(INDEX(Transactions!$J:$J,ROW()-8)="",0,INDEX(Transactions!$O:$O,ROW()-8))</f>
      </c>
    </row>
    <row r="7602" spans="1:7">
      <c r="B7602">
        <f>IF(INDEX(Transactions!$J:$J,ROW()-8)="",TODAY(),INDEX(Transactions!$G:$G,ROW()-8))</f>
      </c>
      <c r="F7602">
        <f>IF(INDEX(Transactions!$J:$J,ROW()-8)="",0,INDEX(Transactions!$O:$O,ROW()-8))</f>
      </c>
    </row>
    <row r="7603" spans="1:7">
      <c r="B7603">
        <f>IF(INDEX(Transactions!$J:$J,ROW()-8)="",TODAY(),INDEX(Transactions!$G:$G,ROW()-8))</f>
      </c>
      <c r="F7603">
        <f>IF(INDEX(Transactions!$J:$J,ROW()-8)="",0,INDEX(Transactions!$O:$O,ROW()-8))</f>
      </c>
    </row>
    <row r="7604" spans="1:7">
      <c r="B7604">
        <f>IF(INDEX(Transactions!$J:$J,ROW()-8)="",TODAY(),INDEX(Transactions!$G:$G,ROW()-8))</f>
      </c>
      <c r="F7604">
        <f>IF(INDEX(Transactions!$J:$J,ROW()-8)="",0,INDEX(Transactions!$O:$O,ROW()-8))</f>
      </c>
    </row>
    <row r="7605" spans="1:7">
      <c r="B7605">
        <f>IF(INDEX(Transactions!$J:$J,ROW()-8)="",TODAY(),INDEX(Transactions!$G:$G,ROW()-8))</f>
      </c>
      <c r="F7605">
        <f>IF(INDEX(Transactions!$J:$J,ROW()-8)="",0,INDEX(Transactions!$O:$O,ROW()-8))</f>
      </c>
    </row>
    <row r="7606" spans="1:7">
      <c r="B7606">
        <f>IF(INDEX(Transactions!$J:$J,ROW()-8)="",TODAY(),INDEX(Transactions!$G:$G,ROW()-8))</f>
      </c>
      <c r="F7606">
        <f>IF(INDEX(Transactions!$J:$J,ROW()-8)="",0,INDEX(Transactions!$O:$O,ROW()-8))</f>
      </c>
    </row>
    <row r="7607" spans="1:7">
      <c r="B7607">
        <f>IF(INDEX(Transactions!$J:$J,ROW()-8)="",TODAY(),INDEX(Transactions!$G:$G,ROW()-8))</f>
      </c>
      <c r="F7607">
        <f>IF(INDEX(Transactions!$J:$J,ROW()-8)="",0,INDEX(Transactions!$O:$O,ROW()-8))</f>
      </c>
    </row>
    <row r="7608" spans="1:7">
      <c r="B7608">
        <f>IF(INDEX(Transactions!$J:$J,ROW()-8)="",TODAY(),INDEX(Transactions!$G:$G,ROW()-8))</f>
      </c>
      <c r="F7608">
        <f>IF(INDEX(Transactions!$J:$J,ROW()-8)="",0,INDEX(Transactions!$O:$O,ROW()-8))</f>
      </c>
    </row>
    <row r="7609" spans="1:7">
      <c r="B7609">
        <f>IF(INDEX(Transactions!$J:$J,ROW()-8)="",TODAY(),INDEX(Transactions!$G:$G,ROW()-8))</f>
      </c>
      <c r="F7609">
        <f>IF(INDEX(Transactions!$J:$J,ROW()-8)="",0,INDEX(Transactions!$O:$O,ROW()-8))</f>
      </c>
    </row>
    <row r="7610" spans="1:7">
      <c r="B7610">
        <f>IF(INDEX(Transactions!$J:$J,ROW()-8)="",TODAY(),INDEX(Transactions!$G:$G,ROW()-8))</f>
      </c>
      <c r="F7610">
        <f>IF(INDEX(Transactions!$J:$J,ROW()-8)="",0,INDEX(Transactions!$O:$O,ROW()-8))</f>
      </c>
    </row>
    <row r="7611" spans="1:7">
      <c r="B7611">
        <f>IF(INDEX(Transactions!$J:$J,ROW()-8)="",TODAY(),INDEX(Transactions!$G:$G,ROW()-8))</f>
      </c>
      <c r="F7611">
        <f>IF(INDEX(Transactions!$J:$J,ROW()-8)="",0,INDEX(Transactions!$O:$O,ROW()-8))</f>
      </c>
    </row>
    <row r="7612" spans="1:7">
      <c r="B7612">
        <f>IF(INDEX(Transactions!$J:$J,ROW()-8)="",TODAY(),INDEX(Transactions!$G:$G,ROW()-8))</f>
      </c>
      <c r="F7612">
        <f>IF(INDEX(Transactions!$J:$J,ROW()-8)="",0,INDEX(Transactions!$O:$O,ROW()-8))</f>
      </c>
    </row>
    <row r="7613" spans="1:7">
      <c r="B7613">
        <f>IF(INDEX(Transactions!$J:$J,ROW()-8)="",TODAY(),INDEX(Transactions!$G:$G,ROW()-8))</f>
      </c>
      <c r="F7613">
        <f>IF(INDEX(Transactions!$J:$J,ROW()-8)="",0,INDEX(Transactions!$O:$O,ROW()-8))</f>
      </c>
    </row>
    <row r="7614" spans="1:7">
      <c r="B7614">
        <f>IF(INDEX(Transactions!$J:$J,ROW()-8)="",TODAY(),INDEX(Transactions!$G:$G,ROW()-8))</f>
      </c>
      <c r="F7614">
        <f>IF(INDEX(Transactions!$J:$J,ROW()-8)="",0,INDEX(Transactions!$O:$O,ROW()-8))</f>
      </c>
    </row>
    <row r="7615" spans="1:7">
      <c r="B7615">
        <f>IF(INDEX(Transactions!$J:$J,ROW()-8)="",TODAY(),INDEX(Transactions!$G:$G,ROW()-8))</f>
      </c>
      <c r="F7615">
        <f>IF(INDEX(Transactions!$J:$J,ROW()-8)="",0,INDEX(Transactions!$O:$O,ROW()-8))</f>
      </c>
    </row>
    <row r="7616" spans="1:7">
      <c r="B7616">
        <f>IF(INDEX(Transactions!$J:$J,ROW()-8)="",TODAY(),INDEX(Transactions!$G:$G,ROW()-8))</f>
      </c>
      <c r="F7616">
        <f>IF(INDEX(Transactions!$J:$J,ROW()-8)="",0,INDEX(Transactions!$O:$O,ROW()-8))</f>
      </c>
    </row>
    <row r="7617" spans="1:7">
      <c r="B7617">
        <f>IF(INDEX(Transactions!$J:$J,ROW()-8)="",TODAY(),INDEX(Transactions!$G:$G,ROW()-8))</f>
      </c>
      <c r="F7617">
        <f>IF(INDEX(Transactions!$J:$J,ROW()-8)="",0,INDEX(Transactions!$O:$O,ROW()-8))</f>
      </c>
    </row>
    <row r="7618" spans="1:7">
      <c r="B7618">
        <f>IF(INDEX(Transactions!$J:$J,ROW()-8)="",TODAY(),INDEX(Transactions!$G:$G,ROW()-8))</f>
      </c>
      <c r="F7618">
        <f>IF(INDEX(Transactions!$J:$J,ROW()-8)="",0,INDEX(Transactions!$O:$O,ROW()-8))</f>
      </c>
    </row>
    <row r="7619" spans="1:7">
      <c r="B7619">
        <f>IF(INDEX(Transactions!$J:$J,ROW()-8)="",TODAY(),INDEX(Transactions!$G:$G,ROW()-8))</f>
      </c>
      <c r="F7619">
        <f>IF(INDEX(Transactions!$J:$J,ROW()-8)="",0,INDEX(Transactions!$O:$O,ROW()-8))</f>
      </c>
    </row>
    <row r="7620" spans="1:7">
      <c r="B7620">
        <f>IF(INDEX(Transactions!$J:$J,ROW()-8)="",TODAY(),INDEX(Transactions!$G:$G,ROW()-8))</f>
      </c>
      <c r="F7620">
        <f>IF(INDEX(Transactions!$J:$J,ROW()-8)="",0,INDEX(Transactions!$O:$O,ROW()-8))</f>
      </c>
    </row>
    <row r="7621" spans="1:7">
      <c r="B7621">
        <f>IF(INDEX(Transactions!$J:$J,ROW()-8)="",TODAY(),INDEX(Transactions!$G:$G,ROW()-8))</f>
      </c>
      <c r="F7621">
        <f>IF(INDEX(Transactions!$J:$J,ROW()-8)="",0,INDEX(Transactions!$O:$O,ROW()-8))</f>
      </c>
    </row>
    <row r="7622" spans="1:7">
      <c r="B7622">
        <f>IF(INDEX(Transactions!$J:$J,ROW()-8)="",TODAY(),INDEX(Transactions!$G:$G,ROW()-8))</f>
      </c>
      <c r="F7622">
        <f>IF(INDEX(Transactions!$J:$J,ROW()-8)="",0,INDEX(Transactions!$O:$O,ROW()-8))</f>
      </c>
    </row>
    <row r="7623" spans="1:7">
      <c r="B7623">
        <f>IF(INDEX(Transactions!$J:$J,ROW()-8)="",TODAY(),INDEX(Transactions!$G:$G,ROW()-8))</f>
      </c>
      <c r="F7623">
        <f>IF(INDEX(Transactions!$J:$J,ROW()-8)="",0,INDEX(Transactions!$O:$O,ROW()-8))</f>
      </c>
    </row>
    <row r="7624" spans="1:7">
      <c r="B7624">
        <f>IF(INDEX(Transactions!$J:$J,ROW()-8)="",TODAY(),INDEX(Transactions!$G:$G,ROW()-8))</f>
      </c>
      <c r="F7624">
        <f>IF(INDEX(Transactions!$J:$J,ROW()-8)="",0,INDEX(Transactions!$O:$O,ROW()-8))</f>
      </c>
    </row>
    <row r="7625" spans="1:7">
      <c r="B7625">
        <f>IF(INDEX(Transactions!$J:$J,ROW()-8)="",TODAY(),INDEX(Transactions!$G:$G,ROW()-8))</f>
      </c>
      <c r="F7625">
        <f>IF(INDEX(Transactions!$J:$J,ROW()-8)="",0,INDEX(Transactions!$O:$O,ROW()-8))</f>
      </c>
    </row>
    <row r="7626" spans="1:7">
      <c r="B7626">
        <f>IF(INDEX(Transactions!$J:$J,ROW()-8)="",TODAY(),INDEX(Transactions!$G:$G,ROW()-8))</f>
      </c>
      <c r="F7626">
        <f>IF(INDEX(Transactions!$J:$J,ROW()-8)="",0,INDEX(Transactions!$O:$O,ROW()-8))</f>
      </c>
    </row>
    <row r="7627" spans="1:7">
      <c r="B7627">
        <f>IF(INDEX(Transactions!$J:$J,ROW()-8)="",TODAY(),INDEX(Transactions!$G:$G,ROW()-8))</f>
      </c>
      <c r="F7627">
        <f>IF(INDEX(Transactions!$J:$J,ROW()-8)="",0,INDEX(Transactions!$O:$O,ROW()-8))</f>
      </c>
    </row>
    <row r="7628" spans="1:7">
      <c r="B7628">
        <f>IF(INDEX(Transactions!$J:$J,ROW()-8)="",TODAY(),INDEX(Transactions!$G:$G,ROW()-8))</f>
      </c>
      <c r="F7628">
        <f>IF(INDEX(Transactions!$J:$J,ROW()-8)="",0,INDEX(Transactions!$O:$O,ROW()-8))</f>
      </c>
    </row>
    <row r="7629" spans="1:7">
      <c r="B7629">
        <f>IF(INDEX(Transactions!$J:$J,ROW()-8)="",TODAY(),INDEX(Transactions!$G:$G,ROW()-8))</f>
      </c>
      <c r="F7629">
        <f>IF(INDEX(Transactions!$J:$J,ROW()-8)="",0,INDEX(Transactions!$O:$O,ROW()-8))</f>
      </c>
    </row>
    <row r="7630" spans="1:7">
      <c r="B7630">
        <f>IF(INDEX(Transactions!$J:$J,ROW()-8)="",TODAY(),INDEX(Transactions!$G:$G,ROW()-8))</f>
      </c>
      <c r="F7630">
        <f>IF(INDEX(Transactions!$J:$J,ROW()-8)="",0,INDEX(Transactions!$O:$O,ROW()-8))</f>
      </c>
    </row>
    <row r="7631" spans="1:7">
      <c r="B7631">
        <f>IF(INDEX(Transactions!$J:$J,ROW()-8)="",TODAY(),INDEX(Transactions!$G:$G,ROW()-8))</f>
      </c>
      <c r="F7631">
        <f>IF(INDEX(Transactions!$J:$J,ROW()-8)="",0,INDEX(Transactions!$O:$O,ROW()-8))</f>
      </c>
    </row>
    <row r="7632" spans="1:7">
      <c r="B7632">
        <f>IF(INDEX(Transactions!$J:$J,ROW()-8)="",TODAY(),INDEX(Transactions!$G:$G,ROW()-8))</f>
      </c>
      <c r="F7632">
        <f>IF(INDEX(Transactions!$J:$J,ROW()-8)="",0,INDEX(Transactions!$O:$O,ROW()-8))</f>
      </c>
    </row>
    <row r="7633" spans="1:7">
      <c r="B7633">
        <f>IF(INDEX(Transactions!$J:$J,ROW()-8)="",TODAY(),INDEX(Transactions!$G:$G,ROW()-8))</f>
      </c>
      <c r="F7633">
        <f>IF(INDEX(Transactions!$J:$J,ROW()-8)="",0,INDEX(Transactions!$O:$O,ROW()-8))</f>
      </c>
    </row>
    <row r="7634" spans="1:7">
      <c r="B7634">
        <f>IF(INDEX(Transactions!$J:$J,ROW()-8)="",TODAY(),INDEX(Transactions!$G:$G,ROW()-8))</f>
      </c>
      <c r="F7634">
        <f>IF(INDEX(Transactions!$J:$J,ROW()-8)="",0,INDEX(Transactions!$O:$O,ROW()-8))</f>
      </c>
    </row>
    <row r="7635" spans="1:7">
      <c r="B7635">
        <f>IF(INDEX(Transactions!$J:$J,ROW()-8)="",TODAY(),INDEX(Transactions!$G:$G,ROW()-8))</f>
      </c>
      <c r="F7635">
        <f>IF(INDEX(Transactions!$J:$J,ROW()-8)="",0,INDEX(Transactions!$O:$O,ROW()-8))</f>
      </c>
    </row>
    <row r="7636" spans="1:7">
      <c r="B7636">
        <f>IF(INDEX(Transactions!$J:$J,ROW()-8)="",TODAY(),INDEX(Transactions!$G:$G,ROW()-8))</f>
      </c>
      <c r="F7636">
        <f>IF(INDEX(Transactions!$J:$J,ROW()-8)="",0,INDEX(Transactions!$O:$O,ROW()-8))</f>
      </c>
    </row>
    <row r="7637" spans="1:7">
      <c r="B7637">
        <f>IF(INDEX(Transactions!$J:$J,ROW()-8)="",TODAY(),INDEX(Transactions!$G:$G,ROW()-8))</f>
      </c>
      <c r="F7637">
        <f>IF(INDEX(Transactions!$J:$J,ROW()-8)="",0,INDEX(Transactions!$O:$O,ROW()-8))</f>
      </c>
    </row>
    <row r="7638" spans="1:7">
      <c r="B7638">
        <f>IF(INDEX(Transactions!$J:$J,ROW()-8)="",TODAY(),INDEX(Transactions!$G:$G,ROW()-8))</f>
      </c>
      <c r="F7638">
        <f>IF(INDEX(Transactions!$J:$J,ROW()-8)="",0,INDEX(Transactions!$O:$O,ROW()-8))</f>
      </c>
    </row>
    <row r="7639" spans="1:7">
      <c r="B7639">
        <f>IF(INDEX(Transactions!$J:$J,ROW()-8)="",TODAY(),INDEX(Transactions!$G:$G,ROW()-8))</f>
      </c>
      <c r="F7639">
        <f>IF(INDEX(Transactions!$J:$J,ROW()-8)="",0,INDEX(Transactions!$O:$O,ROW()-8))</f>
      </c>
    </row>
    <row r="7640" spans="1:7">
      <c r="B7640">
        <f>IF(INDEX(Transactions!$J:$J,ROW()-8)="",TODAY(),INDEX(Transactions!$G:$G,ROW()-8))</f>
      </c>
      <c r="F7640">
        <f>IF(INDEX(Transactions!$J:$J,ROW()-8)="",0,INDEX(Transactions!$O:$O,ROW()-8))</f>
      </c>
    </row>
    <row r="7641" spans="1:7">
      <c r="B7641">
        <f>IF(INDEX(Transactions!$J:$J,ROW()-8)="",TODAY(),INDEX(Transactions!$G:$G,ROW()-8))</f>
      </c>
      <c r="F7641">
        <f>IF(INDEX(Transactions!$J:$J,ROW()-8)="",0,INDEX(Transactions!$O:$O,ROW()-8))</f>
      </c>
    </row>
    <row r="7642" spans="1:7">
      <c r="B7642">
        <f>IF(INDEX(Transactions!$J:$J,ROW()-8)="",TODAY(),INDEX(Transactions!$G:$G,ROW()-8))</f>
      </c>
      <c r="F7642">
        <f>IF(INDEX(Transactions!$J:$J,ROW()-8)="",0,INDEX(Transactions!$O:$O,ROW()-8))</f>
      </c>
    </row>
    <row r="7643" spans="1:7">
      <c r="B7643">
        <f>IF(INDEX(Transactions!$J:$J,ROW()-8)="",TODAY(),INDEX(Transactions!$G:$G,ROW()-8))</f>
      </c>
      <c r="F7643">
        <f>IF(INDEX(Transactions!$J:$J,ROW()-8)="",0,INDEX(Transactions!$O:$O,ROW()-8))</f>
      </c>
    </row>
    <row r="7644" spans="1:7">
      <c r="B7644">
        <f>IF(INDEX(Transactions!$J:$J,ROW()-8)="",TODAY(),INDEX(Transactions!$G:$G,ROW()-8))</f>
      </c>
      <c r="F7644">
        <f>IF(INDEX(Transactions!$J:$J,ROW()-8)="",0,INDEX(Transactions!$O:$O,ROW()-8))</f>
      </c>
    </row>
    <row r="7645" spans="1:7">
      <c r="B7645">
        <f>IF(INDEX(Transactions!$J:$J,ROW()-8)="",TODAY(),INDEX(Transactions!$G:$G,ROW()-8))</f>
      </c>
      <c r="F7645">
        <f>IF(INDEX(Transactions!$J:$J,ROW()-8)="",0,INDEX(Transactions!$O:$O,ROW()-8))</f>
      </c>
    </row>
    <row r="7646" spans="1:7">
      <c r="B7646">
        <f>IF(INDEX(Transactions!$J:$J,ROW()-8)="",TODAY(),INDEX(Transactions!$G:$G,ROW()-8))</f>
      </c>
      <c r="F7646">
        <f>IF(INDEX(Transactions!$J:$J,ROW()-8)="",0,INDEX(Transactions!$O:$O,ROW()-8))</f>
      </c>
    </row>
    <row r="7647" spans="1:7">
      <c r="B7647">
        <f>IF(INDEX(Transactions!$J:$J,ROW()-8)="",TODAY(),INDEX(Transactions!$G:$G,ROW()-8))</f>
      </c>
      <c r="F7647">
        <f>IF(INDEX(Transactions!$J:$J,ROW()-8)="",0,INDEX(Transactions!$O:$O,ROW()-8))</f>
      </c>
    </row>
    <row r="7648" spans="1:7">
      <c r="B7648">
        <f>IF(INDEX(Transactions!$J:$J,ROW()-8)="",TODAY(),INDEX(Transactions!$G:$G,ROW()-8))</f>
      </c>
      <c r="F7648">
        <f>IF(INDEX(Transactions!$J:$J,ROW()-8)="",0,INDEX(Transactions!$O:$O,ROW()-8))</f>
      </c>
    </row>
    <row r="7649" spans="1:7">
      <c r="B7649">
        <f>IF(INDEX(Transactions!$J:$J,ROW()-8)="",TODAY(),INDEX(Transactions!$G:$G,ROW()-8))</f>
      </c>
      <c r="F7649">
        <f>IF(INDEX(Transactions!$J:$J,ROW()-8)="",0,INDEX(Transactions!$O:$O,ROW()-8))</f>
      </c>
    </row>
    <row r="7650" spans="1:7">
      <c r="B7650">
        <f>IF(INDEX(Transactions!$J:$J,ROW()-8)="",TODAY(),INDEX(Transactions!$G:$G,ROW()-8))</f>
      </c>
      <c r="F7650">
        <f>IF(INDEX(Transactions!$J:$J,ROW()-8)="",0,INDEX(Transactions!$O:$O,ROW()-8))</f>
      </c>
    </row>
    <row r="7651" spans="1:7">
      <c r="B7651">
        <f>IF(INDEX(Transactions!$J:$J,ROW()-8)="",TODAY(),INDEX(Transactions!$G:$G,ROW()-8))</f>
      </c>
      <c r="F7651">
        <f>IF(INDEX(Transactions!$J:$J,ROW()-8)="",0,INDEX(Transactions!$O:$O,ROW()-8))</f>
      </c>
    </row>
    <row r="7652" spans="1:7">
      <c r="B7652">
        <f>IF(INDEX(Transactions!$J:$J,ROW()-8)="",TODAY(),INDEX(Transactions!$G:$G,ROW()-8))</f>
      </c>
      <c r="F7652">
        <f>IF(INDEX(Transactions!$J:$J,ROW()-8)="",0,INDEX(Transactions!$O:$O,ROW()-8))</f>
      </c>
    </row>
    <row r="7653" spans="1:7">
      <c r="B7653">
        <f>IF(INDEX(Transactions!$J:$J,ROW()-8)="",TODAY(),INDEX(Transactions!$G:$G,ROW()-8))</f>
      </c>
      <c r="F7653">
        <f>IF(INDEX(Transactions!$J:$J,ROW()-8)="",0,INDEX(Transactions!$O:$O,ROW()-8))</f>
      </c>
    </row>
    <row r="7654" spans="1:7">
      <c r="B7654">
        <f>IF(INDEX(Transactions!$J:$J,ROW()-8)="",TODAY(),INDEX(Transactions!$G:$G,ROW()-8))</f>
      </c>
      <c r="F7654">
        <f>IF(INDEX(Transactions!$J:$J,ROW()-8)="",0,INDEX(Transactions!$O:$O,ROW()-8))</f>
      </c>
    </row>
    <row r="7655" spans="1:7">
      <c r="B7655">
        <f>IF(INDEX(Transactions!$J:$J,ROW()-8)="",TODAY(),INDEX(Transactions!$G:$G,ROW()-8))</f>
      </c>
      <c r="F7655">
        <f>IF(INDEX(Transactions!$J:$J,ROW()-8)="",0,INDEX(Transactions!$O:$O,ROW()-8))</f>
      </c>
    </row>
    <row r="7656" spans="1:7">
      <c r="B7656">
        <f>IF(INDEX(Transactions!$J:$J,ROW()-8)="",TODAY(),INDEX(Transactions!$G:$G,ROW()-8))</f>
      </c>
      <c r="F7656">
        <f>IF(INDEX(Transactions!$J:$J,ROW()-8)="",0,INDEX(Transactions!$O:$O,ROW()-8))</f>
      </c>
    </row>
    <row r="7657" spans="1:7">
      <c r="B7657">
        <f>IF(INDEX(Transactions!$J:$J,ROW()-8)="",TODAY(),INDEX(Transactions!$G:$G,ROW()-8))</f>
      </c>
      <c r="F7657">
        <f>IF(INDEX(Transactions!$J:$J,ROW()-8)="",0,INDEX(Transactions!$O:$O,ROW()-8))</f>
      </c>
    </row>
    <row r="7658" spans="1:7">
      <c r="B7658">
        <f>IF(INDEX(Transactions!$J:$J,ROW()-8)="",TODAY(),INDEX(Transactions!$G:$G,ROW()-8))</f>
      </c>
      <c r="F7658">
        <f>IF(INDEX(Transactions!$J:$J,ROW()-8)="",0,INDEX(Transactions!$O:$O,ROW()-8))</f>
      </c>
    </row>
    <row r="7659" spans="1:7">
      <c r="B7659">
        <f>IF(INDEX(Transactions!$J:$J,ROW()-8)="",TODAY(),INDEX(Transactions!$G:$G,ROW()-8))</f>
      </c>
      <c r="F7659">
        <f>IF(INDEX(Transactions!$J:$J,ROW()-8)="",0,INDEX(Transactions!$O:$O,ROW()-8))</f>
      </c>
    </row>
    <row r="7660" spans="1:7">
      <c r="B7660">
        <f>IF(INDEX(Transactions!$J:$J,ROW()-8)="",TODAY(),INDEX(Transactions!$G:$G,ROW()-8))</f>
      </c>
      <c r="F7660">
        <f>IF(INDEX(Transactions!$J:$J,ROW()-8)="",0,INDEX(Transactions!$O:$O,ROW()-8))</f>
      </c>
    </row>
    <row r="7661" spans="1:7">
      <c r="B7661">
        <f>IF(INDEX(Transactions!$J:$J,ROW()-8)="",TODAY(),INDEX(Transactions!$G:$G,ROW()-8))</f>
      </c>
      <c r="F7661">
        <f>IF(INDEX(Transactions!$J:$J,ROW()-8)="",0,INDEX(Transactions!$O:$O,ROW()-8))</f>
      </c>
    </row>
    <row r="7662" spans="1:7">
      <c r="B7662">
        <f>IF(INDEX(Transactions!$J:$J,ROW()-8)="",TODAY(),INDEX(Transactions!$G:$G,ROW()-8))</f>
      </c>
      <c r="F7662">
        <f>IF(INDEX(Transactions!$J:$J,ROW()-8)="",0,INDEX(Transactions!$O:$O,ROW()-8))</f>
      </c>
    </row>
    <row r="7663" spans="1:7">
      <c r="B7663">
        <f>IF(INDEX(Transactions!$J:$J,ROW()-8)="",TODAY(),INDEX(Transactions!$G:$G,ROW()-8))</f>
      </c>
      <c r="F7663">
        <f>IF(INDEX(Transactions!$J:$J,ROW()-8)="",0,INDEX(Transactions!$O:$O,ROW()-8))</f>
      </c>
    </row>
    <row r="7664" spans="1:7">
      <c r="B7664">
        <f>IF(INDEX(Transactions!$J:$J,ROW()-8)="",TODAY(),INDEX(Transactions!$G:$G,ROW()-8))</f>
      </c>
      <c r="F7664">
        <f>IF(INDEX(Transactions!$J:$J,ROW()-8)="",0,INDEX(Transactions!$O:$O,ROW()-8))</f>
      </c>
    </row>
    <row r="7665" spans="1:7">
      <c r="B7665">
        <f>IF(INDEX(Transactions!$J:$J,ROW()-8)="",TODAY(),INDEX(Transactions!$G:$G,ROW()-8))</f>
      </c>
      <c r="F7665">
        <f>IF(INDEX(Transactions!$J:$J,ROW()-8)="",0,INDEX(Transactions!$O:$O,ROW()-8))</f>
      </c>
    </row>
    <row r="7666" spans="1:7">
      <c r="B7666">
        <f>IF(INDEX(Transactions!$J:$J,ROW()-8)="",TODAY(),INDEX(Transactions!$G:$G,ROW()-8))</f>
      </c>
      <c r="F7666">
        <f>IF(INDEX(Transactions!$J:$J,ROW()-8)="",0,INDEX(Transactions!$O:$O,ROW()-8))</f>
      </c>
    </row>
    <row r="7667" spans="1:7">
      <c r="B7667">
        <f>IF(INDEX(Transactions!$J:$J,ROW()-8)="",TODAY(),INDEX(Transactions!$G:$G,ROW()-8))</f>
      </c>
      <c r="F7667">
        <f>IF(INDEX(Transactions!$J:$J,ROW()-8)="",0,INDEX(Transactions!$O:$O,ROW()-8))</f>
      </c>
    </row>
    <row r="7668" spans="1:7">
      <c r="B7668">
        <f>IF(INDEX(Transactions!$J:$J,ROW()-8)="",TODAY(),INDEX(Transactions!$G:$G,ROW()-8))</f>
      </c>
      <c r="F7668">
        <f>IF(INDEX(Transactions!$J:$J,ROW()-8)="",0,INDEX(Transactions!$O:$O,ROW()-8))</f>
      </c>
    </row>
    <row r="7669" spans="1:7">
      <c r="B7669">
        <f>IF(INDEX(Transactions!$J:$J,ROW()-8)="",TODAY(),INDEX(Transactions!$G:$G,ROW()-8))</f>
      </c>
      <c r="F7669">
        <f>IF(INDEX(Transactions!$J:$J,ROW()-8)="",0,INDEX(Transactions!$O:$O,ROW()-8))</f>
      </c>
    </row>
    <row r="7670" spans="1:7">
      <c r="B7670">
        <f>IF(INDEX(Transactions!$J:$J,ROW()-8)="",TODAY(),INDEX(Transactions!$G:$G,ROW()-8))</f>
      </c>
      <c r="F7670">
        <f>IF(INDEX(Transactions!$J:$J,ROW()-8)="",0,INDEX(Transactions!$O:$O,ROW()-8))</f>
      </c>
    </row>
    <row r="7671" spans="1:7">
      <c r="B7671">
        <f>IF(INDEX(Transactions!$J:$J,ROW()-8)="",TODAY(),INDEX(Transactions!$G:$G,ROW()-8))</f>
      </c>
      <c r="F7671">
        <f>IF(INDEX(Transactions!$J:$J,ROW()-8)="",0,INDEX(Transactions!$O:$O,ROW()-8))</f>
      </c>
    </row>
    <row r="7672" spans="1:7">
      <c r="B7672">
        <f>IF(INDEX(Transactions!$J:$J,ROW()-8)="",TODAY(),INDEX(Transactions!$G:$G,ROW()-8))</f>
      </c>
      <c r="F7672">
        <f>IF(INDEX(Transactions!$J:$J,ROW()-8)="",0,INDEX(Transactions!$O:$O,ROW()-8))</f>
      </c>
    </row>
    <row r="7673" spans="1:7">
      <c r="B7673">
        <f>IF(INDEX(Transactions!$J:$J,ROW()-8)="",TODAY(),INDEX(Transactions!$G:$G,ROW()-8))</f>
      </c>
      <c r="F7673">
        <f>IF(INDEX(Transactions!$J:$J,ROW()-8)="",0,INDEX(Transactions!$O:$O,ROW()-8))</f>
      </c>
    </row>
    <row r="7674" spans="1:7">
      <c r="B7674">
        <f>IF(INDEX(Transactions!$J:$J,ROW()-8)="",TODAY(),INDEX(Transactions!$G:$G,ROW()-8))</f>
      </c>
      <c r="F7674">
        <f>IF(INDEX(Transactions!$J:$J,ROW()-8)="",0,INDEX(Transactions!$O:$O,ROW()-8))</f>
      </c>
    </row>
    <row r="7675" spans="1:7">
      <c r="B7675">
        <f>IF(INDEX(Transactions!$J:$J,ROW()-8)="",TODAY(),INDEX(Transactions!$G:$G,ROW()-8))</f>
      </c>
      <c r="F7675">
        <f>IF(INDEX(Transactions!$J:$J,ROW()-8)="",0,INDEX(Transactions!$O:$O,ROW()-8))</f>
      </c>
    </row>
    <row r="7676" spans="1:7">
      <c r="B7676">
        <f>IF(INDEX(Transactions!$J:$J,ROW()-8)="",TODAY(),INDEX(Transactions!$G:$G,ROW()-8))</f>
      </c>
      <c r="F7676">
        <f>IF(INDEX(Transactions!$J:$J,ROW()-8)="",0,INDEX(Transactions!$O:$O,ROW()-8))</f>
      </c>
    </row>
    <row r="7677" spans="1:7">
      <c r="B7677">
        <f>IF(INDEX(Transactions!$J:$J,ROW()-8)="",TODAY(),INDEX(Transactions!$G:$G,ROW()-8))</f>
      </c>
      <c r="F7677">
        <f>IF(INDEX(Transactions!$J:$J,ROW()-8)="",0,INDEX(Transactions!$O:$O,ROW()-8))</f>
      </c>
    </row>
    <row r="7678" spans="1:7">
      <c r="B7678">
        <f>IF(INDEX(Transactions!$J:$J,ROW()-8)="",TODAY(),INDEX(Transactions!$G:$G,ROW()-8))</f>
      </c>
      <c r="F7678">
        <f>IF(INDEX(Transactions!$J:$J,ROW()-8)="",0,INDEX(Transactions!$O:$O,ROW()-8))</f>
      </c>
    </row>
    <row r="7679" spans="1:7">
      <c r="B7679">
        <f>IF(INDEX(Transactions!$J:$J,ROW()-8)="",TODAY(),INDEX(Transactions!$G:$G,ROW()-8))</f>
      </c>
      <c r="F7679">
        <f>IF(INDEX(Transactions!$J:$J,ROW()-8)="",0,INDEX(Transactions!$O:$O,ROW()-8))</f>
      </c>
    </row>
    <row r="7680" spans="1:7">
      <c r="B7680">
        <f>IF(INDEX(Transactions!$J:$J,ROW()-8)="",TODAY(),INDEX(Transactions!$G:$G,ROW()-8))</f>
      </c>
      <c r="F7680">
        <f>IF(INDEX(Transactions!$J:$J,ROW()-8)="",0,INDEX(Transactions!$O:$O,ROW()-8))</f>
      </c>
    </row>
    <row r="7681" spans="1:7">
      <c r="B7681">
        <f>IF(INDEX(Transactions!$J:$J,ROW()-8)="",TODAY(),INDEX(Transactions!$G:$G,ROW()-8))</f>
      </c>
      <c r="F7681">
        <f>IF(INDEX(Transactions!$J:$J,ROW()-8)="",0,INDEX(Transactions!$O:$O,ROW()-8))</f>
      </c>
    </row>
    <row r="7682" spans="1:7">
      <c r="B7682">
        <f>IF(INDEX(Transactions!$J:$J,ROW()-8)="",TODAY(),INDEX(Transactions!$G:$G,ROW()-8))</f>
      </c>
      <c r="F7682">
        <f>IF(INDEX(Transactions!$J:$J,ROW()-8)="",0,INDEX(Transactions!$O:$O,ROW()-8))</f>
      </c>
    </row>
    <row r="7683" spans="1:7">
      <c r="B7683">
        <f>IF(INDEX(Transactions!$J:$J,ROW()-8)="",TODAY(),INDEX(Transactions!$G:$G,ROW()-8))</f>
      </c>
      <c r="F7683">
        <f>IF(INDEX(Transactions!$J:$J,ROW()-8)="",0,INDEX(Transactions!$O:$O,ROW()-8))</f>
      </c>
    </row>
    <row r="7684" spans="1:7">
      <c r="B7684">
        <f>IF(INDEX(Transactions!$J:$J,ROW()-8)="",TODAY(),INDEX(Transactions!$G:$G,ROW()-8))</f>
      </c>
      <c r="F7684">
        <f>IF(INDEX(Transactions!$J:$J,ROW()-8)="",0,INDEX(Transactions!$O:$O,ROW()-8))</f>
      </c>
    </row>
    <row r="7685" spans="1:7">
      <c r="B7685">
        <f>IF(INDEX(Transactions!$J:$J,ROW()-8)="",TODAY(),INDEX(Transactions!$G:$G,ROW()-8))</f>
      </c>
      <c r="F7685">
        <f>IF(INDEX(Transactions!$J:$J,ROW()-8)="",0,INDEX(Transactions!$O:$O,ROW()-8))</f>
      </c>
    </row>
    <row r="7686" spans="1:7">
      <c r="B7686">
        <f>IF(INDEX(Transactions!$J:$J,ROW()-8)="",TODAY(),INDEX(Transactions!$G:$G,ROW()-8))</f>
      </c>
      <c r="F7686">
        <f>IF(INDEX(Transactions!$J:$J,ROW()-8)="",0,INDEX(Transactions!$O:$O,ROW()-8))</f>
      </c>
    </row>
    <row r="7687" spans="1:7">
      <c r="B7687">
        <f>IF(INDEX(Transactions!$J:$J,ROW()-8)="",TODAY(),INDEX(Transactions!$G:$G,ROW()-8))</f>
      </c>
      <c r="F7687">
        <f>IF(INDEX(Transactions!$J:$J,ROW()-8)="",0,INDEX(Transactions!$O:$O,ROW()-8))</f>
      </c>
    </row>
    <row r="7688" spans="1:7">
      <c r="B7688">
        <f>IF(INDEX(Transactions!$J:$J,ROW()-8)="",TODAY(),INDEX(Transactions!$G:$G,ROW()-8))</f>
      </c>
      <c r="F7688">
        <f>IF(INDEX(Transactions!$J:$J,ROW()-8)="",0,INDEX(Transactions!$O:$O,ROW()-8))</f>
      </c>
    </row>
    <row r="7689" spans="1:7">
      <c r="B7689">
        <f>IF(INDEX(Transactions!$J:$J,ROW()-8)="",TODAY(),INDEX(Transactions!$G:$G,ROW()-8))</f>
      </c>
      <c r="F7689">
        <f>IF(INDEX(Transactions!$J:$J,ROW()-8)="",0,INDEX(Transactions!$O:$O,ROW()-8))</f>
      </c>
    </row>
    <row r="7690" spans="1:7">
      <c r="B7690">
        <f>IF(INDEX(Transactions!$J:$J,ROW()-8)="",TODAY(),INDEX(Transactions!$G:$G,ROW()-8))</f>
      </c>
      <c r="F7690">
        <f>IF(INDEX(Transactions!$J:$J,ROW()-8)="",0,INDEX(Transactions!$O:$O,ROW()-8))</f>
      </c>
    </row>
    <row r="7691" spans="1:7">
      <c r="B7691">
        <f>IF(INDEX(Transactions!$J:$J,ROW()-8)="",TODAY(),INDEX(Transactions!$G:$G,ROW()-8))</f>
      </c>
      <c r="F7691">
        <f>IF(INDEX(Transactions!$J:$J,ROW()-8)="",0,INDEX(Transactions!$O:$O,ROW()-8))</f>
      </c>
    </row>
    <row r="7692" spans="1:7">
      <c r="B7692">
        <f>IF(INDEX(Transactions!$J:$J,ROW()-8)="",TODAY(),INDEX(Transactions!$G:$G,ROW()-8))</f>
      </c>
      <c r="F7692">
        <f>IF(INDEX(Transactions!$J:$J,ROW()-8)="",0,INDEX(Transactions!$O:$O,ROW()-8))</f>
      </c>
    </row>
    <row r="7693" spans="1:7">
      <c r="B7693">
        <f>IF(INDEX(Transactions!$J:$J,ROW()-8)="",TODAY(),INDEX(Transactions!$G:$G,ROW()-8))</f>
      </c>
      <c r="F7693">
        <f>IF(INDEX(Transactions!$J:$J,ROW()-8)="",0,INDEX(Transactions!$O:$O,ROW()-8))</f>
      </c>
    </row>
    <row r="7694" spans="1:7">
      <c r="B7694">
        <f>IF(INDEX(Transactions!$J:$J,ROW()-8)="",TODAY(),INDEX(Transactions!$G:$G,ROW()-8))</f>
      </c>
      <c r="F7694">
        <f>IF(INDEX(Transactions!$J:$J,ROW()-8)="",0,INDEX(Transactions!$O:$O,ROW()-8))</f>
      </c>
    </row>
    <row r="7695" spans="1:7">
      <c r="B7695">
        <f>IF(INDEX(Transactions!$J:$J,ROW()-8)="",TODAY(),INDEX(Transactions!$G:$G,ROW()-8))</f>
      </c>
      <c r="F7695">
        <f>IF(INDEX(Transactions!$J:$J,ROW()-8)="",0,INDEX(Transactions!$O:$O,ROW()-8))</f>
      </c>
    </row>
    <row r="7696" spans="1:7">
      <c r="B7696">
        <f>IF(INDEX(Transactions!$J:$J,ROW()-8)="",TODAY(),INDEX(Transactions!$G:$G,ROW()-8))</f>
      </c>
      <c r="F7696">
        <f>IF(INDEX(Transactions!$J:$J,ROW()-8)="",0,INDEX(Transactions!$O:$O,ROW()-8))</f>
      </c>
    </row>
    <row r="7697" spans="1:7">
      <c r="B7697">
        <f>IF(INDEX(Transactions!$J:$J,ROW()-8)="",TODAY(),INDEX(Transactions!$G:$G,ROW()-8))</f>
      </c>
      <c r="F7697">
        <f>IF(INDEX(Transactions!$J:$J,ROW()-8)="",0,INDEX(Transactions!$O:$O,ROW()-8))</f>
      </c>
    </row>
    <row r="7698" spans="1:7">
      <c r="B7698">
        <f>IF(INDEX(Transactions!$J:$J,ROW()-8)="",TODAY(),INDEX(Transactions!$G:$G,ROW()-8))</f>
      </c>
      <c r="F7698">
        <f>IF(INDEX(Transactions!$J:$J,ROW()-8)="",0,INDEX(Transactions!$O:$O,ROW()-8))</f>
      </c>
    </row>
    <row r="7699" spans="1:7">
      <c r="B7699">
        <f>IF(INDEX(Transactions!$J:$J,ROW()-8)="",TODAY(),INDEX(Transactions!$G:$G,ROW()-8))</f>
      </c>
      <c r="F7699">
        <f>IF(INDEX(Transactions!$J:$J,ROW()-8)="",0,INDEX(Transactions!$O:$O,ROW()-8))</f>
      </c>
    </row>
    <row r="7700" spans="1:7">
      <c r="B7700">
        <f>IF(INDEX(Transactions!$J:$J,ROW()-8)="",TODAY(),INDEX(Transactions!$G:$G,ROW()-8))</f>
      </c>
      <c r="F7700">
        <f>IF(INDEX(Transactions!$J:$J,ROW()-8)="",0,INDEX(Transactions!$O:$O,ROW()-8))</f>
      </c>
    </row>
    <row r="7701" spans="1:7">
      <c r="B7701">
        <f>IF(INDEX(Transactions!$J:$J,ROW()-8)="",TODAY(),INDEX(Transactions!$G:$G,ROW()-8))</f>
      </c>
      <c r="F7701">
        <f>IF(INDEX(Transactions!$J:$J,ROW()-8)="",0,INDEX(Transactions!$O:$O,ROW()-8))</f>
      </c>
    </row>
    <row r="7702" spans="1:7">
      <c r="B7702">
        <f>IF(INDEX(Transactions!$J:$J,ROW()-8)="",TODAY(),INDEX(Transactions!$G:$G,ROW()-8))</f>
      </c>
      <c r="F7702">
        <f>IF(INDEX(Transactions!$J:$J,ROW()-8)="",0,INDEX(Transactions!$O:$O,ROW()-8))</f>
      </c>
    </row>
    <row r="7703" spans="1:7">
      <c r="B7703">
        <f>IF(INDEX(Transactions!$J:$J,ROW()-8)="",TODAY(),INDEX(Transactions!$G:$G,ROW()-8))</f>
      </c>
      <c r="F7703">
        <f>IF(INDEX(Transactions!$J:$J,ROW()-8)="",0,INDEX(Transactions!$O:$O,ROW()-8))</f>
      </c>
    </row>
    <row r="7704" spans="1:7">
      <c r="B7704">
        <f>IF(INDEX(Transactions!$J:$J,ROW()-8)="",TODAY(),INDEX(Transactions!$G:$G,ROW()-8))</f>
      </c>
      <c r="F7704">
        <f>IF(INDEX(Transactions!$J:$J,ROW()-8)="",0,INDEX(Transactions!$O:$O,ROW()-8))</f>
      </c>
    </row>
    <row r="7705" spans="1:7">
      <c r="B7705">
        <f>IF(INDEX(Transactions!$J:$J,ROW()-8)="",TODAY(),INDEX(Transactions!$G:$G,ROW()-8))</f>
      </c>
      <c r="F7705">
        <f>IF(INDEX(Transactions!$J:$J,ROW()-8)="",0,INDEX(Transactions!$O:$O,ROW()-8))</f>
      </c>
    </row>
    <row r="7706" spans="1:7">
      <c r="B7706">
        <f>IF(INDEX(Transactions!$J:$J,ROW()-8)="",TODAY(),INDEX(Transactions!$G:$G,ROW()-8))</f>
      </c>
      <c r="F7706">
        <f>IF(INDEX(Transactions!$J:$J,ROW()-8)="",0,INDEX(Transactions!$O:$O,ROW()-8))</f>
      </c>
    </row>
    <row r="7707" spans="1:7">
      <c r="B7707">
        <f>IF(INDEX(Transactions!$J:$J,ROW()-8)="",TODAY(),INDEX(Transactions!$G:$G,ROW()-8))</f>
      </c>
      <c r="F7707">
        <f>IF(INDEX(Transactions!$J:$J,ROW()-8)="",0,INDEX(Transactions!$O:$O,ROW()-8))</f>
      </c>
    </row>
    <row r="7708" spans="1:7">
      <c r="B7708">
        <f>IF(INDEX(Transactions!$J:$J,ROW()-8)="",TODAY(),INDEX(Transactions!$G:$G,ROW()-8))</f>
      </c>
      <c r="F7708">
        <f>IF(INDEX(Transactions!$J:$J,ROW()-8)="",0,INDEX(Transactions!$O:$O,ROW()-8))</f>
      </c>
    </row>
    <row r="7709" spans="1:7">
      <c r="B7709">
        <f>IF(INDEX(Transactions!$J:$J,ROW()-8)="",TODAY(),INDEX(Transactions!$G:$G,ROW()-8))</f>
      </c>
      <c r="F7709">
        <f>IF(INDEX(Transactions!$J:$J,ROW()-8)="",0,INDEX(Transactions!$O:$O,ROW()-8))</f>
      </c>
    </row>
    <row r="7710" spans="1:7">
      <c r="B7710">
        <f>IF(INDEX(Transactions!$J:$J,ROW()-8)="",TODAY(),INDEX(Transactions!$G:$G,ROW()-8))</f>
      </c>
      <c r="F7710">
        <f>IF(INDEX(Transactions!$J:$J,ROW()-8)="",0,INDEX(Transactions!$O:$O,ROW()-8))</f>
      </c>
    </row>
    <row r="7711" spans="1:7">
      <c r="B7711">
        <f>IF(INDEX(Transactions!$J:$J,ROW()-8)="",TODAY(),INDEX(Transactions!$G:$G,ROW()-8))</f>
      </c>
      <c r="F7711">
        <f>IF(INDEX(Transactions!$J:$J,ROW()-8)="",0,INDEX(Transactions!$O:$O,ROW()-8))</f>
      </c>
    </row>
    <row r="7712" spans="1:7">
      <c r="B7712">
        <f>IF(INDEX(Transactions!$J:$J,ROW()-8)="",TODAY(),INDEX(Transactions!$G:$G,ROW()-8))</f>
      </c>
      <c r="F7712">
        <f>IF(INDEX(Transactions!$J:$J,ROW()-8)="",0,INDEX(Transactions!$O:$O,ROW()-8))</f>
      </c>
    </row>
    <row r="7713" spans="1:7">
      <c r="B7713">
        <f>IF(INDEX(Transactions!$J:$J,ROW()-8)="",TODAY(),INDEX(Transactions!$G:$G,ROW()-8))</f>
      </c>
      <c r="F7713">
        <f>IF(INDEX(Transactions!$J:$J,ROW()-8)="",0,INDEX(Transactions!$O:$O,ROW()-8))</f>
      </c>
    </row>
    <row r="7714" spans="1:7">
      <c r="B7714">
        <f>IF(INDEX(Transactions!$J:$J,ROW()-8)="",TODAY(),INDEX(Transactions!$G:$G,ROW()-8))</f>
      </c>
      <c r="F7714">
        <f>IF(INDEX(Transactions!$J:$J,ROW()-8)="",0,INDEX(Transactions!$O:$O,ROW()-8))</f>
      </c>
    </row>
    <row r="7715" spans="1:7">
      <c r="B7715">
        <f>IF(INDEX(Transactions!$J:$J,ROW()-8)="",TODAY(),INDEX(Transactions!$G:$G,ROW()-8))</f>
      </c>
      <c r="F7715">
        <f>IF(INDEX(Transactions!$J:$J,ROW()-8)="",0,INDEX(Transactions!$O:$O,ROW()-8))</f>
      </c>
    </row>
    <row r="7716" spans="1:7">
      <c r="B7716">
        <f>IF(INDEX(Transactions!$J:$J,ROW()-8)="",TODAY(),INDEX(Transactions!$G:$G,ROW()-8))</f>
      </c>
      <c r="F7716">
        <f>IF(INDEX(Transactions!$J:$J,ROW()-8)="",0,INDEX(Transactions!$O:$O,ROW()-8))</f>
      </c>
    </row>
    <row r="7717" spans="1:7">
      <c r="B7717">
        <f>IF(INDEX(Transactions!$J:$J,ROW()-8)="",TODAY(),INDEX(Transactions!$G:$G,ROW()-8))</f>
      </c>
      <c r="F7717">
        <f>IF(INDEX(Transactions!$J:$J,ROW()-8)="",0,INDEX(Transactions!$O:$O,ROW()-8))</f>
      </c>
    </row>
    <row r="7718" spans="1:7">
      <c r="B7718">
        <f>IF(INDEX(Transactions!$J:$J,ROW()-8)="",TODAY(),INDEX(Transactions!$G:$G,ROW()-8))</f>
      </c>
      <c r="F7718">
        <f>IF(INDEX(Transactions!$J:$J,ROW()-8)="",0,INDEX(Transactions!$O:$O,ROW()-8))</f>
      </c>
    </row>
    <row r="7719" spans="1:7">
      <c r="B7719">
        <f>IF(INDEX(Transactions!$J:$J,ROW()-8)="",TODAY(),INDEX(Transactions!$G:$G,ROW()-8))</f>
      </c>
      <c r="F7719">
        <f>IF(INDEX(Transactions!$J:$J,ROW()-8)="",0,INDEX(Transactions!$O:$O,ROW()-8))</f>
      </c>
    </row>
    <row r="7720" spans="1:7">
      <c r="B7720">
        <f>IF(INDEX(Transactions!$J:$J,ROW()-8)="",TODAY(),INDEX(Transactions!$G:$G,ROW()-8))</f>
      </c>
      <c r="F7720">
        <f>IF(INDEX(Transactions!$J:$J,ROW()-8)="",0,INDEX(Transactions!$O:$O,ROW()-8))</f>
      </c>
    </row>
    <row r="7721" spans="1:7">
      <c r="B7721">
        <f>IF(INDEX(Transactions!$J:$J,ROW()-8)="",TODAY(),INDEX(Transactions!$G:$G,ROW()-8))</f>
      </c>
      <c r="F7721">
        <f>IF(INDEX(Transactions!$J:$J,ROW()-8)="",0,INDEX(Transactions!$O:$O,ROW()-8))</f>
      </c>
    </row>
    <row r="7722" spans="1:7">
      <c r="B7722">
        <f>IF(INDEX(Transactions!$J:$J,ROW()-8)="",TODAY(),INDEX(Transactions!$G:$G,ROW()-8))</f>
      </c>
      <c r="F7722">
        <f>IF(INDEX(Transactions!$J:$J,ROW()-8)="",0,INDEX(Transactions!$O:$O,ROW()-8))</f>
      </c>
    </row>
    <row r="7723" spans="1:7">
      <c r="B7723">
        <f>IF(INDEX(Transactions!$J:$J,ROW()-8)="",TODAY(),INDEX(Transactions!$G:$G,ROW()-8))</f>
      </c>
      <c r="F7723">
        <f>IF(INDEX(Transactions!$J:$J,ROW()-8)="",0,INDEX(Transactions!$O:$O,ROW()-8))</f>
      </c>
    </row>
    <row r="7724" spans="1:7">
      <c r="B7724">
        <f>IF(INDEX(Transactions!$J:$J,ROW()-8)="",TODAY(),INDEX(Transactions!$G:$G,ROW()-8))</f>
      </c>
      <c r="F7724">
        <f>IF(INDEX(Transactions!$J:$J,ROW()-8)="",0,INDEX(Transactions!$O:$O,ROW()-8))</f>
      </c>
    </row>
    <row r="7725" spans="1:7">
      <c r="B7725">
        <f>IF(INDEX(Transactions!$J:$J,ROW()-8)="",TODAY(),INDEX(Transactions!$G:$G,ROW()-8))</f>
      </c>
      <c r="F7725">
        <f>IF(INDEX(Transactions!$J:$J,ROW()-8)="",0,INDEX(Transactions!$O:$O,ROW()-8))</f>
      </c>
    </row>
    <row r="7726" spans="1:7">
      <c r="B7726">
        <f>IF(INDEX(Transactions!$J:$J,ROW()-8)="",TODAY(),INDEX(Transactions!$G:$G,ROW()-8))</f>
      </c>
      <c r="F7726">
        <f>IF(INDEX(Transactions!$J:$J,ROW()-8)="",0,INDEX(Transactions!$O:$O,ROW()-8))</f>
      </c>
    </row>
    <row r="7727" spans="1:7">
      <c r="B7727">
        <f>IF(INDEX(Transactions!$J:$J,ROW()-8)="",TODAY(),INDEX(Transactions!$G:$G,ROW()-8))</f>
      </c>
      <c r="F7727">
        <f>IF(INDEX(Transactions!$J:$J,ROW()-8)="",0,INDEX(Transactions!$O:$O,ROW()-8))</f>
      </c>
    </row>
    <row r="7728" spans="1:7">
      <c r="B7728">
        <f>IF(INDEX(Transactions!$J:$J,ROW()-8)="",TODAY(),INDEX(Transactions!$G:$G,ROW()-8))</f>
      </c>
      <c r="F7728">
        <f>IF(INDEX(Transactions!$J:$J,ROW()-8)="",0,INDEX(Transactions!$O:$O,ROW()-8))</f>
      </c>
    </row>
    <row r="7729" spans="1:7">
      <c r="B7729">
        <f>IF(INDEX(Transactions!$J:$J,ROW()-8)="",TODAY(),INDEX(Transactions!$G:$G,ROW()-8))</f>
      </c>
      <c r="F7729">
        <f>IF(INDEX(Transactions!$J:$J,ROW()-8)="",0,INDEX(Transactions!$O:$O,ROW()-8))</f>
      </c>
    </row>
    <row r="7730" spans="1:7">
      <c r="B7730">
        <f>IF(INDEX(Transactions!$J:$J,ROW()-8)="",TODAY(),INDEX(Transactions!$G:$G,ROW()-8))</f>
      </c>
      <c r="F7730">
        <f>IF(INDEX(Transactions!$J:$J,ROW()-8)="",0,INDEX(Transactions!$O:$O,ROW()-8))</f>
      </c>
    </row>
    <row r="7731" spans="1:7">
      <c r="B7731">
        <f>IF(INDEX(Transactions!$J:$J,ROW()-8)="",TODAY(),INDEX(Transactions!$G:$G,ROW()-8))</f>
      </c>
      <c r="F7731">
        <f>IF(INDEX(Transactions!$J:$J,ROW()-8)="",0,INDEX(Transactions!$O:$O,ROW()-8))</f>
      </c>
    </row>
    <row r="7732" spans="1:7">
      <c r="B7732">
        <f>IF(INDEX(Transactions!$J:$J,ROW()-8)="",TODAY(),INDEX(Transactions!$G:$G,ROW()-8))</f>
      </c>
      <c r="F7732">
        <f>IF(INDEX(Transactions!$J:$J,ROW()-8)="",0,INDEX(Transactions!$O:$O,ROW()-8))</f>
      </c>
    </row>
    <row r="7733" spans="1:7">
      <c r="B7733">
        <f>IF(INDEX(Transactions!$J:$J,ROW()-8)="",TODAY(),INDEX(Transactions!$G:$G,ROW()-8))</f>
      </c>
      <c r="F7733">
        <f>IF(INDEX(Transactions!$J:$J,ROW()-8)="",0,INDEX(Transactions!$O:$O,ROW()-8))</f>
      </c>
    </row>
    <row r="7734" spans="1:7">
      <c r="B7734">
        <f>IF(INDEX(Transactions!$J:$J,ROW()-8)="",TODAY(),INDEX(Transactions!$G:$G,ROW()-8))</f>
      </c>
      <c r="F7734">
        <f>IF(INDEX(Transactions!$J:$J,ROW()-8)="",0,INDEX(Transactions!$O:$O,ROW()-8))</f>
      </c>
    </row>
    <row r="7735" spans="1:7">
      <c r="B7735">
        <f>IF(INDEX(Transactions!$J:$J,ROW()-8)="",TODAY(),INDEX(Transactions!$G:$G,ROW()-8))</f>
      </c>
      <c r="F7735">
        <f>IF(INDEX(Transactions!$J:$J,ROW()-8)="",0,INDEX(Transactions!$O:$O,ROW()-8))</f>
      </c>
    </row>
    <row r="7736" spans="1:7">
      <c r="B7736">
        <f>IF(INDEX(Transactions!$J:$J,ROW()-8)="",TODAY(),INDEX(Transactions!$G:$G,ROW()-8))</f>
      </c>
      <c r="F7736">
        <f>IF(INDEX(Transactions!$J:$J,ROW()-8)="",0,INDEX(Transactions!$O:$O,ROW()-8))</f>
      </c>
    </row>
    <row r="7737" spans="1:7">
      <c r="B7737">
        <f>IF(INDEX(Transactions!$J:$J,ROW()-8)="",TODAY(),INDEX(Transactions!$G:$G,ROW()-8))</f>
      </c>
      <c r="F7737">
        <f>IF(INDEX(Transactions!$J:$J,ROW()-8)="",0,INDEX(Transactions!$O:$O,ROW()-8))</f>
      </c>
    </row>
    <row r="7738" spans="1:7">
      <c r="B7738">
        <f>IF(INDEX(Transactions!$J:$J,ROW()-8)="",TODAY(),INDEX(Transactions!$G:$G,ROW()-8))</f>
      </c>
      <c r="F7738">
        <f>IF(INDEX(Transactions!$J:$J,ROW()-8)="",0,INDEX(Transactions!$O:$O,ROW()-8))</f>
      </c>
    </row>
    <row r="7739" spans="1:7">
      <c r="B7739">
        <f>IF(INDEX(Transactions!$J:$J,ROW()-8)="",TODAY(),INDEX(Transactions!$G:$G,ROW()-8))</f>
      </c>
      <c r="F7739">
        <f>IF(INDEX(Transactions!$J:$J,ROW()-8)="",0,INDEX(Transactions!$O:$O,ROW()-8))</f>
      </c>
    </row>
    <row r="7740" spans="1:7">
      <c r="B7740">
        <f>IF(INDEX(Transactions!$J:$J,ROW()-8)="",TODAY(),INDEX(Transactions!$G:$G,ROW()-8))</f>
      </c>
      <c r="F7740">
        <f>IF(INDEX(Transactions!$J:$J,ROW()-8)="",0,INDEX(Transactions!$O:$O,ROW()-8))</f>
      </c>
    </row>
    <row r="7741" spans="1:7">
      <c r="B7741">
        <f>IF(INDEX(Transactions!$J:$J,ROW()-8)="",TODAY(),INDEX(Transactions!$G:$G,ROW()-8))</f>
      </c>
      <c r="F7741">
        <f>IF(INDEX(Transactions!$J:$J,ROW()-8)="",0,INDEX(Transactions!$O:$O,ROW()-8))</f>
      </c>
    </row>
    <row r="7742" spans="1:7">
      <c r="B7742">
        <f>IF(INDEX(Transactions!$J:$J,ROW()-8)="",TODAY(),INDEX(Transactions!$G:$G,ROW()-8))</f>
      </c>
      <c r="F7742">
        <f>IF(INDEX(Transactions!$J:$J,ROW()-8)="",0,INDEX(Transactions!$O:$O,ROW()-8))</f>
      </c>
    </row>
    <row r="7743" spans="1:7">
      <c r="B7743">
        <f>IF(INDEX(Transactions!$J:$J,ROW()-8)="",TODAY(),INDEX(Transactions!$G:$G,ROW()-8))</f>
      </c>
      <c r="F7743">
        <f>IF(INDEX(Transactions!$J:$J,ROW()-8)="",0,INDEX(Transactions!$O:$O,ROW()-8))</f>
      </c>
    </row>
    <row r="7744" spans="1:7">
      <c r="B7744">
        <f>IF(INDEX(Transactions!$J:$J,ROW()-8)="",TODAY(),INDEX(Transactions!$G:$G,ROW()-8))</f>
      </c>
      <c r="F7744">
        <f>IF(INDEX(Transactions!$J:$J,ROW()-8)="",0,INDEX(Transactions!$O:$O,ROW()-8))</f>
      </c>
    </row>
    <row r="7745" spans="1:7">
      <c r="B7745">
        <f>IF(INDEX(Transactions!$J:$J,ROW()-8)="",TODAY(),INDEX(Transactions!$G:$G,ROW()-8))</f>
      </c>
      <c r="F7745">
        <f>IF(INDEX(Transactions!$J:$J,ROW()-8)="",0,INDEX(Transactions!$O:$O,ROW()-8))</f>
      </c>
    </row>
    <row r="7746" spans="1:7">
      <c r="B7746">
        <f>IF(INDEX(Transactions!$J:$J,ROW()-8)="",TODAY(),INDEX(Transactions!$G:$G,ROW()-8))</f>
      </c>
      <c r="F7746">
        <f>IF(INDEX(Transactions!$J:$J,ROW()-8)="",0,INDEX(Transactions!$O:$O,ROW()-8))</f>
      </c>
    </row>
    <row r="7747" spans="1:7">
      <c r="B7747">
        <f>IF(INDEX(Transactions!$J:$J,ROW()-8)="",TODAY(),INDEX(Transactions!$G:$G,ROW()-8))</f>
      </c>
      <c r="F7747">
        <f>IF(INDEX(Transactions!$J:$J,ROW()-8)="",0,INDEX(Transactions!$O:$O,ROW()-8))</f>
      </c>
    </row>
    <row r="7748" spans="1:7">
      <c r="B7748">
        <f>IF(INDEX(Transactions!$J:$J,ROW()-8)="",TODAY(),INDEX(Transactions!$G:$G,ROW()-8))</f>
      </c>
      <c r="F7748">
        <f>IF(INDEX(Transactions!$J:$J,ROW()-8)="",0,INDEX(Transactions!$O:$O,ROW()-8))</f>
      </c>
    </row>
    <row r="7749" spans="1:7">
      <c r="B7749">
        <f>IF(INDEX(Transactions!$J:$J,ROW()-8)="",TODAY(),INDEX(Transactions!$G:$G,ROW()-8))</f>
      </c>
      <c r="F7749">
        <f>IF(INDEX(Transactions!$J:$J,ROW()-8)="",0,INDEX(Transactions!$O:$O,ROW()-8))</f>
      </c>
    </row>
    <row r="7750" spans="1:7">
      <c r="B7750">
        <f>IF(INDEX(Transactions!$J:$J,ROW()-8)="",TODAY(),INDEX(Transactions!$G:$G,ROW()-8))</f>
      </c>
      <c r="F7750">
        <f>IF(INDEX(Transactions!$J:$J,ROW()-8)="",0,INDEX(Transactions!$O:$O,ROW()-8))</f>
      </c>
    </row>
    <row r="7751" spans="1:7">
      <c r="B7751">
        <f>IF(INDEX(Transactions!$J:$J,ROW()-8)="",TODAY(),INDEX(Transactions!$G:$G,ROW()-8))</f>
      </c>
      <c r="F7751">
        <f>IF(INDEX(Transactions!$J:$J,ROW()-8)="",0,INDEX(Transactions!$O:$O,ROW()-8))</f>
      </c>
    </row>
    <row r="7752" spans="1:7">
      <c r="B7752">
        <f>IF(INDEX(Transactions!$J:$J,ROW()-8)="",TODAY(),INDEX(Transactions!$G:$G,ROW()-8))</f>
      </c>
      <c r="F7752">
        <f>IF(INDEX(Transactions!$J:$J,ROW()-8)="",0,INDEX(Transactions!$O:$O,ROW()-8))</f>
      </c>
    </row>
    <row r="7753" spans="1:7">
      <c r="B7753">
        <f>IF(INDEX(Transactions!$J:$J,ROW()-8)="",TODAY(),INDEX(Transactions!$G:$G,ROW()-8))</f>
      </c>
      <c r="F7753">
        <f>IF(INDEX(Transactions!$J:$J,ROW()-8)="",0,INDEX(Transactions!$O:$O,ROW()-8))</f>
      </c>
    </row>
    <row r="7754" spans="1:7">
      <c r="B7754">
        <f>IF(INDEX(Transactions!$J:$J,ROW()-8)="",TODAY(),INDEX(Transactions!$G:$G,ROW()-8))</f>
      </c>
      <c r="F7754">
        <f>IF(INDEX(Transactions!$J:$J,ROW()-8)="",0,INDEX(Transactions!$O:$O,ROW()-8))</f>
      </c>
    </row>
    <row r="7755" spans="1:7">
      <c r="B7755">
        <f>IF(INDEX(Transactions!$J:$J,ROW()-8)="",TODAY(),INDEX(Transactions!$G:$G,ROW()-8))</f>
      </c>
      <c r="F7755">
        <f>IF(INDEX(Transactions!$J:$J,ROW()-8)="",0,INDEX(Transactions!$O:$O,ROW()-8))</f>
      </c>
    </row>
    <row r="7756" spans="1:7">
      <c r="B7756">
        <f>IF(INDEX(Transactions!$J:$J,ROW()-8)="",TODAY(),INDEX(Transactions!$G:$G,ROW()-8))</f>
      </c>
      <c r="F7756">
        <f>IF(INDEX(Transactions!$J:$J,ROW()-8)="",0,INDEX(Transactions!$O:$O,ROW()-8))</f>
      </c>
    </row>
    <row r="7757" spans="1:7">
      <c r="B7757">
        <f>IF(INDEX(Transactions!$J:$J,ROW()-8)="",TODAY(),INDEX(Transactions!$G:$G,ROW()-8))</f>
      </c>
      <c r="F7757">
        <f>IF(INDEX(Transactions!$J:$J,ROW()-8)="",0,INDEX(Transactions!$O:$O,ROW()-8))</f>
      </c>
    </row>
    <row r="7758" spans="1:7">
      <c r="B7758">
        <f>IF(INDEX(Transactions!$J:$J,ROW()-8)="",TODAY(),INDEX(Transactions!$G:$G,ROW()-8))</f>
      </c>
      <c r="F7758">
        <f>IF(INDEX(Transactions!$J:$J,ROW()-8)="",0,INDEX(Transactions!$O:$O,ROW()-8))</f>
      </c>
    </row>
    <row r="7759" spans="1:7">
      <c r="B7759">
        <f>IF(INDEX(Transactions!$J:$J,ROW()-8)="",TODAY(),INDEX(Transactions!$G:$G,ROW()-8))</f>
      </c>
      <c r="F7759">
        <f>IF(INDEX(Transactions!$J:$J,ROW()-8)="",0,INDEX(Transactions!$O:$O,ROW()-8))</f>
      </c>
    </row>
    <row r="7760" spans="1:7">
      <c r="B7760">
        <f>IF(INDEX(Transactions!$J:$J,ROW()-8)="",TODAY(),INDEX(Transactions!$G:$G,ROW()-8))</f>
      </c>
      <c r="F7760">
        <f>IF(INDEX(Transactions!$J:$J,ROW()-8)="",0,INDEX(Transactions!$O:$O,ROW()-8))</f>
      </c>
    </row>
    <row r="7761" spans="1:7">
      <c r="B7761">
        <f>IF(INDEX(Transactions!$J:$J,ROW()-8)="",TODAY(),INDEX(Transactions!$G:$G,ROW()-8))</f>
      </c>
      <c r="F7761">
        <f>IF(INDEX(Transactions!$J:$J,ROW()-8)="",0,INDEX(Transactions!$O:$O,ROW()-8))</f>
      </c>
    </row>
    <row r="7762" spans="1:7">
      <c r="B7762">
        <f>IF(INDEX(Transactions!$J:$J,ROW()-8)="",TODAY(),INDEX(Transactions!$G:$G,ROW()-8))</f>
      </c>
      <c r="F7762">
        <f>IF(INDEX(Transactions!$J:$J,ROW()-8)="",0,INDEX(Transactions!$O:$O,ROW()-8))</f>
      </c>
    </row>
    <row r="7763" spans="1:7">
      <c r="B7763">
        <f>IF(INDEX(Transactions!$J:$J,ROW()-8)="",TODAY(),INDEX(Transactions!$G:$G,ROW()-8))</f>
      </c>
      <c r="F7763">
        <f>IF(INDEX(Transactions!$J:$J,ROW()-8)="",0,INDEX(Transactions!$O:$O,ROW()-8))</f>
      </c>
    </row>
    <row r="7764" spans="1:7">
      <c r="B7764">
        <f>IF(INDEX(Transactions!$J:$J,ROW()-8)="",TODAY(),INDEX(Transactions!$G:$G,ROW()-8))</f>
      </c>
      <c r="F7764">
        <f>IF(INDEX(Transactions!$J:$J,ROW()-8)="",0,INDEX(Transactions!$O:$O,ROW()-8))</f>
      </c>
    </row>
    <row r="7765" spans="1:7">
      <c r="B7765">
        <f>IF(INDEX(Transactions!$J:$J,ROW()-8)="",TODAY(),INDEX(Transactions!$G:$G,ROW()-8))</f>
      </c>
      <c r="F7765">
        <f>IF(INDEX(Transactions!$J:$J,ROW()-8)="",0,INDEX(Transactions!$O:$O,ROW()-8))</f>
      </c>
    </row>
    <row r="7766" spans="1:7">
      <c r="B7766">
        <f>IF(INDEX(Transactions!$J:$J,ROW()-8)="",TODAY(),INDEX(Transactions!$G:$G,ROW()-8))</f>
      </c>
      <c r="F7766">
        <f>IF(INDEX(Transactions!$J:$J,ROW()-8)="",0,INDEX(Transactions!$O:$O,ROW()-8))</f>
      </c>
    </row>
    <row r="7767" spans="1:7">
      <c r="B7767">
        <f>IF(INDEX(Transactions!$J:$J,ROW()-8)="",TODAY(),INDEX(Transactions!$G:$G,ROW()-8))</f>
      </c>
      <c r="F7767">
        <f>IF(INDEX(Transactions!$J:$J,ROW()-8)="",0,INDEX(Transactions!$O:$O,ROW()-8))</f>
      </c>
    </row>
    <row r="7768" spans="1:7">
      <c r="B7768">
        <f>IF(INDEX(Transactions!$J:$J,ROW()-8)="",TODAY(),INDEX(Transactions!$G:$G,ROW()-8))</f>
      </c>
      <c r="F7768">
        <f>IF(INDEX(Transactions!$J:$J,ROW()-8)="",0,INDEX(Transactions!$O:$O,ROW()-8))</f>
      </c>
    </row>
    <row r="7769" spans="1:7">
      <c r="B7769">
        <f>IF(INDEX(Transactions!$J:$J,ROW()-8)="",TODAY(),INDEX(Transactions!$G:$G,ROW()-8))</f>
      </c>
      <c r="F7769">
        <f>IF(INDEX(Transactions!$J:$J,ROW()-8)="",0,INDEX(Transactions!$O:$O,ROW()-8))</f>
      </c>
    </row>
    <row r="7770" spans="1:7">
      <c r="B7770">
        <f>IF(INDEX(Transactions!$J:$J,ROW()-8)="",TODAY(),INDEX(Transactions!$G:$G,ROW()-8))</f>
      </c>
      <c r="F7770">
        <f>IF(INDEX(Transactions!$J:$J,ROW()-8)="",0,INDEX(Transactions!$O:$O,ROW()-8))</f>
      </c>
    </row>
    <row r="7771" spans="1:7">
      <c r="B7771">
        <f>IF(INDEX(Transactions!$J:$J,ROW()-8)="",TODAY(),INDEX(Transactions!$G:$G,ROW()-8))</f>
      </c>
      <c r="F7771">
        <f>IF(INDEX(Transactions!$J:$J,ROW()-8)="",0,INDEX(Transactions!$O:$O,ROW()-8))</f>
      </c>
    </row>
    <row r="7772" spans="1:7">
      <c r="B7772">
        <f>IF(INDEX(Transactions!$J:$J,ROW()-8)="",TODAY(),INDEX(Transactions!$G:$G,ROW()-8))</f>
      </c>
      <c r="F7772">
        <f>IF(INDEX(Transactions!$J:$J,ROW()-8)="",0,INDEX(Transactions!$O:$O,ROW()-8))</f>
      </c>
    </row>
    <row r="7773" spans="1:7">
      <c r="B7773">
        <f>IF(INDEX(Transactions!$J:$J,ROW()-8)="",TODAY(),INDEX(Transactions!$G:$G,ROW()-8))</f>
      </c>
      <c r="F7773">
        <f>IF(INDEX(Transactions!$J:$J,ROW()-8)="",0,INDEX(Transactions!$O:$O,ROW()-8))</f>
      </c>
    </row>
    <row r="7774" spans="1:7">
      <c r="B7774">
        <f>IF(INDEX(Transactions!$J:$J,ROW()-8)="",TODAY(),INDEX(Transactions!$G:$G,ROW()-8))</f>
      </c>
      <c r="F7774">
        <f>IF(INDEX(Transactions!$J:$J,ROW()-8)="",0,INDEX(Transactions!$O:$O,ROW()-8))</f>
      </c>
    </row>
    <row r="7775" spans="1:7">
      <c r="B7775">
        <f>IF(INDEX(Transactions!$J:$J,ROW()-8)="",TODAY(),INDEX(Transactions!$G:$G,ROW()-8))</f>
      </c>
      <c r="F7775">
        <f>IF(INDEX(Transactions!$J:$J,ROW()-8)="",0,INDEX(Transactions!$O:$O,ROW()-8))</f>
      </c>
    </row>
    <row r="7776" spans="1:7">
      <c r="B7776">
        <f>IF(INDEX(Transactions!$J:$J,ROW()-8)="",TODAY(),INDEX(Transactions!$G:$G,ROW()-8))</f>
      </c>
      <c r="F7776">
        <f>IF(INDEX(Transactions!$J:$J,ROW()-8)="",0,INDEX(Transactions!$O:$O,ROW()-8))</f>
      </c>
    </row>
    <row r="7777" spans="1:7">
      <c r="B7777">
        <f>IF(INDEX(Transactions!$J:$J,ROW()-8)="",TODAY(),INDEX(Transactions!$G:$G,ROW()-8))</f>
      </c>
      <c r="F7777">
        <f>IF(INDEX(Transactions!$J:$J,ROW()-8)="",0,INDEX(Transactions!$O:$O,ROW()-8))</f>
      </c>
    </row>
    <row r="7778" spans="1:7">
      <c r="B7778">
        <f>IF(INDEX(Transactions!$J:$J,ROW()-8)="",TODAY(),INDEX(Transactions!$G:$G,ROW()-8))</f>
      </c>
      <c r="F7778">
        <f>IF(INDEX(Transactions!$J:$J,ROW()-8)="",0,INDEX(Transactions!$O:$O,ROW()-8))</f>
      </c>
    </row>
    <row r="7779" spans="1:7">
      <c r="B7779">
        <f>IF(INDEX(Transactions!$J:$J,ROW()-8)="",TODAY(),INDEX(Transactions!$G:$G,ROW()-8))</f>
      </c>
      <c r="F7779">
        <f>IF(INDEX(Transactions!$J:$J,ROW()-8)="",0,INDEX(Transactions!$O:$O,ROW()-8))</f>
      </c>
    </row>
    <row r="7780" spans="1:7">
      <c r="B7780">
        <f>IF(INDEX(Transactions!$J:$J,ROW()-8)="",TODAY(),INDEX(Transactions!$G:$G,ROW()-8))</f>
      </c>
      <c r="F7780">
        <f>IF(INDEX(Transactions!$J:$J,ROW()-8)="",0,INDEX(Transactions!$O:$O,ROW()-8))</f>
      </c>
    </row>
    <row r="7781" spans="1:7">
      <c r="B7781">
        <f>IF(INDEX(Transactions!$J:$J,ROW()-8)="",TODAY(),INDEX(Transactions!$G:$G,ROW()-8))</f>
      </c>
      <c r="F7781">
        <f>IF(INDEX(Transactions!$J:$J,ROW()-8)="",0,INDEX(Transactions!$O:$O,ROW()-8))</f>
      </c>
    </row>
    <row r="7782" spans="1:7">
      <c r="B7782">
        <f>IF(INDEX(Transactions!$J:$J,ROW()-8)="",TODAY(),INDEX(Transactions!$G:$G,ROW()-8))</f>
      </c>
      <c r="F7782">
        <f>IF(INDEX(Transactions!$J:$J,ROW()-8)="",0,INDEX(Transactions!$O:$O,ROW()-8))</f>
      </c>
    </row>
    <row r="7783" spans="1:7">
      <c r="B7783">
        <f>IF(INDEX(Transactions!$J:$J,ROW()-8)="",TODAY(),INDEX(Transactions!$G:$G,ROW()-8))</f>
      </c>
      <c r="F7783">
        <f>IF(INDEX(Transactions!$J:$J,ROW()-8)="",0,INDEX(Transactions!$O:$O,ROW()-8))</f>
      </c>
    </row>
    <row r="7784" spans="1:7">
      <c r="B7784">
        <f>IF(INDEX(Transactions!$J:$J,ROW()-8)="",TODAY(),INDEX(Transactions!$G:$G,ROW()-8))</f>
      </c>
      <c r="F7784">
        <f>IF(INDEX(Transactions!$J:$J,ROW()-8)="",0,INDEX(Transactions!$O:$O,ROW()-8))</f>
      </c>
    </row>
    <row r="7785" spans="1:7">
      <c r="B7785">
        <f>IF(INDEX(Transactions!$J:$J,ROW()-8)="",TODAY(),INDEX(Transactions!$G:$G,ROW()-8))</f>
      </c>
      <c r="F7785">
        <f>IF(INDEX(Transactions!$J:$J,ROW()-8)="",0,INDEX(Transactions!$O:$O,ROW()-8))</f>
      </c>
    </row>
    <row r="7786" spans="1:7">
      <c r="B7786">
        <f>IF(INDEX(Transactions!$J:$J,ROW()-8)="",TODAY(),INDEX(Transactions!$G:$G,ROW()-8))</f>
      </c>
      <c r="F7786">
        <f>IF(INDEX(Transactions!$J:$J,ROW()-8)="",0,INDEX(Transactions!$O:$O,ROW()-8))</f>
      </c>
    </row>
    <row r="7787" spans="1:7">
      <c r="B7787">
        <f>IF(INDEX(Transactions!$J:$J,ROW()-8)="",TODAY(),INDEX(Transactions!$G:$G,ROW()-8))</f>
      </c>
      <c r="F7787">
        <f>IF(INDEX(Transactions!$J:$J,ROW()-8)="",0,INDEX(Transactions!$O:$O,ROW()-8))</f>
      </c>
    </row>
    <row r="7788" spans="1:7">
      <c r="B7788">
        <f>IF(INDEX(Transactions!$J:$J,ROW()-8)="",TODAY(),INDEX(Transactions!$G:$G,ROW()-8))</f>
      </c>
      <c r="F7788">
        <f>IF(INDEX(Transactions!$J:$J,ROW()-8)="",0,INDEX(Transactions!$O:$O,ROW()-8))</f>
      </c>
    </row>
    <row r="7789" spans="1:7">
      <c r="B7789">
        <f>IF(INDEX(Transactions!$J:$J,ROW()-8)="",TODAY(),INDEX(Transactions!$G:$G,ROW()-8))</f>
      </c>
      <c r="F7789">
        <f>IF(INDEX(Transactions!$J:$J,ROW()-8)="",0,INDEX(Transactions!$O:$O,ROW()-8))</f>
      </c>
    </row>
    <row r="7790" spans="1:7">
      <c r="B7790">
        <f>IF(INDEX(Transactions!$J:$J,ROW()-8)="",TODAY(),INDEX(Transactions!$G:$G,ROW()-8))</f>
      </c>
      <c r="F7790">
        <f>IF(INDEX(Transactions!$J:$J,ROW()-8)="",0,INDEX(Transactions!$O:$O,ROW()-8))</f>
      </c>
    </row>
    <row r="7791" spans="1:7">
      <c r="B7791">
        <f>IF(INDEX(Transactions!$J:$J,ROW()-8)="",TODAY(),INDEX(Transactions!$G:$G,ROW()-8))</f>
      </c>
      <c r="F7791">
        <f>IF(INDEX(Transactions!$J:$J,ROW()-8)="",0,INDEX(Transactions!$O:$O,ROW()-8))</f>
      </c>
    </row>
    <row r="7792" spans="1:7">
      <c r="B7792">
        <f>IF(INDEX(Transactions!$J:$J,ROW()-8)="",TODAY(),INDEX(Transactions!$G:$G,ROW()-8))</f>
      </c>
      <c r="F7792">
        <f>IF(INDEX(Transactions!$J:$J,ROW()-8)="",0,INDEX(Transactions!$O:$O,ROW()-8))</f>
      </c>
    </row>
    <row r="7793" spans="1:7">
      <c r="B7793">
        <f>IF(INDEX(Transactions!$J:$J,ROW()-8)="",TODAY(),INDEX(Transactions!$G:$G,ROW()-8))</f>
      </c>
      <c r="F7793">
        <f>IF(INDEX(Transactions!$J:$J,ROW()-8)="",0,INDEX(Transactions!$O:$O,ROW()-8))</f>
      </c>
    </row>
    <row r="7794" spans="1:7">
      <c r="B7794">
        <f>IF(INDEX(Transactions!$J:$J,ROW()-8)="",TODAY(),INDEX(Transactions!$G:$G,ROW()-8))</f>
      </c>
      <c r="F7794">
        <f>IF(INDEX(Transactions!$J:$J,ROW()-8)="",0,INDEX(Transactions!$O:$O,ROW()-8))</f>
      </c>
    </row>
    <row r="7795" spans="1:7">
      <c r="B7795">
        <f>IF(INDEX(Transactions!$J:$J,ROW()-8)="",TODAY(),INDEX(Transactions!$G:$G,ROW()-8))</f>
      </c>
      <c r="F7795">
        <f>IF(INDEX(Transactions!$J:$J,ROW()-8)="",0,INDEX(Transactions!$O:$O,ROW()-8))</f>
      </c>
    </row>
    <row r="7796" spans="1:7">
      <c r="B7796">
        <f>IF(INDEX(Transactions!$J:$J,ROW()-8)="",TODAY(),INDEX(Transactions!$G:$G,ROW()-8))</f>
      </c>
      <c r="F7796">
        <f>IF(INDEX(Transactions!$J:$J,ROW()-8)="",0,INDEX(Transactions!$O:$O,ROW()-8))</f>
      </c>
    </row>
    <row r="7797" spans="1:7">
      <c r="B7797">
        <f>IF(INDEX(Transactions!$J:$J,ROW()-8)="",TODAY(),INDEX(Transactions!$G:$G,ROW()-8))</f>
      </c>
      <c r="F7797">
        <f>IF(INDEX(Transactions!$J:$J,ROW()-8)="",0,INDEX(Transactions!$O:$O,ROW()-8))</f>
      </c>
    </row>
    <row r="7798" spans="1:7">
      <c r="B7798">
        <f>IF(INDEX(Transactions!$J:$J,ROW()-8)="",TODAY(),INDEX(Transactions!$G:$G,ROW()-8))</f>
      </c>
      <c r="F7798">
        <f>IF(INDEX(Transactions!$J:$J,ROW()-8)="",0,INDEX(Transactions!$O:$O,ROW()-8))</f>
      </c>
    </row>
    <row r="7799" spans="1:7">
      <c r="B7799">
        <f>IF(INDEX(Transactions!$J:$J,ROW()-8)="",TODAY(),INDEX(Transactions!$G:$G,ROW()-8))</f>
      </c>
      <c r="F7799">
        <f>IF(INDEX(Transactions!$J:$J,ROW()-8)="",0,INDEX(Transactions!$O:$O,ROW()-8))</f>
      </c>
    </row>
    <row r="7800" spans="1:7">
      <c r="B7800">
        <f>IF(INDEX(Transactions!$J:$J,ROW()-8)="",TODAY(),INDEX(Transactions!$G:$G,ROW()-8))</f>
      </c>
      <c r="F7800">
        <f>IF(INDEX(Transactions!$J:$J,ROW()-8)="",0,INDEX(Transactions!$O:$O,ROW()-8))</f>
      </c>
    </row>
    <row r="7801" spans="1:7">
      <c r="B7801">
        <f>IF(INDEX(Transactions!$J:$J,ROW()-8)="",TODAY(),INDEX(Transactions!$G:$G,ROW()-8))</f>
      </c>
      <c r="F7801">
        <f>IF(INDEX(Transactions!$J:$J,ROW()-8)="",0,INDEX(Transactions!$O:$O,ROW()-8))</f>
      </c>
    </row>
    <row r="7802" spans="1:7">
      <c r="B7802">
        <f>IF(INDEX(Transactions!$J:$J,ROW()-8)="",TODAY(),INDEX(Transactions!$G:$G,ROW()-8))</f>
      </c>
      <c r="F7802">
        <f>IF(INDEX(Transactions!$J:$J,ROW()-8)="",0,INDEX(Transactions!$O:$O,ROW()-8))</f>
      </c>
    </row>
    <row r="7803" spans="1:7">
      <c r="B7803">
        <f>IF(INDEX(Transactions!$J:$J,ROW()-8)="",TODAY(),INDEX(Transactions!$G:$G,ROW()-8))</f>
      </c>
      <c r="F7803">
        <f>IF(INDEX(Transactions!$J:$J,ROW()-8)="",0,INDEX(Transactions!$O:$O,ROW()-8))</f>
      </c>
    </row>
    <row r="7804" spans="1:7">
      <c r="B7804">
        <f>IF(INDEX(Transactions!$J:$J,ROW()-8)="",TODAY(),INDEX(Transactions!$G:$G,ROW()-8))</f>
      </c>
      <c r="F7804">
        <f>IF(INDEX(Transactions!$J:$J,ROW()-8)="",0,INDEX(Transactions!$O:$O,ROW()-8))</f>
      </c>
    </row>
    <row r="7805" spans="1:7">
      <c r="B7805">
        <f>IF(INDEX(Transactions!$J:$J,ROW()-8)="",TODAY(),INDEX(Transactions!$G:$G,ROW()-8))</f>
      </c>
      <c r="F7805">
        <f>IF(INDEX(Transactions!$J:$J,ROW()-8)="",0,INDEX(Transactions!$O:$O,ROW()-8))</f>
      </c>
    </row>
    <row r="7806" spans="1:7">
      <c r="B7806">
        <f>IF(INDEX(Transactions!$J:$J,ROW()-8)="",TODAY(),INDEX(Transactions!$G:$G,ROW()-8))</f>
      </c>
      <c r="F7806">
        <f>IF(INDEX(Transactions!$J:$J,ROW()-8)="",0,INDEX(Transactions!$O:$O,ROW()-8))</f>
      </c>
    </row>
    <row r="7807" spans="1:7">
      <c r="B7807">
        <f>IF(INDEX(Transactions!$J:$J,ROW()-8)="",TODAY(),INDEX(Transactions!$G:$G,ROW()-8))</f>
      </c>
      <c r="F7807">
        <f>IF(INDEX(Transactions!$J:$J,ROW()-8)="",0,INDEX(Transactions!$O:$O,ROW()-8))</f>
      </c>
    </row>
    <row r="7808" spans="1:7">
      <c r="B7808">
        <f>IF(INDEX(Transactions!$J:$J,ROW()-8)="",TODAY(),INDEX(Transactions!$G:$G,ROW()-8))</f>
      </c>
      <c r="F7808">
        <f>IF(INDEX(Transactions!$J:$J,ROW()-8)="",0,INDEX(Transactions!$O:$O,ROW()-8))</f>
      </c>
    </row>
    <row r="7809" spans="1:7">
      <c r="B7809">
        <f>IF(INDEX(Transactions!$J:$J,ROW()-8)="",TODAY(),INDEX(Transactions!$G:$G,ROW()-8))</f>
      </c>
      <c r="F7809">
        <f>IF(INDEX(Transactions!$J:$J,ROW()-8)="",0,INDEX(Transactions!$O:$O,ROW()-8))</f>
      </c>
    </row>
    <row r="7810" spans="1:7">
      <c r="B7810">
        <f>IF(INDEX(Transactions!$J:$J,ROW()-8)="",TODAY(),INDEX(Transactions!$G:$G,ROW()-8))</f>
      </c>
      <c r="F7810">
        <f>IF(INDEX(Transactions!$J:$J,ROW()-8)="",0,INDEX(Transactions!$O:$O,ROW()-8))</f>
      </c>
    </row>
    <row r="7811" spans="1:7">
      <c r="B7811">
        <f>IF(INDEX(Transactions!$J:$J,ROW()-8)="",TODAY(),INDEX(Transactions!$G:$G,ROW()-8))</f>
      </c>
      <c r="F7811">
        <f>IF(INDEX(Transactions!$J:$J,ROW()-8)="",0,INDEX(Transactions!$O:$O,ROW()-8))</f>
      </c>
    </row>
    <row r="7812" spans="1:7">
      <c r="B7812">
        <f>IF(INDEX(Transactions!$J:$J,ROW()-8)="",TODAY(),INDEX(Transactions!$G:$G,ROW()-8))</f>
      </c>
      <c r="F7812">
        <f>IF(INDEX(Transactions!$J:$J,ROW()-8)="",0,INDEX(Transactions!$O:$O,ROW()-8))</f>
      </c>
    </row>
    <row r="7813" spans="1:7">
      <c r="B7813">
        <f>IF(INDEX(Transactions!$J:$J,ROW()-8)="",TODAY(),INDEX(Transactions!$G:$G,ROW()-8))</f>
      </c>
      <c r="F7813">
        <f>IF(INDEX(Transactions!$J:$J,ROW()-8)="",0,INDEX(Transactions!$O:$O,ROW()-8))</f>
      </c>
    </row>
    <row r="7814" spans="1:7">
      <c r="B7814">
        <f>IF(INDEX(Transactions!$J:$J,ROW()-8)="",TODAY(),INDEX(Transactions!$G:$G,ROW()-8))</f>
      </c>
      <c r="F7814">
        <f>IF(INDEX(Transactions!$J:$J,ROW()-8)="",0,INDEX(Transactions!$O:$O,ROW()-8))</f>
      </c>
    </row>
    <row r="7815" spans="1:7">
      <c r="B7815">
        <f>IF(INDEX(Transactions!$J:$J,ROW()-8)="",TODAY(),INDEX(Transactions!$G:$G,ROW()-8))</f>
      </c>
      <c r="F7815">
        <f>IF(INDEX(Transactions!$J:$J,ROW()-8)="",0,INDEX(Transactions!$O:$O,ROW()-8))</f>
      </c>
    </row>
    <row r="7816" spans="1:7">
      <c r="B7816">
        <f>IF(INDEX(Transactions!$J:$J,ROW()-8)="",TODAY(),INDEX(Transactions!$G:$G,ROW()-8))</f>
      </c>
      <c r="F7816">
        <f>IF(INDEX(Transactions!$J:$J,ROW()-8)="",0,INDEX(Transactions!$O:$O,ROW()-8))</f>
      </c>
    </row>
    <row r="7817" spans="1:7">
      <c r="B7817">
        <f>IF(INDEX(Transactions!$J:$J,ROW()-8)="",TODAY(),INDEX(Transactions!$G:$G,ROW()-8))</f>
      </c>
      <c r="F7817">
        <f>IF(INDEX(Transactions!$J:$J,ROW()-8)="",0,INDEX(Transactions!$O:$O,ROW()-8))</f>
      </c>
    </row>
    <row r="7818" spans="1:7">
      <c r="B7818">
        <f>IF(INDEX(Transactions!$J:$J,ROW()-8)="",TODAY(),INDEX(Transactions!$G:$G,ROW()-8))</f>
      </c>
      <c r="F7818">
        <f>IF(INDEX(Transactions!$J:$J,ROW()-8)="",0,INDEX(Transactions!$O:$O,ROW()-8))</f>
      </c>
    </row>
    <row r="7819" spans="1:7">
      <c r="B7819">
        <f>IF(INDEX(Transactions!$J:$J,ROW()-8)="",TODAY(),INDEX(Transactions!$G:$G,ROW()-8))</f>
      </c>
      <c r="F7819">
        <f>IF(INDEX(Transactions!$J:$J,ROW()-8)="",0,INDEX(Transactions!$O:$O,ROW()-8))</f>
      </c>
    </row>
    <row r="7820" spans="1:7">
      <c r="B7820">
        <f>IF(INDEX(Transactions!$J:$J,ROW()-8)="",TODAY(),INDEX(Transactions!$G:$G,ROW()-8))</f>
      </c>
      <c r="F7820">
        <f>IF(INDEX(Transactions!$J:$J,ROW()-8)="",0,INDEX(Transactions!$O:$O,ROW()-8))</f>
      </c>
    </row>
    <row r="7821" spans="1:7">
      <c r="B7821">
        <f>IF(INDEX(Transactions!$J:$J,ROW()-8)="",TODAY(),INDEX(Transactions!$G:$G,ROW()-8))</f>
      </c>
      <c r="F7821">
        <f>IF(INDEX(Transactions!$J:$J,ROW()-8)="",0,INDEX(Transactions!$O:$O,ROW()-8))</f>
      </c>
    </row>
    <row r="7822" spans="1:7">
      <c r="B7822">
        <f>IF(INDEX(Transactions!$J:$J,ROW()-8)="",TODAY(),INDEX(Transactions!$G:$G,ROW()-8))</f>
      </c>
      <c r="F7822">
        <f>IF(INDEX(Transactions!$J:$J,ROW()-8)="",0,INDEX(Transactions!$O:$O,ROW()-8))</f>
      </c>
    </row>
    <row r="7823" spans="1:7">
      <c r="B7823">
        <f>IF(INDEX(Transactions!$J:$J,ROW()-8)="",TODAY(),INDEX(Transactions!$G:$G,ROW()-8))</f>
      </c>
      <c r="F7823">
        <f>IF(INDEX(Transactions!$J:$J,ROW()-8)="",0,INDEX(Transactions!$O:$O,ROW()-8))</f>
      </c>
    </row>
    <row r="7824" spans="1:7">
      <c r="B7824">
        <f>IF(INDEX(Transactions!$J:$J,ROW()-8)="",TODAY(),INDEX(Transactions!$G:$G,ROW()-8))</f>
      </c>
      <c r="F7824">
        <f>IF(INDEX(Transactions!$J:$J,ROW()-8)="",0,INDEX(Transactions!$O:$O,ROW()-8))</f>
      </c>
    </row>
    <row r="7825" spans="1:7">
      <c r="B7825">
        <f>IF(INDEX(Transactions!$J:$J,ROW()-8)="",TODAY(),INDEX(Transactions!$G:$G,ROW()-8))</f>
      </c>
      <c r="F7825">
        <f>IF(INDEX(Transactions!$J:$J,ROW()-8)="",0,INDEX(Transactions!$O:$O,ROW()-8))</f>
      </c>
    </row>
    <row r="7826" spans="1:7">
      <c r="B7826">
        <f>IF(INDEX(Transactions!$J:$J,ROW()-8)="",TODAY(),INDEX(Transactions!$G:$G,ROW()-8))</f>
      </c>
      <c r="F7826">
        <f>IF(INDEX(Transactions!$J:$J,ROW()-8)="",0,INDEX(Transactions!$O:$O,ROW()-8))</f>
      </c>
    </row>
    <row r="7827" spans="1:7">
      <c r="B7827">
        <f>IF(INDEX(Transactions!$J:$J,ROW()-8)="",TODAY(),INDEX(Transactions!$G:$G,ROW()-8))</f>
      </c>
      <c r="F7827">
        <f>IF(INDEX(Transactions!$J:$J,ROW()-8)="",0,INDEX(Transactions!$O:$O,ROW()-8))</f>
      </c>
    </row>
    <row r="7828" spans="1:7">
      <c r="B7828">
        <f>IF(INDEX(Transactions!$J:$J,ROW()-8)="",TODAY(),INDEX(Transactions!$G:$G,ROW()-8))</f>
      </c>
      <c r="F7828">
        <f>IF(INDEX(Transactions!$J:$J,ROW()-8)="",0,INDEX(Transactions!$O:$O,ROW()-8))</f>
      </c>
    </row>
    <row r="7829" spans="1:7">
      <c r="B7829">
        <f>IF(INDEX(Transactions!$J:$J,ROW()-8)="",TODAY(),INDEX(Transactions!$G:$G,ROW()-8))</f>
      </c>
      <c r="F7829">
        <f>IF(INDEX(Transactions!$J:$J,ROW()-8)="",0,INDEX(Transactions!$O:$O,ROW()-8))</f>
      </c>
    </row>
    <row r="7830" spans="1:7">
      <c r="B7830">
        <f>IF(INDEX(Transactions!$J:$J,ROW()-8)="",TODAY(),INDEX(Transactions!$G:$G,ROW()-8))</f>
      </c>
      <c r="F7830">
        <f>IF(INDEX(Transactions!$J:$J,ROW()-8)="",0,INDEX(Transactions!$O:$O,ROW()-8))</f>
      </c>
    </row>
    <row r="7831" spans="1:7">
      <c r="B7831">
        <f>IF(INDEX(Transactions!$J:$J,ROW()-8)="",TODAY(),INDEX(Transactions!$G:$G,ROW()-8))</f>
      </c>
      <c r="F7831">
        <f>IF(INDEX(Transactions!$J:$J,ROW()-8)="",0,INDEX(Transactions!$O:$O,ROW()-8))</f>
      </c>
    </row>
    <row r="7832" spans="1:7">
      <c r="B7832">
        <f>IF(INDEX(Transactions!$J:$J,ROW()-8)="",TODAY(),INDEX(Transactions!$G:$G,ROW()-8))</f>
      </c>
      <c r="F7832">
        <f>IF(INDEX(Transactions!$J:$J,ROW()-8)="",0,INDEX(Transactions!$O:$O,ROW()-8))</f>
      </c>
    </row>
    <row r="7833" spans="1:7">
      <c r="B7833">
        <f>IF(INDEX(Transactions!$J:$J,ROW()-8)="",TODAY(),INDEX(Transactions!$G:$G,ROW()-8))</f>
      </c>
      <c r="F7833">
        <f>IF(INDEX(Transactions!$J:$J,ROW()-8)="",0,INDEX(Transactions!$O:$O,ROW()-8))</f>
      </c>
    </row>
    <row r="7834" spans="1:7">
      <c r="B7834">
        <f>IF(INDEX(Transactions!$J:$J,ROW()-8)="",TODAY(),INDEX(Transactions!$G:$G,ROW()-8))</f>
      </c>
      <c r="F7834">
        <f>IF(INDEX(Transactions!$J:$J,ROW()-8)="",0,INDEX(Transactions!$O:$O,ROW()-8))</f>
      </c>
    </row>
    <row r="7835" spans="1:7">
      <c r="B7835">
        <f>IF(INDEX(Transactions!$J:$J,ROW()-8)="",TODAY(),INDEX(Transactions!$G:$G,ROW()-8))</f>
      </c>
      <c r="F7835">
        <f>IF(INDEX(Transactions!$J:$J,ROW()-8)="",0,INDEX(Transactions!$O:$O,ROW()-8))</f>
      </c>
    </row>
    <row r="7836" spans="1:7">
      <c r="B7836">
        <f>IF(INDEX(Transactions!$J:$J,ROW()-8)="",TODAY(),INDEX(Transactions!$G:$G,ROW()-8))</f>
      </c>
      <c r="F7836">
        <f>IF(INDEX(Transactions!$J:$J,ROW()-8)="",0,INDEX(Transactions!$O:$O,ROW()-8))</f>
      </c>
    </row>
    <row r="7837" spans="1:7">
      <c r="B7837">
        <f>IF(INDEX(Transactions!$J:$J,ROW()-8)="",TODAY(),INDEX(Transactions!$G:$G,ROW()-8))</f>
      </c>
      <c r="F7837">
        <f>IF(INDEX(Transactions!$J:$J,ROW()-8)="",0,INDEX(Transactions!$O:$O,ROW()-8))</f>
      </c>
    </row>
    <row r="7838" spans="1:7">
      <c r="B7838">
        <f>IF(INDEX(Transactions!$J:$J,ROW()-8)="",TODAY(),INDEX(Transactions!$G:$G,ROW()-8))</f>
      </c>
      <c r="F7838">
        <f>IF(INDEX(Transactions!$J:$J,ROW()-8)="",0,INDEX(Transactions!$O:$O,ROW()-8))</f>
      </c>
    </row>
    <row r="7839" spans="1:7">
      <c r="B7839">
        <f>IF(INDEX(Transactions!$J:$J,ROW()-8)="",TODAY(),INDEX(Transactions!$G:$G,ROW()-8))</f>
      </c>
      <c r="F7839">
        <f>IF(INDEX(Transactions!$J:$J,ROW()-8)="",0,INDEX(Transactions!$O:$O,ROW()-8))</f>
      </c>
    </row>
    <row r="7840" spans="1:7">
      <c r="B7840">
        <f>IF(INDEX(Transactions!$J:$J,ROW()-8)="",TODAY(),INDEX(Transactions!$G:$G,ROW()-8))</f>
      </c>
      <c r="F7840">
        <f>IF(INDEX(Transactions!$J:$J,ROW()-8)="",0,INDEX(Transactions!$O:$O,ROW()-8))</f>
      </c>
    </row>
    <row r="7841" spans="1:7">
      <c r="B7841">
        <f>IF(INDEX(Transactions!$J:$J,ROW()-8)="",TODAY(),INDEX(Transactions!$G:$G,ROW()-8))</f>
      </c>
      <c r="F7841">
        <f>IF(INDEX(Transactions!$J:$J,ROW()-8)="",0,INDEX(Transactions!$O:$O,ROW()-8))</f>
      </c>
    </row>
    <row r="7842" spans="1:7">
      <c r="B7842">
        <f>IF(INDEX(Transactions!$J:$J,ROW()-8)="",TODAY(),INDEX(Transactions!$G:$G,ROW()-8))</f>
      </c>
      <c r="F7842">
        <f>IF(INDEX(Transactions!$J:$J,ROW()-8)="",0,INDEX(Transactions!$O:$O,ROW()-8))</f>
      </c>
    </row>
    <row r="7843" spans="1:7">
      <c r="B7843">
        <f>IF(INDEX(Transactions!$J:$J,ROW()-8)="",TODAY(),INDEX(Transactions!$G:$G,ROW()-8))</f>
      </c>
      <c r="F7843">
        <f>IF(INDEX(Transactions!$J:$J,ROW()-8)="",0,INDEX(Transactions!$O:$O,ROW()-8))</f>
      </c>
    </row>
    <row r="7844" spans="1:7">
      <c r="B7844">
        <f>IF(INDEX(Transactions!$J:$J,ROW()-8)="",TODAY(),INDEX(Transactions!$G:$G,ROW()-8))</f>
      </c>
      <c r="F7844">
        <f>IF(INDEX(Transactions!$J:$J,ROW()-8)="",0,INDEX(Transactions!$O:$O,ROW()-8))</f>
      </c>
    </row>
    <row r="7845" spans="1:7">
      <c r="B7845">
        <f>IF(INDEX(Transactions!$J:$J,ROW()-8)="",TODAY(),INDEX(Transactions!$G:$G,ROW()-8))</f>
      </c>
      <c r="F7845">
        <f>IF(INDEX(Transactions!$J:$J,ROW()-8)="",0,INDEX(Transactions!$O:$O,ROW()-8))</f>
      </c>
    </row>
    <row r="7846" spans="1:7">
      <c r="B7846">
        <f>IF(INDEX(Transactions!$J:$J,ROW()-8)="",TODAY(),INDEX(Transactions!$G:$G,ROW()-8))</f>
      </c>
      <c r="F7846">
        <f>IF(INDEX(Transactions!$J:$J,ROW()-8)="",0,INDEX(Transactions!$O:$O,ROW()-8))</f>
      </c>
    </row>
    <row r="7847" spans="1:7">
      <c r="B7847">
        <f>IF(INDEX(Transactions!$J:$J,ROW()-8)="",TODAY(),INDEX(Transactions!$G:$G,ROW()-8))</f>
      </c>
      <c r="F7847">
        <f>IF(INDEX(Transactions!$J:$J,ROW()-8)="",0,INDEX(Transactions!$O:$O,ROW()-8))</f>
      </c>
    </row>
    <row r="7848" spans="1:7">
      <c r="B7848">
        <f>IF(INDEX(Transactions!$J:$J,ROW()-8)="",TODAY(),INDEX(Transactions!$G:$G,ROW()-8))</f>
      </c>
      <c r="F7848">
        <f>IF(INDEX(Transactions!$J:$J,ROW()-8)="",0,INDEX(Transactions!$O:$O,ROW()-8))</f>
      </c>
    </row>
    <row r="7849" spans="1:7">
      <c r="B7849">
        <f>IF(INDEX(Transactions!$J:$J,ROW()-8)="",TODAY(),INDEX(Transactions!$G:$G,ROW()-8))</f>
      </c>
      <c r="F7849">
        <f>IF(INDEX(Transactions!$J:$J,ROW()-8)="",0,INDEX(Transactions!$O:$O,ROW()-8))</f>
      </c>
    </row>
    <row r="7850" spans="1:7">
      <c r="B7850">
        <f>IF(INDEX(Transactions!$J:$J,ROW()-8)="",TODAY(),INDEX(Transactions!$G:$G,ROW()-8))</f>
      </c>
      <c r="F7850">
        <f>IF(INDEX(Transactions!$J:$J,ROW()-8)="",0,INDEX(Transactions!$O:$O,ROW()-8))</f>
      </c>
    </row>
    <row r="7851" spans="1:7">
      <c r="B7851">
        <f>IF(INDEX(Transactions!$J:$J,ROW()-8)="",TODAY(),INDEX(Transactions!$G:$G,ROW()-8))</f>
      </c>
      <c r="F7851">
        <f>IF(INDEX(Transactions!$J:$J,ROW()-8)="",0,INDEX(Transactions!$O:$O,ROW()-8))</f>
      </c>
    </row>
    <row r="7852" spans="1:7">
      <c r="B7852">
        <f>IF(INDEX(Transactions!$J:$J,ROW()-8)="",TODAY(),INDEX(Transactions!$G:$G,ROW()-8))</f>
      </c>
      <c r="F7852">
        <f>IF(INDEX(Transactions!$J:$J,ROW()-8)="",0,INDEX(Transactions!$O:$O,ROW()-8))</f>
      </c>
    </row>
    <row r="7853" spans="1:7">
      <c r="B7853">
        <f>IF(INDEX(Transactions!$J:$J,ROW()-8)="",TODAY(),INDEX(Transactions!$G:$G,ROW()-8))</f>
      </c>
      <c r="F7853">
        <f>IF(INDEX(Transactions!$J:$J,ROW()-8)="",0,INDEX(Transactions!$O:$O,ROW()-8))</f>
      </c>
    </row>
    <row r="7854" spans="1:7">
      <c r="B7854">
        <f>IF(INDEX(Transactions!$J:$J,ROW()-8)="",TODAY(),INDEX(Transactions!$G:$G,ROW()-8))</f>
      </c>
      <c r="F7854">
        <f>IF(INDEX(Transactions!$J:$J,ROW()-8)="",0,INDEX(Transactions!$O:$O,ROW()-8))</f>
      </c>
    </row>
    <row r="7855" spans="1:7">
      <c r="B7855">
        <f>IF(INDEX(Transactions!$J:$J,ROW()-8)="",TODAY(),INDEX(Transactions!$G:$G,ROW()-8))</f>
      </c>
      <c r="F7855">
        <f>IF(INDEX(Transactions!$J:$J,ROW()-8)="",0,INDEX(Transactions!$O:$O,ROW()-8))</f>
      </c>
    </row>
    <row r="7856" spans="1:7">
      <c r="B7856">
        <f>IF(INDEX(Transactions!$J:$J,ROW()-8)="",TODAY(),INDEX(Transactions!$G:$G,ROW()-8))</f>
      </c>
      <c r="F7856">
        <f>IF(INDEX(Transactions!$J:$J,ROW()-8)="",0,INDEX(Transactions!$O:$O,ROW()-8))</f>
      </c>
    </row>
    <row r="7857" spans="1:7">
      <c r="B7857">
        <f>IF(INDEX(Transactions!$J:$J,ROW()-8)="",TODAY(),INDEX(Transactions!$G:$G,ROW()-8))</f>
      </c>
      <c r="F7857">
        <f>IF(INDEX(Transactions!$J:$J,ROW()-8)="",0,INDEX(Transactions!$O:$O,ROW()-8))</f>
      </c>
    </row>
    <row r="7858" spans="1:7">
      <c r="B7858">
        <f>IF(INDEX(Transactions!$J:$J,ROW()-8)="",TODAY(),INDEX(Transactions!$G:$G,ROW()-8))</f>
      </c>
      <c r="F7858">
        <f>IF(INDEX(Transactions!$J:$J,ROW()-8)="",0,INDEX(Transactions!$O:$O,ROW()-8))</f>
      </c>
    </row>
    <row r="7859" spans="1:7">
      <c r="B7859">
        <f>IF(INDEX(Transactions!$J:$J,ROW()-8)="",TODAY(),INDEX(Transactions!$G:$G,ROW()-8))</f>
      </c>
      <c r="F7859">
        <f>IF(INDEX(Transactions!$J:$J,ROW()-8)="",0,INDEX(Transactions!$O:$O,ROW()-8))</f>
      </c>
    </row>
    <row r="7860" spans="1:7">
      <c r="B7860">
        <f>IF(INDEX(Transactions!$J:$J,ROW()-8)="",TODAY(),INDEX(Transactions!$G:$G,ROW()-8))</f>
      </c>
      <c r="F7860">
        <f>IF(INDEX(Transactions!$J:$J,ROW()-8)="",0,INDEX(Transactions!$O:$O,ROW()-8))</f>
      </c>
    </row>
    <row r="7861" spans="1:7">
      <c r="B7861">
        <f>IF(INDEX(Transactions!$J:$J,ROW()-8)="",TODAY(),INDEX(Transactions!$G:$G,ROW()-8))</f>
      </c>
      <c r="F7861">
        <f>IF(INDEX(Transactions!$J:$J,ROW()-8)="",0,INDEX(Transactions!$O:$O,ROW()-8))</f>
      </c>
    </row>
    <row r="7862" spans="1:7">
      <c r="B7862">
        <f>IF(INDEX(Transactions!$J:$J,ROW()-8)="",TODAY(),INDEX(Transactions!$G:$G,ROW()-8))</f>
      </c>
      <c r="F7862">
        <f>IF(INDEX(Transactions!$J:$J,ROW()-8)="",0,INDEX(Transactions!$O:$O,ROW()-8))</f>
      </c>
    </row>
    <row r="7863" spans="1:7">
      <c r="B7863">
        <f>IF(INDEX(Transactions!$J:$J,ROW()-8)="",TODAY(),INDEX(Transactions!$G:$G,ROW()-8))</f>
      </c>
      <c r="F7863">
        <f>IF(INDEX(Transactions!$J:$J,ROW()-8)="",0,INDEX(Transactions!$O:$O,ROW()-8))</f>
      </c>
    </row>
    <row r="7864" spans="1:7">
      <c r="B7864">
        <f>IF(INDEX(Transactions!$J:$J,ROW()-8)="",TODAY(),INDEX(Transactions!$G:$G,ROW()-8))</f>
      </c>
      <c r="F7864">
        <f>IF(INDEX(Transactions!$J:$J,ROW()-8)="",0,INDEX(Transactions!$O:$O,ROW()-8))</f>
      </c>
    </row>
    <row r="7865" spans="1:7">
      <c r="B7865">
        <f>IF(INDEX(Transactions!$J:$J,ROW()-8)="",TODAY(),INDEX(Transactions!$G:$G,ROW()-8))</f>
      </c>
      <c r="F7865">
        <f>IF(INDEX(Transactions!$J:$J,ROW()-8)="",0,INDEX(Transactions!$O:$O,ROW()-8))</f>
      </c>
    </row>
    <row r="7866" spans="1:7">
      <c r="B7866">
        <f>IF(INDEX(Transactions!$J:$J,ROW()-8)="",TODAY(),INDEX(Transactions!$G:$G,ROW()-8))</f>
      </c>
      <c r="F7866">
        <f>IF(INDEX(Transactions!$J:$J,ROW()-8)="",0,INDEX(Transactions!$O:$O,ROW()-8))</f>
      </c>
    </row>
    <row r="7867" spans="1:7">
      <c r="B7867">
        <f>IF(INDEX(Transactions!$J:$J,ROW()-8)="",TODAY(),INDEX(Transactions!$G:$G,ROW()-8))</f>
      </c>
      <c r="F7867">
        <f>IF(INDEX(Transactions!$J:$J,ROW()-8)="",0,INDEX(Transactions!$O:$O,ROW()-8))</f>
      </c>
    </row>
    <row r="7868" spans="1:7">
      <c r="B7868">
        <f>IF(INDEX(Transactions!$J:$J,ROW()-8)="",TODAY(),INDEX(Transactions!$G:$G,ROW()-8))</f>
      </c>
      <c r="F7868">
        <f>IF(INDEX(Transactions!$J:$J,ROW()-8)="",0,INDEX(Transactions!$O:$O,ROW()-8))</f>
      </c>
    </row>
    <row r="7869" spans="1:7">
      <c r="B7869">
        <f>IF(INDEX(Transactions!$J:$J,ROW()-8)="",TODAY(),INDEX(Transactions!$G:$G,ROW()-8))</f>
      </c>
      <c r="F7869">
        <f>IF(INDEX(Transactions!$J:$J,ROW()-8)="",0,INDEX(Transactions!$O:$O,ROW()-8))</f>
      </c>
    </row>
    <row r="7870" spans="1:7">
      <c r="B7870">
        <f>IF(INDEX(Transactions!$J:$J,ROW()-8)="",TODAY(),INDEX(Transactions!$G:$G,ROW()-8))</f>
      </c>
      <c r="F7870">
        <f>IF(INDEX(Transactions!$J:$J,ROW()-8)="",0,INDEX(Transactions!$O:$O,ROW()-8))</f>
      </c>
    </row>
    <row r="7871" spans="1:7">
      <c r="B7871">
        <f>IF(INDEX(Transactions!$J:$J,ROW()-8)="",TODAY(),INDEX(Transactions!$G:$G,ROW()-8))</f>
      </c>
      <c r="F7871">
        <f>IF(INDEX(Transactions!$J:$J,ROW()-8)="",0,INDEX(Transactions!$O:$O,ROW()-8))</f>
      </c>
    </row>
    <row r="7872" spans="1:7">
      <c r="B7872">
        <f>IF(INDEX(Transactions!$J:$J,ROW()-8)="",TODAY(),INDEX(Transactions!$G:$G,ROW()-8))</f>
      </c>
      <c r="F7872">
        <f>IF(INDEX(Transactions!$J:$J,ROW()-8)="",0,INDEX(Transactions!$O:$O,ROW()-8))</f>
      </c>
    </row>
    <row r="7873" spans="1:7">
      <c r="B7873">
        <f>IF(INDEX(Transactions!$J:$J,ROW()-8)="",TODAY(),INDEX(Transactions!$G:$G,ROW()-8))</f>
      </c>
      <c r="F7873">
        <f>IF(INDEX(Transactions!$J:$J,ROW()-8)="",0,INDEX(Transactions!$O:$O,ROW()-8))</f>
      </c>
    </row>
    <row r="7874" spans="1:7">
      <c r="B7874">
        <f>IF(INDEX(Transactions!$J:$J,ROW()-8)="",TODAY(),INDEX(Transactions!$G:$G,ROW()-8))</f>
      </c>
      <c r="F7874">
        <f>IF(INDEX(Transactions!$J:$J,ROW()-8)="",0,INDEX(Transactions!$O:$O,ROW()-8))</f>
      </c>
    </row>
    <row r="7875" spans="1:7">
      <c r="B7875">
        <f>IF(INDEX(Transactions!$J:$J,ROW()-8)="",TODAY(),INDEX(Transactions!$G:$G,ROW()-8))</f>
      </c>
      <c r="F7875">
        <f>IF(INDEX(Transactions!$J:$J,ROW()-8)="",0,INDEX(Transactions!$O:$O,ROW()-8))</f>
      </c>
    </row>
    <row r="7876" spans="1:7">
      <c r="B7876">
        <f>IF(INDEX(Transactions!$J:$J,ROW()-8)="",TODAY(),INDEX(Transactions!$G:$G,ROW()-8))</f>
      </c>
      <c r="F7876">
        <f>IF(INDEX(Transactions!$J:$J,ROW()-8)="",0,INDEX(Transactions!$O:$O,ROW()-8))</f>
      </c>
    </row>
    <row r="7877" spans="1:7">
      <c r="B7877">
        <f>IF(INDEX(Transactions!$J:$J,ROW()-8)="",TODAY(),INDEX(Transactions!$G:$G,ROW()-8))</f>
      </c>
      <c r="F7877">
        <f>IF(INDEX(Transactions!$J:$J,ROW()-8)="",0,INDEX(Transactions!$O:$O,ROW()-8))</f>
      </c>
    </row>
    <row r="7878" spans="1:7">
      <c r="B7878">
        <f>IF(INDEX(Transactions!$J:$J,ROW()-8)="",TODAY(),INDEX(Transactions!$G:$G,ROW()-8))</f>
      </c>
      <c r="F7878">
        <f>IF(INDEX(Transactions!$J:$J,ROW()-8)="",0,INDEX(Transactions!$O:$O,ROW()-8))</f>
      </c>
    </row>
    <row r="7879" spans="1:7">
      <c r="B7879">
        <f>IF(INDEX(Transactions!$J:$J,ROW()-8)="",TODAY(),INDEX(Transactions!$G:$G,ROW()-8))</f>
      </c>
      <c r="F7879">
        <f>IF(INDEX(Transactions!$J:$J,ROW()-8)="",0,INDEX(Transactions!$O:$O,ROW()-8))</f>
      </c>
    </row>
    <row r="7880" spans="1:7">
      <c r="B7880">
        <f>IF(INDEX(Transactions!$J:$J,ROW()-8)="",TODAY(),INDEX(Transactions!$G:$G,ROW()-8))</f>
      </c>
      <c r="F7880">
        <f>IF(INDEX(Transactions!$J:$J,ROW()-8)="",0,INDEX(Transactions!$O:$O,ROW()-8))</f>
      </c>
    </row>
    <row r="7881" spans="1:7">
      <c r="B7881">
        <f>IF(INDEX(Transactions!$J:$J,ROW()-8)="",TODAY(),INDEX(Transactions!$G:$G,ROW()-8))</f>
      </c>
      <c r="F7881">
        <f>IF(INDEX(Transactions!$J:$J,ROW()-8)="",0,INDEX(Transactions!$O:$O,ROW()-8))</f>
      </c>
    </row>
    <row r="7882" spans="1:7">
      <c r="B7882">
        <f>IF(INDEX(Transactions!$J:$J,ROW()-8)="",TODAY(),INDEX(Transactions!$G:$G,ROW()-8))</f>
      </c>
      <c r="F7882">
        <f>IF(INDEX(Transactions!$J:$J,ROW()-8)="",0,INDEX(Transactions!$O:$O,ROW()-8))</f>
      </c>
    </row>
    <row r="7883" spans="1:7">
      <c r="B7883">
        <f>IF(INDEX(Transactions!$J:$J,ROW()-8)="",TODAY(),INDEX(Transactions!$G:$G,ROW()-8))</f>
      </c>
      <c r="F7883">
        <f>IF(INDEX(Transactions!$J:$J,ROW()-8)="",0,INDEX(Transactions!$O:$O,ROW()-8))</f>
      </c>
    </row>
    <row r="7884" spans="1:7">
      <c r="B7884">
        <f>IF(INDEX(Transactions!$J:$J,ROW()-8)="",TODAY(),INDEX(Transactions!$G:$G,ROW()-8))</f>
      </c>
      <c r="F7884">
        <f>IF(INDEX(Transactions!$J:$J,ROW()-8)="",0,INDEX(Transactions!$O:$O,ROW()-8))</f>
      </c>
    </row>
    <row r="7885" spans="1:7">
      <c r="B7885">
        <f>IF(INDEX(Transactions!$J:$J,ROW()-8)="",TODAY(),INDEX(Transactions!$G:$G,ROW()-8))</f>
      </c>
      <c r="F7885">
        <f>IF(INDEX(Transactions!$J:$J,ROW()-8)="",0,INDEX(Transactions!$O:$O,ROW()-8))</f>
      </c>
    </row>
    <row r="7886" spans="1:7">
      <c r="B7886">
        <f>IF(INDEX(Transactions!$J:$J,ROW()-8)="",TODAY(),INDEX(Transactions!$G:$G,ROW()-8))</f>
      </c>
      <c r="F7886">
        <f>IF(INDEX(Transactions!$J:$J,ROW()-8)="",0,INDEX(Transactions!$O:$O,ROW()-8))</f>
      </c>
    </row>
    <row r="7887" spans="1:7">
      <c r="B7887">
        <f>IF(INDEX(Transactions!$J:$J,ROW()-8)="",TODAY(),INDEX(Transactions!$G:$G,ROW()-8))</f>
      </c>
      <c r="F7887">
        <f>IF(INDEX(Transactions!$J:$J,ROW()-8)="",0,INDEX(Transactions!$O:$O,ROW()-8))</f>
      </c>
    </row>
    <row r="7888" spans="1:7">
      <c r="B7888">
        <f>IF(INDEX(Transactions!$J:$J,ROW()-8)="",TODAY(),INDEX(Transactions!$G:$G,ROW()-8))</f>
      </c>
      <c r="F7888">
        <f>IF(INDEX(Transactions!$J:$J,ROW()-8)="",0,INDEX(Transactions!$O:$O,ROW()-8))</f>
      </c>
    </row>
    <row r="7889" spans="1:7">
      <c r="B7889">
        <f>IF(INDEX(Transactions!$J:$J,ROW()-8)="",TODAY(),INDEX(Transactions!$G:$G,ROW()-8))</f>
      </c>
      <c r="F7889">
        <f>IF(INDEX(Transactions!$J:$J,ROW()-8)="",0,INDEX(Transactions!$O:$O,ROW()-8))</f>
      </c>
    </row>
    <row r="7890" spans="1:7">
      <c r="B7890">
        <f>IF(INDEX(Transactions!$J:$J,ROW()-8)="",TODAY(),INDEX(Transactions!$G:$G,ROW()-8))</f>
      </c>
      <c r="F7890">
        <f>IF(INDEX(Transactions!$J:$J,ROW()-8)="",0,INDEX(Transactions!$O:$O,ROW()-8))</f>
      </c>
    </row>
    <row r="7891" spans="1:7">
      <c r="B7891">
        <f>IF(INDEX(Transactions!$J:$J,ROW()-8)="",TODAY(),INDEX(Transactions!$G:$G,ROW()-8))</f>
      </c>
      <c r="F7891">
        <f>IF(INDEX(Transactions!$J:$J,ROW()-8)="",0,INDEX(Transactions!$O:$O,ROW()-8))</f>
      </c>
    </row>
    <row r="7892" spans="1:7">
      <c r="B7892">
        <f>IF(INDEX(Transactions!$J:$J,ROW()-8)="",TODAY(),INDEX(Transactions!$G:$G,ROW()-8))</f>
      </c>
      <c r="F7892">
        <f>IF(INDEX(Transactions!$J:$J,ROW()-8)="",0,INDEX(Transactions!$O:$O,ROW()-8))</f>
      </c>
    </row>
    <row r="7893" spans="1:7">
      <c r="B7893">
        <f>IF(INDEX(Transactions!$J:$J,ROW()-8)="",TODAY(),INDEX(Transactions!$G:$G,ROW()-8))</f>
      </c>
      <c r="F7893">
        <f>IF(INDEX(Transactions!$J:$J,ROW()-8)="",0,INDEX(Transactions!$O:$O,ROW()-8))</f>
      </c>
    </row>
    <row r="7894" spans="1:7">
      <c r="B7894">
        <f>IF(INDEX(Transactions!$J:$J,ROW()-8)="",TODAY(),INDEX(Transactions!$G:$G,ROW()-8))</f>
      </c>
      <c r="F7894">
        <f>IF(INDEX(Transactions!$J:$J,ROW()-8)="",0,INDEX(Transactions!$O:$O,ROW()-8))</f>
      </c>
    </row>
    <row r="7895" spans="1:7">
      <c r="B7895">
        <f>IF(INDEX(Transactions!$J:$J,ROW()-8)="",TODAY(),INDEX(Transactions!$G:$G,ROW()-8))</f>
      </c>
      <c r="F7895">
        <f>IF(INDEX(Transactions!$J:$J,ROW()-8)="",0,INDEX(Transactions!$O:$O,ROW()-8))</f>
      </c>
    </row>
    <row r="7896" spans="1:7">
      <c r="B7896">
        <f>IF(INDEX(Transactions!$J:$J,ROW()-8)="",TODAY(),INDEX(Transactions!$G:$G,ROW()-8))</f>
      </c>
      <c r="F7896">
        <f>IF(INDEX(Transactions!$J:$J,ROW()-8)="",0,INDEX(Transactions!$O:$O,ROW()-8))</f>
      </c>
    </row>
    <row r="7897" spans="1:7">
      <c r="B7897">
        <f>IF(INDEX(Transactions!$J:$J,ROW()-8)="",TODAY(),INDEX(Transactions!$G:$G,ROW()-8))</f>
      </c>
      <c r="F7897">
        <f>IF(INDEX(Transactions!$J:$J,ROW()-8)="",0,INDEX(Transactions!$O:$O,ROW()-8))</f>
      </c>
    </row>
    <row r="7898" spans="1:7">
      <c r="B7898">
        <f>IF(INDEX(Transactions!$J:$J,ROW()-8)="",TODAY(),INDEX(Transactions!$G:$G,ROW()-8))</f>
      </c>
      <c r="F7898">
        <f>IF(INDEX(Transactions!$J:$J,ROW()-8)="",0,INDEX(Transactions!$O:$O,ROW()-8))</f>
      </c>
    </row>
    <row r="7899" spans="1:7">
      <c r="B7899">
        <f>IF(INDEX(Transactions!$J:$J,ROW()-8)="",TODAY(),INDEX(Transactions!$G:$G,ROW()-8))</f>
      </c>
      <c r="F7899">
        <f>IF(INDEX(Transactions!$J:$J,ROW()-8)="",0,INDEX(Transactions!$O:$O,ROW()-8))</f>
      </c>
    </row>
    <row r="7900" spans="1:7">
      <c r="B7900">
        <f>IF(INDEX(Transactions!$J:$J,ROW()-8)="",TODAY(),INDEX(Transactions!$G:$G,ROW()-8))</f>
      </c>
      <c r="F7900">
        <f>IF(INDEX(Transactions!$J:$J,ROW()-8)="",0,INDEX(Transactions!$O:$O,ROW()-8))</f>
      </c>
    </row>
    <row r="7901" spans="1:7">
      <c r="B7901">
        <f>IF(INDEX(Transactions!$J:$J,ROW()-8)="",TODAY(),INDEX(Transactions!$G:$G,ROW()-8))</f>
      </c>
      <c r="F7901">
        <f>IF(INDEX(Transactions!$J:$J,ROW()-8)="",0,INDEX(Transactions!$O:$O,ROW()-8))</f>
      </c>
    </row>
    <row r="7902" spans="1:7">
      <c r="B7902">
        <f>IF(INDEX(Transactions!$J:$J,ROW()-8)="",TODAY(),INDEX(Transactions!$G:$G,ROW()-8))</f>
      </c>
      <c r="F7902">
        <f>IF(INDEX(Transactions!$J:$J,ROW()-8)="",0,INDEX(Transactions!$O:$O,ROW()-8))</f>
      </c>
    </row>
    <row r="7903" spans="1:7">
      <c r="B7903">
        <f>IF(INDEX(Transactions!$J:$J,ROW()-8)="",TODAY(),INDEX(Transactions!$G:$G,ROW()-8))</f>
      </c>
      <c r="F7903">
        <f>IF(INDEX(Transactions!$J:$J,ROW()-8)="",0,INDEX(Transactions!$O:$O,ROW()-8))</f>
      </c>
    </row>
    <row r="7904" spans="1:7">
      <c r="B7904">
        <f>IF(INDEX(Transactions!$J:$J,ROW()-8)="",TODAY(),INDEX(Transactions!$G:$G,ROW()-8))</f>
      </c>
      <c r="F7904">
        <f>IF(INDEX(Transactions!$J:$J,ROW()-8)="",0,INDEX(Transactions!$O:$O,ROW()-8))</f>
      </c>
    </row>
    <row r="7905" spans="1:7">
      <c r="B7905">
        <f>IF(INDEX(Transactions!$J:$J,ROW()-8)="",TODAY(),INDEX(Transactions!$G:$G,ROW()-8))</f>
      </c>
      <c r="F7905">
        <f>IF(INDEX(Transactions!$J:$J,ROW()-8)="",0,INDEX(Transactions!$O:$O,ROW()-8))</f>
      </c>
    </row>
    <row r="7906" spans="1:7">
      <c r="B7906">
        <f>IF(INDEX(Transactions!$J:$J,ROW()-8)="",TODAY(),INDEX(Transactions!$G:$G,ROW()-8))</f>
      </c>
      <c r="F7906">
        <f>IF(INDEX(Transactions!$J:$J,ROW()-8)="",0,INDEX(Transactions!$O:$O,ROW()-8))</f>
      </c>
    </row>
    <row r="7907" spans="1:7">
      <c r="B7907">
        <f>IF(INDEX(Transactions!$J:$J,ROW()-8)="",TODAY(),INDEX(Transactions!$G:$G,ROW()-8))</f>
      </c>
      <c r="F7907">
        <f>IF(INDEX(Transactions!$J:$J,ROW()-8)="",0,INDEX(Transactions!$O:$O,ROW()-8))</f>
      </c>
    </row>
    <row r="7908" spans="1:7">
      <c r="B7908">
        <f>IF(INDEX(Transactions!$J:$J,ROW()-8)="",TODAY(),INDEX(Transactions!$G:$G,ROW()-8))</f>
      </c>
      <c r="F7908">
        <f>IF(INDEX(Transactions!$J:$J,ROW()-8)="",0,INDEX(Transactions!$O:$O,ROW()-8))</f>
      </c>
    </row>
    <row r="7909" spans="1:7">
      <c r="B7909">
        <f>IF(INDEX(Transactions!$J:$J,ROW()-8)="",TODAY(),INDEX(Transactions!$G:$G,ROW()-8))</f>
      </c>
      <c r="F7909">
        <f>IF(INDEX(Transactions!$J:$J,ROW()-8)="",0,INDEX(Transactions!$O:$O,ROW()-8))</f>
      </c>
    </row>
    <row r="7910" spans="1:7">
      <c r="B7910">
        <f>IF(INDEX(Transactions!$J:$J,ROW()-8)="",TODAY(),INDEX(Transactions!$G:$G,ROW()-8))</f>
      </c>
      <c r="F7910">
        <f>IF(INDEX(Transactions!$J:$J,ROW()-8)="",0,INDEX(Transactions!$O:$O,ROW()-8))</f>
      </c>
    </row>
    <row r="7911" spans="1:7">
      <c r="B7911">
        <f>IF(INDEX(Transactions!$J:$J,ROW()-8)="",TODAY(),INDEX(Transactions!$G:$G,ROW()-8))</f>
      </c>
      <c r="F7911">
        <f>IF(INDEX(Transactions!$J:$J,ROW()-8)="",0,INDEX(Transactions!$O:$O,ROW()-8))</f>
      </c>
    </row>
    <row r="7912" spans="1:7">
      <c r="B7912">
        <f>IF(INDEX(Transactions!$J:$J,ROW()-8)="",TODAY(),INDEX(Transactions!$G:$G,ROW()-8))</f>
      </c>
      <c r="F7912">
        <f>IF(INDEX(Transactions!$J:$J,ROW()-8)="",0,INDEX(Transactions!$O:$O,ROW()-8))</f>
      </c>
    </row>
    <row r="7913" spans="1:7">
      <c r="B7913">
        <f>IF(INDEX(Transactions!$J:$J,ROW()-8)="",TODAY(),INDEX(Transactions!$G:$G,ROW()-8))</f>
      </c>
      <c r="F7913">
        <f>IF(INDEX(Transactions!$J:$J,ROW()-8)="",0,INDEX(Transactions!$O:$O,ROW()-8))</f>
      </c>
    </row>
    <row r="7914" spans="1:7">
      <c r="B7914">
        <f>IF(INDEX(Transactions!$J:$J,ROW()-8)="",TODAY(),INDEX(Transactions!$G:$G,ROW()-8))</f>
      </c>
      <c r="F7914">
        <f>IF(INDEX(Transactions!$J:$J,ROW()-8)="",0,INDEX(Transactions!$O:$O,ROW()-8))</f>
      </c>
    </row>
    <row r="7915" spans="1:7">
      <c r="B7915">
        <f>IF(INDEX(Transactions!$J:$J,ROW()-8)="",TODAY(),INDEX(Transactions!$G:$G,ROW()-8))</f>
      </c>
      <c r="F7915">
        <f>IF(INDEX(Transactions!$J:$J,ROW()-8)="",0,INDEX(Transactions!$O:$O,ROW()-8))</f>
      </c>
    </row>
    <row r="7916" spans="1:7">
      <c r="B7916">
        <f>IF(INDEX(Transactions!$J:$J,ROW()-8)="",TODAY(),INDEX(Transactions!$G:$G,ROW()-8))</f>
      </c>
      <c r="F7916">
        <f>IF(INDEX(Transactions!$J:$J,ROW()-8)="",0,INDEX(Transactions!$O:$O,ROW()-8))</f>
      </c>
    </row>
    <row r="7917" spans="1:7">
      <c r="B7917">
        <f>IF(INDEX(Transactions!$J:$J,ROW()-8)="",TODAY(),INDEX(Transactions!$G:$G,ROW()-8))</f>
      </c>
      <c r="F7917">
        <f>IF(INDEX(Transactions!$J:$J,ROW()-8)="",0,INDEX(Transactions!$O:$O,ROW()-8))</f>
      </c>
    </row>
    <row r="7918" spans="1:7">
      <c r="B7918">
        <f>IF(INDEX(Transactions!$J:$J,ROW()-8)="",TODAY(),INDEX(Transactions!$G:$G,ROW()-8))</f>
      </c>
      <c r="F7918">
        <f>IF(INDEX(Transactions!$J:$J,ROW()-8)="",0,INDEX(Transactions!$O:$O,ROW()-8))</f>
      </c>
    </row>
    <row r="7919" spans="1:7">
      <c r="B7919">
        <f>IF(INDEX(Transactions!$J:$J,ROW()-8)="",TODAY(),INDEX(Transactions!$G:$G,ROW()-8))</f>
      </c>
      <c r="F7919">
        <f>IF(INDEX(Transactions!$J:$J,ROW()-8)="",0,INDEX(Transactions!$O:$O,ROW()-8))</f>
      </c>
    </row>
    <row r="7920" spans="1:7">
      <c r="B7920">
        <f>IF(INDEX(Transactions!$J:$J,ROW()-8)="",TODAY(),INDEX(Transactions!$G:$G,ROW()-8))</f>
      </c>
      <c r="F7920">
        <f>IF(INDEX(Transactions!$J:$J,ROW()-8)="",0,INDEX(Transactions!$O:$O,ROW()-8))</f>
      </c>
    </row>
    <row r="7921" spans="1:7">
      <c r="B7921">
        <f>IF(INDEX(Transactions!$J:$J,ROW()-8)="",TODAY(),INDEX(Transactions!$G:$G,ROW()-8))</f>
      </c>
      <c r="F7921">
        <f>IF(INDEX(Transactions!$J:$J,ROW()-8)="",0,INDEX(Transactions!$O:$O,ROW()-8))</f>
      </c>
    </row>
    <row r="7922" spans="1:7">
      <c r="B7922">
        <f>IF(INDEX(Transactions!$J:$J,ROW()-8)="",TODAY(),INDEX(Transactions!$G:$G,ROW()-8))</f>
      </c>
      <c r="F7922">
        <f>IF(INDEX(Transactions!$J:$J,ROW()-8)="",0,INDEX(Transactions!$O:$O,ROW()-8))</f>
      </c>
    </row>
    <row r="7923" spans="1:7">
      <c r="B7923">
        <f>IF(INDEX(Transactions!$J:$J,ROW()-8)="",TODAY(),INDEX(Transactions!$G:$G,ROW()-8))</f>
      </c>
      <c r="F7923">
        <f>IF(INDEX(Transactions!$J:$J,ROW()-8)="",0,INDEX(Transactions!$O:$O,ROW()-8))</f>
      </c>
    </row>
    <row r="7924" spans="1:7">
      <c r="B7924">
        <f>IF(INDEX(Transactions!$J:$J,ROW()-8)="",TODAY(),INDEX(Transactions!$G:$G,ROW()-8))</f>
      </c>
      <c r="F7924">
        <f>IF(INDEX(Transactions!$J:$J,ROW()-8)="",0,INDEX(Transactions!$O:$O,ROW()-8))</f>
      </c>
    </row>
    <row r="7925" spans="1:7">
      <c r="B7925">
        <f>IF(INDEX(Transactions!$J:$J,ROW()-8)="",TODAY(),INDEX(Transactions!$G:$G,ROW()-8))</f>
      </c>
      <c r="F7925">
        <f>IF(INDEX(Transactions!$J:$J,ROW()-8)="",0,INDEX(Transactions!$O:$O,ROW()-8))</f>
      </c>
    </row>
    <row r="7926" spans="1:7">
      <c r="B7926">
        <f>IF(INDEX(Transactions!$J:$J,ROW()-8)="",TODAY(),INDEX(Transactions!$G:$G,ROW()-8))</f>
      </c>
      <c r="F7926">
        <f>IF(INDEX(Transactions!$J:$J,ROW()-8)="",0,INDEX(Transactions!$O:$O,ROW()-8))</f>
      </c>
    </row>
    <row r="7927" spans="1:7">
      <c r="B7927">
        <f>IF(INDEX(Transactions!$J:$J,ROW()-8)="",TODAY(),INDEX(Transactions!$G:$G,ROW()-8))</f>
      </c>
      <c r="F7927">
        <f>IF(INDEX(Transactions!$J:$J,ROW()-8)="",0,INDEX(Transactions!$O:$O,ROW()-8))</f>
      </c>
    </row>
    <row r="7928" spans="1:7">
      <c r="B7928">
        <f>IF(INDEX(Transactions!$J:$J,ROW()-8)="",TODAY(),INDEX(Transactions!$G:$G,ROW()-8))</f>
      </c>
      <c r="F7928">
        <f>IF(INDEX(Transactions!$J:$J,ROW()-8)="",0,INDEX(Transactions!$O:$O,ROW()-8))</f>
      </c>
    </row>
    <row r="7929" spans="1:7">
      <c r="B7929">
        <f>IF(INDEX(Transactions!$J:$J,ROW()-8)="",TODAY(),INDEX(Transactions!$G:$G,ROW()-8))</f>
      </c>
      <c r="F7929">
        <f>IF(INDEX(Transactions!$J:$J,ROW()-8)="",0,INDEX(Transactions!$O:$O,ROW()-8))</f>
      </c>
    </row>
    <row r="7930" spans="1:7">
      <c r="B7930">
        <f>IF(INDEX(Transactions!$J:$J,ROW()-8)="",TODAY(),INDEX(Transactions!$G:$G,ROW()-8))</f>
      </c>
      <c r="F7930">
        <f>IF(INDEX(Transactions!$J:$J,ROW()-8)="",0,INDEX(Transactions!$O:$O,ROW()-8))</f>
      </c>
    </row>
    <row r="7931" spans="1:7">
      <c r="B7931">
        <f>IF(INDEX(Transactions!$J:$J,ROW()-8)="",TODAY(),INDEX(Transactions!$G:$G,ROW()-8))</f>
      </c>
      <c r="F7931">
        <f>IF(INDEX(Transactions!$J:$J,ROW()-8)="",0,INDEX(Transactions!$O:$O,ROW()-8))</f>
      </c>
    </row>
    <row r="7932" spans="1:7">
      <c r="B7932">
        <f>IF(INDEX(Transactions!$J:$J,ROW()-8)="",TODAY(),INDEX(Transactions!$G:$G,ROW()-8))</f>
      </c>
      <c r="F7932">
        <f>IF(INDEX(Transactions!$J:$J,ROW()-8)="",0,INDEX(Transactions!$O:$O,ROW()-8))</f>
      </c>
    </row>
    <row r="7933" spans="1:7">
      <c r="B7933">
        <f>IF(INDEX(Transactions!$J:$J,ROW()-8)="",TODAY(),INDEX(Transactions!$G:$G,ROW()-8))</f>
      </c>
      <c r="F7933">
        <f>IF(INDEX(Transactions!$J:$J,ROW()-8)="",0,INDEX(Transactions!$O:$O,ROW()-8))</f>
      </c>
    </row>
    <row r="7934" spans="1:7">
      <c r="B7934">
        <f>IF(INDEX(Transactions!$J:$J,ROW()-8)="",TODAY(),INDEX(Transactions!$G:$G,ROW()-8))</f>
      </c>
      <c r="F7934">
        <f>IF(INDEX(Transactions!$J:$J,ROW()-8)="",0,INDEX(Transactions!$O:$O,ROW()-8))</f>
      </c>
    </row>
    <row r="7935" spans="1:7">
      <c r="B7935">
        <f>IF(INDEX(Transactions!$J:$J,ROW()-8)="",TODAY(),INDEX(Transactions!$G:$G,ROW()-8))</f>
      </c>
      <c r="F7935">
        <f>IF(INDEX(Transactions!$J:$J,ROW()-8)="",0,INDEX(Transactions!$O:$O,ROW()-8))</f>
      </c>
    </row>
    <row r="7936" spans="1:7">
      <c r="B7936">
        <f>IF(INDEX(Transactions!$J:$J,ROW()-8)="",TODAY(),INDEX(Transactions!$G:$G,ROW()-8))</f>
      </c>
      <c r="F7936">
        <f>IF(INDEX(Transactions!$J:$J,ROW()-8)="",0,INDEX(Transactions!$O:$O,ROW()-8))</f>
      </c>
    </row>
    <row r="7937" spans="1:7">
      <c r="B7937">
        <f>IF(INDEX(Transactions!$J:$J,ROW()-8)="",TODAY(),INDEX(Transactions!$G:$G,ROW()-8))</f>
      </c>
      <c r="F7937">
        <f>IF(INDEX(Transactions!$J:$J,ROW()-8)="",0,INDEX(Transactions!$O:$O,ROW()-8))</f>
      </c>
    </row>
    <row r="7938" spans="1:7">
      <c r="B7938">
        <f>IF(INDEX(Transactions!$J:$J,ROW()-8)="",TODAY(),INDEX(Transactions!$G:$G,ROW()-8))</f>
      </c>
      <c r="F7938">
        <f>IF(INDEX(Transactions!$J:$J,ROW()-8)="",0,INDEX(Transactions!$O:$O,ROW()-8))</f>
      </c>
    </row>
    <row r="7939" spans="1:7">
      <c r="B7939">
        <f>IF(INDEX(Transactions!$J:$J,ROW()-8)="",TODAY(),INDEX(Transactions!$G:$G,ROW()-8))</f>
      </c>
      <c r="F7939">
        <f>IF(INDEX(Transactions!$J:$J,ROW()-8)="",0,INDEX(Transactions!$O:$O,ROW()-8))</f>
      </c>
    </row>
    <row r="7940" spans="1:7">
      <c r="B7940">
        <f>IF(INDEX(Transactions!$J:$J,ROW()-8)="",TODAY(),INDEX(Transactions!$G:$G,ROW()-8))</f>
      </c>
      <c r="F7940">
        <f>IF(INDEX(Transactions!$J:$J,ROW()-8)="",0,INDEX(Transactions!$O:$O,ROW()-8))</f>
      </c>
    </row>
    <row r="7941" spans="1:7">
      <c r="B7941">
        <f>IF(INDEX(Transactions!$J:$J,ROW()-8)="",TODAY(),INDEX(Transactions!$G:$G,ROW()-8))</f>
      </c>
      <c r="F7941">
        <f>IF(INDEX(Transactions!$J:$J,ROW()-8)="",0,INDEX(Transactions!$O:$O,ROW()-8))</f>
      </c>
    </row>
    <row r="7942" spans="1:7">
      <c r="B7942">
        <f>IF(INDEX(Transactions!$J:$J,ROW()-8)="",TODAY(),INDEX(Transactions!$G:$G,ROW()-8))</f>
      </c>
      <c r="F7942">
        <f>IF(INDEX(Transactions!$J:$J,ROW()-8)="",0,INDEX(Transactions!$O:$O,ROW()-8))</f>
      </c>
    </row>
    <row r="7943" spans="1:7">
      <c r="B7943">
        <f>IF(INDEX(Transactions!$J:$J,ROW()-8)="",TODAY(),INDEX(Transactions!$G:$G,ROW()-8))</f>
      </c>
      <c r="F7943">
        <f>IF(INDEX(Transactions!$J:$J,ROW()-8)="",0,INDEX(Transactions!$O:$O,ROW()-8))</f>
      </c>
    </row>
    <row r="7944" spans="1:7">
      <c r="B7944">
        <f>IF(INDEX(Transactions!$J:$J,ROW()-8)="",TODAY(),INDEX(Transactions!$G:$G,ROW()-8))</f>
      </c>
      <c r="F7944">
        <f>IF(INDEX(Transactions!$J:$J,ROW()-8)="",0,INDEX(Transactions!$O:$O,ROW()-8))</f>
      </c>
    </row>
    <row r="7945" spans="1:7">
      <c r="B7945">
        <f>IF(INDEX(Transactions!$J:$J,ROW()-8)="",TODAY(),INDEX(Transactions!$G:$G,ROW()-8))</f>
      </c>
      <c r="F7945">
        <f>IF(INDEX(Transactions!$J:$J,ROW()-8)="",0,INDEX(Transactions!$O:$O,ROW()-8))</f>
      </c>
    </row>
    <row r="7946" spans="1:7">
      <c r="B7946">
        <f>IF(INDEX(Transactions!$J:$J,ROW()-8)="",TODAY(),INDEX(Transactions!$G:$G,ROW()-8))</f>
      </c>
      <c r="F7946">
        <f>IF(INDEX(Transactions!$J:$J,ROW()-8)="",0,INDEX(Transactions!$O:$O,ROW()-8))</f>
      </c>
    </row>
    <row r="7947" spans="1:7">
      <c r="B7947">
        <f>IF(INDEX(Transactions!$J:$J,ROW()-8)="",TODAY(),INDEX(Transactions!$G:$G,ROW()-8))</f>
      </c>
      <c r="F7947">
        <f>IF(INDEX(Transactions!$J:$J,ROW()-8)="",0,INDEX(Transactions!$O:$O,ROW()-8))</f>
      </c>
    </row>
    <row r="7948" spans="1:7">
      <c r="B7948">
        <f>IF(INDEX(Transactions!$J:$J,ROW()-8)="",TODAY(),INDEX(Transactions!$G:$G,ROW()-8))</f>
      </c>
      <c r="F7948">
        <f>IF(INDEX(Transactions!$J:$J,ROW()-8)="",0,INDEX(Transactions!$O:$O,ROW()-8))</f>
      </c>
    </row>
    <row r="7949" spans="1:7">
      <c r="B7949">
        <f>IF(INDEX(Transactions!$J:$J,ROW()-8)="",TODAY(),INDEX(Transactions!$G:$G,ROW()-8))</f>
      </c>
      <c r="F7949">
        <f>IF(INDEX(Transactions!$J:$J,ROW()-8)="",0,INDEX(Transactions!$O:$O,ROW()-8))</f>
      </c>
    </row>
    <row r="7950" spans="1:7">
      <c r="B7950">
        <f>IF(INDEX(Transactions!$J:$J,ROW()-8)="",TODAY(),INDEX(Transactions!$G:$G,ROW()-8))</f>
      </c>
      <c r="F7950">
        <f>IF(INDEX(Transactions!$J:$J,ROW()-8)="",0,INDEX(Transactions!$O:$O,ROW()-8))</f>
      </c>
    </row>
    <row r="7951" spans="1:7">
      <c r="B7951">
        <f>IF(INDEX(Transactions!$J:$J,ROW()-8)="",TODAY(),INDEX(Transactions!$G:$G,ROW()-8))</f>
      </c>
      <c r="F7951">
        <f>IF(INDEX(Transactions!$J:$J,ROW()-8)="",0,INDEX(Transactions!$O:$O,ROW()-8))</f>
      </c>
    </row>
    <row r="7952" spans="1:7">
      <c r="B7952">
        <f>IF(INDEX(Transactions!$J:$J,ROW()-8)="",TODAY(),INDEX(Transactions!$G:$G,ROW()-8))</f>
      </c>
      <c r="F7952">
        <f>IF(INDEX(Transactions!$J:$J,ROW()-8)="",0,INDEX(Transactions!$O:$O,ROW()-8))</f>
      </c>
    </row>
    <row r="7953" spans="1:7">
      <c r="B7953">
        <f>IF(INDEX(Transactions!$J:$J,ROW()-8)="",TODAY(),INDEX(Transactions!$G:$G,ROW()-8))</f>
      </c>
      <c r="F7953">
        <f>IF(INDEX(Transactions!$J:$J,ROW()-8)="",0,INDEX(Transactions!$O:$O,ROW()-8))</f>
      </c>
    </row>
    <row r="7954" spans="1:7">
      <c r="B7954">
        <f>IF(INDEX(Transactions!$J:$J,ROW()-8)="",TODAY(),INDEX(Transactions!$G:$G,ROW()-8))</f>
      </c>
      <c r="F7954">
        <f>IF(INDEX(Transactions!$J:$J,ROW()-8)="",0,INDEX(Transactions!$O:$O,ROW()-8))</f>
      </c>
    </row>
    <row r="7955" spans="1:7">
      <c r="B7955">
        <f>IF(INDEX(Transactions!$J:$J,ROW()-8)="",TODAY(),INDEX(Transactions!$G:$G,ROW()-8))</f>
      </c>
      <c r="F7955">
        <f>IF(INDEX(Transactions!$J:$J,ROW()-8)="",0,INDEX(Transactions!$O:$O,ROW()-8))</f>
      </c>
    </row>
    <row r="7956" spans="1:7">
      <c r="B7956">
        <f>IF(INDEX(Transactions!$J:$J,ROW()-8)="",TODAY(),INDEX(Transactions!$G:$G,ROW()-8))</f>
      </c>
      <c r="F7956">
        <f>IF(INDEX(Transactions!$J:$J,ROW()-8)="",0,INDEX(Transactions!$O:$O,ROW()-8))</f>
      </c>
    </row>
    <row r="7957" spans="1:7">
      <c r="B7957">
        <f>IF(INDEX(Transactions!$J:$J,ROW()-8)="",TODAY(),INDEX(Transactions!$G:$G,ROW()-8))</f>
      </c>
      <c r="F7957">
        <f>IF(INDEX(Transactions!$J:$J,ROW()-8)="",0,INDEX(Transactions!$O:$O,ROW()-8))</f>
      </c>
    </row>
    <row r="7958" spans="1:7">
      <c r="B7958">
        <f>IF(INDEX(Transactions!$J:$J,ROW()-8)="",TODAY(),INDEX(Transactions!$G:$G,ROW()-8))</f>
      </c>
      <c r="F7958">
        <f>IF(INDEX(Transactions!$J:$J,ROW()-8)="",0,INDEX(Transactions!$O:$O,ROW()-8))</f>
      </c>
    </row>
    <row r="7959" spans="1:7">
      <c r="B7959">
        <f>IF(INDEX(Transactions!$J:$J,ROW()-8)="",TODAY(),INDEX(Transactions!$G:$G,ROW()-8))</f>
      </c>
      <c r="F7959">
        <f>IF(INDEX(Transactions!$J:$J,ROW()-8)="",0,INDEX(Transactions!$O:$O,ROW()-8))</f>
      </c>
    </row>
    <row r="7960" spans="1:7">
      <c r="B7960">
        <f>IF(INDEX(Transactions!$J:$J,ROW()-8)="",TODAY(),INDEX(Transactions!$G:$G,ROW()-8))</f>
      </c>
      <c r="F7960">
        <f>IF(INDEX(Transactions!$J:$J,ROW()-8)="",0,INDEX(Transactions!$O:$O,ROW()-8))</f>
      </c>
    </row>
    <row r="7961" spans="1:7">
      <c r="B7961">
        <f>IF(INDEX(Transactions!$J:$J,ROW()-8)="",TODAY(),INDEX(Transactions!$G:$G,ROW()-8))</f>
      </c>
      <c r="F7961">
        <f>IF(INDEX(Transactions!$J:$J,ROW()-8)="",0,INDEX(Transactions!$O:$O,ROW()-8))</f>
      </c>
    </row>
    <row r="7962" spans="1:7">
      <c r="B7962">
        <f>IF(INDEX(Transactions!$J:$J,ROW()-8)="",TODAY(),INDEX(Transactions!$G:$G,ROW()-8))</f>
      </c>
      <c r="F7962">
        <f>IF(INDEX(Transactions!$J:$J,ROW()-8)="",0,INDEX(Transactions!$O:$O,ROW()-8))</f>
      </c>
    </row>
    <row r="7963" spans="1:7">
      <c r="B7963">
        <f>IF(INDEX(Transactions!$J:$J,ROW()-8)="",TODAY(),INDEX(Transactions!$G:$G,ROW()-8))</f>
      </c>
      <c r="F7963">
        <f>IF(INDEX(Transactions!$J:$J,ROW()-8)="",0,INDEX(Transactions!$O:$O,ROW()-8))</f>
      </c>
    </row>
    <row r="7964" spans="1:7">
      <c r="B7964">
        <f>IF(INDEX(Transactions!$J:$J,ROW()-8)="",TODAY(),INDEX(Transactions!$G:$G,ROW()-8))</f>
      </c>
      <c r="F7964">
        <f>IF(INDEX(Transactions!$J:$J,ROW()-8)="",0,INDEX(Transactions!$O:$O,ROW()-8))</f>
      </c>
    </row>
    <row r="7965" spans="1:7">
      <c r="B7965">
        <f>IF(INDEX(Transactions!$J:$J,ROW()-8)="",TODAY(),INDEX(Transactions!$G:$G,ROW()-8))</f>
      </c>
      <c r="F7965">
        <f>IF(INDEX(Transactions!$J:$J,ROW()-8)="",0,INDEX(Transactions!$O:$O,ROW()-8))</f>
      </c>
    </row>
    <row r="7966" spans="1:7">
      <c r="B7966">
        <f>IF(INDEX(Transactions!$J:$J,ROW()-8)="",TODAY(),INDEX(Transactions!$G:$G,ROW()-8))</f>
      </c>
      <c r="F7966">
        <f>IF(INDEX(Transactions!$J:$J,ROW()-8)="",0,INDEX(Transactions!$O:$O,ROW()-8))</f>
      </c>
    </row>
    <row r="7967" spans="1:7">
      <c r="B7967">
        <f>IF(INDEX(Transactions!$J:$J,ROW()-8)="",TODAY(),INDEX(Transactions!$G:$G,ROW()-8))</f>
      </c>
      <c r="F7967">
        <f>IF(INDEX(Transactions!$J:$J,ROW()-8)="",0,INDEX(Transactions!$O:$O,ROW()-8))</f>
      </c>
    </row>
    <row r="7968" spans="1:7">
      <c r="B7968">
        <f>IF(INDEX(Transactions!$J:$J,ROW()-8)="",TODAY(),INDEX(Transactions!$G:$G,ROW()-8))</f>
      </c>
      <c r="F7968">
        <f>IF(INDEX(Transactions!$J:$J,ROW()-8)="",0,INDEX(Transactions!$O:$O,ROW()-8))</f>
      </c>
    </row>
    <row r="7969" spans="1:7">
      <c r="B7969">
        <f>IF(INDEX(Transactions!$J:$J,ROW()-8)="",TODAY(),INDEX(Transactions!$G:$G,ROW()-8))</f>
      </c>
      <c r="F7969">
        <f>IF(INDEX(Transactions!$J:$J,ROW()-8)="",0,INDEX(Transactions!$O:$O,ROW()-8))</f>
      </c>
    </row>
    <row r="7970" spans="1:7">
      <c r="B7970">
        <f>IF(INDEX(Transactions!$J:$J,ROW()-8)="",TODAY(),INDEX(Transactions!$G:$G,ROW()-8))</f>
      </c>
      <c r="F7970">
        <f>IF(INDEX(Transactions!$J:$J,ROW()-8)="",0,INDEX(Transactions!$O:$O,ROW()-8))</f>
      </c>
    </row>
    <row r="7971" spans="1:7">
      <c r="B7971">
        <f>IF(INDEX(Transactions!$J:$J,ROW()-8)="",TODAY(),INDEX(Transactions!$G:$G,ROW()-8))</f>
      </c>
      <c r="F7971">
        <f>IF(INDEX(Transactions!$J:$J,ROW()-8)="",0,INDEX(Transactions!$O:$O,ROW()-8))</f>
      </c>
    </row>
    <row r="7972" spans="1:7">
      <c r="B7972">
        <f>IF(INDEX(Transactions!$J:$J,ROW()-8)="",TODAY(),INDEX(Transactions!$G:$G,ROW()-8))</f>
      </c>
      <c r="F7972">
        <f>IF(INDEX(Transactions!$J:$J,ROW()-8)="",0,INDEX(Transactions!$O:$O,ROW()-8))</f>
      </c>
    </row>
    <row r="7973" spans="1:7">
      <c r="B7973">
        <f>IF(INDEX(Transactions!$J:$J,ROW()-8)="",TODAY(),INDEX(Transactions!$G:$G,ROW()-8))</f>
      </c>
      <c r="F7973">
        <f>IF(INDEX(Transactions!$J:$J,ROW()-8)="",0,INDEX(Transactions!$O:$O,ROW()-8))</f>
      </c>
    </row>
    <row r="7974" spans="1:7">
      <c r="B7974">
        <f>IF(INDEX(Transactions!$J:$J,ROW()-8)="",TODAY(),INDEX(Transactions!$G:$G,ROW()-8))</f>
      </c>
      <c r="F7974">
        <f>IF(INDEX(Transactions!$J:$J,ROW()-8)="",0,INDEX(Transactions!$O:$O,ROW()-8))</f>
      </c>
    </row>
    <row r="7975" spans="1:7">
      <c r="B7975">
        <f>IF(INDEX(Transactions!$J:$J,ROW()-8)="",TODAY(),INDEX(Transactions!$G:$G,ROW()-8))</f>
      </c>
      <c r="F7975">
        <f>IF(INDEX(Transactions!$J:$J,ROW()-8)="",0,INDEX(Transactions!$O:$O,ROW()-8))</f>
      </c>
    </row>
    <row r="7976" spans="1:7">
      <c r="B7976">
        <f>IF(INDEX(Transactions!$J:$J,ROW()-8)="",TODAY(),INDEX(Transactions!$G:$G,ROW()-8))</f>
      </c>
      <c r="F7976">
        <f>IF(INDEX(Transactions!$J:$J,ROW()-8)="",0,INDEX(Transactions!$O:$O,ROW()-8))</f>
      </c>
    </row>
    <row r="7977" spans="1:7">
      <c r="B7977">
        <f>IF(INDEX(Transactions!$J:$J,ROW()-8)="",TODAY(),INDEX(Transactions!$G:$G,ROW()-8))</f>
      </c>
      <c r="F7977">
        <f>IF(INDEX(Transactions!$J:$J,ROW()-8)="",0,INDEX(Transactions!$O:$O,ROW()-8))</f>
      </c>
    </row>
    <row r="7978" spans="1:7">
      <c r="B7978">
        <f>IF(INDEX(Transactions!$J:$J,ROW()-8)="",TODAY(),INDEX(Transactions!$G:$G,ROW()-8))</f>
      </c>
      <c r="F7978">
        <f>IF(INDEX(Transactions!$J:$J,ROW()-8)="",0,INDEX(Transactions!$O:$O,ROW()-8))</f>
      </c>
    </row>
    <row r="7979" spans="1:7">
      <c r="B7979">
        <f>IF(INDEX(Transactions!$J:$J,ROW()-8)="",TODAY(),INDEX(Transactions!$G:$G,ROW()-8))</f>
      </c>
      <c r="F7979">
        <f>IF(INDEX(Transactions!$J:$J,ROW()-8)="",0,INDEX(Transactions!$O:$O,ROW()-8))</f>
      </c>
    </row>
    <row r="7980" spans="1:7">
      <c r="B7980">
        <f>IF(INDEX(Transactions!$J:$J,ROW()-8)="",TODAY(),INDEX(Transactions!$G:$G,ROW()-8))</f>
      </c>
      <c r="F7980">
        <f>IF(INDEX(Transactions!$J:$J,ROW()-8)="",0,INDEX(Transactions!$O:$O,ROW()-8))</f>
      </c>
    </row>
    <row r="7981" spans="1:7">
      <c r="B7981">
        <f>IF(INDEX(Transactions!$J:$J,ROW()-8)="",TODAY(),INDEX(Transactions!$G:$G,ROW()-8))</f>
      </c>
      <c r="F7981">
        <f>IF(INDEX(Transactions!$J:$J,ROW()-8)="",0,INDEX(Transactions!$O:$O,ROW()-8))</f>
      </c>
    </row>
    <row r="7982" spans="1:7">
      <c r="B7982">
        <f>IF(INDEX(Transactions!$J:$J,ROW()-8)="",TODAY(),INDEX(Transactions!$G:$G,ROW()-8))</f>
      </c>
      <c r="F7982">
        <f>IF(INDEX(Transactions!$J:$J,ROW()-8)="",0,INDEX(Transactions!$O:$O,ROW()-8))</f>
      </c>
    </row>
    <row r="7983" spans="1:7">
      <c r="B7983">
        <f>IF(INDEX(Transactions!$J:$J,ROW()-8)="",TODAY(),INDEX(Transactions!$G:$G,ROW()-8))</f>
      </c>
      <c r="F7983">
        <f>IF(INDEX(Transactions!$J:$J,ROW()-8)="",0,INDEX(Transactions!$O:$O,ROW()-8))</f>
      </c>
    </row>
    <row r="7984" spans="1:7">
      <c r="B7984">
        <f>IF(INDEX(Transactions!$J:$J,ROW()-8)="",TODAY(),INDEX(Transactions!$G:$G,ROW()-8))</f>
      </c>
      <c r="F7984">
        <f>IF(INDEX(Transactions!$J:$J,ROW()-8)="",0,INDEX(Transactions!$O:$O,ROW()-8))</f>
      </c>
    </row>
    <row r="7985" spans="1:7">
      <c r="B7985">
        <f>IF(INDEX(Transactions!$J:$J,ROW()-8)="",TODAY(),INDEX(Transactions!$G:$G,ROW()-8))</f>
      </c>
      <c r="F7985">
        <f>IF(INDEX(Transactions!$J:$J,ROW()-8)="",0,INDEX(Transactions!$O:$O,ROW()-8))</f>
      </c>
    </row>
    <row r="7986" spans="1:7">
      <c r="B7986">
        <f>IF(INDEX(Transactions!$J:$J,ROW()-8)="",TODAY(),INDEX(Transactions!$G:$G,ROW()-8))</f>
      </c>
      <c r="F7986">
        <f>IF(INDEX(Transactions!$J:$J,ROW()-8)="",0,INDEX(Transactions!$O:$O,ROW()-8))</f>
      </c>
    </row>
    <row r="7987" spans="1:7">
      <c r="B7987">
        <f>IF(INDEX(Transactions!$J:$J,ROW()-8)="",TODAY(),INDEX(Transactions!$G:$G,ROW()-8))</f>
      </c>
      <c r="F7987">
        <f>IF(INDEX(Transactions!$J:$J,ROW()-8)="",0,INDEX(Transactions!$O:$O,ROW()-8))</f>
      </c>
    </row>
    <row r="7988" spans="1:7">
      <c r="B7988">
        <f>IF(INDEX(Transactions!$J:$J,ROW()-8)="",TODAY(),INDEX(Transactions!$G:$G,ROW()-8))</f>
      </c>
      <c r="F7988">
        <f>IF(INDEX(Transactions!$J:$J,ROW()-8)="",0,INDEX(Transactions!$O:$O,ROW()-8))</f>
      </c>
    </row>
    <row r="7989" spans="1:7">
      <c r="B7989">
        <f>IF(INDEX(Transactions!$J:$J,ROW()-8)="",TODAY(),INDEX(Transactions!$G:$G,ROW()-8))</f>
      </c>
      <c r="F7989">
        <f>IF(INDEX(Transactions!$J:$J,ROW()-8)="",0,INDEX(Transactions!$O:$O,ROW()-8))</f>
      </c>
    </row>
    <row r="7990" spans="1:7">
      <c r="B7990">
        <f>IF(INDEX(Transactions!$J:$J,ROW()-8)="",TODAY(),INDEX(Transactions!$G:$G,ROW()-8))</f>
      </c>
      <c r="F7990">
        <f>IF(INDEX(Transactions!$J:$J,ROW()-8)="",0,INDEX(Transactions!$O:$O,ROW()-8))</f>
      </c>
    </row>
    <row r="7991" spans="1:7">
      <c r="B7991">
        <f>IF(INDEX(Transactions!$J:$J,ROW()-8)="",TODAY(),INDEX(Transactions!$G:$G,ROW()-8))</f>
      </c>
      <c r="F7991">
        <f>IF(INDEX(Transactions!$J:$J,ROW()-8)="",0,INDEX(Transactions!$O:$O,ROW()-8))</f>
      </c>
    </row>
    <row r="7992" spans="1:7">
      <c r="B7992">
        <f>IF(INDEX(Transactions!$J:$J,ROW()-8)="",TODAY(),INDEX(Transactions!$G:$G,ROW()-8))</f>
      </c>
      <c r="F7992">
        <f>IF(INDEX(Transactions!$J:$J,ROW()-8)="",0,INDEX(Transactions!$O:$O,ROW()-8))</f>
      </c>
    </row>
    <row r="7993" spans="1:7">
      <c r="B7993">
        <f>IF(INDEX(Transactions!$J:$J,ROW()-8)="",TODAY(),INDEX(Transactions!$G:$G,ROW()-8))</f>
      </c>
      <c r="F7993">
        <f>IF(INDEX(Transactions!$J:$J,ROW()-8)="",0,INDEX(Transactions!$O:$O,ROW()-8))</f>
      </c>
    </row>
    <row r="7994" spans="1:7">
      <c r="B7994">
        <f>IF(INDEX(Transactions!$J:$J,ROW()-8)="",TODAY(),INDEX(Transactions!$G:$G,ROW()-8))</f>
      </c>
      <c r="F7994">
        <f>IF(INDEX(Transactions!$J:$J,ROW()-8)="",0,INDEX(Transactions!$O:$O,ROW()-8))</f>
      </c>
    </row>
    <row r="7995" spans="1:7">
      <c r="B7995">
        <f>IF(INDEX(Transactions!$J:$J,ROW()-8)="",TODAY(),INDEX(Transactions!$G:$G,ROW()-8))</f>
      </c>
      <c r="F7995">
        <f>IF(INDEX(Transactions!$J:$J,ROW()-8)="",0,INDEX(Transactions!$O:$O,ROW()-8))</f>
      </c>
    </row>
    <row r="7996" spans="1:7">
      <c r="B7996">
        <f>IF(INDEX(Transactions!$J:$J,ROW()-8)="",TODAY(),INDEX(Transactions!$G:$G,ROW()-8))</f>
      </c>
      <c r="F7996">
        <f>IF(INDEX(Transactions!$J:$J,ROW()-8)="",0,INDEX(Transactions!$O:$O,ROW()-8))</f>
      </c>
    </row>
    <row r="7997" spans="1:7">
      <c r="B7997">
        <f>IF(INDEX(Transactions!$J:$J,ROW()-8)="",TODAY(),INDEX(Transactions!$G:$G,ROW()-8))</f>
      </c>
      <c r="F7997">
        <f>IF(INDEX(Transactions!$J:$J,ROW()-8)="",0,INDEX(Transactions!$O:$O,ROW()-8))</f>
      </c>
    </row>
    <row r="7998" spans="1:7">
      <c r="B7998">
        <f>IF(INDEX(Transactions!$J:$J,ROW()-8)="",TODAY(),INDEX(Transactions!$G:$G,ROW()-8))</f>
      </c>
      <c r="F7998">
        <f>IF(INDEX(Transactions!$J:$J,ROW()-8)="",0,INDEX(Transactions!$O:$O,ROW()-8))</f>
      </c>
    </row>
    <row r="7999" spans="1:7">
      <c r="B7999">
        <f>IF(INDEX(Transactions!$J:$J,ROW()-8)="",TODAY(),INDEX(Transactions!$G:$G,ROW()-8))</f>
      </c>
      <c r="F7999">
        <f>IF(INDEX(Transactions!$J:$J,ROW()-8)="",0,INDEX(Transactions!$O:$O,ROW()-8))</f>
      </c>
    </row>
    <row r="8000" spans="1:7">
      <c r="B8000">
        <f>IF(INDEX(Transactions!$J:$J,ROW()-8)="",TODAY(),INDEX(Transactions!$G:$G,ROW()-8))</f>
      </c>
      <c r="F8000">
        <f>IF(INDEX(Transactions!$J:$J,ROW()-8)="",0,INDEX(Transactions!$O:$O,ROW()-8))</f>
      </c>
    </row>
    <row r="8001" spans="1:7">
      <c r="B8001">
        <f>IF(INDEX(Transactions!$J:$J,ROW()-8)="",TODAY(),INDEX(Transactions!$G:$G,ROW()-8))</f>
      </c>
      <c r="F8001">
        <f>IF(INDEX(Transactions!$J:$J,ROW()-8)="",0,INDEX(Transactions!$O:$O,ROW()-8))</f>
      </c>
    </row>
    <row r="8002" spans="1:7">
      <c r="B8002">
        <f>IF(INDEX(Transactions!$J:$J,ROW()-8)="",TODAY(),INDEX(Transactions!$G:$G,ROW()-8))</f>
      </c>
      <c r="F8002">
        <f>IF(INDEX(Transactions!$J:$J,ROW()-8)="",0,INDEX(Transactions!$O:$O,ROW()-8))</f>
      </c>
    </row>
    <row r="8003" spans="1:7">
      <c r="B8003">
        <f>IF(INDEX(Transactions!$J:$J,ROW()-8)="",TODAY(),INDEX(Transactions!$G:$G,ROW()-8))</f>
      </c>
      <c r="F8003">
        <f>IF(INDEX(Transactions!$J:$J,ROW()-8)="",0,INDEX(Transactions!$O:$O,ROW()-8))</f>
      </c>
    </row>
    <row r="8004" spans="1:7">
      <c r="B8004">
        <f>IF(INDEX(Transactions!$J:$J,ROW()-8)="",TODAY(),INDEX(Transactions!$G:$G,ROW()-8))</f>
      </c>
      <c r="F8004">
        <f>IF(INDEX(Transactions!$J:$J,ROW()-8)="",0,INDEX(Transactions!$O:$O,ROW()-8))</f>
      </c>
    </row>
    <row r="8005" spans="1:7">
      <c r="B8005">
        <f>IF(INDEX(Transactions!$J:$J,ROW()-8)="",TODAY(),INDEX(Transactions!$G:$G,ROW()-8))</f>
      </c>
      <c r="F8005">
        <f>IF(INDEX(Transactions!$J:$J,ROW()-8)="",0,INDEX(Transactions!$O:$O,ROW()-8))</f>
      </c>
    </row>
    <row r="8006" spans="1:7">
      <c r="B8006">
        <f>IF(INDEX(Transactions!$J:$J,ROW()-8)="",TODAY(),INDEX(Transactions!$G:$G,ROW()-8))</f>
      </c>
      <c r="F8006">
        <f>IF(INDEX(Transactions!$J:$J,ROW()-8)="",0,INDEX(Transactions!$O:$O,ROW()-8))</f>
      </c>
    </row>
    <row r="8007" spans="1:7">
      <c r="B8007">
        <f>IF(INDEX(Transactions!$J:$J,ROW()-8)="",TODAY(),INDEX(Transactions!$G:$G,ROW()-8))</f>
      </c>
      <c r="F8007">
        <f>IF(INDEX(Transactions!$J:$J,ROW()-8)="",0,INDEX(Transactions!$O:$O,ROW()-8))</f>
      </c>
    </row>
    <row r="8008" spans="1:7">
      <c r="B8008">
        <f>IF(INDEX(Transactions!$J:$J,ROW()-8)="",TODAY(),INDEX(Transactions!$G:$G,ROW()-8))</f>
      </c>
      <c r="F8008">
        <f>IF(INDEX(Transactions!$J:$J,ROW()-8)="",0,INDEX(Transactions!$O:$O,ROW()-8))</f>
      </c>
    </row>
    <row r="8009" spans="1:7">
      <c r="B8009">
        <f>IF(INDEX(Transactions!$J:$J,ROW()-8)="",TODAY(),INDEX(Transactions!$G:$G,ROW()-8))</f>
      </c>
      <c r="F8009">
        <f>IF(INDEX(Transactions!$J:$J,ROW()-8)="",0,INDEX(Transactions!$O:$O,ROW()-8))</f>
      </c>
    </row>
    <row r="8010" spans="1:7">
      <c r="B8010">
        <f>IF(INDEX(Transactions!$J:$J,ROW()-8)="",TODAY(),INDEX(Transactions!$G:$G,ROW()-8))</f>
      </c>
      <c r="F8010">
        <f>IF(INDEX(Transactions!$J:$J,ROW()-8)="",0,INDEX(Transactions!$O:$O,ROW()-8))</f>
      </c>
    </row>
    <row r="8011" spans="1:7">
      <c r="B8011">
        <f>IF(INDEX(Transactions!$J:$J,ROW()-8)="",TODAY(),INDEX(Transactions!$G:$G,ROW()-8))</f>
      </c>
      <c r="F8011">
        <f>IF(INDEX(Transactions!$J:$J,ROW()-8)="",0,INDEX(Transactions!$O:$O,ROW()-8))</f>
      </c>
    </row>
    <row r="8012" spans="1:7">
      <c r="B8012">
        <f>IF(INDEX(Transactions!$J:$J,ROW()-8)="",TODAY(),INDEX(Transactions!$G:$G,ROW()-8))</f>
      </c>
      <c r="F8012">
        <f>IF(INDEX(Transactions!$J:$J,ROW()-8)="",0,INDEX(Transactions!$O:$O,ROW()-8))</f>
      </c>
    </row>
    <row r="8013" spans="1:7">
      <c r="B8013">
        <f>IF(INDEX(Transactions!$J:$J,ROW()-8)="",TODAY(),INDEX(Transactions!$G:$G,ROW()-8))</f>
      </c>
      <c r="F8013">
        <f>IF(INDEX(Transactions!$J:$J,ROW()-8)="",0,INDEX(Transactions!$O:$O,ROW()-8))</f>
      </c>
    </row>
    <row r="8014" spans="1:7">
      <c r="B8014">
        <f>IF(INDEX(Transactions!$J:$J,ROW()-8)="",TODAY(),INDEX(Transactions!$G:$G,ROW()-8))</f>
      </c>
      <c r="F8014">
        <f>IF(INDEX(Transactions!$J:$J,ROW()-8)="",0,INDEX(Transactions!$O:$O,ROW()-8))</f>
      </c>
    </row>
    <row r="8015" spans="1:7">
      <c r="B8015">
        <f>IF(INDEX(Transactions!$J:$J,ROW()-8)="",TODAY(),INDEX(Transactions!$G:$G,ROW()-8))</f>
      </c>
      <c r="F8015">
        <f>IF(INDEX(Transactions!$J:$J,ROW()-8)="",0,INDEX(Transactions!$O:$O,ROW()-8))</f>
      </c>
    </row>
    <row r="8016" spans="1:7">
      <c r="B8016">
        <f>IF(INDEX(Transactions!$J:$J,ROW()-8)="",TODAY(),INDEX(Transactions!$G:$G,ROW()-8))</f>
      </c>
      <c r="F8016">
        <f>IF(INDEX(Transactions!$J:$J,ROW()-8)="",0,INDEX(Transactions!$O:$O,ROW()-8))</f>
      </c>
    </row>
    <row r="8017" spans="1:7">
      <c r="B8017">
        <f>IF(INDEX(Transactions!$J:$J,ROW()-8)="",TODAY(),INDEX(Transactions!$G:$G,ROW()-8))</f>
      </c>
      <c r="F8017">
        <f>IF(INDEX(Transactions!$J:$J,ROW()-8)="",0,INDEX(Transactions!$O:$O,ROW()-8))</f>
      </c>
    </row>
    <row r="8018" spans="1:7">
      <c r="B8018">
        <f>IF(INDEX(Transactions!$J:$J,ROW()-8)="",TODAY(),INDEX(Transactions!$G:$G,ROW()-8))</f>
      </c>
      <c r="F8018">
        <f>IF(INDEX(Transactions!$J:$J,ROW()-8)="",0,INDEX(Transactions!$O:$O,ROW()-8))</f>
      </c>
    </row>
    <row r="8019" spans="1:7">
      <c r="B8019">
        <f>IF(INDEX(Transactions!$J:$J,ROW()-8)="",TODAY(),INDEX(Transactions!$G:$G,ROW()-8))</f>
      </c>
      <c r="F8019">
        <f>IF(INDEX(Transactions!$J:$J,ROW()-8)="",0,INDEX(Transactions!$O:$O,ROW()-8))</f>
      </c>
    </row>
    <row r="8020" spans="1:7">
      <c r="B8020">
        <f>IF(INDEX(Transactions!$J:$J,ROW()-8)="",TODAY(),INDEX(Transactions!$G:$G,ROW()-8))</f>
      </c>
      <c r="F8020">
        <f>IF(INDEX(Transactions!$J:$J,ROW()-8)="",0,INDEX(Transactions!$O:$O,ROW()-8))</f>
      </c>
    </row>
    <row r="8021" spans="1:7">
      <c r="B8021">
        <f>IF(INDEX(Transactions!$J:$J,ROW()-8)="",TODAY(),INDEX(Transactions!$G:$G,ROW()-8))</f>
      </c>
      <c r="F8021">
        <f>IF(INDEX(Transactions!$J:$J,ROW()-8)="",0,INDEX(Transactions!$O:$O,ROW()-8))</f>
      </c>
    </row>
    <row r="8022" spans="1:7">
      <c r="B8022">
        <f>IF(INDEX(Transactions!$J:$J,ROW()-8)="",TODAY(),INDEX(Transactions!$G:$G,ROW()-8))</f>
      </c>
      <c r="F8022">
        <f>IF(INDEX(Transactions!$J:$J,ROW()-8)="",0,INDEX(Transactions!$O:$O,ROW()-8))</f>
      </c>
    </row>
    <row r="8023" spans="1:7">
      <c r="B8023">
        <f>IF(INDEX(Transactions!$J:$J,ROW()-8)="",TODAY(),INDEX(Transactions!$G:$G,ROW()-8))</f>
      </c>
      <c r="F8023">
        <f>IF(INDEX(Transactions!$J:$J,ROW()-8)="",0,INDEX(Transactions!$O:$O,ROW()-8))</f>
      </c>
    </row>
    <row r="8024" spans="1:7">
      <c r="B8024">
        <f>IF(INDEX(Transactions!$J:$J,ROW()-8)="",TODAY(),INDEX(Transactions!$G:$G,ROW()-8))</f>
      </c>
      <c r="F8024">
        <f>IF(INDEX(Transactions!$J:$J,ROW()-8)="",0,INDEX(Transactions!$O:$O,ROW()-8))</f>
      </c>
    </row>
    <row r="8025" spans="1:7">
      <c r="B8025">
        <f>IF(INDEX(Transactions!$J:$J,ROW()-8)="",TODAY(),INDEX(Transactions!$G:$G,ROW()-8))</f>
      </c>
      <c r="F8025">
        <f>IF(INDEX(Transactions!$J:$J,ROW()-8)="",0,INDEX(Transactions!$O:$O,ROW()-8))</f>
      </c>
    </row>
    <row r="8026" spans="1:7">
      <c r="B8026">
        <f>IF(INDEX(Transactions!$J:$J,ROW()-8)="",TODAY(),INDEX(Transactions!$G:$G,ROW()-8))</f>
      </c>
      <c r="F8026">
        <f>IF(INDEX(Transactions!$J:$J,ROW()-8)="",0,INDEX(Transactions!$O:$O,ROW()-8))</f>
      </c>
    </row>
    <row r="8027" spans="1:7">
      <c r="B8027">
        <f>IF(INDEX(Transactions!$J:$J,ROW()-8)="",TODAY(),INDEX(Transactions!$G:$G,ROW()-8))</f>
      </c>
      <c r="F8027">
        <f>IF(INDEX(Transactions!$J:$J,ROW()-8)="",0,INDEX(Transactions!$O:$O,ROW()-8))</f>
      </c>
    </row>
    <row r="8028" spans="1:7">
      <c r="B8028">
        <f>IF(INDEX(Transactions!$J:$J,ROW()-8)="",TODAY(),INDEX(Transactions!$G:$G,ROW()-8))</f>
      </c>
      <c r="F8028">
        <f>IF(INDEX(Transactions!$J:$J,ROW()-8)="",0,INDEX(Transactions!$O:$O,ROW()-8))</f>
      </c>
    </row>
    <row r="8029" spans="1:7">
      <c r="B8029">
        <f>IF(INDEX(Transactions!$J:$J,ROW()-8)="",TODAY(),INDEX(Transactions!$G:$G,ROW()-8))</f>
      </c>
      <c r="F8029">
        <f>IF(INDEX(Transactions!$J:$J,ROW()-8)="",0,INDEX(Transactions!$O:$O,ROW()-8))</f>
      </c>
    </row>
    <row r="8030" spans="1:7">
      <c r="B8030">
        <f>IF(INDEX(Transactions!$J:$J,ROW()-8)="",TODAY(),INDEX(Transactions!$G:$G,ROW()-8))</f>
      </c>
      <c r="F8030">
        <f>IF(INDEX(Transactions!$J:$J,ROW()-8)="",0,INDEX(Transactions!$O:$O,ROW()-8))</f>
      </c>
    </row>
    <row r="8031" spans="1:7">
      <c r="B8031">
        <f>IF(INDEX(Transactions!$J:$J,ROW()-8)="",TODAY(),INDEX(Transactions!$G:$G,ROW()-8))</f>
      </c>
      <c r="F8031">
        <f>IF(INDEX(Transactions!$J:$J,ROW()-8)="",0,INDEX(Transactions!$O:$O,ROW()-8))</f>
      </c>
    </row>
    <row r="8032" spans="1:7">
      <c r="B8032">
        <f>IF(INDEX(Transactions!$J:$J,ROW()-8)="",TODAY(),INDEX(Transactions!$G:$G,ROW()-8))</f>
      </c>
      <c r="F8032">
        <f>IF(INDEX(Transactions!$J:$J,ROW()-8)="",0,INDEX(Transactions!$O:$O,ROW()-8))</f>
      </c>
    </row>
    <row r="8033" spans="1:7">
      <c r="B8033">
        <f>IF(INDEX(Transactions!$J:$J,ROW()-8)="",TODAY(),INDEX(Transactions!$G:$G,ROW()-8))</f>
      </c>
      <c r="F8033">
        <f>IF(INDEX(Transactions!$J:$J,ROW()-8)="",0,INDEX(Transactions!$O:$O,ROW()-8))</f>
      </c>
    </row>
    <row r="8034" spans="1:7">
      <c r="B8034">
        <f>IF(INDEX(Transactions!$J:$J,ROW()-8)="",TODAY(),INDEX(Transactions!$G:$G,ROW()-8))</f>
      </c>
      <c r="F8034">
        <f>IF(INDEX(Transactions!$J:$J,ROW()-8)="",0,INDEX(Transactions!$O:$O,ROW()-8))</f>
      </c>
    </row>
    <row r="8035" spans="1:7">
      <c r="B8035">
        <f>IF(INDEX(Transactions!$J:$J,ROW()-8)="",TODAY(),INDEX(Transactions!$G:$G,ROW()-8))</f>
      </c>
      <c r="F8035">
        <f>IF(INDEX(Transactions!$J:$J,ROW()-8)="",0,INDEX(Transactions!$O:$O,ROW()-8))</f>
      </c>
    </row>
    <row r="8036" spans="1:7">
      <c r="B8036">
        <f>IF(INDEX(Transactions!$J:$J,ROW()-8)="",TODAY(),INDEX(Transactions!$G:$G,ROW()-8))</f>
      </c>
      <c r="F8036">
        <f>IF(INDEX(Transactions!$J:$J,ROW()-8)="",0,INDEX(Transactions!$O:$O,ROW()-8))</f>
      </c>
    </row>
    <row r="8037" spans="1:7">
      <c r="B8037">
        <f>IF(INDEX(Transactions!$J:$J,ROW()-8)="",TODAY(),INDEX(Transactions!$G:$G,ROW()-8))</f>
      </c>
      <c r="F8037">
        <f>IF(INDEX(Transactions!$J:$J,ROW()-8)="",0,INDEX(Transactions!$O:$O,ROW()-8))</f>
      </c>
    </row>
    <row r="8038" spans="1:7">
      <c r="B8038">
        <f>IF(INDEX(Transactions!$J:$J,ROW()-8)="",TODAY(),INDEX(Transactions!$G:$G,ROW()-8))</f>
      </c>
      <c r="F8038">
        <f>IF(INDEX(Transactions!$J:$J,ROW()-8)="",0,INDEX(Transactions!$O:$O,ROW()-8))</f>
      </c>
    </row>
    <row r="8039" spans="1:7">
      <c r="B8039">
        <f>IF(INDEX(Transactions!$J:$J,ROW()-8)="",TODAY(),INDEX(Transactions!$G:$G,ROW()-8))</f>
      </c>
      <c r="F8039">
        <f>IF(INDEX(Transactions!$J:$J,ROW()-8)="",0,INDEX(Transactions!$O:$O,ROW()-8))</f>
      </c>
    </row>
    <row r="8040" spans="1:7">
      <c r="B8040">
        <f>IF(INDEX(Transactions!$J:$J,ROW()-8)="",TODAY(),INDEX(Transactions!$G:$G,ROW()-8))</f>
      </c>
      <c r="F8040">
        <f>IF(INDEX(Transactions!$J:$J,ROW()-8)="",0,INDEX(Transactions!$O:$O,ROW()-8))</f>
      </c>
    </row>
    <row r="8041" spans="1:7">
      <c r="B8041">
        <f>IF(INDEX(Transactions!$J:$J,ROW()-8)="",TODAY(),INDEX(Transactions!$G:$G,ROW()-8))</f>
      </c>
      <c r="F8041">
        <f>IF(INDEX(Transactions!$J:$J,ROW()-8)="",0,INDEX(Transactions!$O:$O,ROW()-8))</f>
      </c>
    </row>
    <row r="8042" spans="1:7">
      <c r="B8042">
        <f>IF(INDEX(Transactions!$J:$J,ROW()-8)="",TODAY(),INDEX(Transactions!$G:$G,ROW()-8))</f>
      </c>
      <c r="F8042">
        <f>IF(INDEX(Transactions!$J:$J,ROW()-8)="",0,INDEX(Transactions!$O:$O,ROW()-8))</f>
      </c>
    </row>
    <row r="8043" spans="1:7">
      <c r="B8043">
        <f>IF(INDEX(Transactions!$J:$J,ROW()-8)="",TODAY(),INDEX(Transactions!$G:$G,ROW()-8))</f>
      </c>
      <c r="F8043">
        <f>IF(INDEX(Transactions!$J:$J,ROW()-8)="",0,INDEX(Transactions!$O:$O,ROW()-8))</f>
      </c>
    </row>
    <row r="8044" spans="1:7">
      <c r="B8044">
        <f>IF(INDEX(Transactions!$J:$J,ROW()-8)="",TODAY(),INDEX(Transactions!$G:$G,ROW()-8))</f>
      </c>
      <c r="F8044">
        <f>IF(INDEX(Transactions!$J:$J,ROW()-8)="",0,INDEX(Transactions!$O:$O,ROW()-8))</f>
      </c>
    </row>
    <row r="8045" spans="1:7">
      <c r="B8045">
        <f>IF(INDEX(Transactions!$J:$J,ROW()-8)="",TODAY(),INDEX(Transactions!$G:$G,ROW()-8))</f>
      </c>
      <c r="F8045">
        <f>IF(INDEX(Transactions!$J:$J,ROW()-8)="",0,INDEX(Transactions!$O:$O,ROW()-8))</f>
      </c>
    </row>
    <row r="8046" spans="1:7">
      <c r="B8046">
        <f>IF(INDEX(Transactions!$J:$J,ROW()-8)="",TODAY(),INDEX(Transactions!$G:$G,ROW()-8))</f>
      </c>
      <c r="F8046">
        <f>IF(INDEX(Transactions!$J:$J,ROW()-8)="",0,INDEX(Transactions!$O:$O,ROW()-8))</f>
      </c>
    </row>
    <row r="8047" spans="1:7">
      <c r="B8047">
        <f>IF(INDEX(Transactions!$J:$J,ROW()-8)="",TODAY(),INDEX(Transactions!$G:$G,ROW()-8))</f>
      </c>
      <c r="F8047">
        <f>IF(INDEX(Transactions!$J:$J,ROW()-8)="",0,INDEX(Transactions!$O:$O,ROW()-8))</f>
      </c>
    </row>
    <row r="8048" spans="1:7">
      <c r="B8048">
        <f>IF(INDEX(Transactions!$J:$J,ROW()-8)="",TODAY(),INDEX(Transactions!$G:$G,ROW()-8))</f>
      </c>
      <c r="F8048">
        <f>IF(INDEX(Transactions!$J:$J,ROW()-8)="",0,INDEX(Transactions!$O:$O,ROW()-8))</f>
      </c>
    </row>
    <row r="8049" spans="1:7">
      <c r="B8049">
        <f>IF(INDEX(Transactions!$J:$J,ROW()-8)="",TODAY(),INDEX(Transactions!$G:$G,ROW()-8))</f>
      </c>
      <c r="F8049">
        <f>IF(INDEX(Transactions!$J:$J,ROW()-8)="",0,INDEX(Transactions!$O:$O,ROW()-8))</f>
      </c>
    </row>
    <row r="8050" spans="1:7">
      <c r="B8050">
        <f>IF(INDEX(Transactions!$J:$J,ROW()-8)="",TODAY(),INDEX(Transactions!$G:$G,ROW()-8))</f>
      </c>
      <c r="F8050">
        <f>IF(INDEX(Transactions!$J:$J,ROW()-8)="",0,INDEX(Transactions!$O:$O,ROW()-8))</f>
      </c>
    </row>
    <row r="8051" spans="1:7">
      <c r="B8051">
        <f>IF(INDEX(Transactions!$J:$J,ROW()-8)="",TODAY(),INDEX(Transactions!$G:$G,ROW()-8))</f>
      </c>
      <c r="F8051">
        <f>IF(INDEX(Transactions!$J:$J,ROW()-8)="",0,INDEX(Transactions!$O:$O,ROW()-8))</f>
      </c>
    </row>
    <row r="8052" spans="1:7">
      <c r="B8052">
        <f>IF(INDEX(Transactions!$J:$J,ROW()-8)="",TODAY(),INDEX(Transactions!$G:$G,ROW()-8))</f>
      </c>
      <c r="F8052">
        <f>IF(INDEX(Transactions!$J:$J,ROW()-8)="",0,INDEX(Transactions!$O:$O,ROW()-8))</f>
      </c>
    </row>
    <row r="8053" spans="1:7">
      <c r="B8053">
        <f>IF(INDEX(Transactions!$J:$J,ROW()-8)="",TODAY(),INDEX(Transactions!$G:$G,ROW()-8))</f>
      </c>
      <c r="F8053">
        <f>IF(INDEX(Transactions!$J:$J,ROW()-8)="",0,INDEX(Transactions!$O:$O,ROW()-8))</f>
      </c>
    </row>
    <row r="8054" spans="1:7">
      <c r="B8054">
        <f>IF(INDEX(Transactions!$J:$J,ROW()-8)="",TODAY(),INDEX(Transactions!$G:$G,ROW()-8))</f>
      </c>
      <c r="F8054">
        <f>IF(INDEX(Transactions!$J:$J,ROW()-8)="",0,INDEX(Transactions!$O:$O,ROW()-8))</f>
      </c>
    </row>
    <row r="8055" spans="1:7">
      <c r="B8055">
        <f>IF(INDEX(Transactions!$J:$J,ROW()-8)="",TODAY(),INDEX(Transactions!$G:$G,ROW()-8))</f>
      </c>
      <c r="F8055">
        <f>IF(INDEX(Transactions!$J:$J,ROW()-8)="",0,INDEX(Transactions!$O:$O,ROW()-8))</f>
      </c>
    </row>
    <row r="8056" spans="1:7">
      <c r="B8056">
        <f>IF(INDEX(Transactions!$J:$J,ROW()-8)="",TODAY(),INDEX(Transactions!$G:$G,ROW()-8))</f>
      </c>
      <c r="F8056">
        <f>IF(INDEX(Transactions!$J:$J,ROW()-8)="",0,INDEX(Transactions!$O:$O,ROW()-8))</f>
      </c>
    </row>
    <row r="8057" spans="1:7">
      <c r="B8057">
        <f>IF(INDEX(Transactions!$J:$J,ROW()-8)="",TODAY(),INDEX(Transactions!$G:$G,ROW()-8))</f>
      </c>
      <c r="F8057">
        <f>IF(INDEX(Transactions!$J:$J,ROW()-8)="",0,INDEX(Transactions!$O:$O,ROW()-8))</f>
      </c>
    </row>
    <row r="8058" spans="1:7">
      <c r="B8058">
        <f>IF(INDEX(Transactions!$J:$J,ROW()-8)="",TODAY(),INDEX(Transactions!$G:$G,ROW()-8))</f>
      </c>
      <c r="F8058">
        <f>IF(INDEX(Transactions!$J:$J,ROW()-8)="",0,INDEX(Transactions!$O:$O,ROW()-8))</f>
      </c>
    </row>
    <row r="8059" spans="1:7">
      <c r="B8059">
        <f>IF(INDEX(Transactions!$J:$J,ROW()-8)="",TODAY(),INDEX(Transactions!$G:$G,ROW()-8))</f>
      </c>
      <c r="F8059">
        <f>IF(INDEX(Transactions!$J:$J,ROW()-8)="",0,INDEX(Transactions!$O:$O,ROW()-8))</f>
      </c>
    </row>
    <row r="8060" spans="1:7">
      <c r="B8060">
        <f>IF(INDEX(Transactions!$J:$J,ROW()-8)="",TODAY(),INDEX(Transactions!$G:$G,ROW()-8))</f>
      </c>
      <c r="F8060">
        <f>IF(INDEX(Transactions!$J:$J,ROW()-8)="",0,INDEX(Transactions!$O:$O,ROW()-8))</f>
      </c>
    </row>
    <row r="8061" spans="1:7">
      <c r="B8061">
        <f>IF(INDEX(Transactions!$J:$J,ROW()-8)="",TODAY(),INDEX(Transactions!$G:$G,ROW()-8))</f>
      </c>
      <c r="F8061">
        <f>IF(INDEX(Transactions!$J:$J,ROW()-8)="",0,INDEX(Transactions!$O:$O,ROW()-8))</f>
      </c>
    </row>
    <row r="8062" spans="1:7">
      <c r="B8062">
        <f>IF(INDEX(Transactions!$J:$J,ROW()-8)="",TODAY(),INDEX(Transactions!$G:$G,ROW()-8))</f>
      </c>
      <c r="F8062">
        <f>IF(INDEX(Transactions!$J:$J,ROW()-8)="",0,INDEX(Transactions!$O:$O,ROW()-8))</f>
      </c>
    </row>
    <row r="8063" spans="1:7">
      <c r="B8063">
        <f>IF(INDEX(Transactions!$J:$J,ROW()-8)="",TODAY(),INDEX(Transactions!$G:$G,ROW()-8))</f>
      </c>
      <c r="F8063">
        <f>IF(INDEX(Transactions!$J:$J,ROW()-8)="",0,INDEX(Transactions!$O:$O,ROW()-8))</f>
      </c>
    </row>
    <row r="8064" spans="1:7">
      <c r="B8064">
        <f>IF(INDEX(Transactions!$J:$J,ROW()-8)="",TODAY(),INDEX(Transactions!$G:$G,ROW()-8))</f>
      </c>
      <c r="F8064">
        <f>IF(INDEX(Transactions!$J:$J,ROW()-8)="",0,INDEX(Transactions!$O:$O,ROW()-8))</f>
      </c>
    </row>
    <row r="8065" spans="1:7">
      <c r="B8065">
        <f>IF(INDEX(Transactions!$J:$J,ROW()-8)="",TODAY(),INDEX(Transactions!$G:$G,ROW()-8))</f>
      </c>
      <c r="F8065">
        <f>IF(INDEX(Transactions!$J:$J,ROW()-8)="",0,INDEX(Transactions!$O:$O,ROW()-8))</f>
      </c>
    </row>
    <row r="8066" spans="1:7">
      <c r="B8066">
        <f>IF(INDEX(Transactions!$J:$J,ROW()-8)="",TODAY(),INDEX(Transactions!$G:$G,ROW()-8))</f>
      </c>
      <c r="F8066">
        <f>IF(INDEX(Transactions!$J:$J,ROW()-8)="",0,INDEX(Transactions!$O:$O,ROW()-8))</f>
      </c>
    </row>
    <row r="8067" spans="1:7">
      <c r="B8067">
        <f>IF(INDEX(Transactions!$J:$J,ROW()-8)="",TODAY(),INDEX(Transactions!$G:$G,ROW()-8))</f>
      </c>
      <c r="F8067">
        <f>IF(INDEX(Transactions!$J:$J,ROW()-8)="",0,INDEX(Transactions!$O:$O,ROW()-8))</f>
      </c>
    </row>
    <row r="8068" spans="1:7">
      <c r="B8068">
        <f>IF(INDEX(Transactions!$J:$J,ROW()-8)="",TODAY(),INDEX(Transactions!$G:$G,ROW()-8))</f>
      </c>
      <c r="F8068">
        <f>IF(INDEX(Transactions!$J:$J,ROW()-8)="",0,INDEX(Transactions!$O:$O,ROW()-8))</f>
      </c>
    </row>
    <row r="8069" spans="1:7">
      <c r="B8069">
        <f>IF(INDEX(Transactions!$J:$J,ROW()-8)="",TODAY(),INDEX(Transactions!$G:$G,ROW()-8))</f>
      </c>
      <c r="F8069">
        <f>IF(INDEX(Transactions!$J:$J,ROW()-8)="",0,INDEX(Transactions!$O:$O,ROW()-8))</f>
      </c>
    </row>
    <row r="8070" spans="1:7">
      <c r="B8070">
        <f>IF(INDEX(Transactions!$J:$J,ROW()-8)="",TODAY(),INDEX(Transactions!$G:$G,ROW()-8))</f>
      </c>
      <c r="F8070">
        <f>IF(INDEX(Transactions!$J:$J,ROW()-8)="",0,INDEX(Transactions!$O:$O,ROW()-8))</f>
      </c>
    </row>
    <row r="8071" spans="1:7">
      <c r="B8071">
        <f>IF(INDEX(Transactions!$J:$J,ROW()-8)="",TODAY(),INDEX(Transactions!$G:$G,ROW()-8))</f>
      </c>
      <c r="F8071">
        <f>IF(INDEX(Transactions!$J:$J,ROW()-8)="",0,INDEX(Transactions!$O:$O,ROW()-8))</f>
      </c>
    </row>
    <row r="8072" spans="1:7">
      <c r="B8072">
        <f>IF(INDEX(Transactions!$J:$J,ROW()-8)="",TODAY(),INDEX(Transactions!$G:$G,ROW()-8))</f>
      </c>
      <c r="F8072">
        <f>IF(INDEX(Transactions!$J:$J,ROW()-8)="",0,INDEX(Transactions!$O:$O,ROW()-8))</f>
      </c>
    </row>
    <row r="8073" spans="1:7">
      <c r="B8073">
        <f>IF(INDEX(Transactions!$J:$J,ROW()-8)="",TODAY(),INDEX(Transactions!$G:$G,ROW()-8))</f>
      </c>
      <c r="F8073">
        <f>IF(INDEX(Transactions!$J:$J,ROW()-8)="",0,INDEX(Transactions!$O:$O,ROW()-8))</f>
      </c>
    </row>
    <row r="8074" spans="1:7">
      <c r="B8074">
        <f>IF(INDEX(Transactions!$J:$J,ROW()-8)="",TODAY(),INDEX(Transactions!$G:$G,ROW()-8))</f>
      </c>
      <c r="F8074">
        <f>IF(INDEX(Transactions!$J:$J,ROW()-8)="",0,INDEX(Transactions!$O:$O,ROW()-8))</f>
      </c>
    </row>
    <row r="8075" spans="1:7">
      <c r="B8075">
        <f>IF(INDEX(Transactions!$J:$J,ROW()-8)="",TODAY(),INDEX(Transactions!$G:$G,ROW()-8))</f>
      </c>
      <c r="F8075">
        <f>IF(INDEX(Transactions!$J:$J,ROW()-8)="",0,INDEX(Transactions!$O:$O,ROW()-8))</f>
      </c>
    </row>
    <row r="8076" spans="1:7">
      <c r="B8076">
        <f>IF(INDEX(Transactions!$J:$J,ROW()-8)="",TODAY(),INDEX(Transactions!$G:$G,ROW()-8))</f>
      </c>
      <c r="F8076">
        <f>IF(INDEX(Transactions!$J:$J,ROW()-8)="",0,INDEX(Transactions!$O:$O,ROW()-8))</f>
      </c>
    </row>
    <row r="8077" spans="1:7">
      <c r="B8077">
        <f>IF(INDEX(Transactions!$J:$J,ROW()-8)="",TODAY(),INDEX(Transactions!$G:$G,ROW()-8))</f>
      </c>
      <c r="F8077">
        <f>IF(INDEX(Transactions!$J:$J,ROW()-8)="",0,INDEX(Transactions!$O:$O,ROW()-8))</f>
      </c>
    </row>
    <row r="8078" spans="1:7">
      <c r="B8078">
        <f>IF(INDEX(Transactions!$J:$J,ROW()-8)="",TODAY(),INDEX(Transactions!$G:$G,ROW()-8))</f>
      </c>
      <c r="F8078">
        <f>IF(INDEX(Transactions!$J:$J,ROW()-8)="",0,INDEX(Transactions!$O:$O,ROW()-8))</f>
      </c>
    </row>
    <row r="8079" spans="1:7">
      <c r="B8079">
        <f>IF(INDEX(Transactions!$J:$J,ROW()-8)="",TODAY(),INDEX(Transactions!$G:$G,ROW()-8))</f>
      </c>
      <c r="F8079">
        <f>IF(INDEX(Transactions!$J:$J,ROW()-8)="",0,INDEX(Transactions!$O:$O,ROW()-8))</f>
      </c>
    </row>
    <row r="8080" spans="1:7">
      <c r="B8080">
        <f>IF(INDEX(Transactions!$J:$J,ROW()-8)="",TODAY(),INDEX(Transactions!$G:$G,ROW()-8))</f>
      </c>
      <c r="F8080">
        <f>IF(INDEX(Transactions!$J:$J,ROW()-8)="",0,INDEX(Transactions!$O:$O,ROW()-8))</f>
      </c>
    </row>
    <row r="8081" spans="1:7">
      <c r="B8081">
        <f>IF(INDEX(Transactions!$J:$J,ROW()-8)="",TODAY(),INDEX(Transactions!$G:$G,ROW()-8))</f>
      </c>
      <c r="F8081">
        <f>IF(INDEX(Transactions!$J:$J,ROW()-8)="",0,INDEX(Transactions!$O:$O,ROW()-8))</f>
      </c>
    </row>
    <row r="8082" spans="1:7">
      <c r="B8082">
        <f>IF(INDEX(Transactions!$J:$J,ROW()-8)="",TODAY(),INDEX(Transactions!$G:$G,ROW()-8))</f>
      </c>
      <c r="F8082">
        <f>IF(INDEX(Transactions!$J:$J,ROW()-8)="",0,INDEX(Transactions!$O:$O,ROW()-8))</f>
      </c>
    </row>
    <row r="8083" spans="1:7">
      <c r="B8083">
        <f>IF(INDEX(Transactions!$J:$J,ROW()-8)="",TODAY(),INDEX(Transactions!$G:$G,ROW()-8))</f>
      </c>
      <c r="F8083">
        <f>IF(INDEX(Transactions!$J:$J,ROW()-8)="",0,INDEX(Transactions!$O:$O,ROW()-8))</f>
      </c>
    </row>
    <row r="8084" spans="1:7">
      <c r="B8084">
        <f>IF(INDEX(Transactions!$J:$J,ROW()-8)="",TODAY(),INDEX(Transactions!$G:$G,ROW()-8))</f>
      </c>
      <c r="F8084">
        <f>IF(INDEX(Transactions!$J:$J,ROW()-8)="",0,INDEX(Transactions!$O:$O,ROW()-8))</f>
      </c>
    </row>
    <row r="8085" spans="1:7">
      <c r="B8085">
        <f>IF(INDEX(Transactions!$J:$J,ROW()-8)="",TODAY(),INDEX(Transactions!$G:$G,ROW()-8))</f>
      </c>
      <c r="F8085">
        <f>IF(INDEX(Transactions!$J:$J,ROW()-8)="",0,INDEX(Transactions!$O:$O,ROW()-8))</f>
      </c>
    </row>
    <row r="8086" spans="1:7">
      <c r="B8086">
        <f>IF(INDEX(Transactions!$J:$J,ROW()-8)="",TODAY(),INDEX(Transactions!$G:$G,ROW()-8))</f>
      </c>
      <c r="F8086">
        <f>IF(INDEX(Transactions!$J:$J,ROW()-8)="",0,INDEX(Transactions!$O:$O,ROW()-8))</f>
      </c>
    </row>
    <row r="8087" spans="1:7">
      <c r="B8087">
        <f>IF(INDEX(Transactions!$J:$J,ROW()-8)="",TODAY(),INDEX(Transactions!$G:$G,ROW()-8))</f>
      </c>
      <c r="F8087">
        <f>IF(INDEX(Transactions!$J:$J,ROW()-8)="",0,INDEX(Transactions!$O:$O,ROW()-8))</f>
      </c>
    </row>
    <row r="8088" spans="1:7">
      <c r="B8088">
        <f>IF(INDEX(Transactions!$J:$J,ROW()-8)="",TODAY(),INDEX(Transactions!$G:$G,ROW()-8))</f>
      </c>
      <c r="F8088">
        <f>IF(INDEX(Transactions!$J:$J,ROW()-8)="",0,INDEX(Transactions!$O:$O,ROW()-8))</f>
      </c>
    </row>
    <row r="8089" spans="1:7">
      <c r="B8089">
        <f>IF(INDEX(Transactions!$J:$J,ROW()-8)="",TODAY(),INDEX(Transactions!$G:$G,ROW()-8))</f>
      </c>
      <c r="F8089">
        <f>IF(INDEX(Transactions!$J:$J,ROW()-8)="",0,INDEX(Transactions!$O:$O,ROW()-8))</f>
      </c>
    </row>
    <row r="8090" spans="1:7">
      <c r="B8090">
        <f>IF(INDEX(Transactions!$J:$J,ROW()-8)="",TODAY(),INDEX(Transactions!$G:$G,ROW()-8))</f>
      </c>
      <c r="F8090">
        <f>IF(INDEX(Transactions!$J:$J,ROW()-8)="",0,INDEX(Transactions!$O:$O,ROW()-8))</f>
      </c>
    </row>
    <row r="8091" spans="1:7">
      <c r="B8091">
        <f>IF(INDEX(Transactions!$J:$J,ROW()-8)="",TODAY(),INDEX(Transactions!$G:$G,ROW()-8))</f>
      </c>
      <c r="F8091">
        <f>IF(INDEX(Transactions!$J:$J,ROW()-8)="",0,INDEX(Transactions!$O:$O,ROW()-8))</f>
      </c>
    </row>
    <row r="8092" spans="1:7">
      <c r="B8092">
        <f>IF(INDEX(Transactions!$J:$J,ROW()-8)="",TODAY(),INDEX(Transactions!$G:$G,ROW()-8))</f>
      </c>
      <c r="F8092">
        <f>IF(INDEX(Transactions!$J:$J,ROW()-8)="",0,INDEX(Transactions!$O:$O,ROW()-8))</f>
      </c>
    </row>
    <row r="8093" spans="1:7">
      <c r="B8093">
        <f>IF(INDEX(Transactions!$J:$J,ROW()-8)="",TODAY(),INDEX(Transactions!$G:$G,ROW()-8))</f>
      </c>
      <c r="F8093">
        <f>IF(INDEX(Transactions!$J:$J,ROW()-8)="",0,INDEX(Transactions!$O:$O,ROW()-8))</f>
      </c>
    </row>
    <row r="8094" spans="1:7">
      <c r="B8094">
        <f>IF(INDEX(Transactions!$J:$J,ROW()-8)="",TODAY(),INDEX(Transactions!$G:$G,ROW()-8))</f>
      </c>
      <c r="F8094">
        <f>IF(INDEX(Transactions!$J:$J,ROW()-8)="",0,INDEX(Transactions!$O:$O,ROW()-8))</f>
      </c>
    </row>
    <row r="8095" spans="1:7">
      <c r="B8095">
        <f>IF(INDEX(Transactions!$J:$J,ROW()-8)="",TODAY(),INDEX(Transactions!$G:$G,ROW()-8))</f>
      </c>
      <c r="F8095">
        <f>IF(INDEX(Transactions!$J:$J,ROW()-8)="",0,INDEX(Transactions!$O:$O,ROW()-8))</f>
      </c>
    </row>
    <row r="8096" spans="1:7">
      <c r="B8096">
        <f>IF(INDEX(Transactions!$J:$J,ROW()-8)="",TODAY(),INDEX(Transactions!$G:$G,ROW()-8))</f>
      </c>
      <c r="F8096">
        <f>IF(INDEX(Transactions!$J:$J,ROW()-8)="",0,INDEX(Transactions!$O:$O,ROW()-8))</f>
      </c>
    </row>
    <row r="8097" spans="1:7">
      <c r="B8097">
        <f>IF(INDEX(Transactions!$J:$J,ROW()-8)="",TODAY(),INDEX(Transactions!$G:$G,ROW()-8))</f>
      </c>
      <c r="F8097">
        <f>IF(INDEX(Transactions!$J:$J,ROW()-8)="",0,INDEX(Transactions!$O:$O,ROW()-8))</f>
      </c>
    </row>
    <row r="8098" spans="1:7">
      <c r="B8098">
        <f>IF(INDEX(Transactions!$J:$J,ROW()-8)="",TODAY(),INDEX(Transactions!$G:$G,ROW()-8))</f>
      </c>
      <c r="F8098">
        <f>IF(INDEX(Transactions!$J:$J,ROW()-8)="",0,INDEX(Transactions!$O:$O,ROW()-8))</f>
      </c>
    </row>
    <row r="8099" spans="1:7">
      <c r="B8099">
        <f>IF(INDEX(Transactions!$J:$J,ROW()-8)="",TODAY(),INDEX(Transactions!$G:$G,ROW()-8))</f>
      </c>
      <c r="F8099">
        <f>IF(INDEX(Transactions!$J:$J,ROW()-8)="",0,INDEX(Transactions!$O:$O,ROW()-8))</f>
      </c>
    </row>
    <row r="8100" spans="1:7">
      <c r="B8100">
        <f>IF(INDEX(Transactions!$J:$J,ROW()-8)="",TODAY(),INDEX(Transactions!$G:$G,ROW()-8))</f>
      </c>
      <c r="F8100">
        <f>IF(INDEX(Transactions!$J:$J,ROW()-8)="",0,INDEX(Transactions!$O:$O,ROW()-8))</f>
      </c>
    </row>
    <row r="8101" spans="1:7">
      <c r="B8101">
        <f>IF(INDEX(Transactions!$J:$J,ROW()-8)="",TODAY(),INDEX(Transactions!$G:$G,ROW()-8))</f>
      </c>
      <c r="F8101">
        <f>IF(INDEX(Transactions!$J:$J,ROW()-8)="",0,INDEX(Transactions!$O:$O,ROW()-8))</f>
      </c>
    </row>
    <row r="8102" spans="1:7">
      <c r="B8102">
        <f>IF(INDEX(Transactions!$J:$J,ROW()-8)="",TODAY(),INDEX(Transactions!$G:$G,ROW()-8))</f>
      </c>
      <c r="F8102">
        <f>IF(INDEX(Transactions!$J:$J,ROW()-8)="",0,INDEX(Transactions!$O:$O,ROW()-8))</f>
      </c>
    </row>
    <row r="8103" spans="1:7">
      <c r="B8103">
        <f>IF(INDEX(Transactions!$J:$J,ROW()-8)="",TODAY(),INDEX(Transactions!$G:$G,ROW()-8))</f>
      </c>
      <c r="F8103">
        <f>IF(INDEX(Transactions!$J:$J,ROW()-8)="",0,INDEX(Transactions!$O:$O,ROW()-8))</f>
      </c>
    </row>
    <row r="8104" spans="1:7">
      <c r="B8104">
        <f>IF(INDEX(Transactions!$J:$J,ROW()-8)="",TODAY(),INDEX(Transactions!$G:$G,ROW()-8))</f>
      </c>
      <c r="F8104">
        <f>IF(INDEX(Transactions!$J:$J,ROW()-8)="",0,INDEX(Transactions!$O:$O,ROW()-8))</f>
      </c>
    </row>
    <row r="8105" spans="1:7">
      <c r="B8105">
        <f>IF(INDEX(Transactions!$J:$J,ROW()-8)="",TODAY(),INDEX(Transactions!$G:$G,ROW()-8))</f>
      </c>
      <c r="F8105">
        <f>IF(INDEX(Transactions!$J:$J,ROW()-8)="",0,INDEX(Transactions!$O:$O,ROW()-8))</f>
      </c>
    </row>
    <row r="8106" spans="1:7">
      <c r="B8106">
        <f>IF(INDEX(Transactions!$J:$J,ROW()-8)="",TODAY(),INDEX(Transactions!$G:$G,ROW()-8))</f>
      </c>
      <c r="F8106">
        <f>IF(INDEX(Transactions!$J:$J,ROW()-8)="",0,INDEX(Transactions!$O:$O,ROW()-8))</f>
      </c>
    </row>
    <row r="8107" spans="1:7">
      <c r="B8107">
        <f>IF(INDEX(Transactions!$J:$J,ROW()-8)="",TODAY(),INDEX(Transactions!$G:$G,ROW()-8))</f>
      </c>
      <c r="F8107">
        <f>IF(INDEX(Transactions!$J:$J,ROW()-8)="",0,INDEX(Transactions!$O:$O,ROW()-8))</f>
      </c>
    </row>
    <row r="8108" spans="1:7">
      <c r="B8108">
        <f>IF(INDEX(Transactions!$J:$J,ROW()-8)="",TODAY(),INDEX(Transactions!$G:$G,ROW()-8))</f>
      </c>
      <c r="F8108">
        <f>IF(INDEX(Transactions!$J:$J,ROW()-8)="",0,INDEX(Transactions!$O:$O,ROW()-8))</f>
      </c>
    </row>
    <row r="8109" spans="1:7">
      <c r="B8109">
        <f>IF(INDEX(Transactions!$J:$J,ROW()-8)="",TODAY(),INDEX(Transactions!$G:$G,ROW()-8))</f>
      </c>
      <c r="F8109">
        <f>IF(INDEX(Transactions!$J:$J,ROW()-8)="",0,INDEX(Transactions!$O:$O,ROW()-8))</f>
      </c>
    </row>
    <row r="8110" spans="1:7">
      <c r="B8110">
        <f>IF(INDEX(Transactions!$J:$J,ROW()-8)="",TODAY(),INDEX(Transactions!$G:$G,ROW()-8))</f>
      </c>
      <c r="F8110">
        <f>IF(INDEX(Transactions!$J:$J,ROW()-8)="",0,INDEX(Transactions!$O:$O,ROW()-8))</f>
      </c>
    </row>
    <row r="8111" spans="1:7">
      <c r="B8111">
        <f>IF(INDEX(Transactions!$J:$J,ROW()-8)="",TODAY(),INDEX(Transactions!$G:$G,ROW()-8))</f>
      </c>
      <c r="F8111">
        <f>IF(INDEX(Transactions!$J:$J,ROW()-8)="",0,INDEX(Transactions!$O:$O,ROW()-8))</f>
      </c>
    </row>
    <row r="8112" spans="1:7">
      <c r="B8112">
        <f>IF(INDEX(Transactions!$J:$J,ROW()-8)="",TODAY(),INDEX(Transactions!$G:$G,ROW()-8))</f>
      </c>
      <c r="F8112">
        <f>IF(INDEX(Transactions!$J:$J,ROW()-8)="",0,INDEX(Transactions!$O:$O,ROW()-8))</f>
      </c>
    </row>
    <row r="8113" spans="1:7">
      <c r="B8113">
        <f>IF(INDEX(Transactions!$J:$J,ROW()-8)="",TODAY(),INDEX(Transactions!$G:$G,ROW()-8))</f>
      </c>
      <c r="F8113">
        <f>IF(INDEX(Transactions!$J:$J,ROW()-8)="",0,INDEX(Transactions!$O:$O,ROW()-8))</f>
      </c>
    </row>
    <row r="8114" spans="1:7">
      <c r="B8114">
        <f>IF(INDEX(Transactions!$J:$J,ROW()-8)="",TODAY(),INDEX(Transactions!$G:$G,ROW()-8))</f>
      </c>
      <c r="F8114">
        <f>IF(INDEX(Transactions!$J:$J,ROW()-8)="",0,INDEX(Transactions!$O:$O,ROW()-8))</f>
      </c>
    </row>
    <row r="8115" spans="1:7">
      <c r="B8115">
        <f>IF(INDEX(Transactions!$J:$J,ROW()-8)="",TODAY(),INDEX(Transactions!$G:$G,ROW()-8))</f>
      </c>
      <c r="F8115">
        <f>IF(INDEX(Transactions!$J:$J,ROW()-8)="",0,INDEX(Transactions!$O:$O,ROW()-8))</f>
      </c>
    </row>
    <row r="8116" spans="1:7">
      <c r="B8116">
        <f>IF(INDEX(Transactions!$J:$J,ROW()-8)="",TODAY(),INDEX(Transactions!$G:$G,ROW()-8))</f>
      </c>
      <c r="F8116">
        <f>IF(INDEX(Transactions!$J:$J,ROW()-8)="",0,INDEX(Transactions!$O:$O,ROW()-8))</f>
      </c>
    </row>
    <row r="8117" spans="1:7">
      <c r="B8117">
        <f>IF(INDEX(Transactions!$J:$J,ROW()-8)="",TODAY(),INDEX(Transactions!$G:$G,ROW()-8))</f>
      </c>
      <c r="F8117">
        <f>IF(INDEX(Transactions!$J:$J,ROW()-8)="",0,INDEX(Transactions!$O:$O,ROW()-8))</f>
      </c>
    </row>
    <row r="8118" spans="1:7">
      <c r="B8118">
        <f>IF(INDEX(Transactions!$J:$J,ROW()-8)="",TODAY(),INDEX(Transactions!$G:$G,ROW()-8))</f>
      </c>
      <c r="F8118">
        <f>IF(INDEX(Transactions!$J:$J,ROW()-8)="",0,INDEX(Transactions!$O:$O,ROW()-8))</f>
      </c>
    </row>
    <row r="8119" spans="1:7">
      <c r="B8119">
        <f>IF(INDEX(Transactions!$J:$J,ROW()-8)="",TODAY(),INDEX(Transactions!$G:$G,ROW()-8))</f>
      </c>
      <c r="F8119">
        <f>IF(INDEX(Transactions!$J:$J,ROW()-8)="",0,INDEX(Transactions!$O:$O,ROW()-8))</f>
      </c>
    </row>
    <row r="8120" spans="1:7">
      <c r="B8120">
        <f>IF(INDEX(Transactions!$J:$J,ROW()-8)="",TODAY(),INDEX(Transactions!$G:$G,ROW()-8))</f>
      </c>
      <c r="F8120">
        <f>IF(INDEX(Transactions!$J:$J,ROW()-8)="",0,INDEX(Transactions!$O:$O,ROW()-8))</f>
      </c>
    </row>
    <row r="8121" spans="1:7">
      <c r="B8121">
        <f>IF(INDEX(Transactions!$J:$J,ROW()-8)="",TODAY(),INDEX(Transactions!$G:$G,ROW()-8))</f>
      </c>
      <c r="F8121">
        <f>IF(INDEX(Transactions!$J:$J,ROW()-8)="",0,INDEX(Transactions!$O:$O,ROW()-8))</f>
      </c>
    </row>
    <row r="8122" spans="1:7">
      <c r="B8122">
        <f>IF(INDEX(Transactions!$J:$J,ROW()-8)="",TODAY(),INDEX(Transactions!$G:$G,ROW()-8))</f>
      </c>
      <c r="F8122">
        <f>IF(INDEX(Transactions!$J:$J,ROW()-8)="",0,INDEX(Transactions!$O:$O,ROW()-8))</f>
      </c>
    </row>
    <row r="8123" spans="1:7">
      <c r="B8123">
        <f>IF(INDEX(Transactions!$J:$J,ROW()-8)="",TODAY(),INDEX(Transactions!$G:$G,ROW()-8))</f>
      </c>
      <c r="F8123">
        <f>IF(INDEX(Transactions!$J:$J,ROW()-8)="",0,INDEX(Transactions!$O:$O,ROW()-8))</f>
      </c>
    </row>
    <row r="8124" spans="1:7">
      <c r="B8124">
        <f>IF(INDEX(Transactions!$J:$J,ROW()-8)="",TODAY(),INDEX(Transactions!$G:$G,ROW()-8))</f>
      </c>
      <c r="F8124">
        <f>IF(INDEX(Transactions!$J:$J,ROW()-8)="",0,INDEX(Transactions!$O:$O,ROW()-8))</f>
      </c>
    </row>
    <row r="8125" spans="1:7">
      <c r="B8125">
        <f>IF(INDEX(Transactions!$J:$J,ROW()-8)="",TODAY(),INDEX(Transactions!$G:$G,ROW()-8))</f>
      </c>
      <c r="F8125">
        <f>IF(INDEX(Transactions!$J:$J,ROW()-8)="",0,INDEX(Transactions!$O:$O,ROW()-8))</f>
      </c>
    </row>
    <row r="8126" spans="1:7">
      <c r="B8126">
        <f>IF(INDEX(Transactions!$J:$J,ROW()-8)="",TODAY(),INDEX(Transactions!$G:$G,ROW()-8))</f>
      </c>
      <c r="F8126">
        <f>IF(INDEX(Transactions!$J:$J,ROW()-8)="",0,INDEX(Transactions!$O:$O,ROW()-8))</f>
      </c>
    </row>
    <row r="8127" spans="1:7">
      <c r="B8127">
        <f>IF(INDEX(Transactions!$J:$J,ROW()-8)="",TODAY(),INDEX(Transactions!$G:$G,ROW()-8))</f>
      </c>
      <c r="F8127">
        <f>IF(INDEX(Transactions!$J:$J,ROW()-8)="",0,INDEX(Transactions!$O:$O,ROW()-8))</f>
      </c>
    </row>
    <row r="8128" spans="1:7">
      <c r="B8128">
        <f>IF(INDEX(Transactions!$J:$J,ROW()-8)="",TODAY(),INDEX(Transactions!$G:$G,ROW()-8))</f>
      </c>
      <c r="F8128">
        <f>IF(INDEX(Transactions!$J:$J,ROW()-8)="",0,INDEX(Transactions!$O:$O,ROW()-8))</f>
      </c>
    </row>
    <row r="8129" spans="1:7">
      <c r="B8129">
        <f>IF(INDEX(Transactions!$J:$J,ROW()-8)="",TODAY(),INDEX(Transactions!$G:$G,ROW()-8))</f>
      </c>
      <c r="F8129">
        <f>IF(INDEX(Transactions!$J:$J,ROW()-8)="",0,INDEX(Transactions!$O:$O,ROW()-8))</f>
      </c>
    </row>
    <row r="8130" spans="1:7">
      <c r="B8130">
        <f>IF(INDEX(Transactions!$J:$J,ROW()-8)="",TODAY(),INDEX(Transactions!$G:$G,ROW()-8))</f>
      </c>
      <c r="F8130">
        <f>IF(INDEX(Transactions!$J:$J,ROW()-8)="",0,INDEX(Transactions!$O:$O,ROW()-8))</f>
      </c>
    </row>
    <row r="8131" spans="1:7">
      <c r="B8131">
        <f>IF(INDEX(Transactions!$J:$J,ROW()-8)="",TODAY(),INDEX(Transactions!$G:$G,ROW()-8))</f>
      </c>
      <c r="F8131">
        <f>IF(INDEX(Transactions!$J:$J,ROW()-8)="",0,INDEX(Transactions!$O:$O,ROW()-8))</f>
      </c>
    </row>
    <row r="8132" spans="1:7">
      <c r="B8132">
        <f>IF(INDEX(Transactions!$J:$J,ROW()-8)="",TODAY(),INDEX(Transactions!$G:$G,ROW()-8))</f>
      </c>
      <c r="F8132">
        <f>IF(INDEX(Transactions!$J:$J,ROW()-8)="",0,INDEX(Transactions!$O:$O,ROW()-8))</f>
      </c>
    </row>
    <row r="8133" spans="1:7">
      <c r="B8133">
        <f>IF(INDEX(Transactions!$J:$J,ROW()-8)="",TODAY(),INDEX(Transactions!$G:$G,ROW()-8))</f>
      </c>
      <c r="F8133">
        <f>IF(INDEX(Transactions!$J:$J,ROW()-8)="",0,INDEX(Transactions!$O:$O,ROW()-8))</f>
      </c>
    </row>
    <row r="8134" spans="1:7">
      <c r="B8134">
        <f>IF(INDEX(Transactions!$J:$J,ROW()-8)="",TODAY(),INDEX(Transactions!$G:$G,ROW()-8))</f>
      </c>
      <c r="F8134">
        <f>IF(INDEX(Transactions!$J:$J,ROW()-8)="",0,INDEX(Transactions!$O:$O,ROW()-8))</f>
      </c>
    </row>
    <row r="8135" spans="1:7">
      <c r="B8135">
        <f>IF(INDEX(Transactions!$J:$J,ROW()-8)="",TODAY(),INDEX(Transactions!$G:$G,ROW()-8))</f>
      </c>
      <c r="F8135">
        <f>IF(INDEX(Transactions!$J:$J,ROW()-8)="",0,INDEX(Transactions!$O:$O,ROW()-8))</f>
      </c>
    </row>
    <row r="8136" spans="1:7">
      <c r="B8136">
        <f>IF(INDEX(Transactions!$J:$J,ROW()-8)="",TODAY(),INDEX(Transactions!$G:$G,ROW()-8))</f>
      </c>
      <c r="F8136">
        <f>IF(INDEX(Transactions!$J:$J,ROW()-8)="",0,INDEX(Transactions!$O:$O,ROW()-8))</f>
      </c>
    </row>
    <row r="8137" spans="1:7">
      <c r="B8137">
        <f>IF(INDEX(Transactions!$J:$J,ROW()-8)="",TODAY(),INDEX(Transactions!$G:$G,ROW()-8))</f>
      </c>
      <c r="F8137">
        <f>IF(INDEX(Transactions!$J:$J,ROW()-8)="",0,INDEX(Transactions!$O:$O,ROW()-8))</f>
      </c>
    </row>
    <row r="8138" spans="1:7">
      <c r="B8138">
        <f>IF(INDEX(Transactions!$J:$J,ROW()-8)="",TODAY(),INDEX(Transactions!$G:$G,ROW()-8))</f>
      </c>
      <c r="F8138">
        <f>IF(INDEX(Transactions!$J:$J,ROW()-8)="",0,INDEX(Transactions!$O:$O,ROW()-8))</f>
      </c>
    </row>
    <row r="8139" spans="1:7">
      <c r="B8139">
        <f>IF(INDEX(Transactions!$J:$J,ROW()-8)="",TODAY(),INDEX(Transactions!$G:$G,ROW()-8))</f>
      </c>
      <c r="F8139">
        <f>IF(INDEX(Transactions!$J:$J,ROW()-8)="",0,INDEX(Transactions!$O:$O,ROW()-8))</f>
      </c>
    </row>
    <row r="8140" spans="1:7">
      <c r="B8140">
        <f>IF(INDEX(Transactions!$J:$J,ROW()-8)="",TODAY(),INDEX(Transactions!$G:$G,ROW()-8))</f>
      </c>
      <c r="F8140">
        <f>IF(INDEX(Transactions!$J:$J,ROW()-8)="",0,INDEX(Transactions!$O:$O,ROW()-8))</f>
      </c>
    </row>
    <row r="8141" spans="1:7">
      <c r="B8141">
        <f>IF(INDEX(Transactions!$J:$J,ROW()-8)="",TODAY(),INDEX(Transactions!$G:$G,ROW()-8))</f>
      </c>
      <c r="F8141">
        <f>IF(INDEX(Transactions!$J:$J,ROW()-8)="",0,INDEX(Transactions!$O:$O,ROW()-8))</f>
      </c>
    </row>
    <row r="8142" spans="1:7">
      <c r="B8142">
        <f>IF(INDEX(Transactions!$J:$J,ROW()-8)="",TODAY(),INDEX(Transactions!$G:$G,ROW()-8))</f>
      </c>
      <c r="F8142">
        <f>IF(INDEX(Transactions!$J:$J,ROW()-8)="",0,INDEX(Transactions!$O:$O,ROW()-8))</f>
      </c>
    </row>
    <row r="8143" spans="1:7">
      <c r="B8143">
        <f>IF(INDEX(Transactions!$J:$J,ROW()-8)="",TODAY(),INDEX(Transactions!$G:$G,ROW()-8))</f>
      </c>
      <c r="F8143">
        <f>IF(INDEX(Transactions!$J:$J,ROW()-8)="",0,INDEX(Transactions!$O:$O,ROW()-8))</f>
      </c>
    </row>
    <row r="8144" spans="1:7">
      <c r="B8144">
        <f>IF(INDEX(Transactions!$J:$J,ROW()-8)="",TODAY(),INDEX(Transactions!$G:$G,ROW()-8))</f>
      </c>
      <c r="F8144">
        <f>IF(INDEX(Transactions!$J:$J,ROW()-8)="",0,INDEX(Transactions!$O:$O,ROW()-8))</f>
      </c>
    </row>
    <row r="8145" spans="1:7">
      <c r="B8145">
        <f>IF(INDEX(Transactions!$J:$J,ROW()-8)="",TODAY(),INDEX(Transactions!$G:$G,ROW()-8))</f>
      </c>
      <c r="F8145">
        <f>IF(INDEX(Transactions!$J:$J,ROW()-8)="",0,INDEX(Transactions!$O:$O,ROW()-8))</f>
      </c>
    </row>
    <row r="8146" spans="1:7">
      <c r="B8146">
        <f>IF(INDEX(Transactions!$J:$J,ROW()-8)="",TODAY(),INDEX(Transactions!$G:$G,ROW()-8))</f>
      </c>
      <c r="F8146">
        <f>IF(INDEX(Transactions!$J:$J,ROW()-8)="",0,INDEX(Transactions!$O:$O,ROW()-8))</f>
      </c>
    </row>
    <row r="8147" spans="1:7">
      <c r="B8147">
        <f>IF(INDEX(Transactions!$J:$J,ROW()-8)="",TODAY(),INDEX(Transactions!$G:$G,ROW()-8))</f>
      </c>
      <c r="F8147">
        <f>IF(INDEX(Transactions!$J:$J,ROW()-8)="",0,INDEX(Transactions!$O:$O,ROW()-8))</f>
      </c>
    </row>
    <row r="8148" spans="1:7">
      <c r="B8148">
        <f>IF(INDEX(Transactions!$J:$J,ROW()-8)="",TODAY(),INDEX(Transactions!$G:$G,ROW()-8))</f>
      </c>
      <c r="F8148">
        <f>IF(INDEX(Transactions!$J:$J,ROW()-8)="",0,INDEX(Transactions!$O:$O,ROW()-8))</f>
      </c>
    </row>
    <row r="8149" spans="1:7">
      <c r="B8149">
        <f>IF(INDEX(Transactions!$J:$J,ROW()-8)="",TODAY(),INDEX(Transactions!$G:$G,ROW()-8))</f>
      </c>
      <c r="F8149">
        <f>IF(INDEX(Transactions!$J:$J,ROW()-8)="",0,INDEX(Transactions!$O:$O,ROW()-8))</f>
      </c>
    </row>
    <row r="8150" spans="1:7">
      <c r="B8150">
        <f>IF(INDEX(Transactions!$J:$J,ROW()-8)="",TODAY(),INDEX(Transactions!$G:$G,ROW()-8))</f>
      </c>
      <c r="F8150">
        <f>IF(INDEX(Transactions!$J:$J,ROW()-8)="",0,INDEX(Transactions!$O:$O,ROW()-8))</f>
      </c>
    </row>
    <row r="8151" spans="1:7">
      <c r="B8151">
        <f>IF(INDEX(Transactions!$J:$J,ROW()-8)="",TODAY(),INDEX(Transactions!$G:$G,ROW()-8))</f>
      </c>
      <c r="F8151">
        <f>IF(INDEX(Transactions!$J:$J,ROW()-8)="",0,INDEX(Transactions!$O:$O,ROW()-8))</f>
      </c>
    </row>
    <row r="8152" spans="1:7">
      <c r="B8152">
        <f>IF(INDEX(Transactions!$J:$J,ROW()-8)="",TODAY(),INDEX(Transactions!$G:$G,ROW()-8))</f>
      </c>
      <c r="F8152">
        <f>IF(INDEX(Transactions!$J:$J,ROW()-8)="",0,INDEX(Transactions!$O:$O,ROW()-8))</f>
      </c>
    </row>
    <row r="8153" spans="1:7">
      <c r="B8153">
        <f>IF(INDEX(Transactions!$J:$J,ROW()-8)="",TODAY(),INDEX(Transactions!$G:$G,ROW()-8))</f>
      </c>
      <c r="F8153">
        <f>IF(INDEX(Transactions!$J:$J,ROW()-8)="",0,INDEX(Transactions!$O:$O,ROW()-8))</f>
      </c>
    </row>
    <row r="8154" spans="1:7">
      <c r="B8154">
        <f>IF(INDEX(Transactions!$J:$J,ROW()-8)="",TODAY(),INDEX(Transactions!$G:$G,ROW()-8))</f>
      </c>
      <c r="F8154">
        <f>IF(INDEX(Transactions!$J:$J,ROW()-8)="",0,INDEX(Transactions!$O:$O,ROW()-8))</f>
      </c>
    </row>
    <row r="8155" spans="1:7">
      <c r="B8155">
        <f>IF(INDEX(Transactions!$J:$J,ROW()-8)="",TODAY(),INDEX(Transactions!$G:$G,ROW()-8))</f>
      </c>
      <c r="F8155">
        <f>IF(INDEX(Transactions!$J:$J,ROW()-8)="",0,INDEX(Transactions!$O:$O,ROW()-8))</f>
      </c>
    </row>
    <row r="8156" spans="1:7">
      <c r="B8156">
        <f>IF(INDEX(Transactions!$J:$J,ROW()-8)="",TODAY(),INDEX(Transactions!$G:$G,ROW()-8))</f>
      </c>
      <c r="F8156">
        <f>IF(INDEX(Transactions!$J:$J,ROW()-8)="",0,INDEX(Transactions!$O:$O,ROW()-8))</f>
      </c>
    </row>
    <row r="8157" spans="1:7">
      <c r="B8157">
        <f>IF(INDEX(Transactions!$J:$J,ROW()-8)="",TODAY(),INDEX(Transactions!$G:$G,ROW()-8))</f>
      </c>
      <c r="F8157">
        <f>IF(INDEX(Transactions!$J:$J,ROW()-8)="",0,INDEX(Transactions!$O:$O,ROW()-8))</f>
      </c>
    </row>
    <row r="8158" spans="1:7">
      <c r="B8158">
        <f>IF(INDEX(Transactions!$J:$J,ROW()-8)="",TODAY(),INDEX(Transactions!$G:$G,ROW()-8))</f>
      </c>
      <c r="F8158">
        <f>IF(INDEX(Transactions!$J:$J,ROW()-8)="",0,INDEX(Transactions!$O:$O,ROW()-8))</f>
      </c>
    </row>
    <row r="8159" spans="1:7">
      <c r="B8159">
        <f>IF(INDEX(Transactions!$J:$J,ROW()-8)="",TODAY(),INDEX(Transactions!$G:$G,ROW()-8))</f>
      </c>
      <c r="F8159">
        <f>IF(INDEX(Transactions!$J:$J,ROW()-8)="",0,INDEX(Transactions!$O:$O,ROW()-8))</f>
      </c>
    </row>
    <row r="8160" spans="1:7">
      <c r="B8160">
        <f>IF(INDEX(Transactions!$J:$J,ROW()-8)="",TODAY(),INDEX(Transactions!$G:$G,ROW()-8))</f>
      </c>
      <c r="F8160">
        <f>IF(INDEX(Transactions!$J:$J,ROW()-8)="",0,INDEX(Transactions!$O:$O,ROW()-8))</f>
      </c>
    </row>
    <row r="8161" spans="1:7">
      <c r="B8161">
        <f>IF(INDEX(Transactions!$J:$J,ROW()-8)="",TODAY(),INDEX(Transactions!$G:$G,ROW()-8))</f>
      </c>
      <c r="F8161">
        <f>IF(INDEX(Transactions!$J:$J,ROW()-8)="",0,INDEX(Transactions!$O:$O,ROW()-8))</f>
      </c>
    </row>
    <row r="8162" spans="1:7">
      <c r="B8162">
        <f>IF(INDEX(Transactions!$J:$J,ROW()-8)="",TODAY(),INDEX(Transactions!$G:$G,ROW()-8))</f>
      </c>
      <c r="F8162">
        <f>IF(INDEX(Transactions!$J:$J,ROW()-8)="",0,INDEX(Transactions!$O:$O,ROW()-8))</f>
      </c>
    </row>
    <row r="8163" spans="1:7">
      <c r="B8163">
        <f>IF(INDEX(Transactions!$J:$J,ROW()-8)="",TODAY(),INDEX(Transactions!$G:$G,ROW()-8))</f>
      </c>
      <c r="F8163">
        <f>IF(INDEX(Transactions!$J:$J,ROW()-8)="",0,INDEX(Transactions!$O:$O,ROW()-8))</f>
      </c>
    </row>
    <row r="8164" spans="1:7">
      <c r="B8164">
        <f>IF(INDEX(Transactions!$J:$J,ROW()-8)="",TODAY(),INDEX(Transactions!$G:$G,ROW()-8))</f>
      </c>
      <c r="F8164">
        <f>IF(INDEX(Transactions!$J:$J,ROW()-8)="",0,INDEX(Transactions!$O:$O,ROW()-8))</f>
      </c>
    </row>
    <row r="8165" spans="1:7">
      <c r="B8165">
        <f>IF(INDEX(Transactions!$J:$J,ROW()-8)="",TODAY(),INDEX(Transactions!$G:$G,ROW()-8))</f>
      </c>
      <c r="F8165">
        <f>IF(INDEX(Transactions!$J:$J,ROW()-8)="",0,INDEX(Transactions!$O:$O,ROW()-8))</f>
      </c>
    </row>
    <row r="8166" spans="1:7">
      <c r="B8166">
        <f>IF(INDEX(Transactions!$J:$J,ROW()-8)="",TODAY(),INDEX(Transactions!$G:$G,ROW()-8))</f>
      </c>
      <c r="F8166">
        <f>IF(INDEX(Transactions!$J:$J,ROW()-8)="",0,INDEX(Transactions!$O:$O,ROW()-8))</f>
      </c>
    </row>
    <row r="8167" spans="1:7">
      <c r="B8167">
        <f>IF(INDEX(Transactions!$J:$J,ROW()-8)="",TODAY(),INDEX(Transactions!$G:$G,ROW()-8))</f>
      </c>
      <c r="F8167">
        <f>IF(INDEX(Transactions!$J:$J,ROW()-8)="",0,INDEX(Transactions!$O:$O,ROW()-8))</f>
      </c>
    </row>
    <row r="8168" spans="1:7">
      <c r="B8168">
        <f>IF(INDEX(Transactions!$J:$J,ROW()-8)="",TODAY(),INDEX(Transactions!$G:$G,ROW()-8))</f>
      </c>
      <c r="F8168">
        <f>IF(INDEX(Transactions!$J:$J,ROW()-8)="",0,INDEX(Transactions!$O:$O,ROW()-8))</f>
      </c>
    </row>
    <row r="8169" spans="1:7">
      <c r="B8169">
        <f>IF(INDEX(Transactions!$J:$J,ROW()-8)="",TODAY(),INDEX(Transactions!$G:$G,ROW()-8))</f>
      </c>
      <c r="F8169">
        <f>IF(INDEX(Transactions!$J:$J,ROW()-8)="",0,INDEX(Transactions!$O:$O,ROW()-8))</f>
      </c>
    </row>
    <row r="8170" spans="1:7">
      <c r="B8170">
        <f>IF(INDEX(Transactions!$J:$J,ROW()-8)="",TODAY(),INDEX(Transactions!$G:$G,ROW()-8))</f>
      </c>
      <c r="F8170">
        <f>IF(INDEX(Transactions!$J:$J,ROW()-8)="",0,INDEX(Transactions!$O:$O,ROW()-8))</f>
      </c>
    </row>
    <row r="8171" spans="1:7">
      <c r="B8171">
        <f>IF(INDEX(Transactions!$J:$J,ROW()-8)="",TODAY(),INDEX(Transactions!$G:$G,ROW()-8))</f>
      </c>
      <c r="F8171">
        <f>IF(INDEX(Transactions!$J:$J,ROW()-8)="",0,INDEX(Transactions!$O:$O,ROW()-8))</f>
      </c>
    </row>
    <row r="8172" spans="1:7">
      <c r="B8172">
        <f>IF(INDEX(Transactions!$J:$J,ROW()-8)="",TODAY(),INDEX(Transactions!$G:$G,ROW()-8))</f>
      </c>
      <c r="F8172">
        <f>IF(INDEX(Transactions!$J:$J,ROW()-8)="",0,INDEX(Transactions!$O:$O,ROW()-8))</f>
      </c>
    </row>
    <row r="8173" spans="1:7">
      <c r="B8173">
        <f>IF(INDEX(Transactions!$J:$J,ROW()-8)="",TODAY(),INDEX(Transactions!$G:$G,ROW()-8))</f>
      </c>
      <c r="F8173">
        <f>IF(INDEX(Transactions!$J:$J,ROW()-8)="",0,INDEX(Transactions!$O:$O,ROW()-8))</f>
      </c>
    </row>
    <row r="8174" spans="1:7">
      <c r="B8174">
        <f>IF(INDEX(Transactions!$J:$J,ROW()-8)="",TODAY(),INDEX(Transactions!$G:$G,ROW()-8))</f>
      </c>
      <c r="F8174">
        <f>IF(INDEX(Transactions!$J:$J,ROW()-8)="",0,INDEX(Transactions!$O:$O,ROW()-8))</f>
      </c>
    </row>
    <row r="8175" spans="1:7">
      <c r="B8175">
        <f>IF(INDEX(Transactions!$J:$J,ROW()-8)="",TODAY(),INDEX(Transactions!$G:$G,ROW()-8))</f>
      </c>
      <c r="F8175">
        <f>IF(INDEX(Transactions!$J:$J,ROW()-8)="",0,INDEX(Transactions!$O:$O,ROW()-8))</f>
      </c>
    </row>
    <row r="8176" spans="1:7">
      <c r="B8176">
        <f>IF(INDEX(Transactions!$J:$J,ROW()-8)="",TODAY(),INDEX(Transactions!$G:$G,ROW()-8))</f>
      </c>
      <c r="F8176">
        <f>IF(INDEX(Transactions!$J:$J,ROW()-8)="",0,INDEX(Transactions!$O:$O,ROW()-8))</f>
      </c>
    </row>
    <row r="8177" spans="1:7">
      <c r="B8177">
        <f>IF(INDEX(Transactions!$J:$J,ROW()-8)="",TODAY(),INDEX(Transactions!$G:$G,ROW()-8))</f>
      </c>
      <c r="F8177">
        <f>IF(INDEX(Transactions!$J:$J,ROW()-8)="",0,INDEX(Transactions!$O:$O,ROW()-8))</f>
      </c>
    </row>
    <row r="8178" spans="1:7">
      <c r="B8178">
        <f>IF(INDEX(Transactions!$J:$J,ROW()-8)="",TODAY(),INDEX(Transactions!$G:$G,ROW()-8))</f>
      </c>
      <c r="F8178">
        <f>IF(INDEX(Transactions!$J:$J,ROW()-8)="",0,INDEX(Transactions!$O:$O,ROW()-8))</f>
      </c>
    </row>
    <row r="8179" spans="1:7">
      <c r="B8179">
        <f>IF(INDEX(Transactions!$J:$J,ROW()-8)="",TODAY(),INDEX(Transactions!$G:$G,ROW()-8))</f>
      </c>
      <c r="F8179">
        <f>IF(INDEX(Transactions!$J:$J,ROW()-8)="",0,INDEX(Transactions!$O:$O,ROW()-8))</f>
      </c>
    </row>
    <row r="8180" spans="1:7">
      <c r="B8180">
        <f>IF(INDEX(Transactions!$J:$J,ROW()-8)="",TODAY(),INDEX(Transactions!$G:$G,ROW()-8))</f>
      </c>
      <c r="F8180">
        <f>IF(INDEX(Transactions!$J:$J,ROW()-8)="",0,INDEX(Transactions!$O:$O,ROW()-8))</f>
      </c>
    </row>
    <row r="8181" spans="1:7">
      <c r="B8181">
        <f>IF(INDEX(Transactions!$J:$J,ROW()-8)="",TODAY(),INDEX(Transactions!$G:$G,ROW()-8))</f>
      </c>
      <c r="F8181">
        <f>IF(INDEX(Transactions!$J:$J,ROW()-8)="",0,INDEX(Transactions!$O:$O,ROW()-8))</f>
      </c>
    </row>
    <row r="8182" spans="1:7">
      <c r="B8182">
        <f>IF(INDEX(Transactions!$J:$J,ROW()-8)="",TODAY(),INDEX(Transactions!$G:$G,ROW()-8))</f>
      </c>
      <c r="F8182">
        <f>IF(INDEX(Transactions!$J:$J,ROW()-8)="",0,INDEX(Transactions!$O:$O,ROW()-8))</f>
      </c>
    </row>
    <row r="8183" spans="1:7">
      <c r="B8183">
        <f>IF(INDEX(Transactions!$J:$J,ROW()-8)="",TODAY(),INDEX(Transactions!$G:$G,ROW()-8))</f>
      </c>
      <c r="F8183">
        <f>IF(INDEX(Transactions!$J:$J,ROW()-8)="",0,INDEX(Transactions!$O:$O,ROW()-8))</f>
      </c>
    </row>
    <row r="8184" spans="1:7">
      <c r="B8184">
        <f>IF(INDEX(Transactions!$J:$J,ROW()-8)="",TODAY(),INDEX(Transactions!$G:$G,ROW()-8))</f>
      </c>
      <c r="F8184">
        <f>IF(INDEX(Transactions!$J:$J,ROW()-8)="",0,INDEX(Transactions!$O:$O,ROW()-8))</f>
      </c>
    </row>
    <row r="8185" spans="1:7">
      <c r="B8185">
        <f>IF(INDEX(Transactions!$J:$J,ROW()-8)="",TODAY(),INDEX(Transactions!$G:$G,ROW()-8))</f>
      </c>
      <c r="F8185">
        <f>IF(INDEX(Transactions!$J:$J,ROW()-8)="",0,INDEX(Transactions!$O:$O,ROW()-8))</f>
      </c>
    </row>
    <row r="8186" spans="1:7">
      <c r="B8186">
        <f>IF(INDEX(Transactions!$J:$J,ROW()-8)="",TODAY(),INDEX(Transactions!$G:$G,ROW()-8))</f>
      </c>
      <c r="F8186">
        <f>IF(INDEX(Transactions!$J:$J,ROW()-8)="",0,INDEX(Transactions!$O:$O,ROW()-8))</f>
      </c>
    </row>
    <row r="8187" spans="1:7">
      <c r="B8187">
        <f>IF(INDEX(Transactions!$J:$J,ROW()-8)="",TODAY(),INDEX(Transactions!$G:$G,ROW()-8))</f>
      </c>
      <c r="F8187">
        <f>IF(INDEX(Transactions!$J:$J,ROW()-8)="",0,INDEX(Transactions!$O:$O,ROW()-8))</f>
      </c>
    </row>
    <row r="8188" spans="1:7">
      <c r="B8188">
        <f>IF(INDEX(Transactions!$J:$J,ROW()-8)="",TODAY(),INDEX(Transactions!$G:$G,ROW()-8))</f>
      </c>
      <c r="F8188">
        <f>IF(INDEX(Transactions!$J:$J,ROW()-8)="",0,INDEX(Transactions!$O:$O,ROW()-8))</f>
      </c>
    </row>
    <row r="8189" spans="1:7">
      <c r="B8189">
        <f>IF(INDEX(Transactions!$J:$J,ROW()-8)="",TODAY(),INDEX(Transactions!$G:$G,ROW()-8))</f>
      </c>
      <c r="F8189">
        <f>IF(INDEX(Transactions!$J:$J,ROW()-8)="",0,INDEX(Transactions!$O:$O,ROW()-8))</f>
      </c>
    </row>
    <row r="8190" spans="1:7">
      <c r="B8190">
        <f>IF(INDEX(Transactions!$J:$J,ROW()-8)="",TODAY(),INDEX(Transactions!$G:$G,ROW()-8))</f>
      </c>
      <c r="F8190">
        <f>IF(INDEX(Transactions!$J:$J,ROW()-8)="",0,INDEX(Transactions!$O:$O,ROW()-8))</f>
      </c>
    </row>
    <row r="8191" spans="1:7">
      <c r="B8191">
        <f>IF(INDEX(Transactions!$J:$J,ROW()-8)="",TODAY(),INDEX(Transactions!$G:$G,ROW()-8))</f>
      </c>
      <c r="F8191">
        <f>IF(INDEX(Transactions!$J:$J,ROW()-8)="",0,INDEX(Transactions!$O:$O,ROW()-8))</f>
      </c>
    </row>
    <row r="8192" spans="1:7">
      <c r="B8192">
        <f>IF(INDEX(Transactions!$J:$J,ROW()-8)="",TODAY(),INDEX(Transactions!$G:$G,ROW()-8))</f>
      </c>
      <c r="F8192">
        <f>IF(INDEX(Transactions!$J:$J,ROW()-8)="",0,INDEX(Transactions!$O:$O,ROW()-8))</f>
      </c>
    </row>
    <row r="8193" spans="1:7">
      <c r="B8193">
        <f>IF(INDEX(Transactions!$J:$J,ROW()-8)="",TODAY(),INDEX(Transactions!$G:$G,ROW()-8))</f>
      </c>
      <c r="F8193">
        <f>IF(INDEX(Transactions!$J:$J,ROW()-8)="",0,INDEX(Transactions!$O:$O,ROW()-8))</f>
      </c>
    </row>
    <row r="8194" spans="1:7">
      <c r="B8194">
        <f>IF(INDEX(Transactions!$J:$J,ROW()-8)="",TODAY(),INDEX(Transactions!$G:$G,ROW()-8))</f>
      </c>
      <c r="F8194">
        <f>IF(INDEX(Transactions!$J:$J,ROW()-8)="",0,INDEX(Transactions!$O:$O,ROW()-8))</f>
      </c>
    </row>
    <row r="8195" spans="1:7">
      <c r="B8195">
        <f>IF(INDEX(Transactions!$J:$J,ROW()-8)="",TODAY(),INDEX(Transactions!$G:$G,ROW()-8))</f>
      </c>
      <c r="F8195">
        <f>IF(INDEX(Transactions!$J:$J,ROW()-8)="",0,INDEX(Transactions!$O:$O,ROW()-8))</f>
      </c>
    </row>
    <row r="8196" spans="1:7">
      <c r="B8196">
        <f>IF(INDEX(Transactions!$J:$J,ROW()-8)="",TODAY(),INDEX(Transactions!$G:$G,ROW()-8))</f>
      </c>
      <c r="F8196">
        <f>IF(INDEX(Transactions!$J:$J,ROW()-8)="",0,INDEX(Transactions!$O:$O,ROW()-8))</f>
      </c>
    </row>
    <row r="8197" spans="1:7">
      <c r="B8197">
        <f>IF(INDEX(Transactions!$J:$J,ROW()-8)="",TODAY(),INDEX(Transactions!$G:$G,ROW()-8))</f>
      </c>
      <c r="F8197">
        <f>IF(INDEX(Transactions!$J:$J,ROW()-8)="",0,INDEX(Transactions!$O:$O,ROW()-8))</f>
      </c>
    </row>
    <row r="8198" spans="1:7">
      <c r="B8198">
        <f>IF(INDEX(Transactions!$J:$J,ROW()-8)="",TODAY(),INDEX(Transactions!$G:$G,ROW()-8))</f>
      </c>
      <c r="F8198">
        <f>IF(INDEX(Transactions!$J:$J,ROW()-8)="",0,INDEX(Transactions!$O:$O,ROW()-8))</f>
      </c>
    </row>
    <row r="8199" spans="1:7">
      <c r="B8199">
        <f>IF(INDEX(Transactions!$J:$J,ROW()-8)="",TODAY(),INDEX(Transactions!$G:$G,ROW()-8))</f>
      </c>
      <c r="F8199">
        <f>IF(INDEX(Transactions!$J:$J,ROW()-8)="",0,INDEX(Transactions!$O:$O,ROW()-8))</f>
      </c>
    </row>
    <row r="8200" spans="1:7">
      <c r="B8200">
        <f>IF(INDEX(Transactions!$J:$J,ROW()-8)="",TODAY(),INDEX(Transactions!$G:$G,ROW()-8))</f>
      </c>
      <c r="F8200">
        <f>IF(INDEX(Transactions!$J:$J,ROW()-8)="",0,INDEX(Transactions!$O:$O,ROW()-8))</f>
      </c>
    </row>
    <row r="8201" spans="1:7">
      <c r="B8201">
        <f>IF(INDEX(Transactions!$J:$J,ROW()-8)="",TODAY(),INDEX(Transactions!$G:$G,ROW()-8))</f>
      </c>
      <c r="F8201">
        <f>IF(INDEX(Transactions!$J:$J,ROW()-8)="",0,INDEX(Transactions!$O:$O,ROW()-8))</f>
      </c>
    </row>
    <row r="8202" spans="1:7">
      <c r="B8202">
        <f>IF(INDEX(Transactions!$J:$J,ROW()-8)="",TODAY(),INDEX(Transactions!$G:$G,ROW()-8))</f>
      </c>
      <c r="F8202">
        <f>IF(INDEX(Transactions!$J:$J,ROW()-8)="",0,INDEX(Transactions!$O:$O,ROW()-8))</f>
      </c>
    </row>
    <row r="8203" spans="1:7">
      <c r="B8203">
        <f>IF(INDEX(Transactions!$J:$J,ROW()-8)="",TODAY(),INDEX(Transactions!$G:$G,ROW()-8))</f>
      </c>
      <c r="F8203">
        <f>IF(INDEX(Transactions!$J:$J,ROW()-8)="",0,INDEX(Transactions!$O:$O,ROW()-8))</f>
      </c>
    </row>
    <row r="8204" spans="1:7">
      <c r="B8204">
        <f>IF(INDEX(Transactions!$J:$J,ROW()-8)="",TODAY(),INDEX(Transactions!$G:$G,ROW()-8))</f>
      </c>
      <c r="F8204">
        <f>IF(INDEX(Transactions!$J:$J,ROW()-8)="",0,INDEX(Transactions!$O:$O,ROW()-8))</f>
      </c>
    </row>
    <row r="8205" spans="1:7">
      <c r="B8205">
        <f>IF(INDEX(Transactions!$J:$J,ROW()-8)="",TODAY(),INDEX(Transactions!$G:$G,ROW()-8))</f>
      </c>
      <c r="F8205">
        <f>IF(INDEX(Transactions!$J:$J,ROW()-8)="",0,INDEX(Transactions!$O:$O,ROW()-8))</f>
      </c>
    </row>
    <row r="8206" spans="1:7">
      <c r="B8206">
        <f>IF(INDEX(Transactions!$J:$J,ROW()-8)="",TODAY(),INDEX(Transactions!$G:$G,ROW()-8))</f>
      </c>
      <c r="F8206">
        <f>IF(INDEX(Transactions!$J:$J,ROW()-8)="",0,INDEX(Transactions!$O:$O,ROW()-8))</f>
      </c>
    </row>
    <row r="8207" spans="1:7">
      <c r="B8207">
        <f>IF(INDEX(Transactions!$J:$J,ROW()-8)="",TODAY(),INDEX(Transactions!$G:$G,ROW()-8))</f>
      </c>
      <c r="F8207">
        <f>IF(INDEX(Transactions!$J:$J,ROW()-8)="",0,INDEX(Transactions!$O:$O,ROW()-8))</f>
      </c>
    </row>
    <row r="8208" spans="1:7">
      <c r="B8208">
        <f>IF(INDEX(Transactions!$J:$J,ROW()-8)="",TODAY(),INDEX(Transactions!$G:$G,ROW()-8))</f>
      </c>
      <c r="F8208">
        <f>IF(INDEX(Transactions!$J:$J,ROW()-8)="",0,INDEX(Transactions!$O:$O,ROW()-8))</f>
      </c>
    </row>
    <row r="8209" spans="1:7">
      <c r="B8209">
        <f>IF(INDEX(Transactions!$J:$J,ROW()-8)="",TODAY(),INDEX(Transactions!$G:$G,ROW()-8))</f>
      </c>
      <c r="F8209">
        <f>IF(INDEX(Transactions!$J:$J,ROW()-8)="",0,INDEX(Transactions!$O:$O,ROW()-8))</f>
      </c>
    </row>
    <row r="8210" spans="1:7">
      <c r="B8210">
        <f>IF(INDEX(Transactions!$J:$J,ROW()-8)="",TODAY(),INDEX(Transactions!$G:$G,ROW()-8))</f>
      </c>
      <c r="F8210">
        <f>IF(INDEX(Transactions!$J:$J,ROW()-8)="",0,INDEX(Transactions!$O:$O,ROW()-8))</f>
      </c>
    </row>
    <row r="8211" spans="1:7">
      <c r="B8211">
        <f>IF(INDEX(Transactions!$J:$J,ROW()-8)="",TODAY(),INDEX(Transactions!$G:$G,ROW()-8))</f>
      </c>
      <c r="F8211">
        <f>IF(INDEX(Transactions!$J:$J,ROW()-8)="",0,INDEX(Transactions!$O:$O,ROW()-8))</f>
      </c>
    </row>
    <row r="8212" spans="1:7">
      <c r="B8212">
        <f>IF(INDEX(Transactions!$J:$J,ROW()-8)="",TODAY(),INDEX(Transactions!$G:$G,ROW()-8))</f>
      </c>
      <c r="F8212">
        <f>IF(INDEX(Transactions!$J:$J,ROW()-8)="",0,INDEX(Transactions!$O:$O,ROW()-8))</f>
      </c>
    </row>
    <row r="8213" spans="1:7">
      <c r="B8213">
        <f>IF(INDEX(Transactions!$J:$J,ROW()-8)="",TODAY(),INDEX(Transactions!$G:$G,ROW()-8))</f>
      </c>
      <c r="F8213">
        <f>IF(INDEX(Transactions!$J:$J,ROW()-8)="",0,INDEX(Transactions!$O:$O,ROW()-8))</f>
      </c>
    </row>
    <row r="8214" spans="1:7">
      <c r="B8214">
        <f>IF(INDEX(Transactions!$J:$J,ROW()-8)="",TODAY(),INDEX(Transactions!$G:$G,ROW()-8))</f>
      </c>
      <c r="F8214">
        <f>IF(INDEX(Transactions!$J:$J,ROW()-8)="",0,INDEX(Transactions!$O:$O,ROW()-8))</f>
      </c>
    </row>
    <row r="8215" spans="1:7">
      <c r="B8215">
        <f>IF(INDEX(Transactions!$J:$J,ROW()-8)="",TODAY(),INDEX(Transactions!$G:$G,ROW()-8))</f>
      </c>
      <c r="F8215">
        <f>IF(INDEX(Transactions!$J:$J,ROW()-8)="",0,INDEX(Transactions!$O:$O,ROW()-8))</f>
      </c>
    </row>
    <row r="8216" spans="1:7">
      <c r="B8216">
        <f>IF(INDEX(Transactions!$J:$J,ROW()-8)="",TODAY(),INDEX(Transactions!$G:$G,ROW()-8))</f>
      </c>
      <c r="F8216">
        <f>IF(INDEX(Transactions!$J:$J,ROW()-8)="",0,INDEX(Transactions!$O:$O,ROW()-8))</f>
      </c>
    </row>
    <row r="8217" spans="1:7">
      <c r="B8217">
        <f>IF(INDEX(Transactions!$J:$J,ROW()-8)="",TODAY(),INDEX(Transactions!$G:$G,ROW()-8))</f>
      </c>
      <c r="F8217">
        <f>IF(INDEX(Transactions!$J:$J,ROW()-8)="",0,INDEX(Transactions!$O:$O,ROW()-8))</f>
      </c>
    </row>
    <row r="8218" spans="1:7">
      <c r="B8218">
        <f>IF(INDEX(Transactions!$J:$J,ROW()-8)="",TODAY(),INDEX(Transactions!$G:$G,ROW()-8))</f>
      </c>
      <c r="F8218">
        <f>IF(INDEX(Transactions!$J:$J,ROW()-8)="",0,INDEX(Transactions!$O:$O,ROW()-8))</f>
      </c>
    </row>
    <row r="8219" spans="1:7">
      <c r="B8219">
        <f>IF(INDEX(Transactions!$J:$J,ROW()-8)="",TODAY(),INDEX(Transactions!$G:$G,ROW()-8))</f>
      </c>
      <c r="F8219">
        <f>IF(INDEX(Transactions!$J:$J,ROW()-8)="",0,INDEX(Transactions!$O:$O,ROW()-8))</f>
      </c>
    </row>
    <row r="8220" spans="1:7">
      <c r="B8220">
        <f>IF(INDEX(Transactions!$J:$J,ROW()-8)="",TODAY(),INDEX(Transactions!$G:$G,ROW()-8))</f>
      </c>
      <c r="F8220">
        <f>IF(INDEX(Transactions!$J:$J,ROW()-8)="",0,INDEX(Transactions!$O:$O,ROW()-8))</f>
      </c>
    </row>
    <row r="8221" spans="1:7">
      <c r="B8221">
        <f>IF(INDEX(Transactions!$J:$J,ROW()-8)="",TODAY(),INDEX(Transactions!$G:$G,ROW()-8))</f>
      </c>
      <c r="F8221">
        <f>IF(INDEX(Transactions!$J:$J,ROW()-8)="",0,INDEX(Transactions!$O:$O,ROW()-8))</f>
      </c>
    </row>
    <row r="8222" spans="1:7">
      <c r="B8222">
        <f>IF(INDEX(Transactions!$J:$J,ROW()-8)="",TODAY(),INDEX(Transactions!$G:$G,ROW()-8))</f>
      </c>
      <c r="F8222">
        <f>IF(INDEX(Transactions!$J:$J,ROW()-8)="",0,INDEX(Transactions!$O:$O,ROW()-8))</f>
      </c>
    </row>
    <row r="8223" spans="1:7">
      <c r="B8223">
        <f>IF(INDEX(Transactions!$J:$J,ROW()-8)="",TODAY(),INDEX(Transactions!$G:$G,ROW()-8))</f>
      </c>
      <c r="F8223">
        <f>IF(INDEX(Transactions!$J:$J,ROW()-8)="",0,INDEX(Transactions!$O:$O,ROW()-8))</f>
      </c>
    </row>
    <row r="8224" spans="1:7">
      <c r="B8224">
        <f>IF(INDEX(Transactions!$J:$J,ROW()-8)="",TODAY(),INDEX(Transactions!$G:$G,ROW()-8))</f>
      </c>
      <c r="F8224">
        <f>IF(INDEX(Transactions!$J:$J,ROW()-8)="",0,INDEX(Transactions!$O:$O,ROW()-8))</f>
      </c>
    </row>
    <row r="8225" spans="1:7">
      <c r="B8225">
        <f>IF(INDEX(Transactions!$J:$J,ROW()-8)="",TODAY(),INDEX(Transactions!$G:$G,ROW()-8))</f>
      </c>
      <c r="F8225">
        <f>IF(INDEX(Transactions!$J:$J,ROW()-8)="",0,INDEX(Transactions!$O:$O,ROW()-8))</f>
      </c>
    </row>
    <row r="8226" spans="1:7">
      <c r="B8226">
        <f>IF(INDEX(Transactions!$J:$J,ROW()-8)="",TODAY(),INDEX(Transactions!$G:$G,ROW()-8))</f>
      </c>
      <c r="F8226">
        <f>IF(INDEX(Transactions!$J:$J,ROW()-8)="",0,INDEX(Transactions!$O:$O,ROW()-8))</f>
      </c>
    </row>
    <row r="8227" spans="1:7">
      <c r="B8227">
        <f>IF(INDEX(Transactions!$J:$J,ROW()-8)="",TODAY(),INDEX(Transactions!$G:$G,ROW()-8))</f>
      </c>
      <c r="F8227">
        <f>IF(INDEX(Transactions!$J:$J,ROW()-8)="",0,INDEX(Transactions!$O:$O,ROW()-8))</f>
      </c>
    </row>
    <row r="8228" spans="1:7">
      <c r="B8228">
        <f>IF(INDEX(Transactions!$J:$J,ROW()-8)="",TODAY(),INDEX(Transactions!$G:$G,ROW()-8))</f>
      </c>
      <c r="F8228">
        <f>IF(INDEX(Transactions!$J:$J,ROW()-8)="",0,INDEX(Transactions!$O:$O,ROW()-8))</f>
      </c>
    </row>
    <row r="8229" spans="1:7">
      <c r="B8229">
        <f>IF(INDEX(Transactions!$J:$J,ROW()-8)="",TODAY(),INDEX(Transactions!$G:$G,ROW()-8))</f>
      </c>
      <c r="F8229">
        <f>IF(INDEX(Transactions!$J:$J,ROW()-8)="",0,INDEX(Transactions!$O:$O,ROW()-8))</f>
      </c>
    </row>
    <row r="8230" spans="1:7">
      <c r="B8230">
        <f>IF(INDEX(Transactions!$J:$J,ROW()-8)="",TODAY(),INDEX(Transactions!$G:$G,ROW()-8))</f>
      </c>
      <c r="F8230">
        <f>IF(INDEX(Transactions!$J:$J,ROW()-8)="",0,INDEX(Transactions!$O:$O,ROW()-8))</f>
      </c>
    </row>
    <row r="8231" spans="1:7">
      <c r="B8231">
        <f>IF(INDEX(Transactions!$J:$J,ROW()-8)="",TODAY(),INDEX(Transactions!$G:$G,ROW()-8))</f>
      </c>
      <c r="F8231">
        <f>IF(INDEX(Transactions!$J:$J,ROW()-8)="",0,INDEX(Transactions!$O:$O,ROW()-8))</f>
      </c>
    </row>
    <row r="8232" spans="1:7">
      <c r="B8232">
        <f>IF(INDEX(Transactions!$J:$J,ROW()-8)="",TODAY(),INDEX(Transactions!$G:$G,ROW()-8))</f>
      </c>
      <c r="F8232">
        <f>IF(INDEX(Transactions!$J:$J,ROW()-8)="",0,INDEX(Transactions!$O:$O,ROW()-8))</f>
      </c>
    </row>
    <row r="8233" spans="1:7">
      <c r="B8233">
        <f>IF(INDEX(Transactions!$J:$J,ROW()-8)="",TODAY(),INDEX(Transactions!$G:$G,ROW()-8))</f>
      </c>
      <c r="F8233">
        <f>IF(INDEX(Transactions!$J:$J,ROW()-8)="",0,INDEX(Transactions!$O:$O,ROW()-8))</f>
      </c>
    </row>
    <row r="8234" spans="1:7">
      <c r="B8234">
        <f>IF(INDEX(Transactions!$J:$J,ROW()-8)="",TODAY(),INDEX(Transactions!$G:$G,ROW()-8))</f>
      </c>
      <c r="F8234">
        <f>IF(INDEX(Transactions!$J:$J,ROW()-8)="",0,INDEX(Transactions!$O:$O,ROW()-8))</f>
      </c>
    </row>
    <row r="8235" spans="1:7">
      <c r="B8235">
        <f>IF(INDEX(Transactions!$J:$J,ROW()-8)="",TODAY(),INDEX(Transactions!$G:$G,ROW()-8))</f>
      </c>
      <c r="F8235">
        <f>IF(INDEX(Transactions!$J:$J,ROW()-8)="",0,INDEX(Transactions!$O:$O,ROW()-8))</f>
      </c>
    </row>
    <row r="8236" spans="1:7">
      <c r="B8236">
        <f>IF(INDEX(Transactions!$J:$J,ROW()-8)="",TODAY(),INDEX(Transactions!$G:$G,ROW()-8))</f>
      </c>
      <c r="F8236">
        <f>IF(INDEX(Transactions!$J:$J,ROW()-8)="",0,INDEX(Transactions!$O:$O,ROW()-8))</f>
      </c>
    </row>
    <row r="8237" spans="1:7">
      <c r="B8237">
        <f>IF(INDEX(Transactions!$J:$J,ROW()-8)="",TODAY(),INDEX(Transactions!$G:$G,ROW()-8))</f>
      </c>
      <c r="F8237">
        <f>IF(INDEX(Transactions!$J:$J,ROW()-8)="",0,INDEX(Transactions!$O:$O,ROW()-8))</f>
      </c>
    </row>
    <row r="8238" spans="1:7">
      <c r="B8238">
        <f>IF(INDEX(Transactions!$J:$J,ROW()-8)="",TODAY(),INDEX(Transactions!$G:$G,ROW()-8))</f>
      </c>
      <c r="F8238">
        <f>IF(INDEX(Transactions!$J:$J,ROW()-8)="",0,INDEX(Transactions!$O:$O,ROW()-8))</f>
      </c>
    </row>
    <row r="8239" spans="1:7">
      <c r="B8239">
        <f>IF(INDEX(Transactions!$J:$J,ROW()-8)="",TODAY(),INDEX(Transactions!$G:$G,ROW()-8))</f>
      </c>
      <c r="F8239">
        <f>IF(INDEX(Transactions!$J:$J,ROW()-8)="",0,INDEX(Transactions!$O:$O,ROW()-8))</f>
      </c>
    </row>
    <row r="8240" spans="1:7">
      <c r="B8240">
        <f>IF(INDEX(Transactions!$J:$J,ROW()-8)="",TODAY(),INDEX(Transactions!$G:$G,ROW()-8))</f>
      </c>
      <c r="F8240">
        <f>IF(INDEX(Transactions!$J:$J,ROW()-8)="",0,INDEX(Transactions!$O:$O,ROW()-8))</f>
      </c>
    </row>
    <row r="8241" spans="1:7">
      <c r="B8241">
        <f>IF(INDEX(Transactions!$J:$J,ROW()-8)="",TODAY(),INDEX(Transactions!$G:$G,ROW()-8))</f>
      </c>
      <c r="F8241">
        <f>IF(INDEX(Transactions!$J:$J,ROW()-8)="",0,INDEX(Transactions!$O:$O,ROW()-8))</f>
      </c>
    </row>
    <row r="8242" spans="1:7">
      <c r="B8242">
        <f>IF(INDEX(Transactions!$J:$J,ROW()-8)="",TODAY(),INDEX(Transactions!$G:$G,ROW()-8))</f>
      </c>
      <c r="F8242">
        <f>IF(INDEX(Transactions!$J:$J,ROW()-8)="",0,INDEX(Transactions!$O:$O,ROW()-8))</f>
      </c>
    </row>
    <row r="8243" spans="1:7">
      <c r="B8243">
        <f>IF(INDEX(Transactions!$J:$J,ROW()-8)="",TODAY(),INDEX(Transactions!$G:$G,ROW()-8))</f>
      </c>
      <c r="F8243">
        <f>IF(INDEX(Transactions!$J:$J,ROW()-8)="",0,INDEX(Transactions!$O:$O,ROW()-8))</f>
      </c>
    </row>
    <row r="8244" spans="1:7">
      <c r="B8244">
        <f>IF(INDEX(Transactions!$J:$J,ROW()-8)="",TODAY(),INDEX(Transactions!$G:$G,ROW()-8))</f>
      </c>
      <c r="F8244">
        <f>IF(INDEX(Transactions!$J:$J,ROW()-8)="",0,INDEX(Transactions!$O:$O,ROW()-8))</f>
      </c>
    </row>
    <row r="8245" spans="1:7">
      <c r="B8245">
        <f>IF(INDEX(Transactions!$J:$J,ROW()-8)="",TODAY(),INDEX(Transactions!$G:$G,ROW()-8))</f>
      </c>
      <c r="F8245">
        <f>IF(INDEX(Transactions!$J:$J,ROW()-8)="",0,INDEX(Transactions!$O:$O,ROW()-8))</f>
      </c>
    </row>
    <row r="8246" spans="1:7">
      <c r="B8246">
        <f>IF(INDEX(Transactions!$J:$J,ROW()-8)="",TODAY(),INDEX(Transactions!$G:$G,ROW()-8))</f>
      </c>
      <c r="F8246">
        <f>IF(INDEX(Transactions!$J:$J,ROW()-8)="",0,INDEX(Transactions!$O:$O,ROW()-8))</f>
      </c>
    </row>
    <row r="8247" spans="1:7">
      <c r="B8247">
        <f>IF(INDEX(Transactions!$J:$J,ROW()-8)="",TODAY(),INDEX(Transactions!$G:$G,ROW()-8))</f>
      </c>
      <c r="F8247">
        <f>IF(INDEX(Transactions!$J:$J,ROW()-8)="",0,INDEX(Transactions!$O:$O,ROW()-8))</f>
      </c>
    </row>
    <row r="8248" spans="1:7">
      <c r="B8248">
        <f>IF(INDEX(Transactions!$J:$J,ROW()-8)="",TODAY(),INDEX(Transactions!$G:$G,ROW()-8))</f>
      </c>
      <c r="F8248">
        <f>IF(INDEX(Transactions!$J:$J,ROW()-8)="",0,INDEX(Transactions!$O:$O,ROW()-8))</f>
      </c>
    </row>
    <row r="8249" spans="1:7">
      <c r="B8249">
        <f>IF(INDEX(Transactions!$J:$J,ROW()-8)="",TODAY(),INDEX(Transactions!$G:$G,ROW()-8))</f>
      </c>
      <c r="F8249">
        <f>IF(INDEX(Transactions!$J:$J,ROW()-8)="",0,INDEX(Transactions!$O:$O,ROW()-8))</f>
      </c>
    </row>
    <row r="8250" spans="1:7">
      <c r="B8250">
        <f>IF(INDEX(Transactions!$J:$J,ROW()-8)="",TODAY(),INDEX(Transactions!$G:$G,ROW()-8))</f>
      </c>
      <c r="F8250">
        <f>IF(INDEX(Transactions!$J:$J,ROW()-8)="",0,INDEX(Transactions!$O:$O,ROW()-8))</f>
      </c>
    </row>
    <row r="8251" spans="1:7">
      <c r="B8251">
        <f>IF(INDEX(Transactions!$J:$J,ROW()-8)="",TODAY(),INDEX(Transactions!$G:$G,ROW()-8))</f>
      </c>
      <c r="F8251">
        <f>IF(INDEX(Transactions!$J:$J,ROW()-8)="",0,INDEX(Transactions!$O:$O,ROW()-8))</f>
      </c>
    </row>
    <row r="8252" spans="1:7">
      <c r="B8252">
        <f>IF(INDEX(Transactions!$J:$J,ROW()-8)="",TODAY(),INDEX(Transactions!$G:$G,ROW()-8))</f>
      </c>
      <c r="F8252">
        <f>IF(INDEX(Transactions!$J:$J,ROW()-8)="",0,INDEX(Transactions!$O:$O,ROW()-8))</f>
      </c>
    </row>
    <row r="8253" spans="1:7">
      <c r="B8253">
        <f>IF(INDEX(Transactions!$J:$J,ROW()-8)="",TODAY(),INDEX(Transactions!$G:$G,ROW()-8))</f>
      </c>
      <c r="F8253">
        <f>IF(INDEX(Transactions!$J:$J,ROW()-8)="",0,INDEX(Transactions!$O:$O,ROW()-8))</f>
      </c>
    </row>
    <row r="8254" spans="1:7">
      <c r="B8254">
        <f>IF(INDEX(Transactions!$J:$J,ROW()-8)="",TODAY(),INDEX(Transactions!$G:$G,ROW()-8))</f>
      </c>
      <c r="F8254">
        <f>IF(INDEX(Transactions!$J:$J,ROW()-8)="",0,INDEX(Transactions!$O:$O,ROW()-8))</f>
      </c>
    </row>
    <row r="8255" spans="1:7">
      <c r="B8255">
        <f>IF(INDEX(Transactions!$J:$J,ROW()-8)="",TODAY(),INDEX(Transactions!$G:$G,ROW()-8))</f>
      </c>
      <c r="F8255">
        <f>IF(INDEX(Transactions!$J:$J,ROW()-8)="",0,INDEX(Transactions!$O:$O,ROW()-8))</f>
      </c>
    </row>
    <row r="8256" spans="1:7">
      <c r="B8256">
        <f>IF(INDEX(Transactions!$J:$J,ROW()-8)="",TODAY(),INDEX(Transactions!$G:$G,ROW()-8))</f>
      </c>
      <c r="F8256">
        <f>IF(INDEX(Transactions!$J:$J,ROW()-8)="",0,INDEX(Transactions!$O:$O,ROW()-8))</f>
      </c>
    </row>
    <row r="8257" spans="1:7">
      <c r="B8257">
        <f>IF(INDEX(Transactions!$J:$J,ROW()-8)="",TODAY(),INDEX(Transactions!$G:$G,ROW()-8))</f>
      </c>
      <c r="F8257">
        <f>IF(INDEX(Transactions!$J:$J,ROW()-8)="",0,INDEX(Transactions!$O:$O,ROW()-8))</f>
      </c>
    </row>
    <row r="8258" spans="1:7">
      <c r="B8258">
        <f>IF(INDEX(Transactions!$J:$J,ROW()-8)="",TODAY(),INDEX(Transactions!$G:$G,ROW()-8))</f>
      </c>
      <c r="F8258">
        <f>IF(INDEX(Transactions!$J:$J,ROW()-8)="",0,INDEX(Transactions!$O:$O,ROW()-8))</f>
      </c>
    </row>
    <row r="8259" spans="1:7">
      <c r="B8259">
        <f>IF(INDEX(Transactions!$J:$J,ROW()-8)="",TODAY(),INDEX(Transactions!$G:$G,ROW()-8))</f>
      </c>
      <c r="F8259">
        <f>IF(INDEX(Transactions!$J:$J,ROW()-8)="",0,INDEX(Transactions!$O:$O,ROW()-8))</f>
      </c>
    </row>
    <row r="8260" spans="1:7">
      <c r="B8260">
        <f>IF(INDEX(Transactions!$J:$J,ROW()-8)="",TODAY(),INDEX(Transactions!$G:$G,ROW()-8))</f>
      </c>
      <c r="F8260">
        <f>IF(INDEX(Transactions!$J:$J,ROW()-8)="",0,INDEX(Transactions!$O:$O,ROW()-8))</f>
      </c>
    </row>
    <row r="8261" spans="1:7">
      <c r="B8261">
        <f>IF(INDEX(Transactions!$J:$J,ROW()-8)="",TODAY(),INDEX(Transactions!$G:$G,ROW()-8))</f>
      </c>
      <c r="F8261">
        <f>IF(INDEX(Transactions!$J:$J,ROW()-8)="",0,INDEX(Transactions!$O:$O,ROW()-8))</f>
      </c>
    </row>
    <row r="8262" spans="1:7">
      <c r="B8262">
        <f>IF(INDEX(Transactions!$J:$J,ROW()-8)="",TODAY(),INDEX(Transactions!$G:$G,ROW()-8))</f>
      </c>
      <c r="F8262">
        <f>IF(INDEX(Transactions!$J:$J,ROW()-8)="",0,INDEX(Transactions!$O:$O,ROW()-8))</f>
      </c>
    </row>
    <row r="8263" spans="1:7">
      <c r="B8263">
        <f>IF(INDEX(Transactions!$J:$J,ROW()-8)="",TODAY(),INDEX(Transactions!$G:$G,ROW()-8))</f>
      </c>
      <c r="F8263">
        <f>IF(INDEX(Transactions!$J:$J,ROW()-8)="",0,INDEX(Transactions!$O:$O,ROW()-8))</f>
      </c>
    </row>
    <row r="8264" spans="1:7">
      <c r="B8264">
        <f>IF(INDEX(Transactions!$J:$J,ROW()-8)="",TODAY(),INDEX(Transactions!$G:$G,ROW()-8))</f>
      </c>
      <c r="F8264">
        <f>IF(INDEX(Transactions!$J:$J,ROW()-8)="",0,INDEX(Transactions!$O:$O,ROW()-8))</f>
      </c>
    </row>
    <row r="8265" spans="1:7">
      <c r="B8265">
        <f>IF(INDEX(Transactions!$J:$J,ROW()-8)="",TODAY(),INDEX(Transactions!$G:$G,ROW()-8))</f>
      </c>
      <c r="F8265">
        <f>IF(INDEX(Transactions!$J:$J,ROW()-8)="",0,INDEX(Transactions!$O:$O,ROW()-8))</f>
      </c>
    </row>
    <row r="8266" spans="1:7">
      <c r="B8266">
        <f>IF(INDEX(Transactions!$J:$J,ROW()-8)="",TODAY(),INDEX(Transactions!$G:$G,ROW()-8))</f>
      </c>
      <c r="F8266">
        <f>IF(INDEX(Transactions!$J:$J,ROW()-8)="",0,INDEX(Transactions!$O:$O,ROW()-8))</f>
      </c>
    </row>
    <row r="8267" spans="1:7">
      <c r="B8267">
        <f>IF(INDEX(Transactions!$J:$J,ROW()-8)="",TODAY(),INDEX(Transactions!$G:$G,ROW()-8))</f>
      </c>
      <c r="F8267">
        <f>IF(INDEX(Transactions!$J:$J,ROW()-8)="",0,INDEX(Transactions!$O:$O,ROW()-8))</f>
      </c>
    </row>
    <row r="8268" spans="1:7">
      <c r="B8268">
        <f>IF(INDEX(Transactions!$J:$J,ROW()-8)="",TODAY(),INDEX(Transactions!$G:$G,ROW()-8))</f>
      </c>
      <c r="F8268">
        <f>IF(INDEX(Transactions!$J:$J,ROW()-8)="",0,INDEX(Transactions!$O:$O,ROW()-8))</f>
      </c>
    </row>
    <row r="8269" spans="1:7">
      <c r="B8269">
        <f>IF(INDEX(Transactions!$J:$J,ROW()-8)="",TODAY(),INDEX(Transactions!$G:$G,ROW()-8))</f>
      </c>
      <c r="F8269">
        <f>IF(INDEX(Transactions!$J:$J,ROW()-8)="",0,INDEX(Transactions!$O:$O,ROW()-8))</f>
      </c>
    </row>
    <row r="8270" spans="1:7">
      <c r="B8270">
        <f>IF(INDEX(Transactions!$J:$J,ROW()-8)="",TODAY(),INDEX(Transactions!$G:$G,ROW()-8))</f>
      </c>
      <c r="F8270">
        <f>IF(INDEX(Transactions!$J:$J,ROW()-8)="",0,INDEX(Transactions!$O:$O,ROW()-8))</f>
      </c>
    </row>
    <row r="8271" spans="1:7">
      <c r="B8271">
        <f>IF(INDEX(Transactions!$J:$J,ROW()-8)="",TODAY(),INDEX(Transactions!$G:$G,ROW()-8))</f>
      </c>
      <c r="F8271">
        <f>IF(INDEX(Transactions!$J:$J,ROW()-8)="",0,INDEX(Transactions!$O:$O,ROW()-8))</f>
      </c>
    </row>
    <row r="8272" spans="1:7">
      <c r="B8272">
        <f>IF(INDEX(Transactions!$J:$J,ROW()-8)="",TODAY(),INDEX(Transactions!$G:$G,ROW()-8))</f>
      </c>
      <c r="F8272">
        <f>IF(INDEX(Transactions!$J:$J,ROW()-8)="",0,INDEX(Transactions!$O:$O,ROW()-8))</f>
      </c>
    </row>
    <row r="8273" spans="1:7">
      <c r="B8273">
        <f>IF(INDEX(Transactions!$J:$J,ROW()-8)="",TODAY(),INDEX(Transactions!$G:$G,ROW()-8))</f>
      </c>
      <c r="F8273">
        <f>IF(INDEX(Transactions!$J:$J,ROW()-8)="",0,INDEX(Transactions!$O:$O,ROW()-8))</f>
      </c>
    </row>
    <row r="8274" spans="1:7">
      <c r="B8274">
        <f>IF(INDEX(Transactions!$J:$J,ROW()-8)="",TODAY(),INDEX(Transactions!$G:$G,ROW()-8))</f>
      </c>
      <c r="F8274">
        <f>IF(INDEX(Transactions!$J:$J,ROW()-8)="",0,INDEX(Transactions!$O:$O,ROW()-8))</f>
      </c>
    </row>
    <row r="8275" spans="1:7">
      <c r="B8275">
        <f>IF(INDEX(Transactions!$J:$J,ROW()-8)="",TODAY(),INDEX(Transactions!$G:$G,ROW()-8))</f>
      </c>
      <c r="F8275">
        <f>IF(INDEX(Transactions!$J:$J,ROW()-8)="",0,INDEX(Transactions!$O:$O,ROW()-8))</f>
      </c>
    </row>
    <row r="8276" spans="1:7">
      <c r="B8276">
        <f>IF(INDEX(Transactions!$J:$J,ROW()-8)="",TODAY(),INDEX(Transactions!$G:$G,ROW()-8))</f>
      </c>
      <c r="F8276">
        <f>IF(INDEX(Transactions!$J:$J,ROW()-8)="",0,INDEX(Transactions!$O:$O,ROW()-8))</f>
      </c>
    </row>
    <row r="8277" spans="1:7">
      <c r="B8277">
        <f>IF(INDEX(Transactions!$J:$J,ROW()-8)="",TODAY(),INDEX(Transactions!$G:$G,ROW()-8))</f>
      </c>
      <c r="F8277">
        <f>IF(INDEX(Transactions!$J:$J,ROW()-8)="",0,INDEX(Transactions!$O:$O,ROW()-8))</f>
      </c>
    </row>
    <row r="8278" spans="1:7">
      <c r="B8278">
        <f>IF(INDEX(Transactions!$J:$J,ROW()-8)="",TODAY(),INDEX(Transactions!$G:$G,ROW()-8))</f>
      </c>
      <c r="F8278">
        <f>IF(INDEX(Transactions!$J:$J,ROW()-8)="",0,INDEX(Transactions!$O:$O,ROW()-8))</f>
      </c>
    </row>
    <row r="8279" spans="1:7">
      <c r="B8279">
        <f>IF(INDEX(Transactions!$J:$J,ROW()-8)="",TODAY(),INDEX(Transactions!$G:$G,ROW()-8))</f>
      </c>
      <c r="F8279">
        <f>IF(INDEX(Transactions!$J:$J,ROW()-8)="",0,INDEX(Transactions!$O:$O,ROW()-8))</f>
      </c>
    </row>
    <row r="8280" spans="1:7">
      <c r="B8280">
        <f>IF(INDEX(Transactions!$J:$J,ROW()-8)="",TODAY(),INDEX(Transactions!$G:$G,ROW()-8))</f>
      </c>
      <c r="F8280">
        <f>IF(INDEX(Transactions!$J:$J,ROW()-8)="",0,INDEX(Transactions!$O:$O,ROW()-8))</f>
      </c>
    </row>
    <row r="8281" spans="1:7">
      <c r="B8281">
        <f>IF(INDEX(Transactions!$J:$J,ROW()-8)="",TODAY(),INDEX(Transactions!$G:$G,ROW()-8))</f>
      </c>
      <c r="F8281">
        <f>IF(INDEX(Transactions!$J:$J,ROW()-8)="",0,INDEX(Transactions!$O:$O,ROW()-8))</f>
      </c>
    </row>
    <row r="8282" spans="1:7">
      <c r="B8282">
        <f>IF(INDEX(Transactions!$J:$J,ROW()-8)="",TODAY(),INDEX(Transactions!$G:$G,ROW()-8))</f>
      </c>
      <c r="F8282">
        <f>IF(INDEX(Transactions!$J:$J,ROW()-8)="",0,INDEX(Transactions!$O:$O,ROW()-8))</f>
      </c>
    </row>
    <row r="8283" spans="1:7">
      <c r="B8283">
        <f>IF(INDEX(Transactions!$J:$J,ROW()-8)="",TODAY(),INDEX(Transactions!$G:$G,ROW()-8))</f>
      </c>
      <c r="F8283">
        <f>IF(INDEX(Transactions!$J:$J,ROW()-8)="",0,INDEX(Transactions!$O:$O,ROW()-8))</f>
      </c>
    </row>
    <row r="8284" spans="1:7">
      <c r="B8284">
        <f>IF(INDEX(Transactions!$J:$J,ROW()-8)="",TODAY(),INDEX(Transactions!$G:$G,ROW()-8))</f>
      </c>
      <c r="F8284">
        <f>IF(INDEX(Transactions!$J:$J,ROW()-8)="",0,INDEX(Transactions!$O:$O,ROW()-8))</f>
      </c>
    </row>
    <row r="8285" spans="1:7">
      <c r="B8285">
        <f>IF(INDEX(Transactions!$J:$J,ROW()-8)="",TODAY(),INDEX(Transactions!$G:$G,ROW()-8))</f>
      </c>
      <c r="F8285">
        <f>IF(INDEX(Transactions!$J:$J,ROW()-8)="",0,INDEX(Transactions!$O:$O,ROW()-8))</f>
      </c>
    </row>
    <row r="8286" spans="1:7">
      <c r="B8286">
        <f>IF(INDEX(Transactions!$J:$J,ROW()-8)="",TODAY(),INDEX(Transactions!$G:$G,ROW()-8))</f>
      </c>
      <c r="F8286">
        <f>IF(INDEX(Transactions!$J:$J,ROW()-8)="",0,INDEX(Transactions!$O:$O,ROW()-8))</f>
      </c>
    </row>
    <row r="8287" spans="1:7">
      <c r="B8287">
        <f>IF(INDEX(Transactions!$J:$J,ROW()-8)="",TODAY(),INDEX(Transactions!$G:$G,ROW()-8))</f>
      </c>
      <c r="F8287">
        <f>IF(INDEX(Transactions!$J:$J,ROW()-8)="",0,INDEX(Transactions!$O:$O,ROW()-8))</f>
      </c>
    </row>
    <row r="8288" spans="1:7">
      <c r="B8288">
        <f>IF(INDEX(Transactions!$J:$J,ROW()-8)="",TODAY(),INDEX(Transactions!$G:$G,ROW()-8))</f>
      </c>
      <c r="F8288">
        <f>IF(INDEX(Transactions!$J:$J,ROW()-8)="",0,INDEX(Transactions!$O:$O,ROW()-8))</f>
      </c>
    </row>
    <row r="8289" spans="1:7">
      <c r="B8289">
        <f>IF(INDEX(Transactions!$J:$J,ROW()-8)="",TODAY(),INDEX(Transactions!$G:$G,ROW()-8))</f>
      </c>
      <c r="F8289">
        <f>IF(INDEX(Transactions!$J:$J,ROW()-8)="",0,INDEX(Transactions!$O:$O,ROW()-8))</f>
      </c>
    </row>
    <row r="8290" spans="1:7">
      <c r="B8290">
        <f>IF(INDEX(Transactions!$J:$J,ROW()-8)="",TODAY(),INDEX(Transactions!$G:$G,ROW()-8))</f>
      </c>
      <c r="F8290">
        <f>IF(INDEX(Transactions!$J:$J,ROW()-8)="",0,INDEX(Transactions!$O:$O,ROW()-8))</f>
      </c>
    </row>
    <row r="8291" spans="1:7">
      <c r="B8291">
        <f>IF(INDEX(Transactions!$J:$J,ROW()-8)="",TODAY(),INDEX(Transactions!$G:$G,ROW()-8))</f>
      </c>
      <c r="F8291">
        <f>IF(INDEX(Transactions!$J:$J,ROW()-8)="",0,INDEX(Transactions!$O:$O,ROW()-8))</f>
      </c>
    </row>
    <row r="8292" spans="1:7">
      <c r="B8292">
        <f>IF(INDEX(Transactions!$J:$J,ROW()-8)="",TODAY(),INDEX(Transactions!$G:$G,ROW()-8))</f>
      </c>
      <c r="F8292">
        <f>IF(INDEX(Transactions!$J:$J,ROW()-8)="",0,INDEX(Transactions!$O:$O,ROW()-8))</f>
      </c>
    </row>
    <row r="8293" spans="1:7">
      <c r="B8293">
        <f>IF(INDEX(Transactions!$J:$J,ROW()-8)="",TODAY(),INDEX(Transactions!$G:$G,ROW()-8))</f>
      </c>
      <c r="F8293">
        <f>IF(INDEX(Transactions!$J:$J,ROW()-8)="",0,INDEX(Transactions!$O:$O,ROW()-8))</f>
      </c>
    </row>
    <row r="8294" spans="1:7">
      <c r="B8294">
        <f>IF(INDEX(Transactions!$J:$J,ROW()-8)="",TODAY(),INDEX(Transactions!$G:$G,ROW()-8))</f>
      </c>
      <c r="F8294">
        <f>IF(INDEX(Transactions!$J:$J,ROW()-8)="",0,INDEX(Transactions!$O:$O,ROW()-8))</f>
      </c>
    </row>
    <row r="8295" spans="1:7">
      <c r="B8295">
        <f>IF(INDEX(Transactions!$J:$J,ROW()-8)="",TODAY(),INDEX(Transactions!$G:$G,ROW()-8))</f>
      </c>
      <c r="F8295">
        <f>IF(INDEX(Transactions!$J:$J,ROW()-8)="",0,INDEX(Transactions!$O:$O,ROW()-8))</f>
      </c>
    </row>
    <row r="8296" spans="1:7">
      <c r="B8296">
        <f>IF(INDEX(Transactions!$J:$J,ROW()-8)="",TODAY(),INDEX(Transactions!$G:$G,ROW()-8))</f>
      </c>
      <c r="F8296">
        <f>IF(INDEX(Transactions!$J:$J,ROW()-8)="",0,INDEX(Transactions!$O:$O,ROW()-8))</f>
      </c>
    </row>
    <row r="8297" spans="1:7">
      <c r="B8297">
        <f>IF(INDEX(Transactions!$J:$J,ROW()-8)="",TODAY(),INDEX(Transactions!$G:$G,ROW()-8))</f>
      </c>
      <c r="F8297">
        <f>IF(INDEX(Transactions!$J:$J,ROW()-8)="",0,INDEX(Transactions!$O:$O,ROW()-8))</f>
      </c>
    </row>
    <row r="8298" spans="1:7">
      <c r="B8298">
        <f>IF(INDEX(Transactions!$J:$J,ROW()-8)="",TODAY(),INDEX(Transactions!$G:$G,ROW()-8))</f>
      </c>
      <c r="F8298">
        <f>IF(INDEX(Transactions!$J:$J,ROW()-8)="",0,INDEX(Transactions!$O:$O,ROW()-8))</f>
      </c>
    </row>
    <row r="8299" spans="1:7">
      <c r="B8299">
        <f>IF(INDEX(Transactions!$J:$J,ROW()-8)="",TODAY(),INDEX(Transactions!$G:$G,ROW()-8))</f>
      </c>
      <c r="F8299">
        <f>IF(INDEX(Transactions!$J:$J,ROW()-8)="",0,INDEX(Transactions!$O:$O,ROW()-8))</f>
      </c>
    </row>
    <row r="8300" spans="1:7">
      <c r="B8300">
        <f>IF(INDEX(Transactions!$J:$J,ROW()-8)="",TODAY(),INDEX(Transactions!$G:$G,ROW()-8))</f>
      </c>
      <c r="F8300">
        <f>IF(INDEX(Transactions!$J:$J,ROW()-8)="",0,INDEX(Transactions!$O:$O,ROW()-8))</f>
      </c>
    </row>
    <row r="8301" spans="1:7">
      <c r="B8301">
        <f>IF(INDEX(Transactions!$J:$J,ROW()-8)="",TODAY(),INDEX(Transactions!$G:$G,ROW()-8))</f>
      </c>
      <c r="F8301">
        <f>IF(INDEX(Transactions!$J:$J,ROW()-8)="",0,INDEX(Transactions!$O:$O,ROW()-8))</f>
      </c>
    </row>
    <row r="8302" spans="1:7">
      <c r="B8302">
        <f>IF(INDEX(Transactions!$J:$J,ROW()-8)="",TODAY(),INDEX(Transactions!$G:$G,ROW()-8))</f>
      </c>
      <c r="F8302">
        <f>IF(INDEX(Transactions!$J:$J,ROW()-8)="",0,INDEX(Transactions!$O:$O,ROW()-8))</f>
      </c>
    </row>
    <row r="8303" spans="1:7">
      <c r="B8303">
        <f>IF(INDEX(Transactions!$J:$J,ROW()-8)="",TODAY(),INDEX(Transactions!$G:$G,ROW()-8))</f>
      </c>
      <c r="F8303">
        <f>IF(INDEX(Transactions!$J:$J,ROW()-8)="",0,INDEX(Transactions!$O:$O,ROW()-8))</f>
      </c>
    </row>
    <row r="8304" spans="1:7">
      <c r="B8304">
        <f>IF(INDEX(Transactions!$J:$J,ROW()-8)="",TODAY(),INDEX(Transactions!$G:$G,ROW()-8))</f>
      </c>
      <c r="F8304">
        <f>IF(INDEX(Transactions!$J:$J,ROW()-8)="",0,INDEX(Transactions!$O:$O,ROW()-8))</f>
      </c>
    </row>
    <row r="8305" spans="1:7">
      <c r="B8305">
        <f>IF(INDEX(Transactions!$J:$J,ROW()-8)="",TODAY(),INDEX(Transactions!$G:$G,ROW()-8))</f>
      </c>
      <c r="F8305">
        <f>IF(INDEX(Transactions!$J:$J,ROW()-8)="",0,INDEX(Transactions!$O:$O,ROW()-8))</f>
      </c>
    </row>
    <row r="8306" spans="1:7">
      <c r="B8306">
        <f>IF(INDEX(Transactions!$J:$J,ROW()-8)="",TODAY(),INDEX(Transactions!$G:$G,ROW()-8))</f>
      </c>
      <c r="F8306">
        <f>IF(INDEX(Transactions!$J:$J,ROW()-8)="",0,INDEX(Transactions!$O:$O,ROW()-8))</f>
      </c>
    </row>
    <row r="8307" spans="1:7">
      <c r="B8307">
        <f>IF(INDEX(Transactions!$J:$J,ROW()-8)="",TODAY(),INDEX(Transactions!$G:$G,ROW()-8))</f>
      </c>
      <c r="F8307">
        <f>IF(INDEX(Transactions!$J:$J,ROW()-8)="",0,INDEX(Transactions!$O:$O,ROW()-8))</f>
      </c>
    </row>
    <row r="8308" spans="1:7">
      <c r="B8308">
        <f>IF(INDEX(Transactions!$J:$J,ROW()-8)="",TODAY(),INDEX(Transactions!$G:$G,ROW()-8))</f>
      </c>
      <c r="F8308">
        <f>IF(INDEX(Transactions!$J:$J,ROW()-8)="",0,INDEX(Transactions!$O:$O,ROW()-8))</f>
      </c>
    </row>
    <row r="8309" spans="1:7">
      <c r="B8309">
        <f>IF(INDEX(Transactions!$J:$J,ROW()-8)="",TODAY(),INDEX(Transactions!$G:$G,ROW()-8))</f>
      </c>
      <c r="F8309">
        <f>IF(INDEX(Transactions!$J:$J,ROW()-8)="",0,INDEX(Transactions!$O:$O,ROW()-8))</f>
      </c>
    </row>
    <row r="8310" spans="1:7">
      <c r="B8310">
        <f>IF(INDEX(Transactions!$J:$J,ROW()-8)="",TODAY(),INDEX(Transactions!$G:$G,ROW()-8))</f>
      </c>
      <c r="F8310">
        <f>IF(INDEX(Transactions!$J:$J,ROW()-8)="",0,INDEX(Transactions!$O:$O,ROW()-8))</f>
      </c>
    </row>
    <row r="8311" spans="1:7">
      <c r="B8311">
        <f>IF(INDEX(Transactions!$J:$J,ROW()-8)="",TODAY(),INDEX(Transactions!$G:$G,ROW()-8))</f>
      </c>
      <c r="F8311">
        <f>IF(INDEX(Transactions!$J:$J,ROW()-8)="",0,INDEX(Transactions!$O:$O,ROW()-8))</f>
      </c>
    </row>
    <row r="8312" spans="1:7">
      <c r="B8312">
        <f>IF(INDEX(Transactions!$J:$J,ROW()-8)="",TODAY(),INDEX(Transactions!$G:$G,ROW()-8))</f>
      </c>
      <c r="F8312">
        <f>IF(INDEX(Transactions!$J:$J,ROW()-8)="",0,INDEX(Transactions!$O:$O,ROW()-8))</f>
      </c>
    </row>
    <row r="8313" spans="1:7">
      <c r="B8313">
        <f>IF(INDEX(Transactions!$J:$J,ROW()-8)="",TODAY(),INDEX(Transactions!$G:$G,ROW()-8))</f>
      </c>
      <c r="F8313">
        <f>IF(INDEX(Transactions!$J:$J,ROW()-8)="",0,INDEX(Transactions!$O:$O,ROW()-8))</f>
      </c>
    </row>
    <row r="8314" spans="1:7">
      <c r="B8314">
        <f>IF(INDEX(Transactions!$J:$J,ROW()-8)="",TODAY(),INDEX(Transactions!$G:$G,ROW()-8))</f>
      </c>
      <c r="F8314">
        <f>IF(INDEX(Transactions!$J:$J,ROW()-8)="",0,INDEX(Transactions!$O:$O,ROW()-8))</f>
      </c>
    </row>
    <row r="8315" spans="1:7">
      <c r="B8315">
        <f>IF(INDEX(Transactions!$J:$J,ROW()-8)="",TODAY(),INDEX(Transactions!$G:$G,ROW()-8))</f>
      </c>
      <c r="F8315">
        <f>IF(INDEX(Transactions!$J:$J,ROW()-8)="",0,INDEX(Transactions!$O:$O,ROW()-8))</f>
      </c>
    </row>
    <row r="8316" spans="1:7">
      <c r="B8316">
        <f>IF(INDEX(Transactions!$J:$J,ROW()-8)="",TODAY(),INDEX(Transactions!$G:$G,ROW()-8))</f>
      </c>
      <c r="F8316">
        <f>IF(INDEX(Transactions!$J:$J,ROW()-8)="",0,INDEX(Transactions!$O:$O,ROW()-8))</f>
      </c>
    </row>
    <row r="8317" spans="1:7">
      <c r="B8317">
        <f>IF(INDEX(Transactions!$J:$J,ROW()-8)="",TODAY(),INDEX(Transactions!$G:$G,ROW()-8))</f>
      </c>
      <c r="F8317">
        <f>IF(INDEX(Transactions!$J:$J,ROW()-8)="",0,INDEX(Transactions!$O:$O,ROW()-8))</f>
      </c>
    </row>
    <row r="8318" spans="1:7">
      <c r="B8318">
        <f>IF(INDEX(Transactions!$J:$J,ROW()-8)="",TODAY(),INDEX(Transactions!$G:$G,ROW()-8))</f>
      </c>
      <c r="F8318">
        <f>IF(INDEX(Transactions!$J:$J,ROW()-8)="",0,INDEX(Transactions!$O:$O,ROW()-8))</f>
      </c>
    </row>
    <row r="8319" spans="1:7">
      <c r="B8319">
        <f>IF(INDEX(Transactions!$J:$J,ROW()-8)="",TODAY(),INDEX(Transactions!$G:$G,ROW()-8))</f>
      </c>
      <c r="F8319">
        <f>IF(INDEX(Transactions!$J:$J,ROW()-8)="",0,INDEX(Transactions!$O:$O,ROW()-8))</f>
      </c>
    </row>
    <row r="8320" spans="1:7">
      <c r="B8320">
        <f>IF(INDEX(Transactions!$J:$J,ROW()-8)="",TODAY(),INDEX(Transactions!$G:$G,ROW()-8))</f>
      </c>
      <c r="F8320">
        <f>IF(INDEX(Transactions!$J:$J,ROW()-8)="",0,INDEX(Transactions!$O:$O,ROW()-8))</f>
      </c>
    </row>
    <row r="8321" spans="1:7">
      <c r="B8321">
        <f>IF(INDEX(Transactions!$J:$J,ROW()-8)="",TODAY(),INDEX(Transactions!$G:$G,ROW()-8))</f>
      </c>
      <c r="F8321">
        <f>IF(INDEX(Transactions!$J:$J,ROW()-8)="",0,INDEX(Transactions!$O:$O,ROW()-8))</f>
      </c>
    </row>
    <row r="8322" spans="1:7">
      <c r="B8322">
        <f>IF(INDEX(Transactions!$J:$J,ROW()-8)="",TODAY(),INDEX(Transactions!$G:$G,ROW()-8))</f>
      </c>
      <c r="F8322">
        <f>IF(INDEX(Transactions!$J:$J,ROW()-8)="",0,INDEX(Transactions!$O:$O,ROW()-8))</f>
      </c>
    </row>
    <row r="8323" spans="1:7">
      <c r="B8323">
        <f>IF(INDEX(Transactions!$J:$J,ROW()-8)="",TODAY(),INDEX(Transactions!$G:$G,ROW()-8))</f>
      </c>
      <c r="F8323">
        <f>IF(INDEX(Transactions!$J:$J,ROW()-8)="",0,INDEX(Transactions!$O:$O,ROW()-8))</f>
      </c>
    </row>
    <row r="8324" spans="1:7">
      <c r="B8324">
        <f>IF(INDEX(Transactions!$J:$J,ROW()-8)="",TODAY(),INDEX(Transactions!$G:$G,ROW()-8))</f>
      </c>
      <c r="F8324">
        <f>IF(INDEX(Transactions!$J:$J,ROW()-8)="",0,INDEX(Transactions!$O:$O,ROW()-8))</f>
      </c>
    </row>
    <row r="8325" spans="1:7">
      <c r="B8325">
        <f>IF(INDEX(Transactions!$J:$J,ROW()-8)="",TODAY(),INDEX(Transactions!$G:$G,ROW()-8))</f>
      </c>
      <c r="F8325">
        <f>IF(INDEX(Transactions!$J:$J,ROW()-8)="",0,INDEX(Transactions!$O:$O,ROW()-8))</f>
      </c>
    </row>
    <row r="8326" spans="1:7">
      <c r="B8326">
        <f>IF(INDEX(Transactions!$J:$J,ROW()-8)="",TODAY(),INDEX(Transactions!$G:$G,ROW()-8))</f>
      </c>
      <c r="F8326">
        <f>IF(INDEX(Transactions!$J:$J,ROW()-8)="",0,INDEX(Transactions!$O:$O,ROW()-8))</f>
      </c>
    </row>
    <row r="8327" spans="1:7">
      <c r="B8327">
        <f>IF(INDEX(Transactions!$J:$J,ROW()-8)="",TODAY(),INDEX(Transactions!$G:$G,ROW()-8))</f>
      </c>
      <c r="F8327">
        <f>IF(INDEX(Transactions!$J:$J,ROW()-8)="",0,INDEX(Transactions!$O:$O,ROW()-8))</f>
      </c>
    </row>
    <row r="8328" spans="1:7">
      <c r="B8328">
        <f>IF(INDEX(Transactions!$J:$J,ROW()-8)="",TODAY(),INDEX(Transactions!$G:$G,ROW()-8))</f>
      </c>
      <c r="F8328">
        <f>IF(INDEX(Transactions!$J:$J,ROW()-8)="",0,INDEX(Transactions!$O:$O,ROW()-8))</f>
      </c>
    </row>
    <row r="8329" spans="1:7">
      <c r="B8329">
        <f>IF(INDEX(Transactions!$J:$J,ROW()-8)="",TODAY(),INDEX(Transactions!$G:$G,ROW()-8))</f>
      </c>
      <c r="F8329">
        <f>IF(INDEX(Transactions!$J:$J,ROW()-8)="",0,INDEX(Transactions!$O:$O,ROW()-8))</f>
      </c>
    </row>
    <row r="8330" spans="1:7">
      <c r="B8330">
        <f>IF(INDEX(Transactions!$J:$J,ROW()-8)="",TODAY(),INDEX(Transactions!$G:$G,ROW()-8))</f>
      </c>
      <c r="F8330">
        <f>IF(INDEX(Transactions!$J:$J,ROW()-8)="",0,INDEX(Transactions!$O:$O,ROW()-8))</f>
      </c>
    </row>
    <row r="8331" spans="1:7">
      <c r="B8331">
        <f>IF(INDEX(Transactions!$J:$J,ROW()-8)="",TODAY(),INDEX(Transactions!$G:$G,ROW()-8))</f>
      </c>
      <c r="F8331">
        <f>IF(INDEX(Transactions!$J:$J,ROW()-8)="",0,INDEX(Transactions!$O:$O,ROW()-8))</f>
      </c>
    </row>
    <row r="8332" spans="1:7">
      <c r="B8332">
        <f>IF(INDEX(Transactions!$J:$J,ROW()-8)="",TODAY(),INDEX(Transactions!$G:$G,ROW()-8))</f>
      </c>
      <c r="F8332">
        <f>IF(INDEX(Transactions!$J:$J,ROW()-8)="",0,INDEX(Transactions!$O:$O,ROW()-8))</f>
      </c>
    </row>
    <row r="8333" spans="1:7">
      <c r="B8333">
        <f>IF(INDEX(Transactions!$J:$J,ROW()-8)="",TODAY(),INDEX(Transactions!$G:$G,ROW()-8))</f>
      </c>
      <c r="F8333">
        <f>IF(INDEX(Transactions!$J:$J,ROW()-8)="",0,INDEX(Transactions!$O:$O,ROW()-8))</f>
      </c>
    </row>
    <row r="8334" spans="1:7">
      <c r="B8334">
        <f>IF(INDEX(Transactions!$J:$J,ROW()-8)="",TODAY(),INDEX(Transactions!$G:$G,ROW()-8))</f>
      </c>
      <c r="F8334">
        <f>IF(INDEX(Transactions!$J:$J,ROW()-8)="",0,INDEX(Transactions!$O:$O,ROW()-8))</f>
      </c>
    </row>
    <row r="8335" spans="1:7">
      <c r="B8335">
        <f>IF(INDEX(Transactions!$J:$J,ROW()-8)="",TODAY(),INDEX(Transactions!$G:$G,ROW()-8))</f>
      </c>
      <c r="F8335">
        <f>IF(INDEX(Transactions!$J:$J,ROW()-8)="",0,INDEX(Transactions!$O:$O,ROW()-8))</f>
      </c>
    </row>
    <row r="8336" spans="1:7">
      <c r="B8336">
        <f>IF(INDEX(Transactions!$J:$J,ROW()-8)="",TODAY(),INDEX(Transactions!$G:$G,ROW()-8))</f>
      </c>
      <c r="F8336">
        <f>IF(INDEX(Transactions!$J:$J,ROW()-8)="",0,INDEX(Transactions!$O:$O,ROW()-8))</f>
      </c>
    </row>
    <row r="8337" spans="1:7">
      <c r="B8337">
        <f>IF(INDEX(Transactions!$J:$J,ROW()-8)="",TODAY(),INDEX(Transactions!$G:$G,ROW()-8))</f>
      </c>
      <c r="F8337">
        <f>IF(INDEX(Transactions!$J:$J,ROW()-8)="",0,INDEX(Transactions!$O:$O,ROW()-8))</f>
      </c>
    </row>
    <row r="8338" spans="1:7">
      <c r="B8338">
        <f>IF(INDEX(Transactions!$J:$J,ROW()-8)="",TODAY(),INDEX(Transactions!$G:$G,ROW()-8))</f>
      </c>
      <c r="F8338">
        <f>IF(INDEX(Transactions!$J:$J,ROW()-8)="",0,INDEX(Transactions!$O:$O,ROW()-8))</f>
      </c>
    </row>
    <row r="8339" spans="1:7">
      <c r="B8339">
        <f>IF(INDEX(Transactions!$J:$J,ROW()-8)="",TODAY(),INDEX(Transactions!$G:$G,ROW()-8))</f>
      </c>
      <c r="F8339">
        <f>IF(INDEX(Transactions!$J:$J,ROW()-8)="",0,INDEX(Transactions!$O:$O,ROW()-8))</f>
      </c>
    </row>
    <row r="8340" spans="1:7">
      <c r="B8340">
        <f>IF(INDEX(Transactions!$J:$J,ROW()-8)="",TODAY(),INDEX(Transactions!$G:$G,ROW()-8))</f>
      </c>
      <c r="F8340">
        <f>IF(INDEX(Transactions!$J:$J,ROW()-8)="",0,INDEX(Transactions!$O:$O,ROW()-8))</f>
      </c>
    </row>
    <row r="8341" spans="1:7">
      <c r="B8341">
        <f>IF(INDEX(Transactions!$J:$J,ROW()-8)="",TODAY(),INDEX(Transactions!$G:$G,ROW()-8))</f>
      </c>
      <c r="F8341">
        <f>IF(INDEX(Transactions!$J:$J,ROW()-8)="",0,INDEX(Transactions!$O:$O,ROW()-8))</f>
      </c>
    </row>
    <row r="8342" spans="1:7">
      <c r="B8342">
        <f>IF(INDEX(Transactions!$J:$J,ROW()-8)="",TODAY(),INDEX(Transactions!$G:$G,ROW()-8))</f>
      </c>
      <c r="F8342">
        <f>IF(INDEX(Transactions!$J:$J,ROW()-8)="",0,INDEX(Transactions!$O:$O,ROW()-8))</f>
      </c>
    </row>
    <row r="8343" spans="1:7">
      <c r="B8343">
        <f>IF(INDEX(Transactions!$J:$J,ROW()-8)="",TODAY(),INDEX(Transactions!$G:$G,ROW()-8))</f>
      </c>
      <c r="F8343">
        <f>IF(INDEX(Transactions!$J:$J,ROW()-8)="",0,INDEX(Transactions!$O:$O,ROW()-8))</f>
      </c>
    </row>
    <row r="8344" spans="1:7">
      <c r="B8344">
        <f>IF(INDEX(Transactions!$J:$J,ROW()-8)="",TODAY(),INDEX(Transactions!$G:$G,ROW()-8))</f>
      </c>
      <c r="F8344">
        <f>IF(INDEX(Transactions!$J:$J,ROW()-8)="",0,INDEX(Transactions!$O:$O,ROW()-8))</f>
      </c>
    </row>
    <row r="8345" spans="1:7">
      <c r="B8345">
        <f>IF(INDEX(Transactions!$J:$J,ROW()-8)="",TODAY(),INDEX(Transactions!$G:$G,ROW()-8))</f>
      </c>
      <c r="F8345">
        <f>IF(INDEX(Transactions!$J:$J,ROW()-8)="",0,INDEX(Transactions!$O:$O,ROW()-8))</f>
      </c>
    </row>
    <row r="8346" spans="1:7">
      <c r="B8346">
        <f>IF(INDEX(Transactions!$J:$J,ROW()-8)="",TODAY(),INDEX(Transactions!$G:$G,ROW()-8))</f>
      </c>
      <c r="F8346">
        <f>IF(INDEX(Transactions!$J:$J,ROW()-8)="",0,INDEX(Transactions!$O:$O,ROW()-8))</f>
      </c>
    </row>
    <row r="8347" spans="1:7">
      <c r="B8347">
        <f>IF(INDEX(Transactions!$J:$J,ROW()-8)="",TODAY(),INDEX(Transactions!$G:$G,ROW()-8))</f>
      </c>
      <c r="F8347">
        <f>IF(INDEX(Transactions!$J:$J,ROW()-8)="",0,INDEX(Transactions!$O:$O,ROW()-8))</f>
      </c>
    </row>
    <row r="8348" spans="1:7">
      <c r="B8348">
        <f>IF(INDEX(Transactions!$J:$J,ROW()-8)="",TODAY(),INDEX(Transactions!$G:$G,ROW()-8))</f>
      </c>
      <c r="F8348">
        <f>IF(INDEX(Transactions!$J:$J,ROW()-8)="",0,INDEX(Transactions!$O:$O,ROW()-8))</f>
      </c>
    </row>
    <row r="8349" spans="1:7">
      <c r="B8349">
        <f>IF(INDEX(Transactions!$J:$J,ROW()-8)="",TODAY(),INDEX(Transactions!$G:$G,ROW()-8))</f>
      </c>
      <c r="F8349">
        <f>IF(INDEX(Transactions!$J:$J,ROW()-8)="",0,INDEX(Transactions!$O:$O,ROW()-8))</f>
      </c>
    </row>
    <row r="8350" spans="1:7">
      <c r="B8350">
        <f>IF(INDEX(Transactions!$J:$J,ROW()-8)="",TODAY(),INDEX(Transactions!$G:$G,ROW()-8))</f>
      </c>
      <c r="F8350">
        <f>IF(INDEX(Transactions!$J:$J,ROW()-8)="",0,INDEX(Transactions!$O:$O,ROW()-8))</f>
      </c>
    </row>
    <row r="8351" spans="1:7">
      <c r="B8351">
        <f>IF(INDEX(Transactions!$J:$J,ROW()-8)="",TODAY(),INDEX(Transactions!$G:$G,ROW()-8))</f>
      </c>
      <c r="F8351">
        <f>IF(INDEX(Transactions!$J:$J,ROW()-8)="",0,INDEX(Transactions!$O:$O,ROW()-8))</f>
      </c>
    </row>
    <row r="8352" spans="1:7">
      <c r="B8352">
        <f>IF(INDEX(Transactions!$J:$J,ROW()-8)="",TODAY(),INDEX(Transactions!$G:$G,ROW()-8))</f>
      </c>
      <c r="F8352">
        <f>IF(INDEX(Transactions!$J:$J,ROW()-8)="",0,INDEX(Transactions!$O:$O,ROW()-8))</f>
      </c>
    </row>
    <row r="8353" spans="1:7">
      <c r="B8353">
        <f>IF(INDEX(Transactions!$J:$J,ROW()-8)="",TODAY(),INDEX(Transactions!$G:$G,ROW()-8))</f>
      </c>
      <c r="F8353">
        <f>IF(INDEX(Transactions!$J:$J,ROW()-8)="",0,INDEX(Transactions!$O:$O,ROW()-8))</f>
      </c>
    </row>
    <row r="8354" spans="1:7">
      <c r="B8354">
        <f>IF(INDEX(Transactions!$J:$J,ROW()-8)="",TODAY(),INDEX(Transactions!$G:$G,ROW()-8))</f>
      </c>
      <c r="F8354">
        <f>IF(INDEX(Transactions!$J:$J,ROW()-8)="",0,INDEX(Transactions!$O:$O,ROW()-8))</f>
      </c>
    </row>
    <row r="8355" spans="1:7">
      <c r="B8355">
        <f>IF(INDEX(Transactions!$J:$J,ROW()-8)="",TODAY(),INDEX(Transactions!$G:$G,ROW()-8))</f>
      </c>
      <c r="F8355">
        <f>IF(INDEX(Transactions!$J:$J,ROW()-8)="",0,INDEX(Transactions!$O:$O,ROW()-8))</f>
      </c>
    </row>
    <row r="8356" spans="1:7">
      <c r="B8356">
        <f>IF(INDEX(Transactions!$J:$J,ROW()-8)="",TODAY(),INDEX(Transactions!$G:$G,ROW()-8))</f>
      </c>
      <c r="F8356">
        <f>IF(INDEX(Transactions!$J:$J,ROW()-8)="",0,INDEX(Transactions!$O:$O,ROW()-8))</f>
      </c>
    </row>
    <row r="8357" spans="1:7">
      <c r="B8357">
        <f>IF(INDEX(Transactions!$J:$J,ROW()-8)="",TODAY(),INDEX(Transactions!$G:$G,ROW()-8))</f>
      </c>
      <c r="F8357">
        <f>IF(INDEX(Transactions!$J:$J,ROW()-8)="",0,INDEX(Transactions!$O:$O,ROW()-8))</f>
      </c>
    </row>
    <row r="8358" spans="1:7">
      <c r="B8358">
        <f>IF(INDEX(Transactions!$J:$J,ROW()-8)="",TODAY(),INDEX(Transactions!$G:$G,ROW()-8))</f>
      </c>
      <c r="F8358">
        <f>IF(INDEX(Transactions!$J:$J,ROW()-8)="",0,INDEX(Transactions!$O:$O,ROW()-8))</f>
      </c>
    </row>
    <row r="8359" spans="1:7">
      <c r="B8359">
        <f>IF(INDEX(Transactions!$J:$J,ROW()-8)="",TODAY(),INDEX(Transactions!$G:$G,ROW()-8))</f>
      </c>
      <c r="F8359">
        <f>IF(INDEX(Transactions!$J:$J,ROW()-8)="",0,INDEX(Transactions!$O:$O,ROW()-8))</f>
      </c>
    </row>
    <row r="8360" spans="1:7">
      <c r="B8360">
        <f>IF(INDEX(Transactions!$J:$J,ROW()-8)="",TODAY(),INDEX(Transactions!$G:$G,ROW()-8))</f>
      </c>
      <c r="F8360">
        <f>IF(INDEX(Transactions!$J:$J,ROW()-8)="",0,INDEX(Transactions!$O:$O,ROW()-8))</f>
      </c>
    </row>
    <row r="8361" spans="1:7">
      <c r="B8361">
        <f>IF(INDEX(Transactions!$J:$J,ROW()-8)="",TODAY(),INDEX(Transactions!$G:$G,ROW()-8))</f>
      </c>
      <c r="F8361">
        <f>IF(INDEX(Transactions!$J:$J,ROW()-8)="",0,INDEX(Transactions!$O:$O,ROW()-8))</f>
      </c>
    </row>
    <row r="8362" spans="1:7">
      <c r="B8362">
        <f>IF(INDEX(Transactions!$J:$J,ROW()-8)="",TODAY(),INDEX(Transactions!$G:$G,ROW()-8))</f>
      </c>
      <c r="F8362">
        <f>IF(INDEX(Transactions!$J:$J,ROW()-8)="",0,INDEX(Transactions!$O:$O,ROW()-8))</f>
      </c>
    </row>
    <row r="8363" spans="1:7">
      <c r="B8363">
        <f>IF(INDEX(Transactions!$J:$J,ROW()-8)="",TODAY(),INDEX(Transactions!$G:$G,ROW()-8))</f>
      </c>
      <c r="F8363">
        <f>IF(INDEX(Transactions!$J:$J,ROW()-8)="",0,INDEX(Transactions!$O:$O,ROW()-8))</f>
      </c>
    </row>
    <row r="8364" spans="1:7">
      <c r="B8364">
        <f>IF(INDEX(Transactions!$J:$J,ROW()-8)="",TODAY(),INDEX(Transactions!$G:$G,ROW()-8))</f>
      </c>
      <c r="F8364">
        <f>IF(INDEX(Transactions!$J:$J,ROW()-8)="",0,INDEX(Transactions!$O:$O,ROW()-8))</f>
      </c>
    </row>
    <row r="8365" spans="1:7">
      <c r="B8365">
        <f>IF(INDEX(Transactions!$J:$J,ROW()-8)="",TODAY(),INDEX(Transactions!$G:$G,ROW()-8))</f>
      </c>
      <c r="F8365">
        <f>IF(INDEX(Transactions!$J:$J,ROW()-8)="",0,INDEX(Transactions!$O:$O,ROW()-8))</f>
      </c>
    </row>
    <row r="8366" spans="1:7">
      <c r="B8366">
        <f>IF(INDEX(Transactions!$J:$J,ROW()-8)="",TODAY(),INDEX(Transactions!$G:$G,ROW()-8))</f>
      </c>
      <c r="F8366">
        <f>IF(INDEX(Transactions!$J:$J,ROW()-8)="",0,INDEX(Transactions!$O:$O,ROW()-8))</f>
      </c>
    </row>
    <row r="8367" spans="1:7">
      <c r="B8367">
        <f>IF(INDEX(Transactions!$J:$J,ROW()-8)="",TODAY(),INDEX(Transactions!$G:$G,ROW()-8))</f>
      </c>
      <c r="F8367">
        <f>IF(INDEX(Transactions!$J:$J,ROW()-8)="",0,INDEX(Transactions!$O:$O,ROW()-8))</f>
      </c>
    </row>
    <row r="8368" spans="1:7">
      <c r="B8368">
        <f>IF(INDEX(Transactions!$J:$J,ROW()-8)="",TODAY(),INDEX(Transactions!$G:$G,ROW()-8))</f>
      </c>
      <c r="F8368">
        <f>IF(INDEX(Transactions!$J:$J,ROW()-8)="",0,INDEX(Transactions!$O:$O,ROW()-8))</f>
      </c>
    </row>
    <row r="8369" spans="1:7">
      <c r="B8369">
        <f>IF(INDEX(Transactions!$J:$J,ROW()-8)="",TODAY(),INDEX(Transactions!$G:$G,ROW()-8))</f>
      </c>
      <c r="F8369">
        <f>IF(INDEX(Transactions!$J:$J,ROW()-8)="",0,INDEX(Transactions!$O:$O,ROW()-8))</f>
      </c>
    </row>
    <row r="8370" spans="1:7">
      <c r="B8370">
        <f>IF(INDEX(Transactions!$J:$J,ROW()-8)="",TODAY(),INDEX(Transactions!$G:$G,ROW()-8))</f>
      </c>
      <c r="F8370">
        <f>IF(INDEX(Transactions!$J:$J,ROW()-8)="",0,INDEX(Transactions!$O:$O,ROW()-8))</f>
      </c>
    </row>
    <row r="8371" spans="1:7">
      <c r="B8371">
        <f>IF(INDEX(Transactions!$J:$J,ROW()-8)="",TODAY(),INDEX(Transactions!$G:$G,ROW()-8))</f>
      </c>
      <c r="F8371">
        <f>IF(INDEX(Transactions!$J:$J,ROW()-8)="",0,INDEX(Transactions!$O:$O,ROW()-8))</f>
      </c>
    </row>
    <row r="8372" spans="1:7">
      <c r="B8372">
        <f>IF(INDEX(Transactions!$J:$J,ROW()-8)="",TODAY(),INDEX(Transactions!$G:$G,ROW()-8))</f>
      </c>
      <c r="F8372">
        <f>IF(INDEX(Transactions!$J:$J,ROW()-8)="",0,INDEX(Transactions!$O:$O,ROW()-8))</f>
      </c>
    </row>
    <row r="8373" spans="1:7">
      <c r="B8373">
        <f>IF(INDEX(Transactions!$J:$J,ROW()-8)="",TODAY(),INDEX(Transactions!$G:$G,ROW()-8))</f>
      </c>
      <c r="F8373">
        <f>IF(INDEX(Transactions!$J:$J,ROW()-8)="",0,INDEX(Transactions!$O:$O,ROW()-8))</f>
      </c>
    </row>
    <row r="8374" spans="1:7">
      <c r="B8374">
        <f>IF(INDEX(Transactions!$J:$J,ROW()-8)="",TODAY(),INDEX(Transactions!$G:$G,ROW()-8))</f>
      </c>
      <c r="F8374">
        <f>IF(INDEX(Transactions!$J:$J,ROW()-8)="",0,INDEX(Transactions!$O:$O,ROW()-8))</f>
      </c>
    </row>
    <row r="8375" spans="1:7">
      <c r="B8375">
        <f>IF(INDEX(Transactions!$J:$J,ROW()-8)="",TODAY(),INDEX(Transactions!$G:$G,ROW()-8))</f>
      </c>
      <c r="F8375">
        <f>IF(INDEX(Transactions!$J:$J,ROW()-8)="",0,INDEX(Transactions!$O:$O,ROW()-8))</f>
      </c>
    </row>
    <row r="8376" spans="1:7">
      <c r="B8376">
        <f>IF(INDEX(Transactions!$J:$J,ROW()-8)="",TODAY(),INDEX(Transactions!$G:$G,ROW()-8))</f>
      </c>
      <c r="F8376">
        <f>IF(INDEX(Transactions!$J:$J,ROW()-8)="",0,INDEX(Transactions!$O:$O,ROW()-8))</f>
      </c>
    </row>
    <row r="8377" spans="1:7">
      <c r="B8377">
        <f>IF(INDEX(Transactions!$J:$J,ROW()-8)="",TODAY(),INDEX(Transactions!$G:$G,ROW()-8))</f>
      </c>
      <c r="F8377">
        <f>IF(INDEX(Transactions!$J:$J,ROW()-8)="",0,INDEX(Transactions!$O:$O,ROW()-8))</f>
      </c>
    </row>
    <row r="8378" spans="1:7">
      <c r="B8378">
        <f>IF(INDEX(Transactions!$J:$J,ROW()-8)="",TODAY(),INDEX(Transactions!$G:$G,ROW()-8))</f>
      </c>
      <c r="F8378">
        <f>IF(INDEX(Transactions!$J:$J,ROW()-8)="",0,INDEX(Transactions!$O:$O,ROW()-8))</f>
      </c>
    </row>
    <row r="8379" spans="1:7">
      <c r="B8379">
        <f>IF(INDEX(Transactions!$J:$J,ROW()-8)="",TODAY(),INDEX(Transactions!$G:$G,ROW()-8))</f>
      </c>
      <c r="F8379">
        <f>IF(INDEX(Transactions!$J:$J,ROW()-8)="",0,INDEX(Transactions!$O:$O,ROW()-8))</f>
      </c>
    </row>
    <row r="8380" spans="1:7">
      <c r="B8380">
        <f>IF(INDEX(Transactions!$J:$J,ROW()-8)="",TODAY(),INDEX(Transactions!$G:$G,ROW()-8))</f>
      </c>
      <c r="F8380">
        <f>IF(INDEX(Transactions!$J:$J,ROW()-8)="",0,INDEX(Transactions!$O:$O,ROW()-8))</f>
      </c>
    </row>
    <row r="8381" spans="1:7">
      <c r="B8381">
        <f>IF(INDEX(Transactions!$J:$J,ROW()-8)="",TODAY(),INDEX(Transactions!$G:$G,ROW()-8))</f>
      </c>
      <c r="F8381">
        <f>IF(INDEX(Transactions!$J:$J,ROW()-8)="",0,INDEX(Transactions!$O:$O,ROW()-8))</f>
      </c>
    </row>
    <row r="8382" spans="1:7">
      <c r="B8382">
        <f>IF(INDEX(Transactions!$J:$J,ROW()-8)="",TODAY(),INDEX(Transactions!$G:$G,ROW()-8))</f>
      </c>
      <c r="F8382">
        <f>IF(INDEX(Transactions!$J:$J,ROW()-8)="",0,INDEX(Transactions!$O:$O,ROW()-8))</f>
      </c>
    </row>
    <row r="8383" spans="1:7">
      <c r="B8383">
        <f>IF(INDEX(Transactions!$J:$J,ROW()-8)="",TODAY(),INDEX(Transactions!$G:$G,ROW()-8))</f>
      </c>
      <c r="F8383">
        <f>IF(INDEX(Transactions!$J:$J,ROW()-8)="",0,INDEX(Transactions!$O:$O,ROW()-8))</f>
      </c>
    </row>
    <row r="8384" spans="1:7">
      <c r="B8384">
        <f>IF(INDEX(Transactions!$J:$J,ROW()-8)="",TODAY(),INDEX(Transactions!$G:$G,ROW()-8))</f>
      </c>
      <c r="F8384">
        <f>IF(INDEX(Transactions!$J:$J,ROW()-8)="",0,INDEX(Transactions!$O:$O,ROW()-8))</f>
      </c>
    </row>
    <row r="8385" spans="1:7">
      <c r="B8385">
        <f>IF(INDEX(Transactions!$J:$J,ROW()-8)="",TODAY(),INDEX(Transactions!$G:$G,ROW()-8))</f>
      </c>
      <c r="F8385">
        <f>IF(INDEX(Transactions!$J:$J,ROW()-8)="",0,INDEX(Transactions!$O:$O,ROW()-8))</f>
      </c>
    </row>
    <row r="8386" spans="1:7">
      <c r="B8386">
        <f>IF(INDEX(Transactions!$J:$J,ROW()-8)="",TODAY(),INDEX(Transactions!$G:$G,ROW()-8))</f>
      </c>
      <c r="F8386">
        <f>IF(INDEX(Transactions!$J:$J,ROW()-8)="",0,INDEX(Transactions!$O:$O,ROW()-8))</f>
      </c>
    </row>
    <row r="8387" spans="1:7">
      <c r="B8387">
        <f>IF(INDEX(Transactions!$J:$J,ROW()-8)="",TODAY(),INDEX(Transactions!$G:$G,ROW()-8))</f>
      </c>
      <c r="F8387">
        <f>IF(INDEX(Transactions!$J:$J,ROW()-8)="",0,INDEX(Transactions!$O:$O,ROW()-8))</f>
      </c>
    </row>
    <row r="8388" spans="1:7">
      <c r="B8388">
        <f>IF(INDEX(Transactions!$J:$J,ROW()-8)="",TODAY(),INDEX(Transactions!$G:$G,ROW()-8))</f>
      </c>
      <c r="F8388">
        <f>IF(INDEX(Transactions!$J:$J,ROW()-8)="",0,INDEX(Transactions!$O:$O,ROW()-8))</f>
      </c>
    </row>
    <row r="8389" spans="1:7">
      <c r="B8389">
        <f>IF(INDEX(Transactions!$J:$J,ROW()-8)="",TODAY(),INDEX(Transactions!$G:$G,ROW()-8))</f>
      </c>
      <c r="F8389">
        <f>IF(INDEX(Transactions!$J:$J,ROW()-8)="",0,INDEX(Transactions!$O:$O,ROW()-8))</f>
      </c>
    </row>
    <row r="8390" spans="1:7">
      <c r="B8390">
        <f>IF(INDEX(Transactions!$J:$J,ROW()-8)="",TODAY(),INDEX(Transactions!$G:$G,ROW()-8))</f>
      </c>
      <c r="F8390">
        <f>IF(INDEX(Transactions!$J:$J,ROW()-8)="",0,INDEX(Transactions!$O:$O,ROW()-8))</f>
      </c>
    </row>
    <row r="8391" spans="1:7">
      <c r="B8391">
        <f>IF(INDEX(Transactions!$J:$J,ROW()-8)="",TODAY(),INDEX(Transactions!$G:$G,ROW()-8))</f>
      </c>
      <c r="F8391">
        <f>IF(INDEX(Transactions!$J:$J,ROW()-8)="",0,INDEX(Transactions!$O:$O,ROW()-8))</f>
      </c>
    </row>
    <row r="8392" spans="1:7">
      <c r="B8392">
        <f>IF(INDEX(Transactions!$J:$J,ROW()-8)="",TODAY(),INDEX(Transactions!$G:$G,ROW()-8))</f>
      </c>
      <c r="F8392">
        <f>IF(INDEX(Transactions!$J:$J,ROW()-8)="",0,INDEX(Transactions!$O:$O,ROW()-8))</f>
      </c>
    </row>
    <row r="8393" spans="1:7">
      <c r="B8393">
        <f>IF(INDEX(Transactions!$J:$J,ROW()-8)="",TODAY(),INDEX(Transactions!$G:$G,ROW()-8))</f>
      </c>
      <c r="F8393">
        <f>IF(INDEX(Transactions!$J:$J,ROW()-8)="",0,INDEX(Transactions!$O:$O,ROW()-8))</f>
      </c>
    </row>
    <row r="8394" spans="1:7">
      <c r="B8394">
        <f>IF(INDEX(Transactions!$J:$J,ROW()-8)="",TODAY(),INDEX(Transactions!$G:$G,ROW()-8))</f>
      </c>
      <c r="F8394">
        <f>IF(INDEX(Transactions!$J:$J,ROW()-8)="",0,INDEX(Transactions!$O:$O,ROW()-8))</f>
      </c>
    </row>
    <row r="8395" spans="1:7">
      <c r="B8395">
        <f>IF(INDEX(Transactions!$J:$J,ROW()-8)="",TODAY(),INDEX(Transactions!$G:$G,ROW()-8))</f>
      </c>
      <c r="F8395">
        <f>IF(INDEX(Transactions!$J:$J,ROW()-8)="",0,INDEX(Transactions!$O:$O,ROW()-8))</f>
      </c>
    </row>
    <row r="8396" spans="1:7">
      <c r="B8396">
        <f>IF(INDEX(Transactions!$J:$J,ROW()-8)="",TODAY(),INDEX(Transactions!$G:$G,ROW()-8))</f>
      </c>
      <c r="F8396">
        <f>IF(INDEX(Transactions!$J:$J,ROW()-8)="",0,INDEX(Transactions!$O:$O,ROW()-8))</f>
      </c>
    </row>
    <row r="8397" spans="1:7">
      <c r="B8397">
        <f>IF(INDEX(Transactions!$J:$J,ROW()-8)="",TODAY(),INDEX(Transactions!$G:$G,ROW()-8))</f>
      </c>
      <c r="F8397">
        <f>IF(INDEX(Transactions!$J:$J,ROW()-8)="",0,INDEX(Transactions!$O:$O,ROW()-8))</f>
      </c>
    </row>
    <row r="8398" spans="1:7">
      <c r="B8398">
        <f>IF(INDEX(Transactions!$J:$J,ROW()-8)="",TODAY(),INDEX(Transactions!$G:$G,ROW()-8))</f>
      </c>
      <c r="F8398">
        <f>IF(INDEX(Transactions!$J:$J,ROW()-8)="",0,INDEX(Transactions!$O:$O,ROW()-8))</f>
      </c>
    </row>
    <row r="8399" spans="1:7">
      <c r="B8399">
        <f>IF(INDEX(Transactions!$J:$J,ROW()-8)="",TODAY(),INDEX(Transactions!$G:$G,ROW()-8))</f>
      </c>
      <c r="F8399">
        <f>IF(INDEX(Transactions!$J:$J,ROW()-8)="",0,INDEX(Transactions!$O:$O,ROW()-8))</f>
      </c>
    </row>
    <row r="8400" spans="1:7">
      <c r="B8400">
        <f>IF(INDEX(Transactions!$J:$J,ROW()-8)="",TODAY(),INDEX(Transactions!$G:$G,ROW()-8))</f>
      </c>
      <c r="F8400">
        <f>IF(INDEX(Transactions!$J:$J,ROW()-8)="",0,INDEX(Transactions!$O:$O,ROW()-8))</f>
      </c>
    </row>
    <row r="8401" spans="1:7">
      <c r="B8401">
        <f>IF(INDEX(Transactions!$J:$J,ROW()-8)="",TODAY(),INDEX(Transactions!$G:$G,ROW()-8))</f>
      </c>
      <c r="F8401">
        <f>IF(INDEX(Transactions!$J:$J,ROW()-8)="",0,INDEX(Transactions!$O:$O,ROW()-8))</f>
      </c>
    </row>
    <row r="8402" spans="1:7">
      <c r="B8402">
        <f>IF(INDEX(Transactions!$J:$J,ROW()-8)="",TODAY(),INDEX(Transactions!$G:$G,ROW()-8))</f>
      </c>
      <c r="F8402">
        <f>IF(INDEX(Transactions!$J:$J,ROW()-8)="",0,INDEX(Transactions!$O:$O,ROW()-8))</f>
      </c>
    </row>
    <row r="8403" spans="1:7">
      <c r="B8403">
        <f>IF(INDEX(Transactions!$J:$J,ROW()-8)="",TODAY(),INDEX(Transactions!$G:$G,ROW()-8))</f>
      </c>
      <c r="F8403">
        <f>IF(INDEX(Transactions!$J:$J,ROW()-8)="",0,INDEX(Transactions!$O:$O,ROW()-8))</f>
      </c>
    </row>
    <row r="8404" spans="1:7">
      <c r="B8404">
        <f>IF(INDEX(Transactions!$J:$J,ROW()-8)="",TODAY(),INDEX(Transactions!$G:$G,ROW()-8))</f>
      </c>
      <c r="F8404">
        <f>IF(INDEX(Transactions!$J:$J,ROW()-8)="",0,INDEX(Transactions!$O:$O,ROW()-8))</f>
      </c>
    </row>
    <row r="8405" spans="1:7">
      <c r="B8405">
        <f>IF(INDEX(Transactions!$J:$J,ROW()-8)="",TODAY(),INDEX(Transactions!$G:$G,ROW()-8))</f>
      </c>
      <c r="F8405">
        <f>IF(INDEX(Transactions!$J:$J,ROW()-8)="",0,INDEX(Transactions!$O:$O,ROW()-8))</f>
      </c>
    </row>
    <row r="8406" spans="1:7">
      <c r="B8406">
        <f>IF(INDEX(Transactions!$J:$J,ROW()-8)="",TODAY(),INDEX(Transactions!$G:$G,ROW()-8))</f>
      </c>
      <c r="F8406">
        <f>IF(INDEX(Transactions!$J:$J,ROW()-8)="",0,INDEX(Transactions!$O:$O,ROW()-8))</f>
      </c>
    </row>
    <row r="8407" spans="1:7">
      <c r="B8407">
        <f>IF(INDEX(Transactions!$J:$J,ROW()-8)="",TODAY(),INDEX(Transactions!$G:$G,ROW()-8))</f>
      </c>
      <c r="F8407">
        <f>IF(INDEX(Transactions!$J:$J,ROW()-8)="",0,INDEX(Transactions!$O:$O,ROW()-8))</f>
      </c>
    </row>
    <row r="8408" spans="1:7">
      <c r="B8408">
        <f>IF(INDEX(Transactions!$J:$J,ROW()-8)="",TODAY(),INDEX(Transactions!$G:$G,ROW()-8))</f>
      </c>
      <c r="F8408">
        <f>IF(INDEX(Transactions!$J:$J,ROW()-8)="",0,INDEX(Transactions!$O:$O,ROW()-8))</f>
      </c>
    </row>
    <row r="8409" spans="1:7">
      <c r="B8409">
        <f>IF(INDEX(Transactions!$J:$J,ROW()-8)="",TODAY(),INDEX(Transactions!$G:$G,ROW()-8))</f>
      </c>
      <c r="F8409">
        <f>IF(INDEX(Transactions!$J:$J,ROW()-8)="",0,INDEX(Transactions!$O:$O,ROW()-8))</f>
      </c>
    </row>
    <row r="8410" spans="1:7">
      <c r="B8410">
        <f>IF(INDEX(Transactions!$J:$J,ROW()-8)="",TODAY(),INDEX(Transactions!$G:$G,ROW()-8))</f>
      </c>
      <c r="F8410">
        <f>IF(INDEX(Transactions!$J:$J,ROW()-8)="",0,INDEX(Transactions!$O:$O,ROW()-8))</f>
      </c>
    </row>
    <row r="8411" spans="1:7">
      <c r="B8411">
        <f>IF(INDEX(Transactions!$J:$J,ROW()-8)="",TODAY(),INDEX(Transactions!$G:$G,ROW()-8))</f>
      </c>
      <c r="F8411">
        <f>IF(INDEX(Transactions!$J:$J,ROW()-8)="",0,INDEX(Transactions!$O:$O,ROW()-8))</f>
      </c>
    </row>
    <row r="8412" spans="1:7">
      <c r="B8412">
        <f>IF(INDEX(Transactions!$J:$J,ROW()-8)="",TODAY(),INDEX(Transactions!$G:$G,ROW()-8))</f>
      </c>
      <c r="F8412">
        <f>IF(INDEX(Transactions!$J:$J,ROW()-8)="",0,INDEX(Transactions!$O:$O,ROW()-8))</f>
      </c>
    </row>
    <row r="8413" spans="1:7">
      <c r="B8413">
        <f>IF(INDEX(Transactions!$J:$J,ROW()-8)="",TODAY(),INDEX(Transactions!$G:$G,ROW()-8))</f>
      </c>
      <c r="F8413">
        <f>IF(INDEX(Transactions!$J:$J,ROW()-8)="",0,INDEX(Transactions!$O:$O,ROW()-8))</f>
      </c>
    </row>
    <row r="8414" spans="1:7">
      <c r="B8414">
        <f>IF(INDEX(Transactions!$J:$J,ROW()-8)="",TODAY(),INDEX(Transactions!$G:$G,ROW()-8))</f>
      </c>
      <c r="F8414">
        <f>IF(INDEX(Transactions!$J:$J,ROW()-8)="",0,INDEX(Transactions!$O:$O,ROW()-8))</f>
      </c>
    </row>
    <row r="8415" spans="1:7">
      <c r="B8415">
        <f>IF(INDEX(Transactions!$J:$J,ROW()-8)="",TODAY(),INDEX(Transactions!$G:$G,ROW()-8))</f>
      </c>
      <c r="F8415">
        <f>IF(INDEX(Transactions!$J:$J,ROW()-8)="",0,INDEX(Transactions!$O:$O,ROW()-8))</f>
      </c>
    </row>
    <row r="8416" spans="1:7">
      <c r="B8416">
        <f>IF(INDEX(Transactions!$J:$J,ROW()-8)="",TODAY(),INDEX(Transactions!$G:$G,ROW()-8))</f>
      </c>
      <c r="F8416">
        <f>IF(INDEX(Transactions!$J:$J,ROW()-8)="",0,INDEX(Transactions!$O:$O,ROW()-8))</f>
      </c>
    </row>
    <row r="8417" spans="1:7">
      <c r="B8417">
        <f>IF(INDEX(Transactions!$J:$J,ROW()-8)="",TODAY(),INDEX(Transactions!$G:$G,ROW()-8))</f>
      </c>
      <c r="F8417">
        <f>IF(INDEX(Transactions!$J:$J,ROW()-8)="",0,INDEX(Transactions!$O:$O,ROW()-8))</f>
      </c>
    </row>
    <row r="8418" spans="1:7">
      <c r="B8418">
        <f>IF(INDEX(Transactions!$J:$J,ROW()-8)="",TODAY(),INDEX(Transactions!$G:$G,ROW()-8))</f>
      </c>
      <c r="F8418">
        <f>IF(INDEX(Transactions!$J:$J,ROW()-8)="",0,INDEX(Transactions!$O:$O,ROW()-8))</f>
      </c>
    </row>
    <row r="8419" spans="1:7">
      <c r="B8419">
        <f>IF(INDEX(Transactions!$J:$J,ROW()-8)="",TODAY(),INDEX(Transactions!$G:$G,ROW()-8))</f>
      </c>
      <c r="F8419">
        <f>IF(INDEX(Transactions!$J:$J,ROW()-8)="",0,INDEX(Transactions!$O:$O,ROW()-8))</f>
      </c>
    </row>
    <row r="8420" spans="1:7">
      <c r="B8420">
        <f>IF(INDEX(Transactions!$J:$J,ROW()-8)="",TODAY(),INDEX(Transactions!$G:$G,ROW()-8))</f>
      </c>
      <c r="F8420">
        <f>IF(INDEX(Transactions!$J:$J,ROW()-8)="",0,INDEX(Transactions!$O:$O,ROW()-8))</f>
      </c>
    </row>
    <row r="8421" spans="1:7">
      <c r="B8421">
        <f>IF(INDEX(Transactions!$J:$J,ROW()-8)="",TODAY(),INDEX(Transactions!$G:$G,ROW()-8))</f>
      </c>
      <c r="F8421">
        <f>IF(INDEX(Transactions!$J:$J,ROW()-8)="",0,INDEX(Transactions!$O:$O,ROW()-8))</f>
      </c>
    </row>
    <row r="8422" spans="1:7">
      <c r="B8422">
        <f>IF(INDEX(Transactions!$J:$J,ROW()-8)="",TODAY(),INDEX(Transactions!$G:$G,ROW()-8))</f>
      </c>
      <c r="F8422">
        <f>IF(INDEX(Transactions!$J:$J,ROW()-8)="",0,INDEX(Transactions!$O:$O,ROW()-8))</f>
      </c>
    </row>
    <row r="8423" spans="1:7">
      <c r="B8423">
        <f>IF(INDEX(Transactions!$J:$J,ROW()-8)="",TODAY(),INDEX(Transactions!$G:$G,ROW()-8))</f>
      </c>
      <c r="F8423">
        <f>IF(INDEX(Transactions!$J:$J,ROW()-8)="",0,INDEX(Transactions!$O:$O,ROW()-8))</f>
      </c>
    </row>
    <row r="8424" spans="1:7">
      <c r="B8424">
        <f>IF(INDEX(Transactions!$J:$J,ROW()-8)="",TODAY(),INDEX(Transactions!$G:$G,ROW()-8))</f>
      </c>
      <c r="F8424">
        <f>IF(INDEX(Transactions!$J:$J,ROW()-8)="",0,INDEX(Transactions!$O:$O,ROW()-8))</f>
      </c>
    </row>
    <row r="8425" spans="1:7">
      <c r="B8425">
        <f>IF(INDEX(Transactions!$J:$J,ROW()-8)="",TODAY(),INDEX(Transactions!$G:$G,ROW()-8))</f>
      </c>
      <c r="F8425">
        <f>IF(INDEX(Transactions!$J:$J,ROW()-8)="",0,INDEX(Transactions!$O:$O,ROW()-8))</f>
      </c>
    </row>
    <row r="8426" spans="1:7">
      <c r="B8426">
        <f>IF(INDEX(Transactions!$J:$J,ROW()-8)="",TODAY(),INDEX(Transactions!$G:$G,ROW()-8))</f>
      </c>
      <c r="F8426">
        <f>IF(INDEX(Transactions!$J:$J,ROW()-8)="",0,INDEX(Transactions!$O:$O,ROW()-8))</f>
      </c>
    </row>
    <row r="8427" spans="1:7">
      <c r="B8427">
        <f>IF(INDEX(Transactions!$J:$J,ROW()-8)="",TODAY(),INDEX(Transactions!$G:$G,ROW()-8))</f>
      </c>
      <c r="F8427">
        <f>IF(INDEX(Transactions!$J:$J,ROW()-8)="",0,INDEX(Transactions!$O:$O,ROW()-8))</f>
      </c>
    </row>
    <row r="8428" spans="1:7">
      <c r="B8428">
        <f>IF(INDEX(Transactions!$J:$J,ROW()-8)="",TODAY(),INDEX(Transactions!$G:$G,ROW()-8))</f>
      </c>
      <c r="F8428">
        <f>IF(INDEX(Transactions!$J:$J,ROW()-8)="",0,INDEX(Transactions!$O:$O,ROW()-8))</f>
      </c>
    </row>
    <row r="8429" spans="1:7">
      <c r="B8429">
        <f>IF(INDEX(Transactions!$J:$J,ROW()-8)="",TODAY(),INDEX(Transactions!$G:$G,ROW()-8))</f>
      </c>
      <c r="F8429">
        <f>IF(INDEX(Transactions!$J:$J,ROW()-8)="",0,INDEX(Transactions!$O:$O,ROW()-8))</f>
      </c>
    </row>
    <row r="8430" spans="1:7">
      <c r="B8430">
        <f>IF(INDEX(Transactions!$J:$J,ROW()-8)="",TODAY(),INDEX(Transactions!$G:$G,ROW()-8))</f>
      </c>
      <c r="F8430">
        <f>IF(INDEX(Transactions!$J:$J,ROW()-8)="",0,INDEX(Transactions!$O:$O,ROW()-8))</f>
      </c>
    </row>
    <row r="8431" spans="1:7">
      <c r="B8431">
        <f>IF(INDEX(Transactions!$J:$J,ROW()-8)="",TODAY(),INDEX(Transactions!$G:$G,ROW()-8))</f>
      </c>
      <c r="F8431">
        <f>IF(INDEX(Transactions!$J:$J,ROW()-8)="",0,INDEX(Transactions!$O:$O,ROW()-8))</f>
      </c>
    </row>
    <row r="8432" spans="1:7">
      <c r="B8432">
        <f>IF(INDEX(Transactions!$J:$J,ROW()-8)="",TODAY(),INDEX(Transactions!$G:$G,ROW()-8))</f>
      </c>
      <c r="F8432">
        <f>IF(INDEX(Transactions!$J:$J,ROW()-8)="",0,INDEX(Transactions!$O:$O,ROW()-8))</f>
      </c>
    </row>
    <row r="8433" spans="1:7">
      <c r="B8433">
        <f>IF(INDEX(Transactions!$J:$J,ROW()-8)="",TODAY(),INDEX(Transactions!$G:$G,ROW()-8))</f>
      </c>
      <c r="F8433">
        <f>IF(INDEX(Transactions!$J:$J,ROW()-8)="",0,INDEX(Transactions!$O:$O,ROW()-8))</f>
      </c>
    </row>
    <row r="8434" spans="1:7">
      <c r="B8434">
        <f>IF(INDEX(Transactions!$J:$J,ROW()-8)="",TODAY(),INDEX(Transactions!$G:$G,ROW()-8))</f>
      </c>
      <c r="F8434">
        <f>IF(INDEX(Transactions!$J:$J,ROW()-8)="",0,INDEX(Transactions!$O:$O,ROW()-8))</f>
      </c>
    </row>
    <row r="8435" spans="1:7">
      <c r="B8435">
        <f>IF(INDEX(Transactions!$J:$J,ROW()-8)="",TODAY(),INDEX(Transactions!$G:$G,ROW()-8))</f>
      </c>
      <c r="F8435">
        <f>IF(INDEX(Transactions!$J:$J,ROW()-8)="",0,INDEX(Transactions!$O:$O,ROW()-8))</f>
      </c>
    </row>
    <row r="8436" spans="1:7">
      <c r="B8436">
        <f>IF(INDEX(Transactions!$J:$J,ROW()-8)="",TODAY(),INDEX(Transactions!$G:$G,ROW()-8))</f>
      </c>
      <c r="F8436">
        <f>IF(INDEX(Transactions!$J:$J,ROW()-8)="",0,INDEX(Transactions!$O:$O,ROW()-8))</f>
      </c>
    </row>
    <row r="8437" spans="1:7">
      <c r="B8437">
        <f>IF(INDEX(Transactions!$J:$J,ROW()-8)="",TODAY(),INDEX(Transactions!$G:$G,ROW()-8))</f>
      </c>
      <c r="F8437">
        <f>IF(INDEX(Transactions!$J:$J,ROW()-8)="",0,INDEX(Transactions!$O:$O,ROW()-8))</f>
      </c>
    </row>
    <row r="8438" spans="1:7">
      <c r="B8438">
        <f>IF(INDEX(Transactions!$J:$J,ROW()-8)="",TODAY(),INDEX(Transactions!$G:$G,ROW()-8))</f>
      </c>
      <c r="F8438">
        <f>IF(INDEX(Transactions!$J:$J,ROW()-8)="",0,INDEX(Transactions!$O:$O,ROW()-8))</f>
      </c>
    </row>
    <row r="8439" spans="1:7">
      <c r="B8439">
        <f>IF(INDEX(Transactions!$J:$J,ROW()-8)="",TODAY(),INDEX(Transactions!$G:$G,ROW()-8))</f>
      </c>
      <c r="F8439">
        <f>IF(INDEX(Transactions!$J:$J,ROW()-8)="",0,INDEX(Transactions!$O:$O,ROW()-8))</f>
      </c>
    </row>
    <row r="8440" spans="1:7">
      <c r="B8440">
        <f>IF(INDEX(Transactions!$J:$J,ROW()-8)="",TODAY(),INDEX(Transactions!$G:$G,ROW()-8))</f>
      </c>
      <c r="F8440">
        <f>IF(INDEX(Transactions!$J:$J,ROW()-8)="",0,INDEX(Transactions!$O:$O,ROW()-8))</f>
      </c>
    </row>
    <row r="8441" spans="1:7">
      <c r="B8441">
        <f>IF(INDEX(Transactions!$J:$J,ROW()-8)="",TODAY(),INDEX(Transactions!$G:$G,ROW()-8))</f>
      </c>
      <c r="F8441">
        <f>IF(INDEX(Transactions!$J:$J,ROW()-8)="",0,INDEX(Transactions!$O:$O,ROW()-8))</f>
      </c>
    </row>
    <row r="8442" spans="1:7">
      <c r="B8442">
        <f>IF(INDEX(Transactions!$J:$J,ROW()-8)="",TODAY(),INDEX(Transactions!$G:$G,ROW()-8))</f>
      </c>
      <c r="F8442">
        <f>IF(INDEX(Transactions!$J:$J,ROW()-8)="",0,INDEX(Transactions!$O:$O,ROW()-8))</f>
      </c>
    </row>
    <row r="8443" spans="1:7">
      <c r="B8443">
        <f>IF(INDEX(Transactions!$J:$J,ROW()-8)="",TODAY(),INDEX(Transactions!$G:$G,ROW()-8))</f>
      </c>
      <c r="F8443">
        <f>IF(INDEX(Transactions!$J:$J,ROW()-8)="",0,INDEX(Transactions!$O:$O,ROW()-8))</f>
      </c>
    </row>
    <row r="8444" spans="1:7">
      <c r="B8444">
        <f>IF(INDEX(Transactions!$J:$J,ROW()-8)="",TODAY(),INDEX(Transactions!$G:$G,ROW()-8))</f>
      </c>
      <c r="F8444">
        <f>IF(INDEX(Transactions!$J:$J,ROW()-8)="",0,INDEX(Transactions!$O:$O,ROW()-8))</f>
      </c>
    </row>
    <row r="8445" spans="1:7">
      <c r="B8445">
        <f>IF(INDEX(Transactions!$J:$J,ROW()-8)="",TODAY(),INDEX(Transactions!$G:$G,ROW()-8))</f>
      </c>
      <c r="F8445">
        <f>IF(INDEX(Transactions!$J:$J,ROW()-8)="",0,INDEX(Transactions!$O:$O,ROW()-8))</f>
      </c>
    </row>
    <row r="8446" spans="1:7">
      <c r="B8446">
        <f>IF(INDEX(Transactions!$J:$J,ROW()-8)="",TODAY(),INDEX(Transactions!$G:$G,ROW()-8))</f>
      </c>
      <c r="F8446">
        <f>IF(INDEX(Transactions!$J:$J,ROW()-8)="",0,INDEX(Transactions!$O:$O,ROW()-8))</f>
      </c>
    </row>
    <row r="8447" spans="1:7">
      <c r="B8447">
        <f>IF(INDEX(Transactions!$J:$J,ROW()-8)="",TODAY(),INDEX(Transactions!$G:$G,ROW()-8))</f>
      </c>
      <c r="F8447">
        <f>IF(INDEX(Transactions!$J:$J,ROW()-8)="",0,INDEX(Transactions!$O:$O,ROW()-8))</f>
      </c>
    </row>
    <row r="8448" spans="1:7">
      <c r="B8448">
        <f>IF(INDEX(Transactions!$J:$J,ROW()-8)="",TODAY(),INDEX(Transactions!$G:$G,ROW()-8))</f>
      </c>
      <c r="F8448">
        <f>IF(INDEX(Transactions!$J:$J,ROW()-8)="",0,INDEX(Transactions!$O:$O,ROW()-8))</f>
      </c>
    </row>
    <row r="8449" spans="1:7">
      <c r="B8449">
        <f>IF(INDEX(Transactions!$J:$J,ROW()-8)="",TODAY(),INDEX(Transactions!$G:$G,ROW()-8))</f>
      </c>
      <c r="F8449">
        <f>IF(INDEX(Transactions!$J:$J,ROW()-8)="",0,INDEX(Transactions!$O:$O,ROW()-8))</f>
      </c>
    </row>
    <row r="8450" spans="1:7">
      <c r="B8450">
        <f>IF(INDEX(Transactions!$J:$J,ROW()-8)="",TODAY(),INDEX(Transactions!$G:$G,ROW()-8))</f>
      </c>
      <c r="F8450">
        <f>IF(INDEX(Transactions!$J:$J,ROW()-8)="",0,INDEX(Transactions!$O:$O,ROW()-8))</f>
      </c>
    </row>
    <row r="8451" spans="1:7">
      <c r="B8451">
        <f>IF(INDEX(Transactions!$J:$J,ROW()-8)="",TODAY(),INDEX(Transactions!$G:$G,ROW()-8))</f>
      </c>
      <c r="F8451">
        <f>IF(INDEX(Transactions!$J:$J,ROW()-8)="",0,INDEX(Transactions!$O:$O,ROW()-8))</f>
      </c>
    </row>
    <row r="8452" spans="1:7">
      <c r="B8452">
        <f>IF(INDEX(Transactions!$J:$J,ROW()-8)="",TODAY(),INDEX(Transactions!$G:$G,ROW()-8))</f>
      </c>
      <c r="F8452">
        <f>IF(INDEX(Transactions!$J:$J,ROW()-8)="",0,INDEX(Transactions!$O:$O,ROW()-8))</f>
      </c>
    </row>
    <row r="8453" spans="1:7">
      <c r="B8453">
        <f>IF(INDEX(Transactions!$J:$J,ROW()-8)="",TODAY(),INDEX(Transactions!$G:$G,ROW()-8))</f>
      </c>
      <c r="F8453">
        <f>IF(INDEX(Transactions!$J:$J,ROW()-8)="",0,INDEX(Transactions!$O:$O,ROW()-8))</f>
      </c>
    </row>
    <row r="8454" spans="1:7">
      <c r="B8454">
        <f>IF(INDEX(Transactions!$J:$J,ROW()-8)="",TODAY(),INDEX(Transactions!$G:$G,ROW()-8))</f>
      </c>
      <c r="F8454">
        <f>IF(INDEX(Transactions!$J:$J,ROW()-8)="",0,INDEX(Transactions!$O:$O,ROW()-8))</f>
      </c>
    </row>
    <row r="8455" spans="1:7">
      <c r="B8455">
        <f>IF(INDEX(Transactions!$J:$J,ROW()-8)="",TODAY(),INDEX(Transactions!$G:$G,ROW()-8))</f>
      </c>
      <c r="F8455">
        <f>IF(INDEX(Transactions!$J:$J,ROW()-8)="",0,INDEX(Transactions!$O:$O,ROW()-8))</f>
      </c>
    </row>
    <row r="8456" spans="1:7">
      <c r="B8456">
        <f>IF(INDEX(Transactions!$J:$J,ROW()-8)="",TODAY(),INDEX(Transactions!$G:$G,ROW()-8))</f>
      </c>
      <c r="F8456">
        <f>IF(INDEX(Transactions!$J:$J,ROW()-8)="",0,INDEX(Transactions!$O:$O,ROW()-8))</f>
      </c>
    </row>
    <row r="8457" spans="1:7">
      <c r="B8457">
        <f>IF(INDEX(Transactions!$J:$J,ROW()-8)="",TODAY(),INDEX(Transactions!$G:$G,ROW()-8))</f>
      </c>
      <c r="F8457">
        <f>IF(INDEX(Transactions!$J:$J,ROW()-8)="",0,INDEX(Transactions!$O:$O,ROW()-8))</f>
      </c>
    </row>
    <row r="8458" spans="1:7">
      <c r="B8458">
        <f>IF(INDEX(Transactions!$J:$J,ROW()-8)="",TODAY(),INDEX(Transactions!$G:$G,ROW()-8))</f>
      </c>
      <c r="F8458">
        <f>IF(INDEX(Transactions!$J:$J,ROW()-8)="",0,INDEX(Transactions!$O:$O,ROW()-8))</f>
      </c>
    </row>
    <row r="8459" spans="1:7">
      <c r="B8459">
        <f>IF(INDEX(Transactions!$J:$J,ROW()-8)="",TODAY(),INDEX(Transactions!$G:$G,ROW()-8))</f>
      </c>
      <c r="F8459">
        <f>IF(INDEX(Transactions!$J:$J,ROW()-8)="",0,INDEX(Transactions!$O:$O,ROW()-8))</f>
      </c>
    </row>
    <row r="8460" spans="1:7">
      <c r="B8460">
        <f>IF(INDEX(Transactions!$J:$J,ROW()-8)="",TODAY(),INDEX(Transactions!$G:$G,ROW()-8))</f>
      </c>
      <c r="F8460">
        <f>IF(INDEX(Transactions!$J:$J,ROW()-8)="",0,INDEX(Transactions!$O:$O,ROW()-8))</f>
      </c>
    </row>
    <row r="8461" spans="1:7">
      <c r="B8461">
        <f>IF(INDEX(Transactions!$J:$J,ROW()-8)="",TODAY(),INDEX(Transactions!$G:$G,ROW()-8))</f>
      </c>
      <c r="F8461">
        <f>IF(INDEX(Transactions!$J:$J,ROW()-8)="",0,INDEX(Transactions!$O:$O,ROW()-8))</f>
      </c>
    </row>
    <row r="8462" spans="1:7">
      <c r="B8462">
        <f>IF(INDEX(Transactions!$J:$J,ROW()-8)="",TODAY(),INDEX(Transactions!$G:$G,ROW()-8))</f>
      </c>
      <c r="F8462">
        <f>IF(INDEX(Transactions!$J:$J,ROW()-8)="",0,INDEX(Transactions!$O:$O,ROW()-8))</f>
      </c>
    </row>
    <row r="8463" spans="1:7">
      <c r="B8463">
        <f>IF(INDEX(Transactions!$J:$J,ROW()-8)="",TODAY(),INDEX(Transactions!$G:$G,ROW()-8))</f>
      </c>
      <c r="F8463">
        <f>IF(INDEX(Transactions!$J:$J,ROW()-8)="",0,INDEX(Transactions!$O:$O,ROW()-8))</f>
      </c>
    </row>
    <row r="8464" spans="1:7">
      <c r="B8464">
        <f>IF(INDEX(Transactions!$J:$J,ROW()-8)="",TODAY(),INDEX(Transactions!$G:$G,ROW()-8))</f>
      </c>
      <c r="F8464">
        <f>IF(INDEX(Transactions!$J:$J,ROW()-8)="",0,INDEX(Transactions!$O:$O,ROW()-8))</f>
      </c>
    </row>
    <row r="8465" spans="1:7">
      <c r="B8465">
        <f>IF(INDEX(Transactions!$J:$J,ROW()-8)="",TODAY(),INDEX(Transactions!$G:$G,ROW()-8))</f>
      </c>
      <c r="F8465">
        <f>IF(INDEX(Transactions!$J:$J,ROW()-8)="",0,INDEX(Transactions!$O:$O,ROW()-8))</f>
      </c>
    </row>
    <row r="8466" spans="1:7">
      <c r="B8466">
        <f>IF(INDEX(Transactions!$J:$J,ROW()-8)="",TODAY(),INDEX(Transactions!$G:$G,ROW()-8))</f>
      </c>
      <c r="F8466">
        <f>IF(INDEX(Transactions!$J:$J,ROW()-8)="",0,INDEX(Transactions!$O:$O,ROW()-8))</f>
      </c>
    </row>
    <row r="8467" spans="1:7">
      <c r="B8467">
        <f>IF(INDEX(Transactions!$J:$J,ROW()-8)="",TODAY(),INDEX(Transactions!$G:$G,ROW()-8))</f>
      </c>
      <c r="F8467">
        <f>IF(INDEX(Transactions!$J:$J,ROW()-8)="",0,INDEX(Transactions!$O:$O,ROW()-8))</f>
      </c>
    </row>
    <row r="8468" spans="1:7">
      <c r="B8468">
        <f>IF(INDEX(Transactions!$J:$J,ROW()-8)="",TODAY(),INDEX(Transactions!$G:$G,ROW()-8))</f>
      </c>
      <c r="F8468">
        <f>IF(INDEX(Transactions!$J:$J,ROW()-8)="",0,INDEX(Transactions!$O:$O,ROW()-8))</f>
      </c>
    </row>
    <row r="8469" spans="1:7">
      <c r="B8469">
        <f>IF(INDEX(Transactions!$J:$J,ROW()-8)="",TODAY(),INDEX(Transactions!$G:$G,ROW()-8))</f>
      </c>
      <c r="F8469">
        <f>IF(INDEX(Transactions!$J:$J,ROW()-8)="",0,INDEX(Transactions!$O:$O,ROW()-8))</f>
      </c>
    </row>
    <row r="8470" spans="1:7">
      <c r="B8470">
        <f>IF(INDEX(Transactions!$J:$J,ROW()-8)="",TODAY(),INDEX(Transactions!$G:$G,ROW()-8))</f>
      </c>
      <c r="F8470">
        <f>IF(INDEX(Transactions!$J:$J,ROW()-8)="",0,INDEX(Transactions!$O:$O,ROW()-8))</f>
      </c>
    </row>
    <row r="8471" spans="1:7">
      <c r="B8471">
        <f>IF(INDEX(Transactions!$J:$J,ROW()-8)="",TODAY(),INDEX(Transactions!$G:$G,ROW()-8))</f>
      </c>
      <c r="F8471">
        <f>IF(INDEX(Transactions!$J:$J,ROW()-8)="",0,INDEX(Transactions!$O:$O,ROW()-8))</f>
      </c>
    </row>
    <row r="8472" spans="1:7">
      <c r="B8472">
        <f>IF(INDEX(Transactions!$J:$J,ROW()-8)="",TODAY(),INDEX(Transactions!$G:$G,ROW()-8))</f>
      </c>
      <c r="F8472">
        <f>IF(INDEX(Transactions!$J:$J,ROW()-8)="",0,INDEX(Transactions!$O:$O,ROW()-8))</f>
      </c>
    </row>
    <row r="8473" spans="1:7">
      <c r="B8473">
        <f>IF(INDEX(Transactions!$J:$J,ROW()-8)="",TODAY(),INDEX(Transactions!$G:$G,ROW()-8))</f>
      </c>
      <c r="F8473">
        <f>IF(INDEX(Transactions!$J:$J,ROW()-8)="",0,INDEX(Transactions!$O:$O,ROW()-8))</f>
      </c>
    </row>
    <row r="8474" spans="1:7">
      <c r="B8474">
        <f>IF(INDEX(Transactions!$J:$J,ROW()-8)="",TODAY(),INDEX(Transactions!$G:$G,ROW()-8))</f>
      </c>
      <c r="F8474">
        <f>IF(INDEX(Transactions!$J:$J,ROW()-8)="",0,INDEX(Transactions!$O:$O,ROW()-8))</f>
      </c>
    </row>
    <row r="8475" spans="1:7">
      <c r="B8475">
        <f>IF(INDEX(Transactions!$J:$J,ROW()-8)="",TODAY(),INDEX(Transactions!$G:$G,ROW()-8))</f>
      </c>
      <c r="F8475">
        <f>IF(INDEX(Transactions!$J:$J,ROW()-8)="",0,INDEX(Transactions!$O:$O,ROW()-8))</f>
      </c>
    </row>
    <row r="8476" spans="1:7">
      <c r="B8476">
        <f>IF(INDEX(Transactions!$J:$J,ROW()-8)="",TODAY(),INDEX(Transactions!$G:$G,ROW()-8))</f>
      </c>
      <c r="F8476">
        <f>IF(INDEX(Transactions!$J:$J,ROW()-8)="",0,INDEX(Transactions!$O:$O,ROW()-8))</f>
      </c>
    </row>
    <row r="8477" spans="1:7">
      <c r="B8477">
        <f>IF(INDEX(Transactions!$J:$J,ROW()-8)="",TODAY(),INDEX(Transactions!$G:$G,ROW()-8))</f>
      </c>
      <c r="F8477">
        <f>IF(INDEX(Transactions!$J:$J,ROW()-8)="",0,INDEX(Transactions!$O:$O,ROW()-8))</f>
      </c>
    </row>
    <row r="8478" spans="1:7">
      <c r="B8478">
        <f>IF(INDEX(Transactions!$J:$J,ROW()-8)="",TODAY(),INDEX(Transactions!$G:$G,ROW()-8))</f>
      </c>
      <c r="F8478">
        <f>IF(INDEX(Transactions!$J:$J,ROW()-8)="",0,INDEX(Transactions!$O:$O,ROW()-8))</f>
      </c>
    </row>
    <row r="8479" spans="1:7">
      <c r="B8479">
        <f>IF(INDEX(Transactions!$J:$J,ROW()-8)="",TODAY(),INDEX(Transactions!$G:$G,ROW()-8))</f>
      </c>
      <c r="F8479">
        <f>IF(INDEX(Transactions!$J:$J,ROW()-8)="",0,INDEX(Transactions!$O:$O,ROW()-8))</f>
      </c>
    </row>
    <row r="8480" spans="1:7">
      <c r="B8480">
        <f>IF(INDEX(Transactions!$J:$J,ROW()-8)="",TODAY(),INDEX(Transactions!$G:$G,ROW()-8))</f>
      </c>
      <c r="F8480">
        <f>IF(INDEX(Transactions!$J:$J,ROW()-8)="",0,INDEX(Transactions!$O:$O,ROW()-8))</f>
      </c>
    </row>
    <row r="8481" spans="1:7">
      <c r="B8481">
        <f>IF(INDEX(Transactions!$J:$J,ROW()-8)="",TODAY(),INDEX(Transactions!$G:$G,ROW()-8))</f>
      </c>
      <c r="F8481">
        <f>IF(INDEX(Transactions!$J:$J,ROW()-8)="",0,INDEX(Transactions!$O:$O,ROW()-8))</f>
      </c>
    </row>
    <row r="8482" spans="1:7">
      <c r="B8482">
        <f>IF(INDEX(Transactions!$J:$J,ROW()-8)="",TODAY(),INDEX(Transactions!$G:$G,ROW()-8))</f>
      </c>
      <c r="F8482">
        <f>IF(INDEX(Transactions!$J:$J,ROW()-8)="",0,INDEX(Transactions!$O:$O,ROW()-8))</f>
      </c>
    </row>
    <row r="8483" spans="1:7">
      <c r="B8483">
        <f>IF(INDEX(Transactions!$J:$J,ROW()-8)="",TODAY(),INDEX(Transactions!$G:$G,ROW()-8))</f>
      </c>
      <c r="F8483">
        <f>IF(INDEX(Transactions!$J:$J,ROW()-8)="",0,INDEX(Transactions!$O:$O,ROW()-8))</f>
      </c>
    </row>
    <row r="8484" spans="1:7">
      <c r="B8484">
        <f>IF(INDEX(Transactions!$J:$J,ROW()-8)="",TODAY(),INDEX(Transactions!$G:$G,ROW()-8))</f>
      </c>
      <c r="F8484">
        <f>IF(INDEX(Transactions!$J:$J,ROW()-8)="",0,INDEX(Transactions!$O:$O,ROW()-8))</f>
      </c>
    </row>
    <row r="8485" spans="1:7">
      <c r="B8485">
        <f>IF(INDEX(Transactions!$J:$J,ROW()-8)="",TODAY(),INDEX(Transactions!$G:$G,ROW()-8))</f>
      </c>
      <c r="F8485">
        <f>IF(INDEX(Transactions!$J:$J,ROW()-8)="",0,INDEX(Transactions!$O:$O,ROW()-8))</f>
      </c>
    </row>
    <row r="8486" spans="1:7">
      <c r="B8486">
        <f>IF(INDEX(Transactions!$J:$J,ROW()-8)="",TODAY(),INDEX(Transactions!$G:$G,ROW()-8))</f>
      </c>
      <c r="F8486">
        <f>IF(INDEX(Transactions!$J:$J,ROW()-8)="",0,INDEX(Transactions!$O:$O,ROW()-8))</f>
      </c>
    </row>
    <row r="8487" spans="1:7">
      <c r="B8487">
        <f>IF(INDEX(Transactions!$J:$J,ROW()-8)="",TODAY(),INDEX(Transactions!$G:$G,ROW()-8))</f>
      </c>
      <c r="F8487">
        <f>IF(INDEX(Transactions!$J:$J,ROW()-8)="",0,INDEX(Transactions!$O:$O,ROW()-8))</f>
      </c>
    </row>
    <row r="8488" spans="1:7">
      <c r="B8488">
        <f>IF(INDEX(Transactions!$J:$J,ROW()-8)="",TODAY(),INDEX(Transactions!$G:$G,ROW()-8))</f>
      </c>
      <c r="F8488">
        <f>IF(INDEX(Transactions!$J:$J,ROW()-8)="",0,INDEX(Transactions!$O:$O,ROW()-8))</f>
      </c>
    </row>
    <row r="8489" spans="1:7">
      <c r="B8489">
        <f>IF(INDEX(Transactions!$J:$J,ROW()-8)="",TODAY(),INDEX(Transactions!$G:$G,ROW()-8))</f>
      </c>
      <c r="F8489">
        <f>IF(INDEX(Transactions!$J:$J,ROW()-8)="",0,INDEX(Transactions!$O:$O,ROW()-8))</f>
      </c>
    </row>
    <row r="8490" spans="1:7">
      <c r="B8490">
        <f>IF(INDEX(Transactions!$J:$J,ROW()-8)="",TODAY(),INDEX(Transactions!$G:$G,ROW()-8))</f>
      </c>
      <c r="F8490">
        <f>IF(INDEX(Transactions!$J:$J,ROW()-8)="",0,INDEX(Transactions!$O:$O,ROW()-8))</f>
      </c>
    </row>
    <row r="8491" spans="1:7">
      <c r="B8491">
        <f>IF(INDEX(Transactions!$J:$J,ROW()-8)="",TODAY(),INDEX(Transactions!$G:$G,ROW()-8))</f>
      </c>
      <c r="F8491">
        <f>IF(INDEX(Transactions!$J:$J,ROW()-8)="",0,INDEX(Transactions!$O:$O,ROW()-8))</f>
      </c>
    </row>
    <row r="8492" spans="1:7">
      <c r="B8492">
        <f>IF(INDEX(Transactions!$J:$J,ROW()-8)="",TODAY(),INDEX(Transactions!$G:$G,ROW()-8))</f>
      </c>
      <c r="F8492">
        <f>IF(INDEX(Transactions!$J:$J,ROW()-8)="",0,INDEX(Transactions!$O:$O,ROW()-8))</f>
      </c>
    </row>
    <row r="8493" spans="1:7">
      <c r="B8493">
        <f>IF(INDEX(Transactions!$J:$J,ROW()-8)="",TODAY(),INDEX(Transactions!$G:$G,ROW()-8))</f>
      </c>
      <c r="F8493">
        <f>IF(INDEX(Transactions!$J:$J,ROW()-8)="",0,INDEX(Transactions!$O:$O,ROW()-8))</f>
      </c>
    </row>
    <row r="8494" spans="1:7">
      <c r="B8494">
        <f>IF(INDEX(Transactions!$J:$J,ROW()-8)="",TODAY(),INDEX(Transactions!$G:$G,ROW()-8))</f>
      </c>
      <c r="F8494">
        <f>IF(INDEX(Transactions!$J:$J,ROW()-8)="",0,INDEX(Transactions!$O:$O,ROW()-8))</f>
      </c>
    </row>
    <row r="8495" spans="1:7">
      <c r="B8495">
        <f>IF(INDEX(Transactions!$J:$J,ROW()-8)="",TODAY(),INDEX(Transactions!$G:$G,ROW()-8))</f>
      </c>
      <c r="F8495">
        <f>IF(INDEX(Transactions!$J:$J,ROW()-8)="",0,INDEX(Transactions!$O:$O,ROW()-8))</f>
      </c>
    </row>
    <row r="8496" spans="1:7">
      <c r="B8496">
        <f>IF(INDEX(Transactions!$J:$J,ROW()-8)="",TODAY(),INDEX(Transactions!$G:$G,ROW()-8))</f>
      </c>
      <c r="F8496">
        <f>IF(INDEX(Transactions!$J:$J,ROW()-8)="",0,INDEX(Transactions!$O:$O,ROW()-8))</f>
      </c>
    </row>
    <row r="8497" spans="1:7">
      <c r="B8497">
        <f>IF(INDEX(Transactions!$J:$J,ROW()-8)="",TODAY(),INDEX(Transactions!$G:$G,ROW()-8))</f>
      </c>
      <c r="F8497">
        <f>IF(INDEX(Transactions!$J:$J,ROW()-8)="",0,INDEX(Transactions!$O:$O,ROW()-8))</f>
      </c>
    </row>
    <row r="8498" spans="1:7">
      <c r="B8498">
        <f>IF(INDEX(Transactions!$J:$J,ROW()-8)="",TODAY(),INDEX(Transactions!$G:$G,ROW()-8))</f>
      </c>
      <c r="F8498">
        <f>IF(INDEX(Transactions!$J:$J,ROW()-8)="",0,INDEX(Transactions!$O:$O,ROW()-8))</f>
      </c>
    </row>
    <row r="8499" spans="1:7">
      <c r="B8499">
        <f>IF(INDEX(Transactions!$J:$J,ROW()-8)="",TODAY(),INDEX(Transactions!$G:$G,ROW()-8))</f>
      </c>
      <c r="F8499">
        <f>IF(INDEX(Transactions!$J:$J,ROW()-8)="",0,INDEX(Transactions!$O:$O,ROW()-8))</f>
      </c>
    </row>
    <row r="8500" spans="1:7">
      <c r="B8500">
        <f>IF(INDEX(Transactions!$J:$J,ROW()-8)="",TODAY(),INDEX(Transactions!$G:$G,ROW()-8))</f>
      </c>
      <c r="F8500">
        <f>IF(INDEX(Transactions!$J:$J,ROW()-8)="",0,INDEX(Transactions!$O:$O,ROW()-8))</f>
      </c>
    </row>
    <row r="8501" spans="1:7">
      <c r="B8501">
        <f>IF(INDEX(Transactions!$J:$J,ROW()-8)="",TODAY(),INDEX(Transactions!$G:$G,ROW()-8))</f>
      </c>
      <c r="F8501">
        <f>IF(INDEX(Transactions!$J:$J,ROW()-8)="",0,INDEX(Transactions!$O:$O,ROW()-8))</f>
      </c>
    </row>
    <row r="8502" spans="1:7">
      <c r="B8502">
        <f>IF(INDEX(Transactions!$J:$J,ROW()-8)="",TODAY(),INDEX(Transactions!$G:$G,ROW()-8))</f>
      </c>
      <c r="F8502">
        <f>IF(INDEX(Transactions!$J:$J,ROW()-8)="",0,INDEX(Transactions!$O:$O,ROW()-8))</f>
      </c>
    </row>
    <row r="8503" spans="1:7">
      <c r="B8503">
        <f>IF(INDEX(Transactions!$J:$J,ROW()-8)="",TODAY(),INDEX(Transactions!$G:$G,ROW()-8))</f>
      </c>
      <c r="F8503">
        <f>IF(INDEX(Transactions!$J:$J,ROW()-8)="",0,INDEX(Transactions!$O:$O,ROW()-8))</f>
      </c>
    </row>
    <row r="8504" spans="1:7">
      <c r="B8504">
        <f>IF(INDEX(Transactions!$J:$J,ROW()-8)="",TODAY(),INDEX(Transactions!$G:$G,ROW()-8))</f>
      </c>
      <c r="F8504">
        <f>IF(INDEX(Transactions!$J:$J,ROW()-8)="",0,INDEX(Transactions!$O:$O,ROW()-8))</f>
      </c>
    </row>
    <row r="8505" spans="1:7">
      <c r="B8505">
        <f>IF(INDEX(Transactions!$J:$J,ROW()-8)="",TODAY(),INDEX(Transactions!$G:$G,ROW()-8))</f>
      </c>
      <c r="F8505">
        <f>IF(INDEX(Transactions!$J:$J,ROW()-8)="",0,INDEX(Transactions!$O:$O,ROW()-8))</f>
      </c>
    </row>
    <row r="8506" spans="1:7">
      <c r="B8506">
        <f>IF(INDEX(Transactions!$J:$J,ROW()-8)="",TODAY(),INDEX(Transactions!$G:$G,ROW()-8))</f>
      </c>
      <c r="F8506">
        <f>IF(INDEX(Transactions!$J:$J,ROW()-8)="",0,INDEX(Transactions!$O:$O,ROW()-8))</f>
      </c>
    </row>
    <row r="8507" spans="1:7">
      <c r="B8507">
        <f>IF(INDEX(Transactions!$J:$J,ROW()-8)="",TODAY(),INDEX(Transactions!$G:$G,ROW()-8))</f>
      </c>
      <c r="F8507">
        <f>IF(INDEX(Transactions!$J:$J,ROW()-8)="",0,INDEX(Transactions!$O:$O,ROW()-8))</f>
      </c>
    </row>
    <row r="8508" spans="1:7">
      <c r="B8508">
        <f>IF(INDEX(Transactions!$J:$J,ROW()-8)="",TODAY(),INDEX(Transactions!$G:$G,ROW()-8))</f>
      </c>
      <c r="F8508">
        <f>IF(INDEX(Transactions!$J:$J,ROW()-8)="",0,INDEX(Transactions!$O:$O,ROW()-8))</f>
      </c>
    </row>
    <row r="8509" spans="1:7">
      <c r="B8509">
        <f>IF(INDEX(Transactions!$J:$J,ROW()-8)="",TODAY(),INDEX(Transactions!$G:$G,ROW()-8))</f>
      </c>
      <c r="F8509">
        <f>IF(INDEX(Transactions!$J:$J,ROW()-8)="",0,INDEX(Transactions!$O:$O,ROW()-8))</f>
      </c>
    </row>
    <row r="8510" spans="1:7">
      <c r="B8510">
        <f>IF(INDEX(Transactions!$J:$J,ROW()-8)="",TODAY(),INDEX(Transactions!$G:$G,ROW()-8))</f>
      </c>
      <c r="F8510">
        <f>IF(INDEX(Transactions!$J:$J,ROW()-8)="",0,INDEX(Transactions!$O:$O,ROW()-8))</f>
      </c>
    </row>
    <row r="8511" spans="1:7">
      <c r="B8511">
        <f>IF(INDEX(Transactions!$J:$J,ROW()-8)="",TODAY(),INDEX(Transactions!$G:$G,ROW()-8))</f>
      </c>
      <c r="F8511">
        <f>IF(INDEX(Transactions!$J:$J,ROW()-8)="",0,INDEX(Transactions!$O:$O,ROW()-8))</f>
      </c>
    </row>
    <row r="8512" spans="1:7">
      <c r="B8512">
        <f>IF(INDEX(Transactions!$J:$J,ROW()-8)="",TODAY(),INDEX(Transactions!$G:$G,ROW()-8))</f>
      </c>
      <c r="F8512">
        <f>IF(INDEX(Transactions!$J:$J,ROW()-8)="",0,INDEX(Transactions!$O:$O,ROW()-8))</f>
      </c>
    </row>
    <row r="8513" spans="1:7">
      <c r="B8513">
        <f>IF(INDEX(Transactions!$J:$J,ROW()-8)="",TODAY(),INDEX(Transactions!$G:$G,ROW()-8))</f>
      </c>
      <c r="F8513">
        <f>IF(INDEX(Transactions!$J:$J,ROW()-8)="",0,INDEX(Transactions!$O:$O,ROW()-8))</f>
      </c>
    </row>
    <row r="8514" spans="1:7">
      <c r="B8514">
        <f>IF(INDEX(Transactions!$J:$J,ROW()-8)="",TODAY(),INDEX(Transactions!$G:$G,ROW()-8))</f>
      </c>
      <c r="F8514">
        <f>IF(INDEX(Transactions!$J:$J,ROW()-8)="",0,INDEX(Transactions!$O:$O,ROW()-8))</f>
      </c>
    </row>
    <row r="8515" spans="1:7">
      <c r="B8515">
        <f>IF(INDEX(Transactions!$J:$J,ROW()-8)="",TODAY(),INDEX(Transactions!$G:$G,ROW()-8))</f>
      </c>
      <c r="F8515">
        <f>IF(INDEX(Transactions!$J:$J,ROW()-8)="",0,INDEX(Transactions!$O:$O,ROW()-8))</f>
      </c>
    </row>
    <row r="8516" spans="1:7">
      <c r="B8516">
        <f>IF(INDEX(Transactions!$J:$J,ROW()-8)="",TODAY(),INDEX(Transactions!$G:$G,ROW()-8))</f>
      </c>
      <c r="F8516">
        <f>IF(INDEX(Transactions!$J:$J,ROW()-8)="",0,INDEX(Transactions!$O:$O,ROW()-8))</f>
      </c>
    </row>
    <row r="8517" spans="1:7">
      <c r="B8517">
        <f>IF(INDEX(Transactions!$J:$J,ROW()-8)="",TODAY(),INDEX(Transactions!$G:$G,ROW()-8))</f>
      </c>
      <c r="F8517">
        <f>IF(INDEX(Transactions!$J:$J,ROW()-8)="",0,INDEX(Transactions!$O:$O,ROW()-8))</f>
      </c>
    </row>
    <row r="8518" spans="1:7">
      <c r="B8518">
        <f>IF(INDEX(Transactions!$J:$J,ROW()-8)="",TODAY(),INDEX(Transactions!$G:$G,ROW()-8))</f>
      </c>
      <c r="F8518">
        <f>IF(INDEX(Transactions!$J:$J,ROW()-8)="",0,INDEX(Transactions!$O:$O,ROW()-8))</f>
      </c>
    </row>
    <row r="8519" spans="1:7">
      <c r="B8519">
        <f>IF(INDEX(Transactions!$J:$J,ROW()-8)="",TODAY(),INDEX(Transactions!$G:$G,ROW()-8))</f>
      </c>
      <c r="F8519">
        <f>IF(INDEX(Transactions!$J:$J,ROW()-8)="",0,INDEX(Transactions!$O:$O,ROW()-8))</f>
      </c>
    </row>
    <row r="8520" spans="1:7">
      <c r="B8520">
        <f>IF(INDEX(Transactions!$J:$J,ROW()-8)="",TODAY(),INDEX(Transactions!$G:$G,ROW()-8))</f>
      </c>
      <c r="F8520">
        <f>IF(INDEX(Transactions!$J:$J,ROW()-8)="",0,INDEX(Transactions!$O:$O,ROW()-8))</f>
      </c>
    </row>
    <row r="8521" spans="1:7">
      <c r="B8521">
        <f>IF(INDEX(Transactions!$J:$J,ROW()-8)="",TODAY(),INDEX(Transactions!$G:$G,ROW()-8))</f>
      </c>
      <c r="F8521">
        <f>IF(INDEX(Transactions!$J:$J,ROW()-8)="",0,INDEX(Transactions!$O:$O,ROW()-8))</f>
      </c>
    </row>
    <row r="8522" spans="1:7">
      <c r="B8522">
        <f>IF(INDEX(Transactions!$J:$J,ROW()-8)="",TODAY(),INDEX(Transactions!$G:$G,ROW()-8))</f>
      </c>
      <c r="F8522">
        <f>IF(INDEX(Transactions!$J:$J,ROW()-8)="",0,INDEX(Transactions!$O:$O,ROW()-8))</f>
      </c>
    </row>
    <row r="8523" spans="1:7">
      <c r="B8523">
        <f>IF(INDEX(Transactions!$J:$J,ROW()-8)="",TODAY(),INDEX(Transactions!$G:$G,ROW()-8))</f>
      </c>
      <c r="F8523">
        <f>IF(INDEX(Transactions!$J:$J,ROW()-8)="",0,INDEX(Transactions!$O:$O,ROW()-8))</f>
      </c>
    </row>
    <row r="8524" spans="1:7">
      <c r="B8524">
        <f>IF(INDEX(Transactions!$J:$J,ROW()-8)="",TODAY(),INDEX(Transactions!$G:$G,ROW()-8))</f>
      </c>
      <c r="F8524">
        <f>IF(INDEX(Transactions!$J:$J,ROW()-8)="",0,INDEX(Transactions!$O:$O,ROW()-8))</f>
      </c>
    </row>
    <row r="8525" spans="1:7">
      <c r="B8525">
        <f>IF(INDEX(Transactions!$J:$J,ROW()-8)="",TODAY(),INDEX(Transactions!$G:$G,ROW()-8))</f>
      </c>
      <c r="F8525">
        <f>IF(INDEX(Transactions!$J:$J,ROW()-8)="",0,INDEX(Transactions!$O:$O,ROW()-8))</f>
      </c>
    </row>
    <row r="8526" spans="1:7">
      <c r="B8526">
        <f>IF(INDEX(Transactions!$J:$J,ROW()-8)="",TODAY(),INDEX(Transactions!$G:$G,ROW()-8))</f>
      </c>
      <c r="F8526">
        <f>IF(INDEX(Transactions!$J:$J,ROW()-8)="",0,INDEX(Transactions!$O:$O,ROW()-8))</f>
      </c>
    </row>
    <row r="8527" spans="1:7">
      <c r="B8527">
        <f>IF(INDEX(Transactions!$J:$J,ROW()-8)="",TODAY(),INDEX(Transactions!$G:$G,ROW()-8))</f>
      </c>
      <c r="F8527">
        <f>IF(INDEX(Transactions!$J:$J,ROW()-8)="",0,INDEX(Transactions!$O:$O,ROW()-8))</f>
      </c>
    </row>
    <row r="8528" spans="1:7">
      <c r="B8528">
        <f>IF(INDEX(Transactions!$J:$J,ROW()-8)="",TODAY(),INDEX(Transactions!$G:$G,ROW()-8))</f>
      </c>
      <c r="F8528">
        <f>IF(INDEX(Transactions!$J:$J,ROW()-8)="",0,INDEX(Transactions!$O:$O,ROW()-8))</f>
      </c>
    </row>
    <row r="8529" spans="1:7">
      <c r="B8529">
        <f>IF(INDEX(Transactions!$J:$J,ROW()-8)="",TODAY(),INDEX(Transactions!$G:$G,ROW()-8))</f>
      </c>
      <c r="F8529">
        <f>IF(INDEX(Transactions!$J:$J,ROW()-8)="",0,INDEX(Transactions!$O:$O,ROW()-8))</f>
      </c>
    </row>
    <row r="8530" spans="1:7">
      <c r="B8530">
        <f>IF(INDEX(Transactions!$J:$J,ROW()-8)="",TODAY(),INDEX(Transactions!$G:$G,ROW()-8))</f>
      </c>
      <c r="F8530">
        <f>IF(INDEX(Transactions!$J:$J,ROW()-8)="",0,INDEX(Transactions!$O:$O,ROW()-8))</f>
      </c>
    </row>
    <row r="8531" spans="1:7">
      <c r="B8531">
        <f>IF(INDEX(Transactions!$J:$J,ROW()-8)="",TODAY(),INDEX(Transactions!$G:$G,ROW()-8))</f>
      </c>
      <c r="F8531">
        <f>IF(INDEX(Transactions!$J:$J,ROW()-8)="",0,INDEX(Transactions!$O:$O,ROW()-8))</f>
      </c>
    </row>
    <row r="8532" spans="1:7">
      <c r="B8532">
        <f>IF(INDEX(Transactions!$J:$J,ROW()-8)="",TODAY(),INDEX(Transactions!$G:$G,ROW()-8))</f>
      </c>
      <c r="F8532">
        <f>IF(INDEX(Transactions!$J:$J,ROW()-8)="",0,INDEX(Transactions!$O:$O,ROW()-8))</f>
      </c>
    </row>
    <row r="8533" spans="1:7">
      <c r="B8533">
        <f>IF(INDEX(Transactions!$J:$J,ROW()-8)="",TODAY(),INDEX(Transactions!$G:$G,ROW()-8))</f>
      </c>
      <c r="F8533">
        <f>IF(INDEX(Transactions!$J:$J,ROW()-8)="",0,INDEX(Transactions!$O:$O,ROW()-8))</f>
      </c>
    </row>
    <row r="8534" spans="1:7">
      <c r="B8534">
        <f>IF(INDEX(Transactions!$J:$J,ROW()-8)="",TODAY(),INDEX(Transactions!$G:$G,ROW()-8))</f>
      </c>
      <c r="F8534">
        <f>IF(INDEX(Transactions!$J:$J,ROW()-8)="",0,INDEX(Transactions!$O:$O,ROW()-8))</f>
      </c>
    </row>
    <row r="8535" spans="1:7">
      <c r="B8535">
        <f>IF(INDEX(Transactions!$J:$J,ROW()-8)="",TODAY(),INDEX(Transactions!$G:$G,ROW()-8))</f>
      </c>
      <c r="F8535">
        <f>IF(INDEX(Transactions!$J:$J,ROW()-8)="",0,INDEX(Transactions!$O:$O,ROW()-8))</f>
      </c>
    </row>
    <row r="8536" spans="1:7">
      <c r="B8536">
        <f>IF(INDEX(Transactions!$J:$J,ROW()-8)="",TODAY(),INDEX(Transactions!$G:$G,ROW()-8))</f>
      </c>
      <c r="F8536">
        <f>IF(INDEX(Transactions!$J:$J,ROW()-8)="",0,INDEX(Transactions!$O:$O,ROW()-8))</f>
      </c>
    </row>
    <row r="8537" spans="1:7">
      <c r="B8537">
        <f>IF(INDEX(Transactions!$J:$J,ROW()-8)="",TODAY(),INDEX(Transactions!$G:$G,ROW()-8))</f>
      </c>
      <c r="F8537">
        <f>IF(INDEX(Transactions!$J:$J,ROW()-8)="",0,INDEX(Transactions!$O:$O,ROW()-8))</f>
      </c>
    </row>
    <row r="8538" spans="1:7">
      <c r="B8538">
        <f>IF(INDEX(Transactions!$J:$J,ROW()-8)="",TODAY(),INDEX(Transactions!$G:$G,ROW()-8))</f>
      </c>
      <c r="F8538">
        <f>IF(INDEX(Transactions!$J:$J,ROW()-8)="",0,INDEX(Transactions!$O:$O,ROW()-8))</f>
      </c>
    </row>
    <row r="8539" spans="1:7">
      <c r="B8539">
        <f>IF(INDEX(Transactions!$J:$J,ROW()-8)="",TODAY(),INDEX(Transactions!$G:$G,ROW()-8))</f>
      </c>
      <c r="F8539">
        <f>IF(INDEX(Transactions!$J:$J,ROW()-8)="",0,INDEX(Transactions!$O:$O,ROW()-8))</f>
      </c>
    </row>
    <row r="8540" spans="1:7">
      <c r="B8540">
        <f>IF(INDEX(Transactions!$J:$J,ROW()-8)="",TODAY(),INDEX(Transactions!$G:$G,ROW()-8))</f>
      </c>
      <c r="F8540">
        <f>IF(INDEX(Transactions!$J:$J,ROW()-8)="",0,INDEX(Transactions!$O:$O,ROW()-8))</f>
      </c>
    </row>
    <row r="8541" spans="1:7">
      <c r="B8541">
        <f>IF(INDEX(Transactions!$J:$J,ROW()-8)="",TODAY(),INDEX(Transactions!$G:$G,ROW()-8))</f>
      </c>
      <c r="F8541">
        <f>IF(INDEX(Transactions!$J:$J,ROW()-8)="",0,INDEX(Transactions!$O:$O,ROW()-8))</f>
      </c>
    </row>
    <row r="8542" spans="1:7">
      <c r="B8542">
        <f>IF(INDEX(Transactions!$J:$J,ROW()-8)="",TODAY(),INDEX(Transactions!$G:$G,ROW()-8))</f>
      </c>
      <c r="F8542">
        <f>IF(INDEX(Transactions!$J:$J,ROW()-8)="",0,INDEX(Transactions!$O:$O,ROW()-8))</f>
      </c>
    </row>
    <row r="8543" spans="1:7">
      <c r="B8543">
        <f>IF(INDEX(Transactions!$J:$J,ROW()-8)="",TODAY(),INDEX(Transactions!$G:$G,ROW()-8))</f>
      </c>
      <c r="F8543">
        <f>IF(INDEX(Transactions!$J:$J,ROW()-8)="",0,INDEX(Transactions!$O:$O,ROW()-8))</f>
      </c>
    </row>
    <row r="8544" spans="1:7">
      <c r="B8544">
        <f>IF(INDEX(Transactions!$J:$J,ROW()-8)="",TODAY(),INDEX(Transactions!$G:$G,ROW()-8))</f>
      </c>
      <c r="F8544">
        <f>IF(INDEX(Transactions!$J:$J,ROW()-8)="",0,INDEX(Transactions!$O:$O,ROW()-8))</f>
      </c>
    </row>
    <row r="8545" spans="1:7">
      <c r="B8545">
        <f>IF(INDEX(Transactions!$J:$J,ROW()-8)="",TODAY(),INDEX(Transactions!$G:$G,ROW()-8))</f>
      </c>
      <c r="F8545">
        <f>IF(INDEX(Transactions!$J:$J,ROW()-8)="",0,INDEX(Transactions!$O:$O,ROW()-8))</f>
      </c>
    </row>
    <row r="8546" spans="1:7">
      <c r="B8546">
        <f>IF(INDEX(Transactions!$J:$J,ROW()-8)="",TODAY(),INDEX(Transactions!$G:$G,ROW()-8))</f>
      </c>
      <c r="F8546">
        <f>IF(INDEX(Transactions!$J:$J,ROW()-8)="",0,INDEX(Transactions!$O:$O,ROW()-8))</f>
      </c>
    </row>
    <row r="8547" spans="1:7">
      <c r="B8547">
        <f>IF(INDEX(Transactions!$J:$J,ROW()-8)="",TODAY(),INDEX(Transactions!$G:$G,ROW()-8))</f>
      </c>
      <c r="F8547">
        <f>IF(INDEX(Transactions!$J:$J,ROW()-8)="",0,INDEX(Transactions!$O:$O,ROW()-8))</f>
      </c>
    </row>
    <row r="8548" spans="1:7">
      <c r="B8548">
        <f>IF(INDEX(Transactions!$J:$J,ROW()-8)="",TODAY(),INDEX(Transactions!$G:$G,ROW()-8))</f>
      </c>
      <c r="F8548">
        <f>IF(INDEX(Transactions!$J:$J,ROW()-8)="",0,INDEX(Transactions!$O:$O,ROW()-8))</f>
      </c>
    </row>
    <row r="8549" spans="1:7">
      <c r="B8549">
        <f>IF(INDEX(Transactions!$J:$J,ROW()-8)="",TODAY(),INDEX(Transactions!$G:$G,ROW()-8))</f>
      </c>
      <c r="F8549">
        <f>IF(INDEX(Transactions!$J:$J,ROW()-8)="",0,INDEX(Transactions!$O:$O,ROW()-8))</f>
      </c>
    </row>
    <row r="8550" spans="1:7">
      <c r="B8550">
        <f>IF(INDEX(Transactions!$J:$J,ROW()-8)="",TODAY(),INDEX(Transactions!$G:$G,ROW()-8))</f>
      </c>
      <c r="F8550">
        <f>IF(INDEX(Transactions!$J:$J,ROW()-8)="",0,INDEX(Transactions!$O:$O,ROW()-8))</f>
      </c>
    </row>
    <row r="8551" spans="1:7">
      <c r="B8551">
        <f>IF(INDEX(Transactions!$J:$J,ROW()-8)="",TODAY(),INDEX(Transactions!$G:$G,ROW()-8))</f>
      </c>
      <c r="F8551">
        <f>IF(INDEX(Transactions!$J:$J,ROW()-8)="",0,INDEX(Transactions!$O:$O,ROW()-8))</f>
      </c>
    </row>
    <row r="8552" spans="1:7">
      <c r="B8552">
        <f>IF(INDEX(Transactions!$J:$J,ROW()-8)="",TODAY(),INDEX(Transactions!$G:$G,ROW()-8))</f>
      </c>
      <c r="F8552">
        <f>IF(INDEX(Transactions!$J:$J,ROW()-8)="",0,INDEX(Transactions!$O:$O,ROW()-8))</f>
      </c>
    </row>
    <row r="8553" spans="1:7">
      <c r="B8553">
        <f>IF(INDEX(Transactions!$J:$J,ROW()-8)="",TODAY(),INDEX(Transactions!$G:$G,ROW()-8))</f>
      </c>
      <c r="F8553">
        <f>IF(INDEX(Transactions!$J:$J,ROW()-8)="",0,INDEX(Transactions!$O:$O,ROW()-8))</f>
      </c>
    </row>
    <row r="8554" spans="1:7">
      <c r="B8554">
        <f>IF(INDEX(Transactions!$J:$J,ROW()-8)="",TODAY(),INDEX(Transactions!$G:$G,ROW()-8))</f>
      </c>
      <c r="F8554">
        <f>IF(INDEX(Transactions!$J:$J,ROW()-8)="",0,INDEX(Transactions!$O:$O,ROW()-8))</f>
      </c>
    </row>
    <row r="8555" spans="1:7">
      <c r="B8555">
        <f>IF(INDEX(Transactions!$J:$J,ROW()-8)="",TODAY(),INDEX(Transactions!$G:$G,ROW()-8))</f>
      </c>
      <c r="F8555">
        <f>IF(INDEX(Transactions!$J:$J,ROW()-8)="",0,INDEX(Transactions!$O:$O,ROW()-8))</f>
      </c>
    </row>
    <row r="8556" spans="1:7">
      <c r="B8556">
        <f>IF(INDEX(Transactions!$J:$J,ROW()-8)="",TODAY(),INDEX(Transactions!$G:$G,ROW()-8))</f>
      </c>
      <c r="F8556">
        <f>IF(INDEX(Transactions!$J:$J,ROW()-8)="",0,INDEX(Transactions!$O:$O,ROW()-8))</f>
      </c>
    </row>
    <row r="8557" spans="1:7">
      <c r="B8557">
        <f>IF(INDEX(Transactions!$J:$J,ROW()-8)="",TODAY(),INDEX(Transactions!$G:$G,ROW()-8))</f>
      </c>
      <c r="F8557">
        <f>IF(INDEX(Transactions!$J:$J,ROW()-8)="",0,INDEX(Transactions!$O:$O,ROW()-8))</f>
      </c>
    </row>
    <row r="8558" spans="1:7">
      <c r="B8558">
        <f>IF(INDEX(Transactions!$J:$J,ROW()-8)="",TODAY(),INDEX(Transactions!$G:$G,ROW()-8))</f>
      </c>
      <c r="F8558">
        <f>IF(INDEX(Transactions!$J:$J,ROW()-8)="",0,INDEX(Transactions!$O:$O,ROW()-8))</f>
      </c>
    </row>
    <row r="8559" spans="1:7">
      <c r="B8559">
        <f>IF(INDEX(Transactions!$J:$J,ROW()-8)="",TODAY(),INDEX(Transactions!$G:$G,ROW()-8))</f>
      </c>
      <c r="F8559">
        <f>IF(INDEX(Transactions!$J:$J,ROW()-8)="",0,INDEX(Transactions!$O:$O,ROW()-8))</f>
      </c>
    </row>
    <row r="8560" spans="1:7">
      <c r="B8560">
        <f>IF(INDEX(Transactions!$J:$J,ROW()-8)="",TODAY(),INDEX(Transactions!$G:$G,ROW()-8))</f>
      </c>
      <c r="F8560">
        <f>IF(INDEX(Transactions!$J:$J,ROW()-8)="",0,INDEX(Transactions!$O:$O,ROW()-8))</f>
      </c>
    </row>
    <row r="8561" spans="1:7">
      <c r="B8561">
        <f>IF(INDEX(Transactions!$J:$J,ROW()-8)="",TODAY(),INDEX(Transactions!$G:$G,ROW()-8))</f>
      </c>
      <c r="F8561">
        <f>IF(INDEX(Transactions!$J:$J,ROW()-8)="",0,INDEX(Transactions!$O:$O,ROW()-8))</f>
      </c>
    </row>
    <row r="8562" spans="1:7">
      <c r="B8562">
        <f>IF(INDEX(Transactions!$J:$J,ROW()-8)="",TODAY(),INDEX(Transactions!$G:$G,ROW()-8))</f>
      </c>
      <c r="F8562">
        <f>IF(INDEX(Transactions!$J:$J,ROW()-8)="",0,INDEX(Transactions!$O:$O,ROW()-8))</f>
      </c>
    </row>
    <row r="8563" spans="1:7">
      <c r="B8563">
        <f>IF(INDEX(Transactions!$J:$J,ROW()-8)="",TODAY(),INDEX(Transactions!$G:$G,ROW()-8))</f>
      </c>
      <c r="F8563">
        <f>IF(INDEX(Transactions!$J:$J,ROW()-8)="",0,INDEX(Transactions!$O:$O,ROW()-8))</f>
      </c>
    </row>
    <row r="8564" spans="1:7">
      <c r="B8564">
        <f>IF(INDEX(Transactions!$J:$J,ROW()-8)="",TODAY(),INDEX(Transactions!$G:$G,ROW()-8))</f>
      </c>
      <c r="F8564">
        <f>IF(INDEX(Transactions!$J:$J,ROW()-8)="",0,INDEX(Transactions!$O:$O,ROW()-8))</f>
      </c>
    </row>
    <row r="8565" spans="1:7">
      <c r="B8565">
        <f>IF(INDEX(Transactions!$J:$J,ROW()-8)="",TODAY(),INDEX(Transactions!$G:$G,ROW()-8))</f>
      </c>
      <c r="F8565">
        <f>IF(INDEX(Transactions!$J:$J,ROW()-8)="",0,INDEX(Transactions!$O:$O,ROW()-8))</f>
      </c>
    </row>
    <row r="8566" spans="1:7">
      <c r="B8566">
        <f>IF(INDEX(Transactions!$J:$J,ROW()-8)="",TODAY(),INDEX(Transactions!$G:$G,ROW()-8))</f>
      </c>
      <c r="F8566">
        <f>IF(INDEX(Transactions!$J:$J,ROW()-8)="",0,INDEX(Transactions!$O:$O,ROW()-8))</f>
      </c>
    </row>
    <row r="8567" spans="1:7">
      <c r="B8567">
        <f>IF(INDEX(Transactions!$J:$J,ROW()-8)="",TODAY(),INDEX(Transactions!$G:$G,ROW()-8))</f>
      </c>
      <c r="F8567">
        <f>IF(INDEX(Transactions!$J:$J,ROW()-8)="",0,INDEX(Transactions!$O:$O,ROW()-8))</f>
      </c>
    </row>
    <row r="8568" spans="1:7">
      <c r="B8568">
        <f>IF(INDEX(Transactions!$J:$J,ROW()-8)="",TODAY(),INDEX(Transactions!$G:$G,ROW()-8))</f>
      </c>
      <c r="F8568">
        <f>IF(INDEX(Transactions!$J:$J,ROW()-8)="",0,INDEX(Transactions!$O:$O,ROW()-8))</f>
      </c>
    </row>
    <row r="8569" spans="1:7">
      <c r="B8569">
        <f>IF(INDEX(Transactions!$J:$J,ROW()-8)="",TODAY(),INDEX(Transactions!$G:$G,ROW()-8))</f>
      </c>
      <c r="F8569">
        <f>IF(INDEX(Transactions!$J:$J,ROW()-8)="",0,INDEX(Transactions!$O:$O,ROW()-8))</f>
      </c>
    </row>
    <row r="8570" spans="1:7">
      <c r="B8570">
        <f>IF(INDEX(Transactions!$J:$J,ROW()-8)="",TODAY(),INDEX(Transactions!$G:$G,ROW()-8))</f>
      </c>
      <c r="F8570">
        <f>IF(INDEX(Transactions!$J:$J,ROW()-8)="",0,INDEX(Transactions!$O:$O,ROW()-8))</f>
      </c>
    </row>
    <row r="8571" spans="1:7">
      <c r="B8571">
        <f>IF(INDEX(Transactions!$J:$J,ROW()-8)="",TODAY(),INDEX(Transactions!$G:$G,ROW()-8))</f>
      </c>
      <c r="F8571">
        <f>IF(INDEX(Transactions!$J:$J,ROW()-8)="",0,INDEX(Transactions!$O:$O,ROW()-8))</f>
      </c>
    </row>
    <row r="8572" spans="1:7">
      <c r="B8572">
        <f>IF(INDEX(Transactions!$J:$J,ROW()-8)="",TODAY(),INDEX(Transactions!$G:$G,ROW()-8))</f>
      </c>
      <c r="F8572">
        <f>IF(INDEX(Transactions!$J:$J,ROW()-8)="",0,INDEX(Transactions!$O:$O,ROW()-8))</f>
      </c>
    </row>
    <row r="8573" spans="1:7">
      <c r="B8573">
        <f>IF(INDEX(Transactions!$J:$J,ROW()-8)="",TODAY(),INDEX(Transactions!$G:$G,ROW()-8))</f>
      </c>
      <c r="F8573">
        <f>IF(INDEX(Transactions!$J:$J,ROW()-8)="",0,INDEX(Transactions!$O:$O,ROW()-8))</f>
      </c>
    </row>
    <row r="8574" spans="1:7">
      <c r="B8574">
        <f>IF(INDEX(Transactions!$J:$J,ROW()-8)="",TODAY(),INDEX(Transactions!$G:$G,ROW()-8))</f>
      </c>
      <c r="F8574">
        <f>IF(INDEX(Transactions!$J:$J,ROW()-8)="",0,INDEX(Transactions!$O:$O,ROW()-8))</f>
      </c>
    </row>
    <row r="8575" spans="1:7">
      <c r="B8575">
        <f>IF(INDEX(Transactions!$J:$J,ROW()-8)="",TODAY(),INDEX(Transactions!$G:$G,ROW()-8))</f>
      </c>
      <c r="F8575">
        <f>IF(INDEX(Transactions!$J:$J,ROW()-8)="",0,INDEX(Transactions!$O:$O,ROW()-8))</f>
      </c>
    </row>
    <row r="8576" spans="1:7">
      <c r="B8576">
        <f>IF(INDEX(Transactions!$J:$J,ROW()-8)="",TODAY(),INDEX(Transactions!$G:$G,ROW()-8))</f>
      </c>
      <c r="F8576">
        <f>IF(INDEX(Transactions!$J:$J,ROW()-8)="",0,INDEX(Transactions!$O:$O,ROW()-8))</f>
      </c>
    </row>
    <row r="8577" spans="1:7">
      <c r="B8577">
        <f>IF(INDEX(Transactions!$J:$J,ROW()-8)="",TODAY(),INDEX(Transactions!$G:$G,ROW()-8))</f>
      </c>
      <c r="F8577">
        <f>IF(INDEX(Transactions!$J:$J,ROW()-8)="",0,INDEX(Transactions!$O:$O,ROW()-8))</f>
      </c>
    </row>
    <row r="8578" spans="1:7">
      <c r="B8578">
        <f>IF(INDEX(Transactions!$J:$J,ROW()-8)="",TODAY(),INDEX(Transactions!$G:$G,ROW()-8))</f>
      </c>
      <c r="F8578">
        <f>IF(INDEX(Transactions!$J:$J,ROW()-8)="",0,INDEX(Transactions!$O:$O,ROW()-8))</f>
      </c>
    </row>
    <row r="8579" spans="1:7">
      <c r="B8579">
        <f>IF(INDEX(Transactions!$J:$J,ROW()-8)="",TODAY(),INDEX(Transactions!$G:$G,ROW()-8))</f>
      </c>
      <c r="F8579">
        <f>IF(INDEX(Transactions!$J:$J,ROW()-8)="",0,INDEX(Transactions!$O:$O,ROW()-8))</f>
      </c>
    </row>
    <row r="8580" spans="1:7">
      <c r="B8580">
        <f>IF(INDEX(Transactions!$J:$J,ROW()-8)="",TODAY(),INDEX(Transactions!$G:$G,ROW()-8))</f>
      </c>
      <c r="F8580">
        <f>IF(INDEX(Transactions!$J:$J,ROW()-8)="",0,INDEX(Transactions!$O:$O,ROW()-8))</f>
      </c>
    </row>
    <row r="8581" spans="1:7">
      <c r="B8581">
        <f>IF(INDEX(Transactions!$J:$J,ROW()-8)="",TODAY(),INDEX(Transactions!$G:$G,ROW()-8))</f>
      </c>
      <c r="F8581">
        <f>IF(INDEX(Transactions!$J:$J,ROW()-8)="",0,INDEX(Transactions!$O:$O,ROW()-8))</f>
      </c>
    </row>
    <row r="8582" spans="1:7">
      <c r="B8582">
        <f>IF(INDEX(Transactions!$J:$J,ROW()-8)="",TODAY(),INDEX(Transactions!$G:$G,ROW()-8))</f>
      </c>
      <c r="F8582">
        <f>IF(INDEX(Transactions!$J:$J,ROW()-8)="",0,INDEX(Transactions!$O:$O,ROW()-8))</f>
      </c>
    </row>
    <row r="8583" spans="1:7">
      <c r="B8583">
        <f>IF(INDEX(Transactions!$J:$J,ROW()-8)="",TODAY(),INDEX(Transactions!$G:$G,ROW()-8))</f>
      </c>
      <c r="F8583">
        <f>IF(INDEX(Transactions!$J:$J,ROW()-8)="",0,INDEX(Transactions!$O:$O,ROW()-8))</f>
      </c>
    </row>
    <row r="8584" spans="1:7">
      <c r="B8584">
        <f>IF(INDEX(Transactions!$J:$J,ROW()-8)="",TODAY(),INDEX(Transactions!$G:$G,ROW()-8))</f>
      </c>
      <c r="F8584">
        <f>IF(INDEX(Transactions!$J:$J,ROW()-8)="",0,INDEX(Transactions!$O:$O,ROW()-8))</f>
      </c>
    </row>
    <row r="8585" spans="1:7">
      <c r="B8585">
        <f>IF(INDEX(Transactions!$J:$J,ROW()-8)="",TODAY(),INDEX(Transactions!$G:$G,ROW()-8))</f>
      </c>
      <c r="F8585">
        <f>IF(INDEX(Transactions!$J:$J,ROW()-8)="",0,INDEX(Transactions!$O:$O,ROW()-8))</f>
      </c>
    </row>
    <row r="8586" spans="1:7">
      <c r="B8586">
        <f>IF(INDEX(Transactions!$J:$J,ROW()-8)="",TODAY(),INDEX(Transactions!$G:$G,ROW()-8))</f>
      </c>
      <c r="F8586">
        <f>IF(INDEX(Transactions!$J:$J,ROW()-8)="",0,INDEX(Transactions!$O:$O,ROW()-8))</f>
      </c>
    </row>
    <row r="8587" spans="1:7">
      <c r="B8587">
        <f>IF(INDEX(Transactions!$J:$J,ROW()-8)="",TODAY(),INDEX(Transactions!$G:$G,ROW()-8))</f>
      </c>
      <c r="F8587">
        <f>IF(INDEX(Transactions!$J:$J,ROW()-8)="",0,INDEX(Transactions!$O:$O,ROW()-8))</f>
      </c>
    </row>
    <row r="8588" spans="1:7">
      <c r="B8588">
        <f>IF(INDEX(Transactions!$J:$J,ROW()-8)="",TODAY(),INDEX(Transactions!$G:$G,ROW()-8))</f>
      </c>
      <c r="F8588">
        <f>IF(INDEX(Transactions!$J:$J,ROW()-8)="",0,INDEX(Transactions!$O:$O,ROW()-8))</f>
      </c>
    </row>
    <row r="8589" spans="1:7">
      <c r="B8589">
        <f>IF(INDEX(Transactions!$J:$J,ROW()-8)="",TODAY(),INDEX(Transactions!$G:$G,ROW()-8))</f>
      </c>
      <c r="F8589">
        <f>IF(INDEX(Transactions!$J:$J,ROW()-8)="",0,INDEX(Transactions!$O:$O,ROW()-8))</f>
      </c>
    </row>
    <row r="8590" spans="1:7">
      <c r="B8590">
        <f>IF(INDEX(Transactions!$J:$J,ROW()-8)="",TODAY(),INDEX(Transactions!$G:$G,ROW()-8))</f>
      </c>
      <c r="F8590">
        <f>IF(INDEX(Transactions!$J:$J,ROW()-8)="",0,INDEX(Transactions!$O:$O,ROW()-8))</f>
      </c>
    </row>
    <row r="8591" spans="1:7">
      <c r="B8591">
        <f>IF(INDEX(Transactions!$J:$J,ROW()-8)="",TODAY(),INDEX(Transactions!$G:$G,ROW()-8))</f>
      </c>
      <c r="F8591">
        <f>IF(INDEX(Transactions!$J:$J,ROW()-8)="",0,INDEX(Transactions!$O:$O,ROW()-8))</f>
      </c>
    </row>
    <row r="8592" spans="1:7">
      <c r="B8592">
        <f>IF(INDEX(Transactions!$J:$J,ROW()-8)="",TODAY(),INDEX(Transactions!$G:$G,ROW()-8))</f>
      </c>
      <c r="F8592">
        <f>IF(INDEX(Transactions!$J:$J,ROW()-8)="",0,INDEX(Transactions!$O:$O,ROW()-8))</f>
      </c>
    </row>
    <row r="8593" spans="1:7">
      <c r="B8593">
        <f>IF(INDEX(Transactions!$J:$J,ROW()-8)="",TODAY(),INDEX(Transactions!$G:$G,ROW()-8))</f>
      </c>
      <c r="F8593">
        <f>IF(INDEX(Transactions!$J:$J,ROW()-8)="",0,INDEX(Transactions!$O:$O,ROW()-8))</f>
      </c>
    </row>
    <row r="8594" spans="1:7">
      <c r="B8594">
        <f>IF(INDEX(Transactions!$J:$J,ROW()-8)="",TODAY(),INDEX(Transactions!$G:$G,ROW()-8))</f>
      </c>
      <c r="F8594">
        <f>IF(INDEX(Transactions!$J:$J,ROW()-8)="",0,INDEX(Transactions!$O:$O,ROW()-8))</f>
      </c>
    </row>
    <row r="8595" spans="1:7">
      <c r="B8595">
        <f>IF(INDEX(Transactions!$J:$J,ROW()-8)="",TODAY(),INDEX(Transactions!$G:$G,ROW()-8))</f>
      </c>
      <c r="F8595">
        <f>IF(INDEX(Transactions!$J:$J,ROW()-8)="",0,INDEX(Transactions!$O:$O,ROW()-8))</f>
      </c>
    </row>
    <row r="8596" spans="1:7">
      <c r="B8596">
        <f>IF(INDEX(Transactions!$J:$J,ROW()-8)="",TODAY(),INDEX(Transactions!$G:$G,ROW()-8))</f>
      </c>
      <c r="F8596">
        <f>IF(INDEX(Transactions!$J:$J,ROW()-8)="",0,INDEX(Transactions!$O:$O,ROW()-8))</f>
      </c>
    </row>
    <row r="8597" spans="1:7">
      <c r="B8597">
        <f>IF(INDEX(Transactions!$J:$J,ROW()-8)="",TODAY(),INDEX(Transactions!$G:$G,ROW()-8))</f>
      </c>
      <c r="F8597">
        <f>IF(INDEX(Transactions!$J:$J,ROW()-8)="",0,INDEX(Transactions!$O:$O,ROW()-8))</f>
      </c>
    </row>
    <row r="8598" spans="1:7">
      <c r="B8598">
        <f>IF(INDEX(Transactions!$J:$J,ROW()-8)="",TODAY(),INDEX(Transactions!$G:$G,ROW()-8))</f>
      </c>
      <c r="F8598">
        <f>IF(INDEX(Transactions!$J:$J,ROW()-8)="",0,INDEX(Transactions!$O:$O,ROW()-8))</f>
      </c>
    </row>
    <row r="8599" spans="1:7">
      <c r="B8599">
        <f>IF(INDEX(Transactions!$J:$J,ROW()-8)="",TODAY(),INDEX(Transactions!$G:$G,ROW()-8))</f>
      </c>
      <c r="F8599">
        <f>IF(INDEX(Transactions!$J:$J,ROW()-8)="",0,INDEX(Transactions!$O:$O,ROW()-8))</f>
      </c>
    </row>
    <row r="8600" spans="1:7">
      <c r="B8600">
        <f>IF(INDEX(Transactions!$J:$J,ROW()-8)="",TODAY(),INDEX(Transactions!$G:$G,ROW()-8))</f>
      </c>
      <c r="F8600">
        <f>IF(INDEX(Transactions!$J:$J,ROW()-8)="",0,INDEX(Transactions!$O:$O,ROW()-8))</f>
      </c>
    </row>
    <row r="8601" spans="1:7">
      <c r="B8601">
        <f>IF(INDEX(Transactions!$J:$J,ROW()-8)="",TODAY(),INDEX(Transactions!$G:$G,ROW()-8))</f>
      </c>
      <c r="F8601">
        <f>IF(INDEX(Transactions!$J:$J,ROW()-8)="",0,INDEX(Transactions!$O:$O,ROW()-8))</f>
      </c>
    </row>
    <row r="8602" spans="1:7">
      <c r="B8602">
        <f>IF(INDEX(Transactions!$J:$J,ROW()-8)="",TODAY(),INDEX(Transactions!$G:$G,ROW()-8))</f>
      </c>
      <c r="F8602">
        <f>IF(INDEX(Transactions!$J:$J,ROW()-8)="",0,INDEX(Transactions!$O:$O,ROW()-8))</f>
      </c>
    </row>
    <row r="8603" spans="1:7">
      <c r="B8603">
        <f>IF(INDEX(Transactions!$J:$J,ROW()-8)="",TODAY(),INDEX(Transactions!$G:$G,ROW()-8))</f>
      </c>
      <c r="F8603">
        <f>IF(INDEX(Transactions!$J:$J,ROW()-8)="",0,INDEX(Transactions!$O:$O,ROW()-8))</f>
      </c>
    </row>
    <row r="8604" spans="1:7">
      <c r="B8604">
        <f>IF(INDEX(Transactions!$J:$J,ROW()-8)="",TODAY(),INDEX(Transactions!$G:$G,ROW()-8))</f>
      </c>
      <c r="F8604">
        <f>IF(INDEX(Transactions!$J:$J,ROW()-8)="",0,INDEX(Transactions!$O:$O,ROW()-8))</f>
      </c>
    </row>
    <row r="8605" spans="1:7">
      <c r="B8605">
        <f>IF(INDEX(Transactions!$J:$J,ROW()-8)="",TODAY(),INDEX(Transactions!$G:$G,ROW()-8))</f>
      </c>
      <c r="F8605">
        <f>IF(INDEX(Transactions!$J:$J,ROW()-8)="",0,INDEX(Transactions!$O:$O,ROW()-8))</f>
      </c>
    </row>
    <row r="8606" spans="1:7">
      <c r="B8606">
        <f>IF(INDEX(Transactions!$J:$J,ROW()-8)="",TODAY(),INDEX(Transactions!$G:$G,ROW()-8))</f>
      </c>
      <c r="F8606">
        <f>IF(INDEX(Transactions!$J:$J,ROW()-8)="",0,INDEX(Transactions!$O:$O,ROW()-8))</f>
      </c>
    </row>
    <row r="8607" spans="1:7">
      <c r="B8607">
        <f>IF(INDEX(Transactions!$J:$J,ROW()-8)="",TODAY(),INDEX(Transactions!$G:$G,ROW()-8))</f>
      </c>
      <c r="F8607">
        <f>IF(INDEX(Transactions!$J:$J,ROW()-8)="",0,INDEX(Transactions!$O:$O,ROW()-8))</f>
      </c>
    </row>
    <row r="8608" spans="1:7">
      <c r="B8608">
        <f>IF(INDEX(Transactions!$J:$J,ROW()-8)="",TODAY(),INDEX(Transactions!$G:$G,ROW()-8))</f>
      </c>
      <c r="F8608">
        <f>IF(INDEX(Transactions!$J:$J,ROW()-8)="",0,INDEX(Transactions!$O:$O,ROW()-8))</f>
      </c>
    </row>
    <row r="8609" spans="1:7">
      <c r="B8609">
        <f>IF(INDEX(Transactions!$J:$J,ROW()-8)="",TODAY(),INDEX(Transactions!$G:$G,ROW()-8))</f>
      </c>
      <c r="F8609">
        <f>IF(INDEX(Transactions!$J:$J,ROW()-8)="",0,INDEX(Transactions!$O:$O,ROW()-8))</f>
      </c>
    </row>
    <row r="8610" spans="1:7">
      <c r="B8610">
        <f>IF(INDEX(Transactions!$J:$J,ROW()-8)="",TODAY(),INDEX(Transactions!$G:$G,ROW()-8))</f>
      </c>
      <c r="F8610">
        <f>IF(INDEX(Transactions!$J:$J,ROW()-8)="",0,INDEX(Transactions!$O:$O,ROW()-8))</f>
      </c>
    </row>
    <row r="8611" spans="1:7">
      <c r="B8611">
        <f>IF(INDEX(Transactions!$J:$J,ROW()-8)="",TODAY(),INDEX(Transactions!$G:$G,ROW()-8))</f>
      </c>
      <c r="F8611">
        <f>IF(INDEX(Transactions!$J:$J,ROW()-8)="",0,INDEX(Transactions!$O:$O,ROW()-8))</f>
      </c>
    </row>
    <row r="8612" spans="1:7">
      <c r="B8612">
        <f>IF(INDEX(Transactions!$J:$J,ROW()-8)="",TODAY(),INDEX(Transactions!$G:$G,ROW()-8))</f>
      </c>
      <c r="F8612">
        <f>IF(INDEX(Transactions!$J:$J,ROW()-8)="",0,INDEX(Transactions!$O:$O,ROW()-8))</f>
      </c>
    </row>
    <row r="8613" spans="1:7">
      <c r="B8613">
        <f>IF(INDEX(Transactions!$J:$J,ROW()-8)="",TODAY(),INDEX(Transactions!$G:$G,ROW()-8))</f>
      </c>
      <c r="F8613">
        <f>IF(INDEX(Transactions!$J:$J,ROW()-8)="",0,INDEX(Transactions!$O:$O,ROW()-8))</f>
      </c>
    </row>
    <row r="8614" spans="1:7">
      <c r="B8614">
        <f>IF(INDEX(Transactions!$J:$J,ROW()-8)="",TODAY(),INDEX(Transactions!$G:$G,ROW()-8))</f>
      </c>
      <c r="F8614">
        <f>IF(INDEX(Transactions!$J:$J,ROW()-8)="",0,INDEX(Transactions!$O:$O,ROW()-8))</f>
      </c>
    </row>
    <row r="8615" spans="1:7">
      <c r="B8615">
        <f>IF(INDEX(Transactions!$J:$J,ROW()-8)="",TODAY(),INDEX(Transactions!$G:$G,ROW()-8))</f>
      </c>
      <c r="F8615">
        <f>IF(INDEX(Transactions!$J:$J,ROW()-8)="",0,INDEX(Transactions!$O:$O,ROW()-8))</f>
      </c>
    </row>
    <row r="8616" spans="1:7">
      <c r="B8616">
        <f>IF(INDEX(Transactions!$J:$J,ROW()-8)="",TODAY(),INDEX(Transactions!$G:$G,ROW()-8))</f>
      </c>
      <c r="F8616">
        <f>IF(INDEX(Transactions!$J:$J,ROW()-8)="",0,INDEX(Transactions!$O:$O,ROW()-8))</f>
      </c>
    </row>
    <row r="8617" spans="1:7">
      <c r="B8617">
        <f>IF(INDEX(Transactions!$J:$J,ROW()-8)="",TODAY(),INDEX(Transactions!$G:$G,ROW()-8))</f>
      </c>
      <c r="F8617">
        <f>IF(INDEX(Transactions!$J:$J,ROW()-8)="",0,INDEX(Transactions!$O:$O,ROW()-8))</f>
      </c>
    </row>
    <row r="8618" spans="1:7">
      <c r="B8618">
        <f>IF(INDEX(Transactions!$J:$J,ROW()-8)="",TODAY(),INDEX(Transactions!$G:$G,ROW()-8))</f>
      </c>
      <c r="F8618">
        <f>IF(INDEX(Transactions!$J:$J,ROW()-8)="",0,INDEX(Transactions!$O:$O,ROW()-8))</f>
      </c>
    </row>
    <row r="8619" spans="1:7">
      <c r="B8619">
        <f>IF(INDEX(Transactions!$J:$J,ROW()-8)="",TODAY(),INDEX(Transactions!$G:$G,ROW()-8))</f>
      </c>
      <c r="F8619">
        <f>IF(INDEX(Transactions!$J:$J,ROW()-8)="",0,INDEX(Transactions!$O:$O,ROW()-8))</f>
      </c>
    </row>
    <row r="8620" spans="1:7">
      <c r="B8620">
        <f>IF(INDEX(Transactions!$J:$J,ROW()-8)="",TODAY(),INDEX(Transactions!$G:$G,ROW()-8))</f>
      </c>
      <c r="F8620">
        <f>IF(INDEX(Transactions!$J:$J,ROW()-8)="",0,INDEX(Transactions!$O:$O,ROW()-8))</f>
      </c>
    </row>
    <row r="8621" spans="1:7">
      <c r="B8621">
        <f>IF(INDEX(Transactions!$J:$J,ROW()-8)="",TODAY(),INDEX(Transactions!$G:$G,ROW()-8))</f>
      </c>
      <c r="F8621">
        <f>IF(INDEX(Transactions!$J:$J,ROW()-8)="",0,INDEX(Transactions!$O:$O,ROW()-8))</f>
      </c>
    </row>
    <row r="8622" spans="1:7">
      <c r="B8622">
        <f>IF(INDEX(Transactions!$J:$J,ROW()-8)="",TODAY(),INDEX(Transactions!$G:$G,ROW()-8))</f>
      </c>
      <c r="F8622">
        <f>IF(INDEX(Transactions!$J:$J,ROW()-8)="",0,INDEX(Transactions!$O:$O,ROW()-8))</f>
      </c>
    </row>
    <row r="8623" spans="1:7">
      <c r="B8623">
        <f>IF(INDEX(Transactions!$J:$J,ROW()-8)="",TODAY(),INDEX(Transactions!$G:$G,ROW()-8))</f>
      </c>
      <c r="F8623">
        <f>IF(INDEX(Transactions!$J:$J,ROW()-8)="",0,INDEX(Transactions!$O:$O,ROW()-8))</f>
      </c>
    </row>
    <row r="8624" spans="1:7">
      <c r="B8624">
        <f>IF(INDEX(Transactions!$J:$J,ROW()-8)="",TODAY(),INDEX(Transactions!$G:$G,ROW()-8))</f>
      </c>
      <c r="F8624">
        <f>IF(INDEX(Transactions!$J:$J,ROW()-8)="",0,INDEX(Transactions!$O:$O,ROW()-8))</f>
      </c>
    </row>
    <row r="8625" spans="1:7">
      <c r="B8625">
        <f>IF(INDEX(Transactions!$J:$J,ROW()-8)="",TODAY(),INDEX(Transactions!$G:$G,ROW()-8))</f>
      </c>
      <c r="F8625">
        <f>IF(INDEX(Transactions!$J:$J,ROW()-8)="",0,INDEX(Transactions!$O:$O,ROW()-8))</f>
      </c>
    </row>
    <row r="8626" spans="1:7">
      <c r="B8626">
        <f>IF(INDEX(Transactions!$J:$J,ROW()-8)="",TODAY(),INDEX(Transactions!$G:$G,ROW()-8))</f>
      </c>
      <c r="F8626">
        <f>IF(INDEX(Transactions!$J:$J,ROW()-8)="",0,INDEX(Transactions!$O:$O,ROW()-8))</f>
      </c>
    </row>
    <row r="8627" spans="1:7">
      <c r="B8627">
        <f>IF(INDEX(Transactions!$J:$J,ROW()-8)="",TODAY(),INDEX(Transactions!$G:$G,ROW()-8))</f>
      </c>
      <c r="F8627">
        <f>IF(INDEX(Transactions!$J:$J,ROW()-8)="",0,INDEX(Transactions!$O:$O,ROW()-8))</f>
      </c>
    </row>
    <row r="8628" spans="1:7">
      <c r="B8628">
        <f>IF(INDEX(Transactions!$J:$J,ROW()-8)="",TODAY(),INDEX(Transactions!$G:$G,ROW()-8))</f>
      </c>
      <c r="F8628">
        <f>IF(INDEX(Transactions!$J:$J,ROW()-8)="",0,INDEX(Transactions!$O:$O,ROW()-8))</f>
      </c>
    </row>
    <row r="8629" spans="1:7">
      <c r="B8629">
        <f>IF(INDEX(Transactions!$J:$J,ROW()-8)="",TODAY(),INDEX(Transactions!$G:$G,ROW()-8))</f>
      </c>
      <c r="F8629">
        <f>IF(INDEX(Transactions!$J:$J,ROW()-8)="",0,INDEX(Transactions!$O:$O,ROW()-8))</f>
      </c>
    </row>
    <row r="8630" spans="1:7">
      <c r="B8630">
        <f>IF(INDEX(Transactions!$J:$J,ROW()-8)="",TODAY(),INDEX(Transactions!$G:$G,ROW()-8))</f>
      </c>
      <c r="F8630">
        <f>IF(INDEX(Transactions!$J:$J,ROW()-8)="",0,INDEX(Transactions!$O:$O,ROW()-8))</f>
      </c>
    </row>
    <row r="8631" spans="1:7">
      <c r="B8631">
        <f>IF(INDEX(Transactions!$J:$J,ROW()-8)="",TODAY(),INDEX(Transactions!$G:$G,ROW()-8))</f>
      </c>
      <c r="F8631">
        <f>IF(INDEX(Transactions!$J:$J,ROW()-8)="",0,INDEX(Transactions!$O:$O,ROW()-8))</f>
      </c>
    </row>
    <row r="8632" spans="1:7">
      <c r="B8632">
        <f>IF(INDEX(Transactions!$J:$J,ROW()-8)="",TODAY(),INDEX(Transactions!$G:$G,ROW()-8))</f>
      </c>
      <c r="F8632">
        <f>IF(INDEX(Transactions!$J:$J,ROW()-8)="",0,INDEX(Transactions!$O:$O,ROW()-8))</f>
      </c>
    </row>
    <row r="8633" spans="1:7">
      <c r="B8633">
        <f>IF(INDEX(Transactions!$J:$J,ROW()-8)="",TODAY(),INDEX(Transactions!$G:$G,ROW()-8))</f>
      </c>
      <c r="F8633">
        <f>IF(INDEX(Transactions!$J:$J,ROW()-8)="",0,INDEX(Transactions!$O:$O,ROW()-8))</f>
      </c>
    </row>
    <row r="8634" spans="1:7">
      <c r="B8634">
        <f>IF(INDEX(Transactions!$J:$J,ROW()-8)="",TODAY(),INDEX(Transactions!$G:$G,ROW()-8))</f>
      </c>
      <c r="F8634">
        <f>IF(INDEX(Transactions!$J:$J,ROW()-8)="",0,INDEX(Transactions!$O:$O,ROW()-8))</f>
      </c>
    </row>
    <row r="8635" spans="1:7">
      <c r="B8635">
        <f>IF(INDEX(Transactions!$J:$J,ROW()-8)="",TODAY(),INDEX(Transactions!$G:$G,ROW()-8))</f>
      </c>
      <c r="F8635">
        <f>IF(INDEX(Transactions!$J:$J,ROW()-8)="",0,INDEX(Transactions!$O:$O,ROW()-8))</f>
      </c>
    </row>
    <row r="8636" spans="1:7">
      <c r="B8636">
        <f>IF(INDEX(Transactions!$J:$J,ROW()-8)="",TODAY(),INDEX(Transactions!$G:$G,ROW()-8))</f>
      </c>
      <c r="F8636">
        <f>IF(INDEX(Transactions!$J:$J,ROW()-8)="",0,INDEX(Transactions!$O:$O,ROW()-8))</f>
      </c>
    </row>
    <row r="8637" spans="1:7">
      <c r="B8637">
        <f>IF(INDEX(Transactions!$J:$J,ROW()-8)="",TODAY(),INDEX(Transactions!$G:$G,ROW()-8))</f>
      </c>
      <c r="F8637">
        <f>IF(INDEX(Transactions!$J:$J,ROW()-8)="",0,INDEX(Transactions!$O:$O,ROW()-8))</f>
      </c>
    </row>
    <row r="8638" spans="1:7">
      <c r="B8638">
        <f>IF(INDEX(Transactions!$J:$J,ROW()-8)="",TODAY(),INDEX(Transactions!$G:$G,ROW()-8))</f>
      </c>
      <c r="F8638">
        <f>IF(INDEX(Transactions!$J:$J,ROW()-8)="",0,INDEX(Transactions!$O:$O,ROW()-8))</f>
      </c>
    </row>
    <row r="8639" spans="1:7">
      <c r="B8639">
        <f>IF(INDEX(Transactions!$J:$J,ROW()-8)="",TODAY(),INDEX(Transactions!$G:$G,ROW()-8))</f>
      </c>
      <c r="F8639">
        <f>IF(INDEX(Transactions!$J:$J,ROW()-8)="",0,INDEX(Transactions!$O:$O,ROW()-8))</f>
      </c>
    </row>
    <row r="8640" spans="1:7">
      <c r="B8640">
        <f>IF(INDEX(Transactions!$J:$J,ROW()-8)="",TODAY(),INDEX(Transactions!$G:$G,ROW()-8))</f>
      </c>
      <c r="F8640">
        <f>IF(INDEX(Transactions!$J:$J,ROW()-8)="",0,INDEX(Transactions!$O:$O,ROW()-8))</f>
      </c>
    </row>
    <row r="8641" spans="1:7">
      <c r="B8641">
        <f>IF(INDEX(Transactions!$J:$J,ROW()-8)="",TODAY(),INDEX(Transactions!$G:$G,ROW()-8))</f>
      </c>
      <c r="F8641">
        <f>IF(INDEX(Transactions!$J:$J,ROW()-8)="",0,INDEX(Transactions!$O:$O,ROW()-8))</f>
      </c>
    </row>
    <row r="8642" spans="1:7">
      <c r="B8642">
        <f>IF(INDEX(Transactions!$J:$J,ROW()-8)="",TODAY(),INDEX(Transactions!$G:$G,ROW()-8))</f>
      </c>
      <c r="F8642">
        <f>IF(INDEX(Transactions!$J:$J,ROW()-8)="",0,INDEX(Transactions!$O:$O,ROW()-8))</f>
      </c>
    </row>
    <row r="8643" spans="1:7">
      <c r="B8643">
        <f>IF(INDEX(Transactions!$J:$J,ROW()-8)="",TODAY(),INDEX(Transactions!$G:$G,ROW()-8))</f>
      </c>
      <c r="F8643">
        <f>IF(INDEX(Transactions!$J:$J,ROW()-8)="",0,INDEX(Transactions!$O:$O,ROW()-8))</f>
      </c>
    </row>
    <row r="8644" spans="1:7">
      <c r="B8644">
        <f>IF(INDEX(Transactions!$J:$J,ROW()-8)="",TODAY(),INDEX(Transactions!$G:$G,ROW()-8))</f>
      </c>
      <c r="F8644">
        <f>IF(INDEX(Transactions!$J:$J,ROW()-8)="",0,INDEX(Transactions!$O:$O,ROW()-8))</f>
      </c>
    </row>
    <row r="8645" spans="1:7">
      <c r="B8645">
        <f>IF(INDEX(Transactions!$J:$J,ROW()-8)="",TODAY(),INDEX(Transactions!$G:$G,ROW()-8))</f>
      </c>
      <c r="F8645">
        <f>IF(INDEX(Transactions!$J:$J,ROW()-8)="",0,INDEX(Transactions!$O:$O,ROW()-8))</f>
      </c>
    </row>
    <row r="8646" spans="1:7">
      <c r="B8646">
        <f>IF(INDEX(Transactions!$J:$J,ROW()-8)="",TODAY(),INDEX(Transactions!$G:$G,ROW()-8))</f>
      </c>
      <c r="F8646">
        <f>IF(INDEX(Transactions!$J:$J,ROW()-8)="",0,INDEX(Transactions!$O:$O,ROW()-8))</f>
      </c>
    </row>
    <row r="8647" spans="1:7">
      <c r="B8647">
        <f>IF(INDEX(Transactions!$J:$J,ROW()-8)="",TODAY(),INDEX(Transactions!$G:$G,ROW()-8))</f>
      </c>
      <c r="F8647">
        <f>IF(INDEX(Transactions!$J:$J,ROW()-8)="",0,INDEX(Transactions!$O:$O,ROW()-8))</f>
      </c>
    </row>
    <row r="8648" spans="1:7">
      <c r="B8648">
        <f>IF(INDEX(Transactions!$J:$J,ROW()-8)="",TODAY(),INDEX(Transactions!$G:$G,ROW()-8))</f>
      </c>
      <c r="F8648">
        <f>IF(INDEX(Transactions!$J:$J,ROW()-8)="",0,INDEX(Transactions!$O:$O,ROW()-8))</f>
      </c>
    </row>
    <row r="8649" spans="1:7">
      <c r="B8649">
        <f>IF(INDEX(Transactions!$J:$J,ROW()-8)="",TODAY(),INDEX(Transactions!$G:$G,ROW()-8))</f>
      </c>
      <c r="F8649">
        <f>IF(INDEX(Transactions!$J:$J,ROW()-8)="",0,INDEX(Transactions!$O:$O,ROW()-8))</f>
      </c>
    </row>
    <row r="8650" spans="1:7">
      <c r="B8650">
        <f>IF(INDEX(Transactions!$J:$J,ROW()-8)="",TODAY(),INDEX(Transactions!$G:$G,ROW()-8))</f>
      </c>
      <c r="F8650">
        <f>IF(INDEX(Transactions!$J:$J,ROW()-8)="",0,INDEX(Transactions!$O:$O,ROW()-8))</f>
      </c>
    </row>
    <row r="8651" spans="1:7">
      <c r="B8651">
        <f>IF(INDEX(Transactions!$J:$J,ROW()-8)="",TODAY(),INDEX(Transactions!$G:$G,ROW()-8))</f>
      </c>
      <c r="F8651">
        <f>IF(INDEX(Transactions!$J:$J,ROW()-8)="",0,INDEX(Transactions!$O:$O,ROW()-8))</f>
      </c>
    </row>
    <row r="8652" spans="1:7">
      <c r="B8652">
        <f>IF(INDEX(Transactions!$J:$J,ROW()-8)="",TODAY(),INDEX(Transactions!$G:$G,ROW()-8))</f>
      </c>
      <c r="F8652">
        <f>IF(INDEX(Transactions!$J:$J,ROW()-8)="",0,INDEX(Transactions!$O:$O,ROW()-8))</f>
      </c>
    </row>
    <row r="8653" spans="1:7">
      <c r="B8653">
        <f>IF(INDEX(Transactions!$J:$J,ROW()-8)="",TODAY(),INDEX(Transactions!$G:$G,ROW()-8))</f>
      </c>
      <c r="F8653">
        <f>IF(INDEX(Transactions!$J:$J,ROW()-8)="",0,INDEX(Transactions!$O:$O,ROW()-8))</f>
      </c>
    </row>
    <row r="8654" spans="1:7">
      <c r="B8654">
        <f>IF(INDEX(Transactions!$J:$J,ROW()-8)="",TODAY(),INDEX(Transactions!$G:$G,ROW()-8))</f>
      </c>
      <c r="F8654">
        <f>IF(INDEX(Transactions!$J:$J,ROW()-8)="",0,INDEX(Transactions!$O:$O,ROW()-8))</f>
      </c>
    </row>
    <row r="8655" spans="1:7">
      <c r="B8655">
        <f>IF(INDEX(Transactions!$J:$J,ROW()-8)="",TODAY(),INDEX(Transactions!$G:$G,ROW()-8))</f>
      </c>
      <c r="F8655">
        <f>IF(INDEX(Transactions!$J:$J,ROW()-8)="",0,INDEX(Transactions!$O:$O,ROW()-8))</f>
      </c>
    </row>
    <row r="8656" spans="1:7">
      <c r="B8656">
        <f>IF(INDEX(Transactions!$J:$J,ROW()-8)="",TODAY(),INDEX(Transactions!$G:$G,ROW()-8))</f>
      </c>
      <c r="F8656">
        <f>IF(INDEX(Transactions!$J:$J,ROW()-8)="",0,INDEX(Transactions!$O:$O,ROW()-8))</f>
      </c>
    </row>
    <row r="8657" spans="1:7">
      <c r="B8657">
        <f>IF(INDEX(Transactions!$J:$J,ROW()-8)="",TODAY(),INDEX(Transactions!$G:$G,ROW()-8))</f>
      </c>
      <c r="F8657">
        <f>IF(INDEX(Transactions!$J:$J,ROW()-8)="",0,INDEX(Transactions!$O:$O,ROW()-8))</f>
      </c>
    </row>
    <row r="8658" spans="1:7">
      <c r="B8658">
        <f>IF(INDEX(Transactions!$J:$J,ROW()-8)="",TODAY(),INDEX(Transactions!$G:$G,ROW()-8))</f>
      </c>
      <c r="F8658">
        <f>IF(INDEX(Transactions!$J:$J,ROW()-8)="",0,INDEX(Transactions!$O:$O,ROW()-8))</f>
      </c>
    </row>
    <row r="8659" spans="1:7">
      <c r="B8659">
        <f>IF(INDEX(Transactions!$J:$J,ROW()-8)="",TODAY(),INDEX(Transactions!$G:$G,ROW()-8))</f>
      </c>
      <c r="F8659">
        <f>IF(INDEX(Transactions!$J:$J,ROW()-8)="",0,INDEX(Transactions!$O:$O,ROW()-8))</f>
      </c>
    </row>
    <row r="8660" spans="1:7">
      <c r="B8660">
        <f>IF(INDEX(Transactions!$J:$J,ROW()-8)="",TODAY(),INDEX(Transactions!$G:$G,ROW()-8))</f>
      </c>
      <c r="F8660">
        <f>IF(INDEX(Transactions!$J:$J,ROW()-8)="",0,INDEX(Transactions!$O:$O,ROW()-8))</f>
      </c>
    </row>
    <row r="8661" spans="1:7">
      <c r="B8661">
        <f>IF(INDEX(Transactions!$J:$J,ROW()-8)="",TODAY(),INDEX(Transactions!$G:$G,ROW()-8))</f>
      </c>
      <c r="F8661">
        <f>IF(INDEX(Transactions!$J:$J,ROW()-8)="",0,INDEX(Transactions!$O:$O,ROW()-8))</f>
      </c>
    </row>
    <row r="8662" spans="1:7">
      <c r="B8662">
        <f>IF(INDEX(Transactions!$J:$J,ROW()-8)="",TODAY(),INDEX(Transactions!$G:$G,ROW()-8))</f>
      </c>
      <c r="F8662">
        <f>IF(INDEX(Transactions!$J:$J,ROW()-8)="",0,INDEX(Transactions!$O:$O,ROW()-8))</f>
      </c>
    </row>
    <row r="8663" spans="1:7">
      <c r="B8663">
        <f>IF(INDEX(Transactions!$J:$J,ROW()-8)="",TODAY(),INDEX(Transactions!$G:$G,ROW()-8))</f>
      </c>
      <c r="F8663">
        <f>IF(INDEX(Transactions!$J:$J,ROW()-8)="",0,INDEX(Transactions!$O:$O,ROW()-8))</f>
      </c>
    </row>
    <row r="8664" spans="1:7">
      <c r="B8664">
        <f>IF(INDEX(Transactions!$J:$J,ROW()-8)="",TODAY(),INDEX(Transactions!$G:$G,ROW()-8))</f>
      </c>
      <c r="F8664">
        <f>IF(INDEX(Transactions!$J:$J,ROW()-8)="",0,INDEX(Transactions!$O:$O,ROW()-8))</f>
      </c>
    </row>
    <row r="8665" spans="1:7">
      <c r="B8665">
        <f>IF(INDEX(Transactions!$J:$J,ROW()-8)="",TODAY(),INDEX(Transactions!$G:$G,ROW()-8))</f>
      </c>
      <c r="F8665">
        <f>IF(INDEX(Transactions!$J:$J,ROW()-8)="",0,INDEX(Transactions!$O:$O,ROW()-8))</f>
      </c>
    </row>
    <row r="8666" spans="1:7">
      <c r="B8666">
        <f>IF(INDEX(Transactions!$J:$J,ROW()-8)="",TODAY(),INDEX(Transactions!$G:$G,ROW()-8))</f>
      </c>
      <c r="F8666">
        <f>IF(INDEX(Transactions!$J:$J,ROW()-8)="",0,INDEX(Transactions!$O:$O,ROW()-8))</f>
      </c>
    </row>
    <row r="8667" spans="1:7">
      <c r="B8667">
        <f>IF(INDEX(Transactions!$J:$J,ROW()-8)="",TODAY(),INDEX(Transactions!$G:$G,ROW()-8))</f>
      </c>
      <c r="F8667">
        <f>IF(INDEX(Transactions!$J:$J,ROW()-8)="",0,INDEX(Transactions!$O:$O,ROW()-8))</f>
      </c>
    </row>
    <row r="8668" spans="1:7">
      <c r="B8668">
        <f>IF(INDEX(Transactions!$J:$J,ROW()-8)="",TODAY(),INDEX(Transactions!$G:$G,ROW()-8))</f>
      </c>
      <c r="F8668">
        <f>IF(INDEX(Transactions!$J:$J,ROW()-8)="",0,INDEX(Transactions!$O:$O,ROW()-8))</f>
      </c>
    </row>
    <row r="8669" spans="1:7">
      <c r="B8669">
        <f>IF(INDEX(Transactions!$J:$J,ROW()-8)="",TODAY(),INDEX(Transactions!$G:$G,ROW()-8))</f>
      </c>
      <c r="F8669">
        <f>IF(INDEX(Transactions!$J:$J,ROW()-8)="",0,INDEX(Transactions!$O:$O,ROW()-8))</f>
      </c>
    </row>
    <row r="8670" spans="1:7">
      <c r="B8670">
        <f>IF(INDEX(Transactions!$J:$J,ROW()-8)="",TODAY(),INDEX(Transactions!$G:$G,ROW()-8))</f>
      </c>
      <c r="F8670">
        <f>IF(INDEX(Transactions!$J:$J,ROW()-8)="",0,INDEX(Transactions!$O:$O,ROW()-8))</f>
      </c>
    </row>
    <row r="8671" spans="1:7">
      <c r="B8671">
        <f>IF(INDEX(Transactions!$J:$J,ROW()-8)="",TODAY(),INDEX(Transactions!$G:$G,ROW()-8))</f>
      </c>
      <c r="F8671">
        <f>IF(INDEX(Transactions!$J:$J,ROW()-8)="",0,INDEX(Transactions!$O:$O,ROW()-8))</f>
      </c>
    </row>
    <row r="8672" spans="1:7">
      <c r="B8672">
        <f>IF(INDEX(Transactions!$J:$J,ROW()-8)="",TODAY(),INDEX(Transactions!$G:$G,ROW()-8))</f>
      </c>
      <c r="F8672">
        <f>IF(INDEX(Transactions!$J:$J,ROW()-8)="",0,INDEX(Transactions!$O:$O,ROW()-8))</f>
      </c>
    </row>
    <row r="8673" spans="1:7">
      <c r="B8673">
        <f>IF(INDEX(Transactions!$J:$J,ROW()-8)="",TODAY(),INDEX(Transactions!$G:$G,ROW()-8))</f>
      </c>
      <c r="F8673">
        <f>IF(INDEX(Transactions!$J:$J,ROW()-8)="",0,INDEX(Transactions!$O:$O,ROW()-8))</f>
      </c>
    </row>
    <row r="8674" spans="1:7">
      <c r="B8674">
        <f>IF(INDEX(Transactions!$J:$J,ROW()-8)="",TODAY(),INDEX(Transactions!$G:$G,ROW()-8))</f>
      </c>
      <c r="F8674">
        <f>IF(INDEX(Transactions!$J:$J,ROW()-8)="",0,INDEX(Transactions!$O:$O,ROW()-8))</f>
      </c>
    </row>
    <row r="8675" spans="1:7">
      <c r="B8675">
        <f>IF(INDEX(Transactions!$J:$J,ROW()-8)="",TODAY(),INDEX(Transactions!$G:$G,ROW()-8))</f>
      </c>
      <c r="F8675">
        <f>IF(INDEX(Transactions!$J:$J,ROW()-8)="",0,INDEX(Transactions!$O:$O,ROW()-8))</f>
      </c>
    </row>
    <row r="8676" spans="1:7">
      <c r="B8676">
        <f>IF(INDEX(Transactions!$J:$J,ROW()-8)="",TODAY(),INDEX(Transactions!$G:$G,ROW()-8))</f>
      </c>
      <c r="F8676">
        <f>IF(INDEX(Transactions!$J:$J,ROW()-8)="",0,INDEX(Transactions!$O:$O,ROW()-8))</f>
      </c>
    </row>
    <row r="8677" spans="1:7">
      <c r="B8677">
        <f>IF(INDEX(Transactions!$J:$J,ROW()-8)="",TODAY(),INDEX(Transactions!$G:$G,ROW()-8))</f>
      </c>
      <c r="F8677">
        <f>IF(INDEX(Transactions!$J:$J,ROW()-8)="",0,INDEX(Transactions!$O:$O,ROW()-8))</f>
      </c>
    </row>
    <row r="8678" spans="1:7">
      <c r="B8678">
        <f>IF(INDEX(Transactions!$J:$J,ROW()-8)="",TODAY(),INDEX(Transactions!$G:$G,ROW()-8))</f>
      </c>
      <c r="F8678">
        <f>IF(INDEX(Transactions!$J:$J,ROW()-8)="",0,INDEX(Transactions!$O:$O,ROW()-8))</f>
      </c>
    </row>
    <row r="8679" spans="1:7">
      <c r="B8679">
        <f>IF(INDEX(Transactions!$J:$J,ROW()-8)="",TODAY(),INDEX(Transactions!$G:$G,ROW()-8))</f>
      </c>
      <c r="F8679">
        <f>IF(INDEX(Transactions!$J:$J,ROW()-8)="",0,INDEX(Transactions!$O:$O,ROW()-8))</f>
      </c>
    </row>
    <row r="8680" spans="1:7">
      <c r="B8680">
        <f>IF(INDEX(Transactions!$J:$J,ROW()-8)="",TODAY(),INDEX(Transactions!$G:$G,ROW()-8))</f>
      </c>
      <c r="F8680">
        <f>IF(INDEX(Transactions!$J:$J,ROW()-8)="",0,INDEX(Transactions!$O:$O,ROW()-8))</f>
      </c>
    </row>
    <row r="8681" spans="1:7">
      <c r="B8681">
        <f>IF(INDEX(Transactions!$J:$J,ROW()-8)="",TODAY(),INDEX(Transactions!$G:$G,ROW()-8))</f>
      </c>
      <c r="F8681">
        <f>IF(INDEX(Transactions!$J:$J,ROW()-8)="",0,INDEX(Transactions!$O:$O,ROW()-8))</f>
      </c>
    </row>
    <row r="8682" spans="1:7">
      <c r="B8682">
        <f>IF(INDEX(Transactions!$J:$J,ROW()-8)="",TODAY(),INDEX(Transactions!$G:$G,ROW()-8))</f>
      </c>
      <c r="F8682">
        <f>IF(INDEX(Transactions!$J:$J,ROW()-8)="",0,INDEX(Transactions!$O:$O,ROW()-8))</f>
      </c>
    </row>
    <row r="8683" spans="1:7">
      <c r="B8683">
        <f>IF(INDEX(Transactions!$J:$J,ROW()-8)="",TODAY(),INDEX(Transactions!$G:$G,ROW()-8))</f>
      </c>
      <c r="F8683">
        <f>IF(INDEX(Transactions!$J:$J,ROW()-8)="",0,INDEX(Transactions!$O:$O,ROW()-8))</f>
      </c>
    </row>
    <row r="8684" spans="1:7">
      <c r="B8684">
        <f>IF(INDEX(Transactions!$J:$J,ROW()-8)="",TODAY(),INDEX(Transactions!$G:$G,ROW()-8))</f>
      </c>
      <c r="F8684">
        <f>IF(INDEX(Transactions!$J:$J,ROW()-8)="",0,INDEX(Transactions!$O:$O,ROW()-8))</f>
      </c>
    </row>
    <row r="8685" spans="1:7">
      <c r="B8685">
        <f>IF(INDEX(Transactions!$J:$J,ROW()-8)="",TODAY(),INDEX(Transactions!$G:$G,ROW()-8))</f>
      </c>
      <c r="F8685">
        <f>IF(INDEX(Transactions!$J:$J,ROW()-8)="",0,INDEX(Transactions!$O:$O,ROW()-8))</f>
      </c>
    </row>
    <row r="8686" spans="1:7">
      <c r="B8686">
        <f>IF(INDEX(Transactions!$J:$J,ROW()-8)="",TODAY(),INDEX(Transactions!$G:$G,ROW()-8))</f>
      </c>
      <c r="F8686">
        <f>IF(INDEX(Transactions!$J:$J,ROW()-8)="",0,INDEX(Transactions!$O:$O,ROW()-8))</f>
      </c>
    </row>
    <row r="8687" spans="1:7">
      <c r="B8687">
        <f>IF(INDEX(Transactions!$J:$J,ROW()-8)="",TODAY(),INDEX(Transactions!$G:$G,ROW()-8))</f>
      </c>
      <c r="F8687">
        <f>IF(INDEX(Transactions!$J:$J,ROW()-8)="",0,INDEX(Transactions!$O:$O,ROW()-8))</f>
      </c>
    </row>
    <row r="8688" spans="1:7">
      <c r="B8688">
        <f>IF(INDEX(Transactions!$J:$J,ROW()-8)="",TODAY(),INDEX(Transactions!$G:$G,ROW()-8))</f>
      </c>
      <c r="F8688">
        <f>IF(INDEX(Transactions!$J:$J,ROW()-8)="",0,INDEX(Transactions!$O:$O,ROW()-8))</f>
      </c>
    </row>
    <row r="8689" spans="1:7">
      <c r="B8689">
        <f>IF(INDEX(Transactions!$J:$J,ROW()-8)="",TODAY(),INDEX(Transactions!$G:$G,ROW()-8))</f>
      </c>
      <c r="F8689">
        <f>IF(INDEX(Transactions!$J:$J,ROW()-8)="",0,INDEX(Transactions!$O:$O,ROW()-8))</f>
      </c>
    </row>
    <row r="8690" spans="1:7">
      <c r="B8690">
        <f>IF(INDEX(Transactions!$J:$J,ROW()-8)="",TODAY(),INDEX(Transactions!$G:$G,ROW()-8))</f>
      </c>
      <c r="F8690">
        <f>IF(INDEX(Transactions!$J:$J,ROW()-8)="",0,INDEX(Transactions!$O:$O,ROW()-8))</f>
      </c>
    </row>
    <row r="8691" spans="1:7">
      <c r="B8691">
        <f>IF(INDEX(Transactions!$J:$J,ROW()-8)="",TODAY(),INDEX(Transactions!$G:$G,ROW()-8))</f>
      </c>
      <c r="F8691">
        <f>IF(INDEX(Transactions!$J:$J,ROW()-8)="",0,INDEX(Transactions!$O:$O,ROW()-8))</f>
      </c>
    </row>
    <row r="8692" spans="1:7">
      <c r="B8692">
        <f>IF(INDEX(Transactions!$J:$J,ROW()-8)="",TODAY(),INDEX(Transactions!$G:$G,ROW()-8))</f>
      </c>
      <c r="F8692">
        <f>IF(INDEX(Transactions!$J:$J,ROW()-8)="",0,INDEX(Transactions!$O:$O,ROW()-8))</f>
      </c>
    </row>
    <row r="8693" spans="1:7">
      <c r="B8693">
        <f>IF(INDEX(Transactions!$J:$J,ROW()-8)="",TODAY(),INDEX(Transactions!$G:$G,ROW()-8))</f>
      </c>
      <c r="F8693">
        <f>IF(INDEX(Transactions!$J:$J,ROW()-8)="",0,INDEX(Transactions!$O:$O,ROW()-8))</f>
      </c>
    </row>
    <row r="8694" spans="1:7">
      <c r="B8694">
        <f>IF(INDEX(Transactions!$J:$J,ROW()-8)="",TODAY(),INDEX(Transactions!$G:$G,ROW()-8))</f>
      </c>
      <c r="F8694">
        <f>IF(INDEX(Transactions!$J:$J,ROW()-8)="",0,INDEX(Transactions!$O:$O,ROW()-8))</f>
      </c>
    </row>
    <row r="8695" spans="1:7">
      <c r="B8695">
        <f>IF(INDEX(Transactions!$J:$J,ROW()-8)="",TODAY(),INDEX(Transactions!$G:$G,ROW()-8))</f>
      </c>
      <c r="F8695">
        <f>IF(INDEX(Transactions!$J:$J,ROW()-8)="",0,INDEX(Transactions!$O:$O,ROW()-8))</f>
      </c>
    </row>
    <row r="8696" spans="1:7">
      <c r="B8696">
        <f>IF(INDEX(Transactions!$J:$J,ROW()-8)="",TODAY(),INDEX(Transactions!$G:$G,ROW()-8))</f>
      </c>
      <c r="F8696">
        <f>IF(INDEX(Transactions!$J:$J,ROW()-8)="",0,INDEX(Transactions!$O:$O,ROW()-8))</f>
      </c>
    </row>
    <row r="8697" spans="1:7">
      <c r="B8697">
        <f>IF(INDEX(Transactions!$J:$J,ROW()-8)="",TODAY(),INDEX(Transactions!$G:$G,ROW()-8))</f>
      </c>
      <c r="F8697">
        <f>IF(INDEX(Transactions!$J:$J,ROW()-8)="",0,INDEX(Transactions!$O:$O,ROW()-8))</f>
      </c>
    </row>
    <row r="8698" spans="1:7">
      <c r="B8698">
        <f>IF(INDEX(Transactions!$J:$J,ROW()-8)="",TODAY(),INDEX(Transactions!$G:$G,ROW()-8))</f>
      </c>
      <c r="F8698">
        <f>IF(INDEX(Transactions!$J:$J,ROW()-8)="",0,INDEX(Transactions!$O:$O,ROW()-8))</f>
      </c>
    </row>
    <row r="8699" spans="1:7">
      <c r="B8699">
        <f>IF(INDEX(Transactions!$J:$J,ROW()-8)="",TODAY(),INDEX(Transactions!$G:$G,ROW()-8))</f>
      </c>
      <c r="F8699">
        <f>IF(INDEX(Transactions!$J:$J,ROW()-8)="",0,INDEX(Transactions!$O:$O,ROW()-8))</f>
      </c>
    </row>
    <row r="8700" spans="1:7">
      <c r="B8700">
        <f>IF(INDEX(Transactions!$J:$J,ROW()-8)="",TODAY(),INDEX(Transactions!$G:$G,ROW()-8))</f>
      </c>
      <c r="F8700">
        <f>IF(INDEX(Transactions!$J:$J,ROW()-8)="",0,INDEX(Transactions!$O:$O,ROW()-8))</f>
      </c>
    </row>
    <row r="8701" spans="1:7">
      <c r="B8701">
        <f>IF(INDEX(Transactions!$J:$J,ROW()-8)="",TODAY(),INDEX(Transactions!$G:$G,ROW()-8))</f>
      </c>
      <c r="F8701">
        <f>IF(INDEX(Transactions!$J:$J,ROW()-8)="",0,INDEX(Transactions!$O:$O,ROW()-8))</f>
      </c>
    </row>
    <row r="8702" spans="1:7">
      <c r="B8702">
        <f>IF(INDEX(Transactions!$J:$J,ROW()-8)="",TODAY(),INDEX(Transactions!$G:$G,ROW()-8))</f>
      </c>
      <c r="F8702">
        <f>IF(INDEX(Transactions!$J:$J,ROW()-8)="",0,INDEX(Transactions!$O:$O,ROW()-8))</f>
      </c>
    </row>
    <row r="8703" spans="1:7">
      <c r="B8703">
        <f>IF(INDEX(Transactions!$J:$J,ROW()-8)="",TODAY(),INDEX(Transactions!$G:$G,ROW()-8))</f>
      </c>
      <c r="F8703">
        <f>IF(INDEX(Transactions!$J:$J,ROW()-8)="",0,INDEX(Transactions!$O:$O,ROW()-8))</f>
      </c>
    </row>
    <row r="8704" spans="1:7">
      <c r="B8704">
        <f>IF(INDEX(Transactions!$J:$J,ROW()-8)="",TODAY(),INDEX(Transactions!$G:$G,ROW()-8))</f>
      </c>
      <c r="F8704">
        <f>IF(INDEX(Transactions!$J:$J,ROW()-8)="",0,INDEX(Transactions!$O:$O,ROW()-8))</f>
      </c>
    </row>
    <row r="8705" spans="1:7">
      <c r="B8705">
        <f>IF(INDEX(Transactions!$J:$J,ROW()-8)="",TODAY(),INDEX(Transactions!$G:$G,ROW()-8))</f>
      </c>
      <c r="F8705">
        <f>IF(INDEX(Transactions!$J:$J,ROW()-8)="",0,INDEX(Transactions!$O:$O,ROW()-8))</f>
      </c>
    </row>
    <row r="8706" spans="1:7">
      <c r="B8706">
        <f>IF(INDEX(Transactions!$J:$J,ROW()-8)="",TODAY(),INDEX(Transactions!$G:$G,ROW()-8))</f>
      </c>
      <c r="F8706">
        <f>IF(INDEX(Transactions!$J:$J,ROW()-8)="",0,INDEX(Transactions!$O:$O,ROW()-8))</f>
      </c>
    </row>
    <row r="8707" spans="1:7">
      <c r="B8707">
        <f>IF(INDEX(Transactions!$J:$J,ROW()-8)="",TODAY(),INDEX(Transactions!$G:$G,ROW()-8))</f>
      </c>
      <c r="F8707">
        <f>IF(INDEX(Transactions!$J:$J,ROW()-8)="",0,INDEX(Transactions!$O:$O,ROW()-8))</f>
      </c>
    </row>
    <row r="8708" spans="1:7">
      <c r="B8708">
        <f>IF(INDEX(Transactions!$J:$J,ROW()-8)="",TODAY(),INDEX(Transactions!$G:$G,ROW()-8))</f>
      </c>
      <c r="F8708">
        <f>IF(INDEX(Transactions!$J:$J,ROW()-8)="",0,INDEX(Transactions!$O:$O,ROW()-8))</f>
      </c>
    </row>
    <row r="8709" spans="1:7">
      <c r="B8709">
        <f>IF(INDEX(Transactions!$J:$J,ROW()-8)="",TODAY(),INDEX(Transactions!$G:$G,ROW()-8))</f>
      </c>
      <c r="F8709">
        <f>IF(INDEX(Transactions!$J:$J,ROW()-8)="",0,INDEX(Transactions!$O:$O,ROW()-8))</f>
      </c>
    </row>
    <row r="8710" spans="1:7">
      <c r="B8710">
        <f>IF(INDEX(Transactions!$J:$J,ROW()-8)="",TODAY(),INDEX(Transactions!$G:$G,ROW()-8))</f>
      </c>
      <c r="F8710">
        <f>IF(INDEX(Transactions!$J:$J,ROW()-8)="",0,INDEX(Transactions!$O:$O,ROW()-8))</f>
      </c>
    </row>
    <row r="8711" spans="1:7">
      <c r="B8711">
        <f>IF(INDEX(Transactions!$J:$J,ROW()-8)="",TODAY(),INDEX(Transactions!$G:$G,ROW()-8))</f>
      </c>
      <c r="F8711">
        <f>IF(INDEX(Transactions!$J:$J,ROW()-8)="",0,INDEX(Transactions!$O:$O,ROW()-8))</f>
      </c>
    </row>
    <row r="8712" spans="1:7">
      <c r="B8712">
        <f>IF(INDEX(Transactions!$J:$J,ROW()-8)="",TODAY(),INDEX(Transactions!$G:$G,ROW()-8))</f>
      </c>
      <c r="F8712">
        <f>IF(INDEX(Transactions!$J:$J,ROW()-8)="",0,INDEX(Transactions!$O:$O,ROW()-8))</f>
      </c>
    </row>
    <row r="8713" spans="1:7">
      <c r="B8713">
        <f>IF(INDEX(Transactions!$J:$J,ROW()-8)="",TODAY(),INDEX(Transactions!$G:$G,ROW()-8))</f>
      </c>
      <c r="F8713">
        <f>IF(INDEX(Transactions!$J:$J,ROW()-8)="",0,INDEX(Transactions!$O:$O,ROW()-8))</f>
      </c>
    </row>
    <row r="8714" spans="1:7">
      <c r="B8714">
        <f>IF(INDEX(Transactions!$J:$J,ROW()-8)="",TODAY(),INDEX(Transactions!$G:$G,ROW()-8))</f>
      </c>
      <c r="F8714">
        <f>IF(INDEX(Transactions!$J:$J,ROW()-8)="",0,INDEX(Transactions!$O:$O,ROW()-8))</f>
      </c>
    </row>
    <row r="8715" spans="1:7">
      <c r="B8715">
        <f>IF(INDEX(Transactions!$J:$J,ROW()-8)="",TODAY(),INDEX(Transactions!$G:$G,ROW()-8))</f>
      </c>
      <c r="F8715">
        <f>IF(INDEX(Transactions!$J:$J,ROW()-8)="",0,INDEX(Transactions!$O:$O,ROW()-8))</f>
      </c>
    </row>
    <row r="8716" spans="1:7">
      <c r="B8716">
        <f>IF(INDEX(Transactions!$J:$J,ROW()-8)="",TODAY(),INDEX(Transactions!$G:$G,ROW()-8))</f>
      </c>
      <c r="F8716">
        <f>IF(INDEX(Transactions!$J:$J,ROW()-8)="",0,INDEX(Transactions!$O:$O,ROW()-8))</f>
      </c>
    </row>
    <row r="8717" spans="1:7">
      <c r="B8717">
        <f>IF(INDEX(Transactions!$J:$J,ROW()-8)="",TODAY(),INDEX(Transactions!$G:$G,ROW()-8))</f>
      </c>
      <c r="F8717">
        <f>IF(INDEX(Transactions!$J:$J,ROW()-8)="",0,INDEX(Transactions!$O:$O,ROW()-8))</f>
      </c>
    </row>
    <row r="8718" spans="1:7">
      <c r="B8718">
        <f>IF(INDEX(Transactions!$J:$J,ROW()-8)="",TODAY(),INDEX(Transactions!$G:$G,ROW()-8))</f>
      </c>
      <c r="F8718">
        <f>IF(INDEX(Transactions!$J:$J,ROW()-8)="",0,INDEX(Transactions!$O:$O,ROW()-8))</f>
      </c>
    </row>
    <row r="8719" spans="1:7">
      <c r="B8719">
        <f>IF(INDEX(Transactions!$J:$J,ROW()-8)="",TODAY(),INDEX(Transactions!$G:$G,ROW()-8))</f>
      </c>
      <c r="F8719">
        <f>IF(INDEX(Transactions!$J:$J,ROW()-8)="",0,INDEX(Transactions!$O:$O,ROW()-8))</f>
      </c>
    </row>
    <row r="8720" spans="1:7">
      <c r="B8720">
        <f>IF(INDEX(Transactions!$J:$J,ROW()-8)="",TODAY(),INDEX(Transactions!$G:$G,ROW()-8))</f>
      </c>
      <c r="F8720">
        <f>IF(INDEX(Transactions!$J:$J,ROW()-8)="",0,INDEX(Transactions!$O:$O,ROW()-8))</f>
      </c>
    </row>
    <row r="8721" spans="1:7">
      <c r="B8721">
        <f>IF(INDEX(Transactions!$J:$J,ROW()-8)="",TODAY(),INDEX(Transactions!$G:$G,ROW()-8))</f>
      </c>
      <c r="F8721">
        <f>IF(INDEX(Transactions!$J:$J,ROW()-8)="",0,INDEX(Transactions!$O:$O,ROW()-8))</f>
      </c>
    </row>
    <row r="8722" spans="1:7">
      <c r="B8722">
        <f>IF(INDEX(Transactions!$J:$J,ROW()-8)="",TODAY(),INDEX(Transactions!$G:$G,ROW()-8))</f>
      </c>
      <c r="F8722">
        <f>IF(INDEX(Transactions!$J:$J,ROW()-8)="",0,INDEX(Transactions!$O:$O,ROW()-8))</f>
      </c>
    </row>
    <row r="8723" spans="1:7">
      <c r="B8723">
        <f>IF(INDEX(Transactions!$J:$J,ROW()-8)="",TODAY(),INDEX(Transactions!$G:$G,ROW()-8))</f>
      </c>
      <c r="F8723">
        <f>IF(INDEX(Transactions!$J:$J,ROW()-8)="",0,INDEX(Transactions!$O:$O,ROW()-8))</f>
      </c>
    </row>
    <row r="8724" spans="1:7">
      <c r="B8724">
        <f>IF(INDEX(Transactions!$J:$J,ROW()-8)="",TODAY(),INDEX(Transactions!$G:$G,ROW()-8))</f>
      </c>
      <c r="F8724">
        <f>IF(INDEX(Transactions!$J:$J,ROW()-8)="",0,INDEX(Transactions!$O:$O,ROW()-8))</f>
      </c>
    </row>
    <row r="8725" spans="1:7">
      <c r="B8725">
        <f>IF(INDEX(Transactions!$J:$J,ROW()-8)="",TODAY(),INDEX(Transactions!$G:$G,ROW()-8))</f>
      </c>
      <c r="F8725">
        <f>IF(INDEX(Transactions!$J:$J,ROW()-8)="",0,INDEX(Transactions!$O:$O,ROW()-8))</f>
      </c>
    </row>
    <row r="8726" spans="1:7">
      <c r="B8726">
        <f>IF(INDEX(Transactions!$J:$J,ROW()-8)="",TODAY(),INDEX(Transactions!$G:$G,ROW()-8))</f>
      </c>
      <c r="F8726">
        <f>IF(INDEX(Transactions!$J:$J,ROW()-8)="",0,INDEX(Transactions!$O:$O,ROW()-8))</f>
      </c>
    </row>
    <row r="8727" spans="1:7">
      <c r="B8727">
        <f>IF(INDEX(Transactions!$J:$J,ROW()-8)="",TODAY(),INDEX(Transactions!$G:$G,ROW()-8))</f>
      </c>
      <c r="F8727">
        <f>IF(INDEX(Transactions!$J:$J,ROW()-8)="",0,INDEX(Transactions!$O:$O,ROW()-8))</f>
      </c>
    </row>
    <row r="8728" spans="1:7">
      <c r="B8728">
        <f>IF(INDEX(Transactions!$J:$J,ROW()-8)="",TODAY(),INDEX(Transactions!$G:$G,ROW()-8))</f>
      </c>
      <c r="F8728">
        <f>IF(INDEX(Transactions!$J:$J,ROW()-8)="",0,INDEX(Transactions!$O:$O,ROW()-8))</f>
      </c>
    </row>
    <row r="8729" spans="1:7">
      <c r="B8729">
        <f>IF(INDEX(Transactions!$J:$J,ROW()-8)="",TODAY(),INDEX(Transactions!$G:$G,ROW()-8))</f>
      </c>
      <c r="F8729">
        <f>IF(INDEX(Transactions!$J:$J,ROW()-8)="",0,INDEX(Transactions!$O:$O,ROW()-8))</f>
      </c>
    </row>
    <row r="8730" spans="1:7">
      <c r="B8730">
        <f>IF(INDEX(Transactions!$J:$J,ROW()-8)="",TODAY(),INDEX(Transactions!$G:$G,ROW()-8))</f>
      </c>
      <c r="F8730">
        <f>IF(INDEX(Transactions!$J:$J,ROW()-8)="",0,INDEX(Transactions!$O:$O,ROW()-8))</f>
      </c>
    </row>
    <row r="8731" spans="1:7">
      <c r="B8731">
        <f>IF(INDEX(Transactions!$J:$J,ROW()-8)="",TODAY(),INDEX(Transactions!$G:$G,ROW()-8))</f>
      </c>
      <c r="F8731">
        <f>IF(INDEX(Transactions!$J:$J,ROW()-8)="",0,INDEX(Transactions!$O:$O,ROW()-8))</f>
      </c>
    </row>
    <row r="8732" spans="1:7">
      <c r="B8732">
        <f>IF(INDEX(Transactions!$J:$J,ROW()-8)="",TODAY(),INDEX(Transactions!$G:$G,ROW()-8))</f>
      </c>
      <c r="F8732">
        <f>IF(INDEX(Transactions!$J:$J,ROW()-8)="",0,INDEX(Transactions!$O:$O,ROW()-8))</f>
      </c>
    </row>
    <row r="8733" spans="1:7">
      <c r="B8733">
        <f>IF(INDEX(Transactions!$J:$J,ROW()-8)="",TODAY(),INDEX(Transactions!$G:$G,ROW()-8))</f>
      </c>
      <c r="F8733">
        <f>IF(INDEX(Transactions!$J:$J,ROW()-8)="",0,INDEX(Transactions!$O:$O,ROW()-8))</f>
      </c>
    </row>
    <row r="8734" spans="1:7">
      <c r="B8734">
        <f>IF(INDEX(Transactions!$J:$J,ROW()-8)="",TODAY(),INDEX(Transactions!$G:$G,ROW()-8))</f>
      </c>
      <c r="F8734">
        <f>IF(INDEX(Transactions!$J:$J,ROW()-8)="",0,INDEX(Transactions!$O:$O,ROW()-8))</f>
      </c>
    </row>
    <row r="8735" spans="1:7">
      <c r="B8735">
        <f>IF(INDEX(Transactions!$J:$J,ROW()-8)="",TODAY(),INDEX(Transactions!$G:$G,ROW()-8))</f>
      </c>
      <c r="F8735">
        <f>IF(INDEX(Transactions!$J:$J,ROW()-8)="",0,INDEX(Transactions!$O:$O,ROW()-8))</f>
      </c>
    </row>
    <row r="8736" spans="1:7">
      <c r="B8736">
        <f>IF(INDEX(Transactions!$J:$J,ROW()-8)="",TODAY(),INDEX(Transactions!$G:$G,ROW()-8))</f>
      </c>
      <c r="F8736">
        <f>IF(INDEX(Transactions!$J:$J,ROW()-8)="",0,INDEX(Transactions!$O:$O,ROW()-8))</f>
      </c>
    </row>
    <row r="8737" spans="1:7">
      <c r="B8737">
        <f>IF(INDEX(Transactions!$J:$J,ROW()-8)="",TODAY(),INDEX(Transactions!$G:$G,ROW()-8))</f>
      </c>
      <c r="F8737">
        <f>IF(INDEX(Transactions!$J:$J,ROW()-8)="",0,INDEX(Transactions!$O:$O,ROW()-8))</f>
      </c>
    </row>
    <row r="8738" spans="1:7">
      <c r="B8738">
        <f>IF(INDEX(Transactions!$J:$J,ROW()-8)="",TODAY(),INDEX(Transactions!$G:$G,ROW()-8))</f>
      </c>
      <c r="F8738">
        <f>IF(INDEX(Transactions!$J:$J,ROW()-8)="",0,INDEX(Transactions!$O:$O,ROW()-8))</f>
      </c>
    </row>
    <row r="8739" spans="1:7">
      <c r="B8739">
        <f>IF(INDEX(Transactions!$J:$J,ROW()-8)="",TODAY(),INDEX(Transactions!$G:$G,ROW()-8))</f>
      </c>
      <c r="F8739">
        <f>IF(INDEX(Transactions!$J:$J,ROW()-8)="",0,INDEX(Transactions!$O:$O,ROW()-8))</f>
      </c>
    </row>
    <row r="8740" spans="1:7">
      <c r="B8740">
        <f>IF(INDEX(Transactions!$J:$J,ROW()-8)="",TODAY(),INDEX(Transactions!$G:$G,ROW()-8))</f>
      </c>
      <c r="F8740">
        <f>IF(INDEX(Transactions!$J:$J,ROW()-8)="",0,INDEX(Transactions!$O:$O,ROW()-8))</f>
      </c>
    </row>
    <row r="8741" spans="1:7">
      <c r="B8741">
        <f>IF(INDEX(Transactions!$J:$J,ROW()-8)="",TODAY(),INDEX(Transactions!$G:$G,ROW()-8))</f>
      </c>
      <c r="F8741">
        <f>IF(INDEX(Transactions!$J:$J,ROW()-8)="",0,INDEX(Transactions!$O:$O,ROW()-8))</f>
      </c>
    </row>
    <row r="8742" spans="1:7">
      <c r="B8742">
        <f>IF(INDEX(Transactions!$J:$J,ROW()-8)="",TODAY(),INDEX(Transactions!$G:$G,ROW()-8))</f>
      </c>
      <c r="F8742">
        <f>IF(INDEX(Transactions!$J:$J,ROW()-8)="",0,INDEX(Transactions!$O:$O,ROW()-8))</f>
      </c>
    </row>
    <row r="8743" spans="1:7">
      <c r="B8743">
        <f>IF(INDEX(Transactions!$J:$J,ROW()-8)="",TODAY(),INDEX(Transactions!$G:$G,ROW()-8))</f>
      </c>
      <c r="F8743">
        <f>IF(INDEX(Transactions!$J:$J,ROW()-8)="",0,INDEX(Transactions!$O:$O,ROW()-8))</f>
      </c>
    </row>
    <row r="8744" spans="1:7">
      <c r="B8744">
        <f>IF(INDEX(Transactions!$J:$J,ROW()-8)="",TODAY(),INDEX(Transactions!$G:$G,ROW()-8))</f>
      </c>
      <c r="F8744">
        <f>IF(INDEX(Transactions!$J:$J,ROW()-8)="",0,INDEX(Transactions!$O:$O,ROW()-8))</f>
      </c>
    </row>
    <row r="8745" spans="1:7">
      <c r="B8745">
        <f>IF(INDEX(Transactions!$J:$J,ROW()-8)="",TODAY(),INDEX(Transactions!$G:$G,ROW()-8))</f>
      </c>
      <c r="F8745">
        <f>IF(INDEX(Transactions!$J:$J,ROW()-8)="",0,INDEX(Transactions!$O:$O,ROW()-8))</f>
      </c>
    </row>
    <row r="8746" spans="1:7">
      <c r="B8746">
        <f>IF(INDEX(Transactions!$J:$J,ROW()-8)="",TODAY(),INDEX(Transactions!$G:$G,ROW()-8))</f>
      </c>
      <c r="F8746">
        <f>IF(INDEX(Transactions!$J:$J,ROW()-8)="",0,INDEX(Transactions!$O:$O,ROW()-8))</f>
      </c>
    </row>
    <row r="8747" spans="1:7">
      <c r="B8747">
        <f>IF(INDEX(Transactions!$J:$J,ROW()-8)="",TODAY(),INDEX(Transactions!$G:$G,ROW()-8))</f>
      </c>
      <c r="F8747">
        <f>IF(INDEX(Transactions!$J:$J,ROW()-8)="",0,INDEX(Transactions!$O:$O,ROW()-8))</f>
      </c>
    </row>
    <row r="8748" spans="1:7">
      <c r="B8748">
        <f>IF(INDEX(Transactions!$J:$J,ROW()-8)="",TODAY(),INDEX(Transactions!$G:$G,ROW()-8))</f>
      </c>
      <c r="F8748">
        <f>IF(INDEX(Transactions!$J:$J,ROW()-8)="",0,INDEX(Transactions!$O:$O,ROW()-8))</f>
      </c>
    </row>
    <row r="8749" spans="1:7">
      <c r="B8749">
        <f>IF(INDEX(Transactions!$J:$J,ROW()-8)="",TODAY(),INDEX(Transactions!$G:$G,ROW()-8))</f>
      </c>
      <c r="F8749">
        <f>IF(INDEX(Transactions!$J:$J,ROW()-8)="",0,INDEX(Transactions!$O:$O,ROW()-8))</f>
      </c>
    </row>
    <row r="8750" spans="1:7">
      <c r="B8750">
        <f>IF(INDEX(Transactions!$J:$J,ROW()-8)="",TODAY(),INDEX(Transactions!$G:$G,ROW()-8))</f>
      </c>
      <c r="F8750">
        <f>IF(INDEX(Transactions!$J:$J,ROW()-8)="",0,INDEX(Transactions!$O:$O,ROW()-8))</f>
      </c>
    </row>
    <row r="8751" spans="1:7">
      <c r="B8751">
        <f>IF(INDEX(Transactions!$J:$J,ROW()-8)="",TODAY(),INDEX(Transactions!$G:$G,ROW()-8))</f>
      </c>
      <c r="F8751">
        <f>IF(INDEX(Transactions!$J:$J,ROW()-8)="",0,INDEX(Transactions!$O:$O,ROW()-8))</f>
      </c>
    </row>
    <row r="8752" spans="1:7">
      <c r="B8752">
        <f>IF(INDEX(Transactions!$J:$J,ROW()-8)="",TODAY(),INDEX(Transactions!$G:$G,ROW()-8))</f>
      </c>
      <c r="F8752">
        <f>IF(INDEX(Transactions!$J:$J,ROW()-8)="",0,INDEX(Transactions!$O:$O,ROW()-8))</f>
      </c>
    </row>
    <row r="8753" spans="1:7">
      <c r="B8753">
        <f>IF(INDEX(Transactions!$J:$J,ROW()-8)="",TODAY(),INDEX(Transactions!$G:$G,ROW()-8))</f>
      </c>
      <c r="F8753">
        <f>IF(INDEX(Transactions!$J:$J,ROW()-8)="",0,INDEX(Transactions!$O:$O,ROW()-8))</f>
      </c>
    </row>
    <row r="8754" spans="1:7">
      <c r="B8754">
        <f>IF(INDEX(Transactions!$J:$J,ROW()-8)="",TODAY(),INDEX(Transactions!$G:$G,ROW()-8))</f>
      </c>
      <c r="F8754">
        <f>IF(INDEX(Transactions!$J:$J,ROW()-8)="",0,INDEX(Transactions!$O:$O,ROW()-8))</f>
      </c>
    </row>
    <row r="8755" spans="1:7">
      <c r="B8755">
        <f>IF(INDEX(Transactions!$J:$J,ROW()-8)="",TODAY(),INDEX(Transactions!$G:$G,ROW()-8))</f>
      </c>
      <c r="F8755">
        <f>IF(INDEX(Transactions!$J:$J,ROW()-8)="",0,INDEX(Transactions!$O:$O,ROW()-8))</f>
      </c>
    </row>
    <row r="8756" spans="1:7">
      <c r="B8756">
        <f>IF(INDEX(Transactions!$J:$J,ROW()-8)="",TODAY(),INDEX(Transactions!$G:$G,ROW()-8))</f>
      </c>
      <c r="F8756">
        <f>IF(INDEX(Transactions!$J:$J,ROW()-8)="",0,INDEX(Transactions!$O:$O,ROW()-8))</f>
      </c>
    </row>
    <row r="8757" spans="1:7">
      <c r="B8757">
        <f>IF(INDEX(Transactions!$J:$J,ROW()-8)="",TODAY(),INDEX(Transactions!$G:$G,ROW()-8))</f>
      </c>
      <c r="F8757">
        <f>IF(INDEX(Transactions!$J:$J,ROW()-8)="",0,INDEX(Transactions!$O:$O,ROW()-8))</f>
      </c>
    </row>
    <row r="8758" spans="1:7">
      <c r="B8758">
        <f>IF(INDEX(Transactions!$J:$J,ROW()-8)="",TODAY(),INDEX(Transactions!$G:$G,ROW()-8))</f>
      </c>
      <c r="F8758">
        <f>IF(INDEX(Transactions!$J:$J,ROW()-8)="",0,INDEX(Transactions!$O:$O,ROW()-8))</f>
      </c>
    </row>
    <row r="8759" spans="1:7">
      <c r="B8759">
        <f>IF(INDEX(Transactions!$J:$J,ROW()-8)="",TODAY(),INDEX(Transactions!$G:$G,ROW()-8))</f>
      </c>
      <c r="F8759">
        <f>IF(INDEX(Transactions!$J:$J,ROW()-8)="",0,INDEX(Transactions!$O:$O,ROW()-8))</f>
      </c>
    </row>
    <row r="8760" spans="1:7">
      <c r="B8760">
        <f>IF(INDEX(Transactions!$J:$J,ROW()-8)="",TODAY(),INDEX(Transactions!$G:$G,ROW()-8))</f>
      </c>
      <c r="F8760">
        <f>IF(INDEX(Transactions!$J:$J,ROW()-8)="",0,INDEX(Transactions!$O:$O,ROW()-8))</f>
      </c>
    </row>
    <row r="8761" spans="1:7">
      <c r="B8761">
        <f>IF(INDEX(Transactions!$J:$J,ROW()-8)="",TODAY(),INDEX(Transactions!$G:$G,ROW()-8))</f>
      </c>
      <c r="F8761">
        <f>IF(INDEX(Transactions!$J:$J,ROW()-8)="",0,INDEX(Transactions!$O:$O,ROW()-8))</f>
      </c>
    </row>
    <row r="8762" spans="1:7">
      <c r="B8762">
        <f>IF(INDEX(Transactions!$J:$J,ROW()-8)="",TODAY(),INDEX(Transactions!$G:$G,ROW()-8))</f>
      </c>
      <c r="F8762">
        <f>IF(INDEX(Transactions!$J:$J,ROW()-8)="",0,INDEX(Transactions!$O:$O,ROW()-8))</f>
      </c>
    </row>
    <row r="8763" spans="1:7">
      <c r="B8763">
        <f>IF(INDEX(Transactions!$J:$J,ROW()-8)="",TODAY(),INDEX(Transactions!$G:$G,ROW()-8))</f>
      </c>
      <c r="F8763">
        <f>IF(INDEX(Transactions!$J:$J,ROW()-8)="",0,INDEX(Transactions!$O:$O,ROW()-8))</f>
      </c>
    </row>
    <row r="8764" spans="1:7">
      <c r="B8764">
        <f>IF(INDEX(Transactions!$J:$J,ROW()-8)="",TODAY(),INDEX(Transactions!$G:$G,ROW()-8))</f>
      </c>
      <c r="F8764">
        <f>IF(INDEX(Transactions!$J:$J,ROW()-8)="",0,INDEX(Transactions!$O:$O,ROW()-8))</f>
      </c>
    </row>
    <row r="8765" spans="1:7">
      <c r="B8765">
        <f>IF(INDEX(Transactions!$J:$J,ROW()-8)="",TODAY(),INDEX(Transactions!$G:$G,ROW()-8))</f>
      </c>
      <c r="F8765">
        <f>IF(INDEX(Transactions!$J:$J,ROW()-8)="",0,INDEX(Transactions!$O:$O,ROW()-8))</f>
      </c>
    </row>
    <row r="8766" spans="1:7">
      <c r="B8766">
        <f>IF(INDEX(Transactions!$J:$J,ROW()-8)="",TODAY(),INDEX(Transactions!$G:$G,ROW()-8))</f>
      </c>
      <c r="F8766">
        <f>IF(INDEX(Transactions!$J:$J,ROW()-8)="",0,INDEX(Transactions!$O:$O,ROW()-8))</f>
      </c>
    </row>
    <row r="8767" spans="1:7">
      <c r="B8767">
        <f>IF(INDEX(Transactions!$J:$J,ROW()-8)="",TODAY(),INDEX(Transactions!$G:$G,ROW()-8))</f>
      </c>
      <c r="F8767">
        <f>IF(INDEX(Transactions!$J:$J,ROW()-8)="",0,INDEX(Transactions!$O:$O,ROW()-8))</f>
      </c>
    </row>
    <row r="8768" spans="1:7">
      <c r="B8768">
        <f>IF(INDEX(Transactions!$J:$J,ROW()-8)="",TODAY(),INDEX(Transactions!$G:$G,ROW()-8))</f>
      </c>
      <c r="F8768">
        <f>IF(INDEX(Transactions!$J:$J,ROW()-8)="",0,INDEX(Transactions!$O:$O,ROW()-8))</f>
      </c>
    </row>
    <row r="8769" spans="1:7">
      <c r="B8769">
        <f>IF(INDEX(Transactions!$J:$J,ROW()-8)="",TODAY(),INDEX(Transactions!$G:$G,ROW()-8))</f>
      </c>
      <c r="F8769">
        <f>IF(INDEX(Transactions!$J:$J,ROW()-8)="",0,INDEX(Transactions!$O:$O,ROW()-8))</f>
      </c>
    </row>
    <row r="8770" spans="1:7">
      <c r="B8770">
        <f>IF(INDEX(Transactions!$J:$J,ROW()-8)="",TODAY(),INDEX(Transactions!$G:$G,ROW()-8))</f>
      </c>
      <c r="F8770">
        <f>IF(INDEX(Transactions!$J:$J,ROW()-8)="",0,INDEX(Transactions!$O:$O,ROW()-8))</f>
      </c>
    </row>
    <row r="8771" spans="1:7">
      <c r="B8771">
        <f>IF(INDEX(Transactions!$J:$J,ROW()-8)="",TODAY(),INDEX(Transactions!$G:$G,ROW()-8))</f>
      </c>
      <c r="F8771">
        <f>IF(INDEX(Transactions!$J:$J,ROW()-8)="",0,INDEX(Transactions!$O:$O,ROW()-8))</f>
      </c>
    </row>
    <row r="8772" spans="1:7">
      <c r="B8772">
        <f>IF(INDEX(Transactions!$J:$J,ROW()-8)="",TODAY(),INDEX(Transactions!$G:$G,ROW()-8))</f>
      </c>
      <c r="F8772">
        <f>IF(INDEX(Transactions!$J:$J,ROW()-8)="",0,INDEX(Transactions!$O:$O,ROW()-8))</f>
      </c>
    </row>
    <row r="8773" spans="1:7">
      <c r="B8773">
        <f>IF(INDEX(Transactions!$J:$J,ROW()-8)="",TODAY(),INDEX(Transactions!$G:$G,ROW()-8))</f>
      </c>
      <c r="F8773">
        <f>IF(INDEX(Transactions!$J:$J,ROW()-8)="",0,INDEX(Transactions!$O:$O,ROW()-8))</f>
      </c>
    </row>
    <row r="8774" spans="1:7">
      <c r="B8774">
        <f>IF(INDEX(Transactions!$J:$J,ROW()-8)="",TODAY(),INDEX(Transactions!$G:$G,ROW()-8))</f>
      </c>
      <c r="F8774">
        <f>IF(INDEX(Transactions!$J:$J,ROW()-8)="",0,INDEX(Transactions!$O:$O,ROW()-8))</f>
      </c>
    </row>
    <row r="8775" spans="1:7">
      <c r="B8775">
        <f>IF(INDEX(Transactions!$J:$J,ROW()-8)="",TODAY(),INDEX(Transactions!$G:$G,ROW()-8))</f>
      </c>
      <c r="F8775">
        <f>IF(INDEX(Transactions!$J:$J,ROW()-8)="",0,INDEX(Transactions!$O:$O,ROW()-8))</f>
      </c>
    </row>
    <row r="8776" spans="1:7">
      <c r="B8776">
        <f>IF(INDEX(Transactions!$J:$J,ROW()-8)="",TODAY(),INDEX(Transactions!$G:$G,ROW()-8))</f>
      </c>
      <c r="F8776">
        <f>IF(INDEX(Transactions!$J:$J,ROW()-8)="",0,INDEX(Transactions!$O:$O,ROW()-8))</f>
      </c>
    </row>
    <row r="8777" spans="1:7">
      <c r="B8777">
        <f>IF(INDEX(Transactions!$J:$J,ROW()-8)="",TODAY(),INDEX(Transactions!$G:$G,ROW()-8))</f>
      </c>
      <c r="F8777">
        <f>IF(INDEX(Transactions!$J:$J,ROW()-8)="",0,INDEX(Transactions!$O:$O,ROW()-8))</f>
      </c>
    </row>
    <row r="8778" spans="1:7">
      <c r="B8778">
        <f>IF(INDEX(Transactions!$J:$J,ROW()-8)="",TODAY(),INDEX(Transactions!$G:$G,ROW()-8))</f>
      </c>
      <c r="F8778">
        <f>IF(INDEX(Transactions!$J:$J,ROW()-8)="",0,INDEX(Transactions!$O:$O,ROW()-8))</f>
      </c>
    </row>
    <row r="8779" spans="1:7">
      <c r="B8779">
        <f>IF(INDEX(Transactions!$J:$J,ROW()-8)="",TODAY(),INDEX(Transactions!$G:$G,ROW()-8))</f>
      </c>
      <c r="F8779">
        <f>IF(INDEX(Transactions!$J:$J,ROW()-8)="",0,INDEX(Transactions!$O:$O,ROW()-8))</f>
      </c>
    </row>
    <row r="8780" spans="1:7">
      <c r="B8780">
        <f>IF(INDEX(Transactions!$J:$J,ROW()-8)="",TODAY(),INDEX(Transactions!$G:$G,ROW()-8))</f>
      </c>
      <c r="F8780">
        <f>IF(INDEX(Transactions!$J:$J,ROW()-8)="",0,INDEX(Transactions!$O:$O,ROW()-8))</f>
      </c>
    </row>
    <row r="8781" spans="1:7">
      <c r="B8781">
        <f>IF(INDEX(Transactions!$J:$J,ROW()-8)="",TODAY(),INDEX(Transactions!$G:$G,ROW()-8))</f>
      </c>
      <c r="F8781">
        <f>IF(INDEX(Transactions!$J:$J,ROW()-8)="",0,INDEX(Transactions!$O:$O,ROW()-8))</f>
      </c>
    </row>
    <row r="8782" spans="1:7">
      <c r="B8782">
        <f>IF(INDEX(Transactions!$J:$J,ROW()-8)="",TODAY(),INDEX(Transactions!$G:$G,ROW()-8))</f>
      </c>
      <c r="F8782">
        <f>IF(INDEX(Transactions!$J:$J,ROW()-8)="",0,INDEX(Transactions!$O:$O,ROW()-8))</f>
      </c>
    </row>
    <row r="8783" spans="1:7">
      <c r="B8783">
        <f>IF(INDEX(Transactions!$J:$J,ROW()-8)="",TODAY(),INDEX(Transactions!$G:$G,ROW()-8))</f>
      </c>
      <c r="F8783">
        <f>IF(INDEX(Transactions!$J:$J,ROW()-8)="",0,INDEX(Transactions!$O:$O,ROW()-8))</f>
      </c>
    </row>
    <row r="8784" spans="1:7">
      <c r="B8784">
        <f>IF(INDEX(Transactions!$J:$J,ROW()-8)="",TODAY(),INDEX(Transactions!$G:$G,ROW()-8))</f>
      </c>
      <c r="F8784">
        <f>IF(INDEX(Transactions!$J:$J,ROW()-8)="",0,INDEX(Transactions!$O:$O,ROW()-8))</f>
      </c>
    </row>
    <row r="8785" spans="1:7">
      <c r="B8785">
        <f>IF(INDEX(Transactions!$J:$J,ROW()-8)="",TODAY(),INDEX(Transactions!$G:$G,ROW()-8))</f>
      </c>
      <c r="F8785">
        <f>IF(INDEX(Transactions!$J:$J,ROW()-8)="",0,INDEX(Transactions!$O:$O,ROW()-8))</f>
      </c>
    </row>
    <row r="8786" spans="1:7">
      <c r="B8786">
        <f>IF(INDEX(Transactions!$J:$J,ROW()-8)="",TODAY(),INDEX(Transactions!$G:$G,ROW()-8))</f>
      </c>
      <c r="F8786">
        <f>IF(INDEX(Transactions!$J:$J,ROW()-8)="",0,INDEX(Transactions!$O:$O,ROW()-8))</f>
      </c>
    </row>
    <row r="8787" spans="1:7">
      <c r="B8787">
        <f>IF(INDEX(Transactions!$J:$J,ROW()-8)="",TODAY(),INDEX(Transactions!$G:$G,ROW()-8))</f>
      </c>
      <c r="F8787">
        <f>IF(INDEX(Transactions!$J:$J,ROW()-8)="",0,INDEX(Transactions!$O:$O,ROW()-8))</f>
      </c>
    </row>
    <row r="8788" spans="1:7">
      <c r="B8788">
        <f>IF(INDEX(Transactions!$J:$J,ROW()-8)="",TODAY(),INDEX(Transactions!$G:$G,ROW()-8))</f>
      </c>
      <c r="F8788">
        <f>IF(INDEX(Transactions!$J:$J,ROW()-8)="",0,INDEX(Transactions!$O:$O,ROW()-8))</f>
      </c>
    </row>
    <row r="8789" spans="1:7">
      <c r="B8789">
        <f>IF(INDEX(Transactions!$J:$J,ROW()-8)="",TODAY(),INDEX(Transactions!$G:$G,ROW()-8))</f>
      </c>
      <c r="F8789">
        <f>IF(INDEX(Transactions!$J:$J,ROW()-8)="",0,INDEX(Transactions!$O:$O,ROW()-8))</f>
      </c>
    </row>
    <row r="8790" spans="1:7">
      <c r="B8790">
        <f>IF(INDEX(Transactions!$J:$J,ROW()-8)="",TODAY(),INDEX(Transactions!$G:$G,ROW()-8))</f>
      </c>
      <c r="F8790">
        <f>IF(INDEX(Transactions!$J:$J,ROW()-8)="",0,INDEX(Transactions!$O:$O,ROW()-8))</f>
      </c>
    </row>
    <row r="8791" spans="1:7">
      <c r="B8791">
        <f>IF(INDEX(Transactions!$J:$J,ROW()-8)="",TODAY(),INDEX(Transactions!$G:$G,ROW()-8))</f>
      </c>
      <c r="F8791">
        <f>IF(INDEX(Transactions!$J:$J,ROW()-8)="",0,INDEX(Transactions!$O:$O,ROW()-8))</f>
      </c>
    </row>
    <row r="8792" spans="1:7">
      <c r="B8792">
        <f>IF(INDEX(Transactions!$J:$J,ROW()-8)="",TODAY(),INDEX(Transactions!$G:$G,ROW()-8))</f>
      </c>
      <c r="F8792">
        <f>IF(INDEX(Transactions!$J:$J,ROW()-8)="",0,INDEX(Transactions!$O:$O,ROW()-8))</f>
      </c>
    </row>
    <row r="8793" spans="1:7">
      <c r="B8793">
        <f>IF(INDEX(Transactions!$J:$J,ROW()-8)="",TODAY(),INDEX(Transactions!$G:$G,ROW()-8))</f>
      </c>
      <c r="F8793">
        <f>IF(INDEX(Transactions!$J:$J,ROW()-8)="",0,INDEX(Transactions!$O:$O,ROW()-8))</f>
      </c>
    </row>
    <row r="8794" spans="1:7">
      <c r="B8794">
        <f>IF(INDEX(Transactions!$J:$J,ROW()-8)="",TODAY(),INDEX(Transactions!$G:$G,ROW()-8))</f>
      </c>
      <c r="F8794">
        <f>IF(INDEX(Transactions!$J:$J,ROW()-8)="",0,INDEX(Transactions!$O:$O,ROW()-8))</f>
      </c>
    </row>
    <row r="8795" spans="1:7">
      <c r="B8795">
        <f>IF(INDEX(Transactions!$J:$J,ROW()-8)="",TODAY(),INDEX(Transactions!$G:$G,ROW()-8))</f>
      </c>
      <c r="F8795">
        <f>IF(INDEX(Transactions!$J:$J,ROW()-8)="",0,INDEX(Transactions!$O:$O,ROW()-8))</f>
      </c>
    </row>
    <row r="8796" spans="1:7">
      <c r="B8796">
        <f>IF(INDEX(Transactions!$J:$J,ROW()-8)="",TODAY(),INDEX(Transactions!$G:$G,ROW()-8))</f>
      </c>
      <c r="F8796">
        <f>IF(INDEX(Transactions!$J:$J,ROW()-8)="",0,INDEX(Transactions!$O:$O,ROW()-8))</f>
      </c>
    </row>
    <row r="8797" spans="1:7">
      <c r="B8797">
        <f>IF(INDEX(Transactions!$J:$J,ROW()-8)="",TODAY(),INDEX(Transactions!$G:$G,ROW()-8))</f>
      </c>
      <c r="F8797">
        <f>IF(INDEX(Transactions!$J:$J,ROW()-8)="",0,INDEX(Transactions!$O:$O,ROW()-8))</f>
      </c>
    </row>
    <row r="8798" spans="1:7">
      <c r="B8798">
        <f>IF(INDEX(Transactions!$J:$J,ROW()-8)="",TODAY(),INDEX(Transactions!$G:$G,ROW()-8))</f>
      </c>
      <c r="F8798">
        <f>IF(INDEX(Transactions!$J:$J,ROW()-8)="",0,INDEX(Transactions!$O:$O,ROW()-8))</f>
      </c>
    </row>
    <row r="8799" spans="1:7">
      <c r="B8799">
        <f>IF(INDEX(Transactions!$J:$J,ROW()-8)="",TODAY(),INDEX(Transactions!$G:$G,ROW()-8))</f>
      </c>
      <c r="F8799">
        <f>IF(INDEX(Transactions!$J:$J,ROW()-8)="",0,INDEX(Transactions!$O:$O,ROW()-8))</f>
      </c>
    </row>
    <row r="8800" spans="1:7">
      <c r="B8800">
        <f>IF(INDEX(Transactions!$J:$J,ROW()-8)="",TODAY(),INDEX(Transactions!$G:$G,ROW()-8))</f>
      </c>
      <c r="F8800">
        <f>IF(INDEX(Transactions!$J:$J,ROW()-8)="",0,INDEX(Transactions!$O:$O,ROW()-8))</f>
      </c>
    </row>
    <row r="8801" spans="1:7">
      <c r="B8801">
        <f>IF(INDEX(Transactions!$J:$J,ROW()-8)="",TODAY(),INDEX(Transactions!$G:$G,ROW()-8))</f>
      </c>
      <c r="F8801">
        <f>IF(INDEX(Transactions!$J:$J,ROW()-8)="",0,INDEX(Transactions!$O:$O,ROW()-8))</f>
      </c>
    </row>
    <row r="8802" spans="1:7">
      <c r="B8802">
        <f>IF(INDEX(Transactions!$J:$J,ROW()-8)="",TODAY(),INDEX(Transactions!$G:$G,ROW()-8))</f>
      </c>
      <c r="F8802">
        <f>IF(INDEX(Transactions!$J:$J,ROW()-8)="",0,INDEX(Transactions!$O:$O,ROW()-8))</f>
      </c>
    </row>
    <row r="8803" spans="1:7">
      <c r="B8803">
        <f>IF(INDEX(Transactions!$J:$J,ROW()-8)="",TODAY(),INDEX(Transactions!$G:$G,ROW()-8))</f>
      </c>
      <c r="F8803">
        <f>IF(INDEX(Transactions!$J:$J,ROW()-8)="",0,INDEX(Transactions!$O:$O,ROW()-8))</f>
      </c>
    </row>
    <row r="8804" spans="1:7">
      <c r="B8804">
        <f>IF(INDEX(Transactions!$J:$J,ROW()-8)="",TODAY(),INDEX(Transactions!$G:$G,ROW()-8))</f>
      </c>
      <c r="F8804">
        <f>IF(INDEX(Transactions!$J:$J,ROW()-8)="",0,INDEX(Transactions!$O:$O,ROW()-8))</f>
      </c>
    </row>
    <row r="8805" spans="1:7">
      <c r="B8805">
        <f>IF(INDEX(Transactions!$J:$J,ROW()-8)="",TODAY(),INDEX(Transactions!$G:$G,ROW()-8))</f>
      </c>
      <c r="F8805">
        <f>IF(INDEX(Transactions!$J:$J,ROW()-8)="",0,INDEX(Transactions!$O:$O,ROW()-8))</f>
      </c>
    </row>
    <row r="8806" spans="1:7">
      <c r="B8806">
        <f>IF(INDEX(Transactions!$J:$J,ROW()-8)="",TODAY(),INDEX(Transactions!$G:$G,ROW()-8))</f>
      </c>
      <c r="F8806">
        <f>IF(INDEX(Transactions!$J:$J,ROW()-8)="",0,INDEX(Transactions!$O:$O,ROW()-8))</f>
      </c>
    </row>
    <row r="8807" spans="1:7">
      <c r="B8807">
        <f>IF(INDEX(Transactions!$J:$J,ROW()-8)="",TODAY(),INDEX(Transactions!$G:$G,ROW()-8))</f>
      </c>
      <c r="F8807">
        <f>IF(INDEX(Transactions!$J:$J,ROW()-8)="",0,INDEX(Transactions!$O:$O,ROW()-8))</f>
      </c>
    </row>
    <row r="8808" spans="1:7">
      <c r="B8808">
        <f>IF(INDEX(Transactions!$J:$J,ROW()-8)="",TODAY(),INDEX(Transactions!$G:$G,ROW()-8))</f>
      </c>
      <c r="F8808">
        <f>IF(INDEX(Transactions!$J:$J,ROW()-8)="",0,INDEX(Transactions!$O:$O,ROW()-8))</f>
      </c>
    </row>
    <row r="8809" spans="1:7">
      <c r="B8809">
        <f>IF(INDEX(Transactions!$J:$J,ROW()-8)="",TODAY(),INDEX(Transactions!$G:$G,ROW()-8))</f>
      </c>
      <c r="F8809">
        <f>IF(INDEX(Transactions!$J:$J,ROW()-8)="",0,INDEX(Transactions!$O:$O,ROW()-8))</f>
      </c>
    </row>
    <row r="8810" spans="1:7">
      <c r="B8810">
        <f>IF(INDEX(Transactions!$J:$J,ROW()-8)="",TODAY(),INDEX(Transactions!$G:$G,ROW()-8))</f>
      </c>
      <c r="F8810">
        <f>IF(INDEX(Transactions!$J:$J,ROW()-8)="",0,INDEX(Transactions!$O:$O,ROW()-8))</f>
      </c>
    </row>
    <row r="8811" spans="1:7">
      <c r="B8811">
        <f>IF(INDEX(Transactions!$J:$J,ROW()-8)="",TODAY(),INDEX(Transactions!$G:$G,ROW()-8))</f>
      </c>
      <c r="F8811">
        <f>IF(INDEX(Transactions!$J:$J,ROW()-8)="",0,INDEX(Transactions!$O:$O,ROW()-8))</f>
      </c>
    </row>
    <row r="8812" spans="1:7">
      <c r="B8812">
        <f>IF(INDEX(Transactions!$J:$J,ROW()-8)="",TODAY(),INDEX(Transactions!$G:$G,ROW()-8))</f>
      </c>
      <c r="F8812">
        <f>IF(INDEX(Transactions!$J:$J,ROW()-8)="",0,INDEX(Transactions!$O:$O,ROW()-8))</f>
      </c>
    </row>
    <row r="8813" spans="1:7">
      <c r="B8813">
        <f>IF(INDEX(Transactions!$J:$J,ROW()-8)="",TODAY(),INDEX(Transactions!$G:$G,ROW()-8))</f>
      </c>
      <c r="F8813">
        <f>IF(INDEX(Transactions!$J:$J,ROW()-8)="",0,INDEX(Transactions!$O:$O,ROW()-8))</f>
      </c>
    </row>
    <row r="8814" spans="1:7">
      <c r="B8814">
        <f>IF(INDEX(Transactions!$J:$J,ROW()-8)="",TODAY(),INDEX(Transactions!$G:$G,ROW()-8))</f>
      </c>
      <c r="F8814">
        <f>IF(INDEX(Transactions!$J:$J,ROW()-8)="",0,INDEX(Transactions!$O:$O,ROW()-8))</f>
      </c>
    </row>
    <row r="8815" spans="1:7">
      <c r="B8815">
        <f>IF(INDEX(Transactions!$J:$J,ROW()-8)="",TODAY(),INDEX(Transactions!$G:$G,ROW()-8))</f>
      </c>
      <c r="F8815">
        <f>IF(INDEX(Transactions!$J:$J,ROW()-8)="",0,INDEX(Transactions!$O:$O,ROW()-8))</f>
      </c>
    </row>
    <row r="8816" spans="1:7">
      <c r="B8816">
        <f>IF(INDEX(Transactions!$J:$J,ROW()-8)="",TODAY(),INDEX(Transactions!$G:$G,ROW()-8))</f>
      </c>
      <c r="F8816">
        <f>IF(INDEX(Transactions!$J:$J,ROW()-8)="",0,INDEX(Transactions!$O:$O,ROW()-8))</f>
      </c>
    </row>
    <row r="8817" spans="1:7">
      <c r="B8817">
        <f>IF(INDEX(Transactions!$J:$J,ROW()-8)="",TODAY(),INDEX(Transactions!$G:$G,ROW()-8))</f>
      </c>
      <c r="F8817">
        <f>IF(INDEX(Transactions!$J:$J,ROW()-8)="",0,INDEX(Transactions!$O:$O,ROW()-8))</f>
      </c>
    </row>
    <row r="8818" spans="1:7">
      <c r="B8818">
        <f>IF(INDEX(Transactions!$J:$J,ROW()-8)="",TODAY(),INDEX(Transactions!$G:$G,ROW()-8))</f>
      </c>
      <c r="F8818">
        <f>IF(INDEX(Transactions!$J:$J,ROW()-8)="",0,INDEX(Transactions!$O:$O,ROW()-8))</f>
      </c>
    </row>
    <row r="8819" spans="1:7">
      <c r="B8819">
        <f>IF(INDEX(Transactions!$J:$J,ROW()-8)="",TODAY(),INDEX(Transactions!$G:$G,ROW()-8))</f>
      </c>
      <c r="F8819">
        <f>IF(INDEX(Transactions!$J:$J,ROW()-8)="",0,INDEX(Transactions!$O:$O,ROW()-8))</f>
      </c>
    </row>
    <row r="8820" spans="1:7">
      <c r="B8820">
        <f>IF(INDEX(Transactions!$J:$J,ROW()-8)="",TODAY(),INDEX(Transactions!$G:$G,ROW()-8))</f>
      </c>
      <c r="F8820">
        <f>IF(INDEX(Transactions!$J:$J,ROW()-8)="",0,INDEX(Transactions!$O:$O,ROW()-8))</f>
      </c>
    </row>
    <row r="8821" spans="1:7">
      <c r="B8821">
        <f>IF(INDEX(Transactions!$J:$J,ROW()-8)="",TODAY(),INDEX(Transactions!$G:$G,ROW()-8))</f>
      </c>
      <c r="F8821">
        <f>IF(INDEX(Transactions!$J:$J,ROW()-8)="",0,INDEX(Transactions!$O:$O,ROW()-8))</f>
      </c>
    </row>
    <row r="8822" spans="1:7">
      <c r="B8822">
        <f>IF(INDEX(Transactions!$J:$J,ROW()-8)="",TODAY(),INDEX(Transactions!$G:$G,ROW()-8))</f>
      </c>
      <c r="F8822">
        <f>IF(INDEX(Transactions!$J:$J,ROW()-8)="",0,INDEX(Transactions!$O:$O,ROW()-8))</f>
      </c>
    </row>
    <row r="8823" spans="1:7">
      <c r="B8823">
        <f>IF(INDEX(Transactions!$J:$J,ROW()-8)="",TODAY(),INDEX(Transactions!$G:$G,ROW()-8))</f>
      </c>
      <c r="F8823">
        <f>IF(INDEX(Transactions!$J:$J,ROW()-8)="",0,INDEX(Transactions!$O:$O,ROW()-8))</f>
      </c>
    </row>
    <row r="8824" spans="1:7">
      <c r="B8824">
        <f>IF(INDEX(Transactions!$J:$J,ROW()-8)="",TODAY(),INDEX(Transactions!$G:$G,ROW()-8))</f>
      </c>
      <c r="F8824">
        <f>IF(INDEX(Transactions!$J:$J,ROW()-8)="",0,INDEX(Transactions!$O:$O,ROW()-8))</f>
      </c>
    </row>
    <row r="8825" spans="1:7">
      <c r="B8825">
        <f>IF(INDEX(Transactions!$J:$J,ROW()-8)="",TODAY(),INDEX(Transactions!$G:$G,ROW()-8))</f>
      </c>
      <c r="F8825">
        <f>IF(INDEX(Transactions!$J:$J,ROW()-8)="",0,INDEX(Transactions!$O:$O,ROW()-8))</f>
      </c>
    </row>
    <row r="8826" spans="1:7">
      <c r="B8826">
        <f>IF(INDEX(Transactions!$J:$J,ROW()-8)="",TODAY(),INDEX(Transactions!$G:$G,ROW()-8))</f>
      </c>
      <c r="F8826">
        <f>IF(INDEX(Transactions!$J:$J,ROW()-8)="",0,INDEX(Transactions!$O:$O,ROW()-8))</f>
      </c>
    </row>
    <row r="8827" spans="1:7">
      <c r="B8827">
        <f>IF(INDEX(Transactions!$J:$J,ROW()-8)="",TODAY(),INDEX(Transactions!$G:$G,ROW()-8))</f>
      </c>
      <c r="F8827">
        <f>IF(INDEX(Transactions!$J:$J,ROW()-8)="",0,INDEX(Transactions!$O:$O,ROW()-8))</f>
      </c>
    </row>
    <row r="8828" spans="1:7">
      <c r="B8828">
        <f>IF(INDEX(Transactions!$J:$J,ROW()-8)="",TODAY(),INDEX(Transactions!$G:$G,ROW()-8))</f>
      </c>
      <c r="F8828">
        <f>IF(INDEX(Transactions!$J:$J,ROW()-8)="",0,INDEX(Transactions!$O:$O,ROW()-8))</f>
      </c>
    </row>
    <row r="8829" spans="1:7">
      <c r="B8829">
        <f>IF(INDEX(Transactions!$J:$J,ROW()-8)="",TODAY(),INDEX(Transactions!$G:$G,ROW()-8))</f>
      </c>
      <c r="F8829">
        <f>IF(INDEX(Transactions!$J:$J,ROW()-8)="",0,INDEX(Transactions!$O:$O,ROW()-8))</f>
      </c>
    </row>
    <row r="8830" spans="1:7">
      <c r="B8830">
        <f>IF(INDEX(Transactions!$J:$J,ROW()-8)="",TODAY(),INDEX(Transactions!$G:$G,ROW()-8))</f>
      </c>
      <c r="F8830">
        <f>IF(INDEX(Transactions!$J:$J,ROW()-8)="",0,INDEX(Transactions!$O:$O,ROW()-8))</f>
      </c>
    </row>
    <row r="8831" spans="1:7">
      <c r="B8831">
        <f>IF(INDEX(Transactions!$J:$J,ROW()-8)="",TODAY(),INDEX(Transactions!$G:$G,ROW()-8))</f>
      </c>
      <c r="F8831">
        <f>IF(INDEX(Transactions!$J:$J,ROW()-8)="",0,INDEX(Transactions!$O:$O,ROW()-8))</f>
      </c>
    </row>
    <row r="8832" spans="1:7">
      <c r="B8832">
        <f>IF(INDEX(Transactions!$J:$J,ROW()-8)="",TODAY(),INDEX(Transactions!$G:$G,ROW()-8))</f>
      </c>
      <c r="F8832">
        <f>IF(INDEX(Transactions!$J:$J,ROW()-8)="",0,INDEX(Transactions!$O:$O,ROW()-8))</f>
      </c>
    </row>
    <row r="8833" spans="1:7">
      <c r="B8833">
        <f>IF(INDEX(Transactions!$J:$J,ROW()-8)="",TODAY(),INDEX(Transactions!$G:$G,ROW()-8))</f>
      </c>
      <c r="F8833">
        <f>IF(INDEX(Transactions!$J:$J,ROW()-8)="",0,INDEX(Transactions!$O:$O,ROW()-8))</f>
      </c>
    </row>
    <row r="8834" spans="1:7">
      <c r="B8834">
        <f>IF(INDEX(Transactions!$J:$J,ROW()-8)="",TODAY(),INDEX(Transactions!$G:$G,ROW()-8))</f>
      </c>
      <c r="F8834">
        <f>IF(INDEX(Transactions!$J:$J,ROW()-8)="",0,INDEX(Transactions!$O:$O,ROW()-8))</f>
      </c>
    </row>
    <row r="8835" spans="1:7">
      <c r="B8835">
        <f>IF(INDEX(Transactions!$J:$J,ROW()-8)="",TODAY(),INDEX(Transactions!$G:$G,ROW()-8))</f>
      </c>
      <c r="F8835">
        <f>IF(INDEX(Transactions!$J:$J,ROW()-8)="",0,INDEX(Transactions!$O:$O,ROW()-8))</f>
      </c>
    </row>
    <row r="8836" spans="1:7">
      <c r="B8836">
        <f>IF(INDEX(Transactions!$J:$J,ROW()-8)="",TODAY(),INDEX(Transactions!$G:$G,ROW()-8))</f>
      </c>
      <c r="F8836">
        <f>IF(INDEX(Transactions!$J:$J,ROW()-8)="",0,INDEX(Transactions!$O:$O,ROW()-8))</f>
      </c>
    </row>
    <row r="8837" spans="1:7">
      <c r="B8837">
        <f>IF(INDEX(Transactions!$J:$J,ROW()-8)="",TODAY(),INDEX(Transactions!$G:$G,ROW()-8))</f>
      </c>
      <c r="F8837">
        <f>IF(INDEX(Transactions!$J:$J,ROW()-8)="",0,INDEX(Transactions!$O:$O,ROW()-8))</f>
      </c>
    </row>
    <row r="8838" spans="1:7">
      <c r="B8838">
        <f>IF(INDEX(Transactions!$J:$J,ROW()-8)="",TODAY(),INDEX(Transactions!$G:$G,ROW()-8))</f>
      </c>
      <c r="F8838">
        <f>IF(INDEX(Transactions!$J:$J,ROW()-8)="",0,INDEX(Transactions!$O:$O,ROW()-8))</f>
      </c>
    </row>
    <row r="8839" spans="1:7">
      <c r="B8839">
        <f>IF(INDEX(Transactions!$J:$J,ROW()-8)="",TODAY(),INDEX(Transactions!$G:$G,ROW()-8))</f>
      </c>
      <c r="F8839">
        <f>IF(INDEX(Transactions!$J:$J,ROW()-8)="",0,INDEX(Transactions!$O:$O,ROW()-8))</f>
      </c>
    </row>
    <row r="8840" spans="1:7">
      <c r="B8840">
        <f>IF(INDEX(Transactions!$J:$J,ROW()-8)="",TODAY(),INDEX(Transactions!$G:$G,ROW()-8))</f>
      </c>
      <c r="F8840">
        <f>IF(INDEX(Transactions!$J:$J,ROW()-8)="",0,INDEX(Transactions!$O:$O,ROW()-8))</f>
      </c>
    </row>
    <row r="8841" spans="1:7">
      <c r="B8841">
        <f>IF(INDEX(Transactions!$J:$J,ROW()-8)="",TODAY(),INDEX(Transactions!$G:$G,ROW()-8))</f>
      </c>
      <c r="F8841">
        <f>IF(INDEX(Transactions!$J:$J,ROW()-8)="",0,INDEX(Transactions!$O:$O,ROW()-8))</f>
      </c>
    </row>
    <row r="8842" spans="1:7">
      <c r="B8842">
        <f>IF(INDEX(Transactions!$J:$J,ROW()-8)="",TODAY(),INDEX(Transactions!$G:$G,ROW()-8))</f>
      </c>
      <c r="F8842">
        <f>IF(INDEX(Transactions!$J:$J,ROW()-8)="",0,INDEX(Transactions!$O:$O,ROW()-8))</f>
      </c>
    </row>
    <row r="8843" spans="1:7">
      <c r="B8843">
        <f>IF(INDEX(Transactions!$J:$J,ROW()-8)="",TODAY(),INDEX(Transactions!$G:$G,ROW()-8))</f>
      </c>
      <c r="F8843">
        <f>IF(INDEX(Transactions!$J:$J,ROW()-8)="",0,INDEX(Transactions!$O:$O,ROW()-8))</f>
      </c>
    </row>
    <row r="8844" spans="1:7">
      <c r="B8844">
        <f>IF(INDEX(Transactions!$J:$J,ROW()-8)="",TODAY(),INDEX(Transactions!$G:$G,ROW()-8))</f>
      </c>
      <c r="F8844">
        <f>IF(INDEX(Transactions!$J:$J,ROW()-8)="",0,INDEX(Transactions!$O:$O,ROW()-8))</f>
      </c>
    </row>
    <row r="8845" spans="1:7">
      <c r="B8845">
        <f>IF(INDEX(Transactions!$J:$J,ROW()-8)="",TODAY(),INDEX(Transactions!$G:$G,ROW()-8))</f>
      </c>
      <c r="F8845">
        <f>IF(INDEX(Transactions!$J:$J,ROW()-8)="",0,INDEX(Transactions!$O:$O,ROW()-8))</f>
      </c>
    </row>
    <row r="8846" spans="1:7">
      <c r="B8846">
        <f>IF(INDEX(Transactions!$J:$J,ROW()-8)="",TODAY(),INDEX(Transactions!$G:$G,ROW()-8))</f>
      </c>
      <c r="F8846">
        <f>IF(INDEX(Transactions!$J:$J,ROW()-8)="",0,INDEX(Transactions!$O:$O,ROW()-8))</f>
      </c>
    </row>
    <row r="8847" spans="1:7">
      <c r="B8847">
        <f>IF(INDEX(Transactions!$J:$J,ROW()-8)="",TODAY(),INDEX(Transactions!$G:$G,ROW()-8))</f>
      </c>
      <c r="F8847">
        <f>IF(INDEX(Transactions!$J:$J,ROW()-8)="",0,INDEX(Transactions!$O:$O,ROW()-8))</f>
      </c>
    </row>
    <row r="8848" spans="1:7">
      <c r="B8848">
        <f>IF(INDEX(Transactions!$J:$J,ROW()-8)="",TODAY(),INDEX(Transactions!$G:$G,ROW()-8))</f>
      </c>
      <c r="F8848">
        <f>IF(INDEX(Transactions!$J:$J,ROW()-8)="",0,INDEX(Transactions!$O:$O,ROW()-8))</f>
      </c>
    </row>
    <row r="8849" spans="1:7">
      <c r="B8849">
        <f>IF(INDEX(Transactions!$J:$J,ROW()-8)="",TODAY(),INDEX(Transactions!$G:$G,ROW()-8))</f>
      </c>
      <c r="F8849">
        <f>IF(INDEX(Transactions!$J:$J,ROW()-8)="",0,INDEX(Transactions!$O:$O,ROW()-8))</f>
      </c>
    </row>
    <row r="8850" spans="1:7">
      <c r="B8850">
        <f>IF(INDEX(Transactions!$J:$J,ROW()-8)="",TODAY(),INDEX(Transactions!$G:$G,ROW()-8))</f>
      </c>
      <c r="F8850">
        <f>IF(INDEX(Transactions!$J:$J,ROW()-8)="",0,INDEX(Transactions!$O:$O,ROW()-8))</f>
      </c>
    </row>
    <row r="8851" spans="1:7">
      <c r="B8851">
        <f>IF(INDEX(Transactions!$J:$J,ROW()-8)="",TODAY(),INDEX(Transactions!$G:$G,ROW()-8))</f>
      </c>
      <c r="F8851">
        <f>IF(INDEX(Transactions!$J:$J,ROW()-8)="",0,INDEX(Transactions!$O:$O,ROW()-8))</f>
      </c>
    </row>
    <row r="8852" spans="1:7">
      <c r="B8852">
        <f>IF(INDEX(Transactions!$J:$J,ROW()-8)="",TODAY(),INDEX(Transactions!$G:$G,ROW()-8))</f>
      </c>
      <c r="F8852">
        <f>IF(INDEX(Transactions!$J:$J,ROW()-8)="",0,INDEX(Transactions!$O:$O,ROW()-8))</f>
      </c>
    </row>
    <row r="8853" spans="1:7">
      <c r="B8853">
        <f>IF(INDEX(Transactions!$J:$J,ROW()-8)="",TODAY(),INDEX(Transactions!$G:$G,ROW()-8))</f>
      </c>
      <c r="F8853">
        <f>IF(INDEX(Transactions!$J:$J,ROW()-8)="",0,INDEX(Transactions!$O:$O,ROW()-8))</f>
      </c>
    </row>
    <row r="8854" spans="1:7">
      <c r="B8854">
        <f>IF(INDEX(Transactions!$J:$J,ROW()-8)="",TODAY(),INDEX(Transactions!$G:$G,ROW()-8))</f>
      </c>
      <c r="F8854">
        <f>IF(INDEX(Transactions!$J:$J,ROW()-8)="",0,INDEX(Transactions!$O:$O,ROW()-8))</f>
      </c>
    </row>
    <row r="8855" spans="1:7">
      <c r="B8855">
        <f>IF(INDEX(Transactions!$J:$J,ROW()-8)="",TODAY(),INDEX(Transactions!$G:$G,ROW()-8))</f>
      </c>
      <c r="F8855">
        <f>IF(INDEX(Transactions!$J:$J,ROW()-8)="",0,INDEX(Transactions!$O:$O,ROW()-8))</f>
      </c>
    </row>
    <row r="8856" spans="1:7">
      <c r="B8856">
        <f>IF(INDEX(Transactions!$J:$J,ROW()-8)="",TODAY(),INDEX(Transactions!$G:$G,ROW()-8))</f>
      </c>
      <c r="F8856">
        <f>IF(INDEX(Transactions!$J:$J,ROW()-8)="",0,INDEX(Transactions!$O:$O,ROW()-8))</f>
      </c>
    </row>
    <row r="8857" spans="1:7">
      <c r="B8857">
        <f>IF(INDEX(Transactions!$J:$J,ROW()-8)="",TODAY(),INDEX(Transactions!$G:$G,ROW()-8))</f>
      </c>
      <c r="F8857">
        <f>IF(INDEX(Transactions!$J:$J,ROW()-8)="",0,INDEX(Transactions!$O:$O,ROW()-8))</f>
      </c>
    </row>
    <row r="8858" spans="1:7">
      <c r="B8858">
        <f>IF(INDEX(Transactions!$J:$J,ROW()-8)="",TODAY(),INDEX(Transactions!$G:$G,ROW()-8))</f>
      </c>
      <c r="F8858">
        <f>IF(INDEX(Transactions!$J:$J,ROW()-8)="",0,INDEX(Transactions!$O:$O,ROW()-8))</f>
      </c>
    </row>
    <row r="8859" spans="1:7">
      <c r="B8859">
        <f>IF(INDEX(Transactions!$J:$J,ROW()-8)="",TODAY(),INDEX(Transactions!$G:$G,ROW()-8))</f>
      </c>
      <c r="F8859">
        <f>IF(INDEX(Transactions!$J:$J,ROW()-8)="",0,INDEX(Transactions!$O:$O,ROW()-8))</f>
      </c>
    </row>
    <row r="8860" spans="1:7">
      <c r="B8860">
        <f>IF(INDEX(Transactions!$J:$J,ROW()-8)="",TODAY(),INDEX(Transactions!$G:$G,ROW()-8))</f>
      </c>
      <c r="F8860">
        <f>IF(INDEX(Transactions!$J:$J,ROW()-8)="",0,INDEX(Transactions!$O:$O,ROW()-8))</f>
      </c>
    </row>
    <row r="8861" spans="1:7">
      <c r="B8861">
        <f>IF(INDEX(Transactions!$J:$J,ROW()-8)="",TODAY(),INDEX(Transactions!$G:$G,ROW()-8))</f>
      </c>
      <c r="F8861">
        <f>IF(INDEX(Transactions!$J:$J,ROW()-8)="",0,INDEX(Transactions!$O:$O,ROW()-8))</f>
      </c>
    </row>
    <row r="8862" spans="1:7">
      <c r="B8862">
        <f>IF(INDEX(Transactions!$J:$J,ROW()-8)="",TODAY(),INDEX(Transactions!$G:$G,ROW()-8))</f>
      </c>
      <c r="F8862">
        <f>IF(INDEX(Transactions!$J:$J,ROW()-8)="",0,INDEX(Transactions!$O:$O,ROW()-8))</f>
      </c>
    </row>
    <row r="8863" spans="1:7">
      <c r="B8863">
        <f>IF(INDEX(Transactions!$J:$J,ROW()-8)="",TODAY(),INDEX(Transactions!$G:$G,ROW()-8))</f>
      </c>
      <c r="F8863">
        <f>IF(INDEX(Transactions!$J:$J,ROW()-8)="",0,INDEX(Transactions!$O:$O,ROW()-8))</f>
      </c>
    </row>
    <row r="8864" spans="1:7">
      <c r="B8864">
        <f>IF(INDEX(Transactions!$J:$J,ROW()-8)="",TODAY(),INDEX(Transactions!$G:$G,ROW()-8))</f>
      </c>
      <c r="F8864">
        <f>IF(INDEX(Transactions!$J:$J,ROW()-8)="",0,INDEX(Transactions!$O:$O,ROW()-8))</f>
      </c>
    </row>
    <row r="8865" spans="1:7">
      <c r="B8865">
        <f>IF(INDEX(Transactions!$J:$J,ROW()-8)="",TODAY(),INDEX(Transactions!$G:$G,ROW()-8))</f>
      </c>
      <c r="F8865">
        <f>IF(INDEX(Transactions!$J:$J,ROW()-8)="",0,INDEX(Transactions!$O:$O,ROW()-8))</f>
      </c>
    </row>
    <row r="8866" spans="1:7">
      <c r="B8866">
        <f>IF(INDEX(Transactions!$J:$J,ROW()-8)="",TODAY(),INDEX(Transactions!$G:$G,ROW()-8))</f>
      </c>
      <c r="F8866">
        <f>IF(INDEX(Transactions!$J:$J,ROW()-8)="",0,INDEX(Transactions!$O:$O,ROW()-8))</f>
      </c>
    </row>
    <row r="8867" spans="1:7">
      <c r="B8867">
        <f>IF(INDEX(Transactions!$J:$J,ROW()-8)="",TODAY(),INDEX(Transactions!$G:$G,ROW()-8))</f>
      </c>
      <c r="F8867">
        <f>IF(INDEX(Transactions!$J:$J,ROW()-8)="",0,INDEX(Transactions!$O:$O,ROW()-8))</f>
      </c>
    </row>
    <row r="8868" spans="1:7">
      <c r="B8868">
        <f>IF(INDEX(Transactions!$J:$J,ROW()-8)="",TODAY(),INDEX(Transactions!$G:$G,ROW()-8))</f>
      </c>
      <c r="F8868">
        <f>IF(INDEX(Transactions!$J:$J,ROW()-8)="",0,INDEX(Transactions!$O:$O,ROW()-8))</f>
      </c>
    </row>
    <row r="8869" spans="1:7">
      <c r="B8869">
        <f>IF(INDEX(Transactions!$J:$J,ROW()-8)="",TODAY(),INDEX(Transactions!$G:$G,ROW()-8))</f>
      </c>
      <c r="F8869">
        <f>IF(INDEX(Transactions!$J:$J,ROW()-8)="",0,INDEX(Transactions!$O:$O,ROW()-8))</f>
      </c>
    </row>
    <row r="8870" spans="1:7">
      <c r="B8870">
        <f>IF(INDEX(Transactions!$J:$J,ROW()-8)="",TODAY(),INDEX(Transactions!$G:$G,ROW()-8))</f>
      </c>
      <c r="F8870">
        <f>IF(INDEX(Transactions!$J:$J,ROW()-8)="",0,INDEX(Transactions!$O:$O,ROW()-8))</f>
      </c>
    </row>
    <row r="8871" spans="1:7">
      <c r="B8871">
        <f>IF(INDEX(Transactions!$J:$J,ROW()-8)="",TODAY(),INDEX(Transactions!$G:$G,ROW()-8))</f>
      </c>
      <c r="F8871">
        <f>IF(INDEX(Transactions!$J:$J,ROW()-8)="",0,INDEX(Transactions!$O:$O,ROW()-8))</f>
      </c>
    </row>
    <row r="8872" spans="1:7">
      <c r="B8872">
        <f>IF(INDEX(Transactions!$J:$J,ROW()-8)="",TODAY(),INDEX(Transactions!$G:$G,ROW()-8))</f>
      </c>
      <c r="F8872">
        <f>IF(INDEX(Transactions!$J:$J,ROW()-8)="",0,INDEX(Transactions!$O:$O,ROW()-8))</f>
      </c>
    </row>
    <row r="8873" spans="1:7">
      <c r="B8873">
        <f>IF(INDEX(Transactions!$J:$J,ROW()-8)="",TODAY(),INDEX(Transactions!$G:$G,ROW()-8))</f>
      </c>
      <c r="F8873">
        <f>IF(INDEX(Transactions!$J:$J,ROW()-8)="",0,INDEX(Transactions!$O:$O,ROW()-8))</f>
      </c>
    </row>
    <row r="8874" spans="1:7">
      <c r="B8874">
        <f>IF(INDEX(Transactions!$J:$J,ROW()-8)="",TODAY(),INDEX(Transactions!$G:$G,ROW()-8))</f>
      </c>
      <c r="F8874">
        <f>IF(INDEX(Transactions!$J:$J,ROW()-8)="",0,INDEX(Transactions!$O:$O,ROW()-8))</f>
      </c>
    </row>
    <row r="8875" spans="1:7">
      <c r="B8875">
        <f>IF(INDEX(Transactions!$J:$J,ROW()-8)="",TODAY(),INDEX(Transactions!$G:$G,ROW()-8))</f>
      </c>
      <c r="F8875">
        <f>IF(INDEX(Transactions!$J:$J,ROW()-8)="",0,INDEX(Transactions!$O:$O,ROW()-8))</f>
      </c>
    </row>
    <row r="8876" spans="1:7">
      <c r="B8876">
        <f>IF(INDEX(Transactions!$J:$J,ROW()-8)="",TODAY(),INDEX(Transactions!$G:$G,ROW()-8))</f>
      </c>
      <c r="F8876">
        <f>IF(INDEX(Transactions!$J:$J,ROW()-8)="",0,INDEX(Transactions!$O:$O,ROW()-8))</f>
      </c>
    </row>
    <row r="8877" spans="1:7">
      <c r="B8877">
        <f>IF(INDEX(Transactions!$J:$J,ROW()-8)="",TODAY(),INDEX(Transactions!$G:$G,ROW()-8))</f>
      </c>
      <c r="F8877">
        <f>IF(INDEX(Transactions!$J:$J,ROW()-8)="",0,INDEX(Transactions!$O:$O,ROW()-8))</f>
      </c>
    </row>
    <row r="8878" spans="1:7">
      <c r="B8878">
        <f>IF(INDEX(Transactions!$J:$J,ROW()-8)="",TODAY(),INDEX(Transactions!$G:$G,ROW()-8))</f>
      </c>
      <c r="F8878">
        <f>IF(INDEX(Transactions!$J:$J,ROW()-8)="",0,INDEX(Transactions!$O:$O,ROW()-8))</f>
      </c>
    </row>
    <row r="8879" spans="1:7">
      <c r="B8879">
        <f>IF(INDEX(Transactions!$J:$J,ROW()-8)="",TODAY(),INDEX(Transactions!$G:$G,ROW()-8))</f>
      </c>
      <c r="F8879">
        <f>IF(INDEX(Transactions!$J:$J,ROW()-8)="",0,INDEX(Transactions!$O:$O,ROW()-8))</f>
      </c>
    </row>
    <row r="8880" spans="1:7">
      <c r="B8880">
        <f>IF(INDEX(Transactions!$J:$J,ROW()-8)="",TODAY(),INDEX(Transactions!$G:$G,ROW()-8))</f>
      </c>
      <c r="F8880">
        <f>IF(INDEX(Transactions!$J:$J,ROW()-8)="",0,INDEX(Transactions!$O:$O,ROW()-8))</f>
      </c>
    </row>
    <row r="8881" spans="1:7">
      <c r="B8881">
        <f>IF(INDEX(Transactions!$J:$J,ROW()-8)="",TODAY(),INDEX(Transactions!$G:$G,ROW()-8))</f>
      </c>
      <c r="F8881">
        <f>IF(INDEX(Transactions!$J:$J,ROW()-8)="",0,INDEX(Transactions!$O:$O,ROW()-8))</f>
      </c>
    </row>
    <row r="8882" spans="1:7">
      <c r="B8882">
        <f>IF(INDEX(Transactions!$J:$J,ROW()-8)="",TODAY(),INDEX(Transactions!$G:$G,ROW()-8))</f>
      </c>
      <c r="F8882">
        <f>IF(INDEX(Transactions!$J:$J,ROW()-8)="",0,INDEX(Transactions!$O:$O,ROW()-8))</f>
      </c>
    </row>
    <row r="8883" spans="1:7">
      <c r="B8883">
        <f>IF(INDEX(Transactions!$J:$J,ROW()-8)="",TODAY(),INDEX(Transactions!$G:$G,ROW()-8))</f>
      </c>
      <c r="F8883">
        <f>IF(INDEX(Transactions!$J:$J,ROW()-8)="",0,INDEX(Transactions!$O:$O,ROW()-8))</f>
      </c>
    </row>
    <row r="8884" spans="1:7">
      <c r="B8884">
        <f>IF(INDEX(Transactions!$J:$J,ROW()-8)="",TODAY(),INDEX(Transactions!$G:$G,ROW()-8))</f>
      </c>
      <c r="F8884">
        <f>IF(INDEX(Transactions!$J:$J,ROW()-8)="",0,INDEX(Transactions!$O:$O,ROW()-8))</f>
      </c>
    </row>
    <row r="8885" spans="1:7">
      <c r="B8885">
        <f>IF(INDEX(Transactions!$J:$J,ROW()-8)="",TODAY(),INDEX(Transactions!$G:$G,ROW()-8))</f>
      </c>
      <c r="F8885">
        <f>IF(INDEX(Transactions!$J:$J,ROW()-8)="",0,INDEX(Transactions!$O:$O,ROW()-8))</f>
      </c>
    </row>
    <row r="8886" spans="1:7">
      <c r="B8886">
        <f>IF(INDEX(Transactions!$J:$J,ROW()-8)="",TODAY(),INDEX(Transactions!$G:$G,ROW()-8))</f>
      </c>
      <c r="F8886">
        <f>IF(INDEX(Transactions!$J:$J,ROW()-8)="",0,INDEX(Transactions!$O:$O,ROW()-8))</f>
      </c>
    </row>
    <row r="8887" spans="1:7">
      <c r="B8887">
        <f>IF(INDEX(Transactions!$J:$J,ROW()-8)="",TODAY(),INDEX(Transactions!$G:$G,ROW()-8))</f>
      </c>
      <c r="F8887">
        <f>IF(INDEX(Transactions!$J:$J,ROW()-8)="",0,INDEX(Transactions!$O:$O,ROW()-8))</f>
      </c>
    </row>
    <row r="8888" spans="1:7">
      <c r="B8888">
        <f>IF(INDEX(Transactions!$J:$J,ROW()-8)="",TODAY(),INDEX(Transactions!$G:$G,ROW()-8))</f>
      </c>
      <c r="F8888">
        <f>IF(INDEX(Transactions!$J:$J,ROW()-8)="",0,INDEX(Transactions!$O:$O,ROW()-8))</f>
      </c>
    </row>
    <row r="8889" spans="1:7">
      <c r="B8889">
        <f>IF(INDEX(Transactions!$J:$J,ROW()-8)="",TODAY(),INDEX(Transactions!$G:$G,ROW()-8))</f>
      </c>
      <c r="F8889">
        <f>IF(INDEX(Transactions!$J:$J,ROW()-8)="",0,INDEX(Transactions!$O:$O,ROW()-8))</f>
      </c>
    </row>
    <row r="8890" spans="1:7">
      <c r="B8890">
        <f>IF(INDEX(Transactions!$J:$J,ROW()-8)="",TODAY(),INDEX(Transactions!$G:$G,ROW()-8))</f>
      </c>
      <c r="F8890">
        <f>IF(INDEX(Transactions!$J:$J,ROW()-8)="",0,INDEX(Transactions!$O:$O,ROW()-8))</f>
      </c>
    </row>
    <row r="8891" spans="1:7">
      <c r="B8891">
        <f>IF(INDEX(Transactions!$J:$J,ROW()-8)="",TODAY(),INDEX(Transactions!$G:$G,ROW()-8))</f>
      </c>
      <c r="F8891">
        <f>IF(INDEX(Transactions!$J:$J,ROW()-8)="",0,INDEX(Transactions!$O:$O,ROW()-8))</f>
      </c>
    </row>
    <row r="8892" spans="1:7">
      <c r="B8892">
        <f>IF(INDEX(Transactions!$J:$J,ROW()-8)="",TODAY(),INDEX(Transactions!$G:$G,ROW()-8))</f>
      </c>
      <c r="F8892">
        <f>IF(INDEX(Transactions!$J:$J,ROW()-8)="",0,INDEX(Transactions!$O:$O,ROW()-8))</f>
      </c>
    </row>
    <row r="8893" spans="1:7">
      <c r="B8893">
        <f>IF(INDEX(Transactions!$J:$J,ROW()-8)="",TODAY(),INDEX(Transactions!$G:$G,ROW()-8))</f>
      </c>
      <c r="F8893">
        <f>IF(INDEX(Transactions!$J:$J,ROW()-8)="",0,INDEX(Transactions!$O:$O,ROW()-8))</f>
      </c>
    </row>
    <row r="8894" spans="1:7">
      <c r="B8894">
        <f>IF(INDEX(Transactions!$J:$J,ROW()-8)="",TODAY(),INDEX(Transactions!$G:$G,ROW()-8))</f>
      </c>
      <c r="F8894">
        <f>IF(INDEX(Transactions!$J:$J,ROW()-8)="",0,INDEX(Transactions!$O:$O,ROW()-8))</f>
      </c>
    </row>
    <row r="8895" spans="1:7">
      <c r="B8895">
        <f>IF(INDEX(Transactions!$J:$J,ROW()-8)="",TODAY(),INDEX(Transactions!$G:$G,ROW()-8))</f>
      </c>
      <c r="F8895">
        <f>IF(INDEX(Transactions!$J:$J,ROW()-8)="",0,INDEX(Transactions!$O:$O,ROW()-8))</f>
      </c>
    </row>
    <row r="8896" spans="1:7">
      <c r="B8896">
        <f>IF(INDEX(Transactions!$J:$J,ROW()-8)="",TODAY(),INDEX(Transactions!$G:$G,ROW()-8))</f>
      </c>
      <c r="F8896">
        <f>IF(INDEX(Transactions!$J:$J,ROW()-8)="",0,INDEX(Transactions!$O:$O,ROW()-8))</f>
      </c>
    </row>
    <row r="8897" spans="1:7">
      <c r="B8897">
        <f>IF(INDEX(Transactions!$J:$J,ROW()-8)="",TODAY(),INDEX(Transactions!$G:$G,ROW()-8))</f>
      </c>
      <c r="F8897">
        <f>IF(INDEX(Transactions!$J:$J,ROW()-8)="",0,INDEX(Transactions!$O:$O,ROW()-8))</f>
      </c>
    </row>
    <row r="8898" spans="1:7">
      <c r="B8898">
        <f>IF(INDEX(Transactions!$J:$J,ROW()-8)="",TODAY(),INDEX(Transactions!$G:$G,ROW()-8))</f>
      </c>
      <c r="F8898">
        <f>IF(INDEX(Transactions!$J:$J,ROW()-8)="",0,INDEX(Transactions!$O:$O,ROW()-8))</f>
      </c>
    </row>
    <row r="8899" spans="1:7">
      <c r="B8899">
        <f>IF(INDEX(Transactions!$J:$J,ROW()-8)="",TODAY(),INDEX(Transactions!$G:$G,ROW()-8))</f>
      </c>
      <c r="F8899">
        <f>IF(INDEX(Transactions!$J:$J,ROW()-8)="",0,INDEX(Transactions!$O:$O,ROW()-8))</f>
      </c>
    </row>
    <row r="8900" spans="1:7">
      <c r="B8900">
        <f>IF(INDEX(Transactions!$J:$J,ROW()-8)="",TODAY(),INDEX(Transactions!$G:$G,ROW()-8))</f>
      </c>
      <c r="F8900">
        <f>IF(INDEX(Transactions!$J:$J,ROW()-8)="",0,INDEX(Transactions!$O:$O,ROW()-8))</f>
      </c>
    </row>
    <row r="8901" spans="1:7">
      <c r="B8901">
        <f>IF(INDEX(Transactions!$J:$J,ROW()-8)="",TODAY(),INDEX(Transactions!$G:$G,ROW()-8))</f>
      </c>
      <c r="F8901">
        <f>IF(INDEX(Transactions!$J:$J,ROW()-8)="",0,INDEX(Transactions!$O:$O,ROW()-8))</f>
      </c>
    </row>
    <row r="8902" spans="1:7">
      <c r="B8902">
        <f>IF(INDEX(Transactions!$J:$J,ROW()-8)="",TODAY(),INDEX(Transactions!$G:$G,ROW()-8))</f>
      </c>
      <c r="F8902">
        <f>IF(INDEX(Transactions!$J:$J,ROW()-8)="",0,INDEX(Transactions!$O:$O,ROW()-8))</f>
      </c>
    </row>
    <row r="8903" spans="1:7">
      <c r="B8903">
        <f>IF(INDEX(Transactions!$J:$J,ROW()-8)="",TODAY(),INDEX(Transactions!$G:$G,ROW()-8))</f>
      </c>
      <c r="F8903">
        <f>IF(INDEX(Transactions!$J:$J,ROW()-8)="",0,INDEX(Transactions!$O:$O,ROW()-8))</f>
      </c>
    </row>
    <row r="8904" spans="1:7">
      <c r="B8904">
        <f>IF(INDEX(Transactions!$J:$J,ROW()-8)="",TODAY(),INDEX(Transactions!$G:$G,ROW()-8))</f>
      </c>
      <c r="F8904">
        <f>IF(INDEX(Transactions!$J:$J,ROW()-8)="",0,INDEX(Transactions!$O:$O,ROW()-8))</f>
      </c>
    </row>
    <row r="8905" spans="1:7">
      <c r="B8905">
        <f>IF(INDEX(Transactions!$J:$J,ROW()-8)="",TODAY(),INDEX(Transactions!$G:$G,ROW()-8))</f>
      </c>
      <c r="F8905">
        <f>IF(INDEX(Transactions!$J:$J,ROW()-8)="",0,INDEX(Transactions!$O:$O,ROW()-8))</f>
      </c>
    </row>
    <row r="8906" spans="1:7">
      <c r="B8906">
        <f>IF(INDEX(Transactions!$J:$J,ROW()-8)="",TODAY(),INDEX(Transactions!$G:$G,ROW()-8))</f>
      </c>
      <c r="F8906">
        <f>IF(INDEX(Transactions!$J:$J,ROW()-8)="",0,INDEX(Transactions!$O:$O,ROW()-8))</f>
      </c>
    </row>
    <row r="8907" spans="1:7">
      <c r="B8907">
        <f>IF(INDEX(Transactions!$J:$J,ROW()-8)="",TODAY(),INDEX(Transactions!$G:$G,ROW()-8))</f>
      </c>
      <c r="F8907">
        <f>IF(INDEX(Transactions!$J:$J,ROW()-8)="",0,INDEX(Transactions!$O:$O,ROW()-8))</f>
      </c>
    </row>
    <row r="8908" spans="1:7">
      <c r="B8908">
        <f>IF(INDEX(Transactions!$J:$J,ROW()-8)="",TODAY(),INDEX(Transactions!$G:$G,ROW()-8))</f>
      </c>
      <c r="F8908">
        <f>IF(INDEX(Transactions!$J:$J,ROW()-8)="",0,INDEX(Transactions!$O:$O,ROW()-8))</f>
      </c>
    </row>
    <row r="8909" spans="1:7">
      <c r="B8909">
        <f>IF(INDEX(Transactions!$J:$J,ROW()-8)="",TODAY(),INDEX(Transactions!$G:$G,ROW()-8))</f>
      </c>
      <c r="F8909">
        <f>IF(INDEX(Transactions!$J:$J,ROW()-8)="",0,INDEX(Transactions!$O:$O,ROW()-8))</f>
      </c>
    </row>
    <row r="8910" spans="1:7">
      <c r="B8910">
        <f>IF(INDEX(Transactions!$J:$J,ROW()-8)="",TODAY(),INDEX(Transactions!$G:$G,ROW()-8))</f>
      </c>
      <c r="F8910">
        <f>IF(INDEX(Transactions!$J:$J,ROW()-8)="",0,INDEX(Transactions!$O:$O,ROW()-8))</f>
      </c>
    </row>
    <row r="8911" spans="1:7">
      <c r="B8911">
        <f>IF(INDEX(Transactions!$J:$J,ROW()-8)="",TODAY(),INDEX(Transactions!$G:$G,ROW()-8))</f>
      </c>
      <c r="F8911">
        <f>IF(INDEX(Transactions!$J:$J,ROW()-8)="",0,INDEX(Transactions!$O:$O,ROW()-8))</f>
      </c>
    </row>
    <row r="8912" spans="1:7">
      <c r="B8912">
        <f>IF(INDEX(Transactions!$J:$J,ROW()-8)="",TODAY(),INDEX(Transactions!$G:$G,ROW()-8))</f>
      </c>
      <c r="F8912">
        <f>IF(INDEX(Transactions!$J:$J,ROW()-8)="",0,INDEX(Transactions!$O:$O,ROW()-8))</f>
      </c>
    </row>
    <row r="8913" spans="1:7">
      <c r="B8913">
        <f>IF(INDEX(Transactions!$J:$J,ROW()-8)="",TODAY(),INDEX(Transactions!$G:$G,ROW()-8))</f>
      </c>
      <c r="F8913">
        <f>IF(INDEX(Transactions!$J:$J,ROW()-8)="",0,INDEX(Transactions!$O:$O,ROW()-8))</f>
      </c>
    </row>
    <row r="8914" spans="1:7">
      <c r="B8914">
        <f>IF(INDEX(Transactions!$J:$J,ROW()-8)="",TODAY(),INDEX(Transactions!$G:$G,ROW()-8))</f>
      </c>
      <c r="F8914">
        <f>IF(INDEX(Transactions!$J:$J,ROW()-8)="",0,INDEX(Transactions!$O:$O,ROW()-8))</f>
      </c>
    </row>
    <row r="8915" spans="1:7">
      <c r="B8915">
        <f>IF(INDEX(Transactions!$J:$J,ROW()-8)="",TODAY(),INDEX(Transactions!$G:$G,ROW()-8))</f>
      </c>
      <c r="F8915">
        <f>IF(INDEX(Transactions!$J:$J,ROW()-8)="",0,INDEX(Transactions!$O:$O,ROW()-8))</f>
      </c>
    </row>
    <row r="8916" spans="1:7">
      <c r="B8916">
        <f>IF(INDEX(Transactions!$J:$J,ROW()-8)="",TODAY(),INDEX(Transactions!$G:$G,ROW()-8))</f>
      </c>
      <c r="F8916">
        <f>IF(INDEX(Transactions!$J:$J,ROW()-8)="",0,INDEX(Transactions!$O:$O,ROW()-8))</f>
      </c>
    </row>
    <row r="8917" spans="1:7">
      <c r="B8917">
        <f>IF(INDEX(Transactions!$J:$J,ROW()-8)="",TODAY(),INDEX(Transactions!$G:$G,ROW()-8))</f>
      </c>
      <c r="F8917">
        <f>IF(INDEX(Transactions!$J:$J,ROW()-8)="",0,INDEX(Transactions!$O:$O,ROW()-8))</f>
      </c>
    </row>
    <row r="8918" spans="1:7">
      <c r="B8918">
        <f>IF(INDEX(Transactions!$J:$J,ROW()-8)="",TODAY(),INDEX(Transactions!$G:$G,ROW()-8))</f>
      </c>
      <c r="F8918">
        <f>IF(INDEX(Transactions!$J:$J,ROW()-8)="",0,INDEX(Transactions!$O:$O,ROW()-8))</f>
      </c>
    </row>
    <row r="8919" spans="1:7">
      <c r="B8919">
        <f>IF(INDEX(Transactions!$J:$J,ROW()-8)="",TODAY(),INDEX(Transactions!$G:$G,ROW()-8))</f>
      </c>
      <c r="F8919">
        <f>IF(INDEX(Transactions!$J:$J,ROW()-8)="",0,INDEX(Transactions!$O:$O,ROW()-8))</f>
      </c>
    </row>
    <row r="8920" spans="1:7">
      <c r="B8920">
        <f>IF(INDEX(Transactions!$J:$J,ROW()-8)="",TODAY(),INDEX(Transactions!$G:$G,ROW()-8))</f>
      </c>
      <c r="F8920">
        <f>IF(INDEX(Transactions!$J:$J,ROW()-8)="",0,INDEX(Transactions!$O:$O,ROW()-8))</f>
      </c>
    </row>
    <row r="8921" spans="1:7">
      <c r="B8921">
        <f>IF(INDEX(Transactions!$J:$J,ROW()-8)="",TODAY(),INDEX(Transactions!$G:$G,ROW()-8))</f>
      </c>
      <c r="F8921">
        <f>IF(INDEX(Transactions!$J:$J,ROW()-8)="",0,INDEX(Transactions!$O:$O,ROW()-8))</f>
      </c>
    </row>
    <row r="8922" spans="1:7">
      <c r="B8922">
        <f>IF(INDEX(Transactions!$J:$J,ROW()-8)="",TODAY(),INDEX(Transactions!$G:$G,ROW()-8))</f>
      </c>
      <c r="F8922">
        <f>IF(INDEX(Transactions!$J:$J,ROW()-8)="",0,INDEX(Transactions!$O:$O,ROW()-8))</f>
      </c>
    </row>
    <row r="8923" spans="1:7">
      <c r="B8923">
        <f>IF(INDEX(Transactions!$J:$J,ROW()-8)="",TODAY(),INDEX(Transactions!$G:$G,ROW()-8))</f>
      </c>
      <c r="F8923">
        <f>IF(INDEX(Transactions!$J:$J,ROW()-8)="",0,INDEX(Transactions!$O:$O,ROW()-8))</f>
      </c>
    </row>
    <row r="8924" spans="1:7">
      <c r="B8924">
        <f>IF(INDEX(Transactions!$J:$J,ROW()-8)="",TODAY(),INDEX(Transactions!$G:$G,ROW()-8))</f>
      </c>
      <c r="F8924">
        <f>IF(INDEX(Transactions!$J:$J,ROW()-8)="",0,INDEX(Transactions!$O:$O,ROW()-8))</f>
      </c>
    </row>
    <row r="8925" spans="1:7">
      <c r="B8925">
        <f>IF(INDEX(Transactions!$J:$J,ROW()-8)="",TODAY(),INDEX(Transactions!$G:$G,ROW()-8))</f>
      </c>
      <c r="F8925">
        <f>IF(INDEX(Transactions!$J:$J,ROW()-8)="",0,INDEX(Transactions!$O:$O,ROW()-8))</f>
      </c>
    </row>
    <row r="8926" spans="1:7">
      <c r="B8926">
        <f>IF(INDEX(Transactions!$J:$J,ROW()-8)="",TODAY(),INDEX(Transactions!$G:$G,ROW()-8))</f>
      </c>
      <c r="F8926">
        <f>IF(INDEX(Transactions!$J:$J,ROW()-8)="",0,INDEX(Transactions!$O:$O,ROW()-8))</f>
      </c>
    </row>
    <row r="8927" spans="1:7">
      <c r="B8927">
        <f>IF(INDEX(Transactions!$J:$J,ROW()-8)="",TODAY(),INDEX(Transactions!$G:$G,ROW()-8))</f>
      </c>
      <c r="F8927">
        <f>IF(INDEX(Transactions!$J:$J,ROW()-8)="",0,INDEX(Transactions!$O:$O,ROW()-8))</f>
      </c>
    </row>
    <row r="8928" spans="1:7">
      <c r="B8928">
        <f>IF(INDEX(Transactions!$J:$J,ROW()-8)="",TODAY(),INDEX(Transactions!$G:$G,ROW()-8))</f>
      </c>
      <c r="F8928">
        <f>IF(INDEX(Transactions!$J:$J,ROW()-8)="",0,INDEX(Transactions!$O:$O,ROW()-8))</f>
      </c>
    </row>
    <row r="8929" spans="1:7">
      <c r="B8929">
        <f>IF(INDEX(Transactions!$J:$J,ROW()-8)="",TODAY(),INDEX(Transactions!$G:$G,ROW()-8))</f>
      </c>
      <c r="F8929">
        <f>IF(INDEX(Transactions!$J:$J,ROW()-8)="",0,INDEX(Transactions!$O:$O,ROW()-8))</f>
      </c>
    </row>
    <row r="8930" spans="1:7">
      <c r="B8930">
        <f>IF(INDEX(Transactions!$J:$J,ROW()-8)="",TODAY(),INDEX(Transactions!$G:$G,ROW()-8))</f>
      </c>
      <c r="F8930">
        <f>IF(INDEX(Transactions!$J:$J,ROW()-8)="",0,INDEX(Transactions!$O:$O,ROW()-8))</f>
      </c>
    </row>
    <row r="8931" spans="1:7">
      <c r="B8931">
        <f>IF(INDEX(Transactions!$J:$J,ROW()-8)="",TODAY(),INDEX(Transactions!$G:$G,ROW()-8))</f>
      </c>
      <c r="F8931">
        <f>IF(INDEX(Transactions!$J:$J,ROW()-8)="",0,INDEX(Transactions!$O:$O,ROW()-8))</f>
      </c>
    </row>
    <row r="8932" spans="1:7">
      <c r="B8932">
        <f>IF(INDEX(Transactions!$J:$J,ROW()-8)="",TODAY(),INDEX(Transactions!$G:$G,ROW()-8))</f>
      </c>
      <c r="F8932">
        <f>IF(INDEX(Transactions!$J:$J,ROW()-8)="",0,INDEX(Transactions!$O:$O,ROW()-8))</f>
      </c>
    </row>
    <row r="8933" spans="1:7">
      <c r="B8933">
        <f>IF(INDEX(Transactions!$J:$J,ROW()-8)="",TODAY(),INDEX(Transactions!$G:$G,ROW()-8))</f>
      </c>
      <c r="F8933">
        <f>IF(INDEX(Transactions!$J:$J,ROW()-8)="",0,INDEX(Transactions!$O:$O,ROW()-8))</f>
      </c>
    </row>
    <row r="8934" spans="1:7">
      <c r="B8934">
        <f>IF(INDEX(Transactions!$J:$J,ROW()-8)="",TODAY(),INDEX(Transactions!$G:$G,ROW()-8))</f>
      </c>
      <c r="F8934">
        <f>IF(INDEX(Transactions!$J:$J,ROW()-8)="",0,INDEX(Transactions!$O:$O,ROW()-8))</f>
      </c>
    </row>
    <row r="8935" spans="1:7">
      <c r="B8935">
        <f>IF(INDEX(Transactions!$J:$J,ROW()-8)="",TODAY(),INDEX(Transactions!$G:$G,ROW()-8))</f>
      </c>
      <c r="F8935">
        <f>IF(INDEX(Transactions!$J:$J,ROW()-8)="",0,INDEX(Transactions!$O:$O,ROW()-8))</f>
      </c>
    </row>
    <row r="8936" spans="1:7">
      <c r="B8936">
        <f>IF(INDEX(Transactions!$J:$J,ROW()-8)="",TODAY(),INDEX(Transactions!$G:$G,ROW()-8))</f>
      </c>
      <c r="F8936">
        <f>IF(INDEX(Transactions!$J:$J,ROW()-8)="",0,INDEX(Transactions!$O:$O,ROW()-8))</f>
      </c>
    </row>
    <row r="8937" spans="1:7">
      <c r="B8937">
        <f>IF(INDEX(Transactions!$J:$J,ROW()-8)="",TODAY(),INDEX(Transactions!$G:$G,ROW()-8))</f>
      </c>
      <c r="F8937">
        <f>IF(INDEX(Transactions!$J:$J,ROW()-8)="",0,INDEX(Transactions!$O:$O,ROW()-8))</f>
      </c>
    </row>
    <row r="8938" spans="1:7">
      <c r="B8938">
        <f>IF(INDEX(Transactions!$J:$J,ROW()-8)="",TODAY(),INDEX(Transactions!$G:$G,ROW()-8))</f>
      </c>
      <c r="F8938">
        <f>IF(INDEX(Transactions!$J:$J,ROW()-8)="",0,INDEX(Transactions!$O:$O,ROW()-8))</f>
      </c>
    </row>
    <row r="8939" spans="1:7">
      <c r="B8939">
        <f>IF(INDEX(Transactions!$J:$J,ROW()-8)="",TODAY(),INDEX(Transactions!$G:$G,ROW()-8))</f>
      </c>
      <c r="F8939">
        <f>IF(INDEX(Transactions!$J:$J,ROW()-8)="",0,INDEX(Transactions!$O:$O,ROW()-8))</f>
      </c>
    </row>
    <row r="8940" spans="1:7">
      <c r="B8940">
        <f>IF(INDEX(Transactions!$J:$J,ROW()-8)="",TODAY(),INDEX(Transactions!$G:$G,ROW()-8))</f>
      </c>
      <c r="F8940">
        <f>IF(INDEX(Transactions!$J:$J,ROW()-8)="",0,INDEX(Transactions!$O:$O,ROW()-8))</f>
      </c>
    </row>
    <row r="8941" spans="1:7">
      <c r="B8941">
        <f>IF(INDEX(Transactions!$J:$J,ROW()-8)="",TODAY(),INDEX(Transactions!$G:$G,ROW()-8))</f>
      </c>
      <c r="F8941">
        <f>IF(INDEX(Transactions!$J:$J,ROW()-8)="",0,INDEX(Transactions!$O:$O,ROW()-8))</f>
      </c>
    </row>
    <row r="8942" spans="1:7">
      <c r="B8942">
        <f>IF(INDEX(Transactions!$J:$J,ROW()-8)="",TODAY(),INDEX(Transactions!$G:$G,ROW()-8))</f>
      </c>
      <c r="F8942">
        <f>IF(INDEX(Transactions!$J:$J,ROW()-8)="",0,INDEX(Transactions!$O:$O,ROW()-8))</f>
      </c>
    </row>
    <row r="8943" spans="1:7">
      <c r="B8943">
        <f>IF(INDEX(Transactions!$J:$J,ROW()-8)="",TODAY(),INDEX(Transactions!$G:$G,ROW()-8))</f>
      </c>
      <c r="F8943">
        <f>IF(INDEX(Transactions!$J:$J,ROW()-8)="",0,INDEX(Transactions!$O:$O,ROW()-8))</f>
      </c>
    </row>
    <row r="8944" spans="1:7">
      <c r="B8944">
        <f>IF(INDEX(Transactions!$J:$J,ROW()-8)="",TODAY(),INDEX(Transactions!$G:$G,ROW()-8))</f>
      </c>
      <c r="F8944">
        <f>IF(INDEX(Transactions!$J:$J,ROW()-8)="",0,INDEX(Transactions!$O:$O,ROW()-8))</f>
      </c>
    </row>
    <row r="8945" spans="1:7">
      <c r="B8945">
        <f>IF(INDEX(Transactions!$J:$J,ROW()-8)="",TODAY(),INDEX(Transactions!$G:$G,ROW()-8))</f>
      </c>
      <c r="F8945">
        <f>IF(INDEX(Transactions!$J:$J,ROW()-8)="",0,INDEX(Transactions!$O:$O,ROW()-8))</f>
      </c>
    </row>
    <row r="8946" spans="1:7">
      <c r="B8946">
        <f>IF(INDEX(Transactions!$J:$J,ROW()-8)="",TODAY(),INDEX(Transactions!$G:$G,ROW()-8))</f>
      </c>
      <c r="F8946">
        <f>IF(INDEX(Transactions!$J:$J,ROW()-8)="",0,INDEX(Transactions!$O:$O,ROW()-8))</f>
      </c>
    </row>
    <row r="8947" spans="1:7">
      <c r="B8947">
        <f>IF(INDEX(Transactions!$J:$J,ROW()-8)="",TODAY(),INDEX(Transactions!$G:$G,ROW()-8))</f>
      </c>
      <c r="F8947">
        <f>IF(INDEX(Transactions!$J:$J,ROW()-8)="",0,INDEX(Transactions!$O:$O,ROW()-8))</f>
      </c>
    </row>
    <row r="8948" spans="1:7">
      <c r="B8948">
        <f>IF(INDEX(Transactions!$J:$J,ROW()-8)="",TODAY(),INDEX(Transactions!$G:$G,ROW()-8))</f>
      </c>
      <c r="F8948">
        <f>IF(INDEX(Transactions!$J:$J,ROW()-8)="",0,INDEX(Transactions!$O:$O,ROW()-8))</f>
      </c>
    </row>
    <row r="8949" spans="1:7">
      <c r="B8949">
        <f>IF(INDEX(Transactions!$J:$J,ROW()-8)="",TODAY(),INDEX(Transactions!$G:$G,ROW()-8))</f>
      </c>
      <c r="F8949">
        <f>IF(INDEX(Transactions!$J:$J,ROW()-8)="",0,INDEX(Transactions!$O:$O,ROW()-8))</f>
      </c>
    </row>
    <row r="8950" spans="1:7">
      <c r="B8950">
        <f>IF(INDEX(Transactions!$J:$J,ROW()-8)="",TODAY(),INDEX(Transactions!$G:$G,ROW()-8))</f>
      </c>
      <c r="F8950">
        <f>IF(INDEX(Transactions!$J:$J,ROW()-8)="",0,INDEX(Transactions!$O:$O,ROW()-8))</f>
      </c>
    </row>
    <row r="8951" spans="1:7">
      <c r="B8951">
        <f>IF(INDEX(Transactions!$J:$J,ROW()-8)="",TODAY(),INDEX(Transactions!$G:$G,ROW()-8))</f>
      </c>
      <c r="F8951">
        <f>IF(INDEX(Transactions!$J:$J,ROW()-8)="",0,INDEX(Transactions!$O:$O,ROW()-8))</f>
      </c>
    </row>
    <row r="8952" spans="1:7">
      <c r="B8952">
        <f>IF(INDEX(Transactions!$J:$J,ROW()-8)="",TODAY(),INDEX(Transactions!$G:$G,ROW()-8))</f>
      </c>
      <c r="F8952">
        <f>IF(INDEX(Transactions!$J:$J,ROW()-8)="",0,INDEX(Transactions!$O:$O,ROW()-8))</f>
      </c>
    </row>
    <row r="8953" spans="1:7">
      <c r="B8953">
        <f>IF(INDEX(Transactions!$J:$J,ROW()-8)="",TODAY(),INDEX(Transactions!$G:$G,ROW()-8))</f>
      </c>
      <c r="F8953">
        <f>IF(INDEX(Transactions!$J:$J,ROW()-8)="",0,INDEX(Transactions!$O:$O,ROW()-8))</f>
      </c>
    </row>
    <row r="8954" spans="1:7">
      <c r="B8954">
        <f>IF(INDEX(Transactions!$J:$J,ROW()-8)="",TODAY(),INDEX(Transactions!$G:$G,ROW()-8))</f>
      </c>
      <c r="F8954">
        <f>IF(INDEX(Transactions!$J:$J,ROW()-8)="",0,INDEX(Transactions!$O:$O,ROW()-8))</f>
      </c>
    </row>
    <row r="8955" spans="1:7">
      <c r="B8955">
        <f>IF(INDEX(Transactions!$J:$J,ROW()-8)="",TODAY(),INDEX(Transactions!$G:$G,ROW()-8))</f>
      </c>
      <c r="F8955">
        <f>IF(INDEX(Transactions!$J:$J,ROW()-8)="",0,INDEX(Transactions!$O:$O,ROW()-8))</f>
      </c>
    </row>
    <row r="8956" spans="1:7">
      <c r="B8956">
        <f>IF(INDEX(Transactions!$J:$J,ROW()-8)="",TODAY(),INDEX(Transactions!$G:$G,ROW()-8))</f>
      </c>
      <c r="F8956">
        <f>IF(INDEX(Transactions!$J:$J,ROW()-8)="",0,INDEX(Transactions!$O:$O,ROW()-8))</f>
      </c>
    </row>
    <row r="8957" spans="1:7">
      <c r="B8957">
        <f>IF(INDEX(Transactions!$J:$J,ROW()-8)="",TODAY(),INDEX(Transactions!$G:$G,ROW()-8))</f>
      </c>
      <c r="F8957">
        <f>IF(INDEX(Transactions!$J:$J,ROW()-8)="",0,INDEX(Transactions!$O:$O,ROW()-8))</f>
      </c>
    </row>
    <row r="8958" spans="1:7">
      <c r="B8958">
        <f>IF(INDEX(Transactions!$J:$J,ROW()-8)="",TODAY(),INDEX(Transactions!$G:$G,ROW()-8))</f>
      </c>
      <c r="F8958">
        <f>IF(INDEX(Transactions!$J:$J,ROW()-8)="",0,INDEX(Transactions!$O:$O,ROW()-8))</f>
      </c>
    </row>
    <row r="8959" spans="1:7">
      <c r="B8959">
        <f>IF(INDEX(Transactions!$J:$J,ROW()-8)="",TODAY(),INDEX(Transactions!$G:$G,ROW()-8))</f>
      </c>
      <c r="F8959">
        <f>IF(INDEX(Transactions!$J:$J,ROW()-8)="",0,INDEX(Transactions!$O:$O,ROW()-8))</f>
      </c>
    </row>
    <row r="8960" spans="1:7">
      <c r="B8960">
        <f>IF(INDEX(Transactions!$J:$J,ROW()-8)="",TODAY(),INDEX(Transactions!$G:$G,ROW()-8))</f>
      </c>
      <c r="F8960">
        <f>IF(INDEX(Transactions!$J:$J,ROW()-8)="",0,INDEX(Transactions!$O:$O,ROW()-8))</f>
      </c>
    </row>
    <row r="8961" spans="1:7">
      <c r="B8961">
        <f>IF(INDEX(Transactions!$J:$J,ROW()-8)="",TODAY(),INDEX(Transactions!$G:$G,ROW()-8))</f>
      </c>
      <c r="F8961">
        <f>IF(INDEX(Transactions!$J:$J,ROW()-8)="",0,INDEX(Transactions!$O:$O,ROW()-8))</f>
      </c>
    </row>
    <row r="8962" spans="1:7">
      <c r="B8962">
        <f>IF(INDEX(Transactions!$J:$J,ROW()-8)="",TODAY(),INDEX(Transactions!$G:$G,ROW()-8))</f>
      </c>
      <c r="F8962">
        <f>IF(INDEX(Transactions!$J:$J,ROW()-8)="",0,INDEX(Transactions!$O:$O,ROW()-8))</f>
      </c>
    </row>
    <row r="8963" spans="1:7">
      <c r="B8963">
        <f>IF(INDEX(Transactions!$J:$J,ROW()-8)="",TODAY(),INDEX(Transactions!$G:$G,ROW()-8))</f>
      </c>
      <c r="F8963">
        <f>IF(INDEX(Transactions!$J:$J,ROW()-8)="",0,INDEX(Transactions!$O:$O,ROW()-8))</f>
      </c>
    </row>
    <row r="8964" spans="1:7">
      <c r="B8964">
        <f>IF(INDEX(Transactions!$J:$J,ROW()-8)="",TODAY(),INDEX(Transactions!$G:$G,ROW()-8))</f>
      </c>
      <c r="F8964">
        <f>IF(INDEX(Transactions!$J:$J,ROW()-8)="",0,INDEX(Transactions!$O:$O,ROW()-8))</f>
      </c>
    </row>
    <row r="8965" spans="1:7">
      <c r="B8965">
        <f>IF(INDEX(Transactions!$J:$J,ROW()-8)="",TODAY(),INDEX(Transactions!$G:$G,ROW()-8))</f>
      </c>
      <c r="F8965">
        <f>IF(INDEX(Transactions!$J:$J,ROW()-8)="",0,INDEX(Transactions!$O:$O,ROW()-8))</f>
      </c>
    </row>
    <row r="8966" spans="1:7">
      <c r="B8966">
        <f>IF(INDEX(Transactions!$J:$J,ROW()-8)="",TODAY(),INDEX(Transactions!$G:$G,ROW()-8))</f>
      </c>
      <c r="F8966">
        <f>IF(INDEX(Transactions!$J:$J,ROW()-8)="",0,INDEX(Transactions!$O:$O,ROW()-8))</f>
      </c>
    </row>
    <row r="8967" spans="1:7">
      <c r="B8967">
        <f>IF(INDEX(Transactions!$J:$J,ROW()-8)="",TODAY(),INDEX(Transactions!$G:$G,ROW()-8))</f>
      </c>
      <c r="F8967">
        <f>IF(INDEX(Transactions!$J:$J,ROW()-8)="",0,INDEX(Transactions!$O:$O,ROW()-8))</f>
      </c>
    </row>
    <row r="8968" spans="1:7">
      <c r="B8968">
        <f>IF(INDEX(Transactions!$J:$J,ROW()-8)="",TODAY(),INDEX(Transactions!$G:$G,ROW()-8))</f>
      </c>
      <c r="F8968">
        <f>IF(INDEX(Transactions!$J:$J,ROW()-8)="",0,INDEX(Transactions!$O:$O,ROW()-8))</f>
      </c>
    </row>
    <row r="8969" spans="1:7">
      <c r="B8969">
        <f>IF(INDEX(Transactions!$J:$J,ROW()-8)="",TODAY(),INDEX(Transactions!$G:$G,ROW()-8))</f>
      </c>
      <c r="F8969">
        <f>IF(INDEX(Transactions!$J:$J,ROW()-8)="",0,INDEX(Transactions!$O:$O,ROW()-8))</f>
      </c>
    </row>
    <row r="8970" spans="1:7">
      <c r="B8970">
        <f>IF(INDEX(Transactions!$J:$J,ROW()-8)="",TODAY(),INDEX(Transactions!$G:$G,ROW()-8))</f>
      </c>
      <c r="F8970">
        <f>IF(INDEX(Transactions!$J:$J,ROW()-8)="",0,INDEX(Transactions!$O:$O,ROW()-8))</f>
      </c>
    </row>
    <row r="8971" spans="1:7">
      <c r="B8971">
        <f>IF(INDEX(Transactions!$J:$J,ROW()-8)="",TODAY(),INDEX(Transactions!$G:$G,ROW()-8))</f>
      </c>
      <c r="F8971">
        <f>IF(INDEX(Transactions!$J:$J,ROW()-8)="",0,INDEX(Transactions!$O:$O,ROW()-8))</f>
      </c>
    </row>
    <row r="8972" spans="1:7">
      <c r="B8972">
        <f>IF(INDEX(Transactions!$J:$J,ROW()-8)="",TODAY(),INDEX(Transactions!$G:$G,ROW()-8))</f>
      </c>
      <c r="F8972">
        <f>IF(INDEX(Transactions!$J:$J,ROW()-8)="",0,INDEX(Transactions!$O:$O,ROW()-8))</f>
      </c>
    </row>
    <row r="8973" spans="1:7">
      <c r="B8973">
        <f>IF(INDEX(Transactions!$J:$J,ROW()-8)="",TODAY(),INDEX(Transactions!$G:$G,ROW()-8))</f>
      </c>
      <c r="F8973">
        <f>IF(INDEX(Transactions!$J:$J,ROW()-8)="",0,INDEX(Transactions!$O:$O,ROW()-8))</f>
      </c>
    </row>
    <row r="8974" spans="1:7">
      <c r="B8974">
        <f>IF(INDEX(Transactions!$J:$J,ROW()-8)="",TODAY(),INDEX(Transactions!$G:$G,ROW()-8))</f>
      </c>
      <c r="F8974">
        <f>IF(INDEX(Transactions!$J:$J,ROW()-8)="",0,INDEX(Transactions!$O:$O,ROW()-8))</f>
      </c>
    </row>
    <row r="8975" spans="1:7">
      <c r="B8975">
        <f>IF(INDEX(Transactions!$J:$J,ROW()-8)="",TODAY(),INDEX(Transactions!$G:$G,ROW()-8))</f>
      </c>
      <c r="F8975">
        <f>IF(INDEX(Transactions!$J:$J,ROW()-8)="",0,INDEX(Transactions!$O:$O,ROW()-8))</f>
      </c>
    </row>
    <row r="8976" spans="1:7">
      <c r="B8976">
        <f>IF(INDEX(Transactions!$J:$J,ROW()-8)="",TODAY(),INDEX(Transactions!$G:$G,ROW()-8))</f>
      </c>
      <c r="F8976">
        <f>IF(INDEX(Transactions!$J:$J,ROW()-8)="",0,INDEX(Transactions!$O:$O,ROW()-8))</f>
      </c>
    </row>
    <row r="8977" spans="1:7">
      <c r="B8977">
        <f>IF(INDEX(Transactions!$J:$J,ROW()-8)="",TODAY(),INDEX(Transactions!$G:$G,ROW()-8))</f>
      </c>
      <c r="F8977">
        <f>IF(INDEX(Transactions!$J:$J,ROW()-8)="",0,INDEX(Transactions!$O:$O,ROW()-8))</f>
      </c>
    </row>
    <row r="8978" spans="1:7">
      <c r="B8978">
        <f>IF(INDEX(Transactions!$J:$J,ROW()-8)="",TODAY(),INDEX(Transactions!$G:$G,ROW()-8))</f>
      </c>
      <c r="F8978">
        <f>IF(INDEX(Transactions!$J:$J,ROW()-8)="",0,INDEX(Transactions!$O:$O,ROW()-8))</f>
      </c>
    </row>
    <row r="8979" spans="1:7">
      <c r="B8979">
        <f>IF(INDEX(Transactions!$J:$J,ROW()-8)="",TODAY(),INDEX(Transactions!$G:$G,ROW()-8))</f>
      </c>
      <c r="F8979">
        <f>IF(INDEX(Transactions!$J:$J,ROW()-8)="",0,INDEX(Transactions!$O:$O,ROW()-8))</f>
      </c>
    </row>
    <row r="8980" spans="1:7">
      <c r="B8980">
        <f>IF(INDEX(Transactions!$J:$J,ROW()-8)="",TODAY(),INDEX(Transactions!$G:$G,ROW()-8))</f>
      </c>
      <c r="F8980">
        <f>IF(INDEX(Transactions!$J:$J,ROW()-8)="",0,INDEX(Transactions!$O:$O,ROW()-8))</f>
      </c>
    </row>
    <row r="8981" spans="1:7">
      <c r="B8981">
        <f>IF(INDEX(Transactions!$J:$J,ROW()-8)="",TODAY(),INDEX(Transactions!$G:$G,ROW()-8))</f>
      </c>
      <c r="F8981">
        <f>IF(INDEX(Transactions!$J:$J,ROW()-8)="",0,INDEX(Transactions!$O:$O,ROW()-8))</f>
      </c>
    </row>
    <row r="8982" spans="1:7">
      <c r="B8982">
        <f>IF(INDEX(Transactions!$J:$J,ROW()-8)="",TODAY(),INDEX(Transactions!$G:$G,ROW()-8))</f>
      </c>
      <c r="F8982">
        <f>IF(INDEX(Transactions!$J:$J,ROW()-8)="",0,INDEX(Transactions!$O:$O,ROW()-8))</f>
      </c>
    </row>
    <row r="8983" spans="1:7">
      <c r="B8983">
        <f>IF(INDEX(Transactions!$J:$J,ROW()-8)="",TODAY(),INDEX(Transactions!$G:$G,ROW()-8))</f>
      </c>
      <c r="F8983">
        <f>IF(INDEX(Transactions!$J:$J,ROW()-8)="",0,INDEX(Transactions!$O:$O,ROW()-8))</f>
      </c>
    </row>
    <row r="8984" spans="1:7">
      <c r="B8984">
        <f>IF(INDEX(Transactions!$J:$J,ROW()-8)="",TODAY(),INDEX(Transactions!$G:$G,ROW()-8))</f>
      </c>
      <c r="F8984">
        <f>IF(INDEX(Transactions!$J:$J,ROW()-8)="",0,INDEX(Transactions!$O:$O,ROW()-8))</f>
      </c>
    </row>
    <row r="8985" spans="1:7">
      <c r="B8985">
        <f>IF(INDEX(Transactions!$J:$J,ROW()-8)="",TODAY(),INDEX(Transactions!$G:$G,ROW()-8))</f>
      </c>
      <c r="F8985">
        <f>IF(INDEX(Transactions!$J:$J,ROW()-8)="",0,INDEX(Transactions!$O:$O,ROW()-8))</f>
      </c>
    </row>
    <row r="8986" spans="1:7">
      <c r="B8986">
        <f>IF(INDEX(Transactions!$J:$J,ROW()-8)="",TODAY(),INDEX(Transactions!$G:$G,ROW()-8))</f>
      </c>
      <c r="F8986">
        <f>IF(INDEX(Transactions!$J:$J,ROW()-8)="",0,INDEX(Transactions!$O:$O,ROW()-8))</f>
      </c>
    </row>
    <row r="8987" spans="1:7">
      <c r="B8987">
        <f>IF(INDEX(Transactions!$J:$J,ROW()-8)="",TODAY(),INDEX(Transactions!$G:$G,ROW()-8))</f>
      </c>
      <c r="F8987">
        <f>IF(INDEX(Transactions!$J:$J,ROW()-8)="",0,INDEX(Transactions!$O:$O,ROW()-8))</f>
      </c>
    </row>
    <row r="8988" spans="1:7">
      <c r="B8988">
        <f>IF(INDEX(Transactions!$J:$J,ROW()-8)="",TODAY(),INDEX(Transactions!$G:$G,ROW()-8))</f>
      </c>
      <c r="F8988">
        <f>IF(INDEX(Transactions!$J:$J,ROW()-8)="",0,INDEX(Transactions!$O:$O,ROW()-8))</f>
      </c>
    </row>
    <row r="8989" spans="1:7">
      <c r="B8989">
        <f>IF(INDEX(Transactions!$J:$J,ROW()-8)="",TODAY(),INDEX(Transactions!$G:$G,ROW()-8))</f>
      </c>
      <c r="F8989">
        <f>IF(INDEX(Transactions!$J:$J,ROW()-8)="",0,INDEX(Transactions!$O:$O,ROW()-8))</f>
      </c>
    </row>
    <row r="8990" spans="1:7">
      <c r="B8990">
        <f>IF(INDEX(Transactions!$J:$J,ROW()-8)="",TODAY(),INDEX(Transactions!$G:$G,ROW()-8))</f>
      </c>
      <c r="F8990">
        <f>IF(INDEX(Transactions!$J:$J,ROW()-8)="",0,INDEX(Transactions!$O:$O,ROW()-8))</f>
      </c>
    </row>
    <row r="8991" spans="1:7">
      <c r="B8991">
        <f>IF(INDEX(Transactions!$J:$J,ROW()-8)="",TODAY(),INDEX(Transactions!$G:$G,ROW()-8))</f>
      </c>
      <c r="F8991">
        <f>IF(INDEX(Transactions!$J:$J,ROW()-8)="",0,INDEX(Transactions!$O:$O,ROW()-8))</f>
      </c>
    </row>
    <row r="8992" spans="1:7">
      <c r="B8992">
        <f>IF(INDEX(Transactions!$J:$J,ROW()-8)="",TODAY(),INDEX(Transactions!$G:$G,ROW()-8))</f>
      </c>
      <c r="F8992">
        <f>IF(INDEX(Transactions!$J:$J,ROW()-8)="",0,INDEX(Transactions!$O:$O,ROW()-8))</f>
      </c>
    </row>
    <row r="8993" spans="1:7">
      <c r="B8993">
        <f>IF(INDEX(Transactions!$J:$J,ROW()-8)="",TODAY(),INDEX(Transactions!$G:$G,ROW()-8))</f>
      </c>
      <c r="F8993">
        <f>IF(INDEX(Transactions!$J:$J,ROW()-8)="",0,INDEX(Transactions!$O:$O,ROW()-8))</f>
      </c>
    </row>
    <row r="8994" spans="1:7">
      <c r="B8994">
        <f>IF(INDEX(Transactions!$J:$J,ROW()-8)="",TODAY(),INDEX(Transactions!$G:$G,ROW()-8))</f>
      </c>
      <c r="F8994">
        <f>IF(INDEX(Transactions!$J:$J,ROW()-8)="",0,INDEX(Transactions!$O:$O,ROW()-8))</f>
      </c>
    </row>
    <row r="8995" spans="1:7">
      <c r="B8995">
        <f>IF(INDEX(Transactions!$J:$J,ROW()-8)="",TODAY(),INDEX(Transactions!$G:$G,ROW()-8))</f>
      </c>
      <c r="F8995">
        <f>IF(INDEX(Transactions!$J:$J,ROW()-8)="",0,INDEX(Transactions!$O:$O,ROW()-8))</f>
      </c>
    </row>
    <row r="8996" spans="1:7">
      <c r="B8996">
        <f>IF(INDEX(Transactions!$J:$J,ROW()-8)="",TODAY(),INDEX(Transactions!$G:$G,ROW()-8))</f>
      </c>
      <c r="F8996">
        <f>IF(INDEX(Transactions!$J:$J,ROW()-8)="",0,INDEX(Transactions!$O:$O,ROW()-8))</f>
      </c>
    </row>
    <row r="8997" spans="1:7">
      <c r="B8997">
        <f>IF(INDEX(Transactions!$J:$J,ROW()-8)="",TODAY(),INDEX(Transactions!$G:$G,ROW()-8))</f>
      </c>
      <c r="F8997">
        <f>IF(INDEX(Transactions!$J:$J,ROW()-8)="",0,INDEX(Transactions!$O:$O,ROW()-8))</f>
      </c>
    </row>
    <row r="8998" spans="1:7">
      <c r="B8998">
        <f>IF(INDEX(Transactions!$J:$J,ROW()-8)="",TODAY(),INDEX(Transactions!$G:$G,ROW()-8))</f>
      </c>
      <c r="F8998">
        <f>IF(INDEX(Transactions!$J:$J,ROW()-8)="",0,INDEX(Transactions!$O:$O,ROW()-8))</f>
      </c>
    </row>
    <row r="8999" spans="1:7">
      <c r="B8999">
        <f>IF(INDEX(Transactions!$J:$J,ROW()-8)="",TODAY(),INDEX(Transactions!$G:$G,ROW()-8))</f>
      </c>
      <c r="F8999">
        <f>IF(INDEX(Transactions!$J:$J,ROW()-8)="",0,INDEX(Transactions!$O:$O,ROW()-8))</f>
      </c>
    </row>
    <row r="9000" spans="1:7">
      <c r="B9000">
        <f>IF(INDEX(Transactions!$J:$J,ROW()-8)="",TODAY(),INDEX(Transactions!$G:$G,ROW()-8))</f>
      </c>
      <c r="F9000">
        <f>IF(INDEX(Transactions!$J:$J,ROW()-8)="",0,INDEX(Transactions!$O:$O,ROW()-8))</f>
      </c>
    </row>
    <row r="9001" spans="1:7">
      <c r="B9001">
        <f>IF(INDEX(Transactions!$J:$J,ROW()-8)="",TODAY(),INDEX(Transactions!$G:$G,ROW()-8))</f>
      </c>
      <c r="F9001">
        <f>IF(INDEX(Transactions!$J:$J,ROW()-8)="",0,INDEX(Transactions!$O:$O,ROW()-8))</f>
      </c>
    </row>
    <row r="9002" spans="1:7">
      <c r="B9002">
        <f>IF(INDEX(Transactions!$J:$J,ROW()-8)="",TODAY(),INDEX(Transactions!$G:$G,ROW()-8))</f>
      </c>
      <c r="F9002">
        <f>IF(INDEX(Transactions!$J:$J,ROW()-8)="",0,INDEX(Transactions!$O:$O,ROW()-8))</f>
      </c>
    </row>
    <row r="9003" spans="1:7">
      <c r="B9003">
        <f>IF(INDEX(Transactions!$J:$J,ROW()-8)="",TODAY(),INDEX(Transactions!$G:$G,ROW()-8))</f>
      </c>
      <c r="F9003">
        <f>IF(INDEX(Transactions!$J:$J,ROW()-8)="",0,INDEX(Transactions!$O:$O,ROW()-8))</f>
      </c>
    </row>
    <row r="9004" spans="1:7">
      <c r="B9004">
        <f>IF(INDEX(Transactions!$J:$J,ROW()-8)="",TODAY(),INDEX(Transactions!$G:$G,ROW()-8))</f>
      </c>
      <c r="F9004">
        <f>IF(INDEX(Transactions!$J:$J,ROW()-8)="",0,INDEX(Transactions!$O:$O,ROW()-8))</f>
      </c>
    </row>
    <row r="9005" spans="1:7">
      <c r="B9005">
        <f>IF(INDEX(Transactions!$J:$J,ROW()-8)="",TODAY(),INDEX(Transactions!$G:$G,ROW()-8))</f>
      </c>
      <c r="F9005">
        <f>IF(INDEX(Transactions!$J:$J,ROW()-8)="",0,INDEX(Transactions!$O:$O,ROW()-8))</f>
      </c>
    </row>
    <row r="9006" spans="1:7">
      <c r="B9006">
        <f>IF(INDEX(Transactions!$J:$J,ROW()-8)="",TODAY(),INDEX(Transactions!$G:$G,ROW()-8))</f>
      </c>
      <c r="F9006">
        <f>IF(INDEX(Transactions!$J:$J,ROW()-8)="",0,INDEX(Transactions!$O:$O,ROW()-8))</f>
      </c>
    </row>
    <row r="9007" spans="1:7">
      <c r="B9007">
        <f>IF(INDEX(Transactions!$J:$J,ROW()-8)="",TODAY(),INDEX(Transactions!$G:$G,ROW()-8))</f>
      </c>
      <c r="F9007">
        <f>IF(INDEX(Transactions!$J:$J,ROW()-8)="",0,INDEX(Transactions!$O:$O,ROW()-8))</f>
      </c>
    </row>
    <row r="9008" spans="1:7">
      <c r="B9008">
        <f>IF(INDEX(Transactions!$J:$J,ROW()-8)="",TODAY(),INDEX(Transactions!$G:$G,ROW()-8))</f>
      </c>
      <c r="F9008">
        <f>IF(INDEX(Transactions!$J:$J,ROW()-8)="",0,INDEX(Transactions!$O:$O,ROW()-8))</f>
      </c>
    </row>
    <row r="9009" spans="1:7">
      <c r="B9009">
        <f>IF(INDEX(Transactions!$J:$J,ROW()-8)="",TODAY(),INDEX(Transactions!$G:$G,ROW()-8))</f>
      </c>
      <c r="F9009">
        <f>IF(INDEX(Transactions!$J:$J,ROW()-8)="",0,INDEX(Transactions!$O:$O,ROW()-8))</f>
      </c>
    </row>
    <row r="9010" spans="1:7">
      <c r="B9010">
        <f>IF(INDEX(Transactions!$J:$J,ROW()-8)="",TODAY(),INDEX(Transactions!$G:$G,ROW()-8))</f>
      </c>
      <c r="F9010">
        <f>IF(INDEX(Transactions!$J:$J,ROW()-8)="",0,INDEX(Transactions!$O:$O,ROW()-8))</f>
      </c>
    </row>
    <row r="9011" spans="1:7">
      <c r="B9011">
        <f>IF(INDEX(Transactions!$J:$J,ROW()-8)="",TODAY(),INDEX(Transactions!$G:$G,ROW()-8))</f>
      </c>
      <c r="F9011">
        <f>IF(INDEX(Transactions!$J:$J,ROW()-8)="",0,INDEX(Transactions!$O:$O,ROW()-8))</f>
      </c>
    </row>
    <row r="9012" spans="1:7">
      <c r="B9012">
        <f>IF(INDEX(Transactions!$J:$J,ROW()-8)="",TODAY(),INDEX(Transactions!$G:$G,ROW()-8))</f>
      </c>
      <c r="F9012">
        <f>IF(INDEX(Transactions!$J:$J,ROW()-8)="",0,INDEX(Transactions!$O:$O,ROW()-8))</f>
      </c>
    </row>
    <row r="9013" spans="1:7">
      <c r="B9013">
        <f>IF(INDEX(Transactions!$J:$J,ROW()-8)="",TODAY(),INDEX(Transactions!$G:$G,ROW()-8))</f>
      </c>
      <c r="F9013">
        <f>IF(INDEX(Transactions!$J:$J,ROW()-8)="",0,INDEX(Transactions!$O:$O,ROW()-8))</f>
      </c>
    </row>
    <row r="9014" spans="1:7">
      <c r="B9014">
        <f>IF(INDEX(Transactions!$J:$J,ROW()-8)="",TODAY(),INDEX(Transactions!$G:$G,ROW()-8))</f>
      </c>
      <c r="F9014">
        <f>IF(INDEX(Transactions!$J:$J,ROW()-8)="",0,INDEX(Transactions!$O:$O,ROW()-8))</f>
      </c>
    </row>
    <row r="9015" spans="1:7">
      <c r="B9015">
        <f>IF(INDEX(Transactions!$J:$J,ROW()-8)="",TODAY(),INDEX(Transactions!$G:$G,ROW()-8))</f>
      </c>
      <c r="F9015">
        <f>IF(INDEX(Transactions!$J:$J,ROW()-8)="",0,INDEX(Transactions!$O:$O,ROW()-8))</f>
      </c>
    </row>
    <row r="9016" spans="1:7">
      <c r="B9016">
        <f>IF(INDEX(Transactions!$J:$J,ROW()-8)="",TODAY(),INDEX(Transactions!$G:$G,ROW()-8))</f>
      </c>
      <c r="F9016">
        <f>IF(INDEX(Transactions!$J:$J,ROW()-8)="",0,INDEX(Transactions!$O:$O,ROW()-8))</f>
      </c>
    </row>
    <row r="9017" spans="1:7">
      <c r="B9017">
        <f>IF(INDEX(Transactions!$J:$J,ROW()-8)="",TODAY(),INDEX(Transactions!$G:$G,ROW()-8))</f>
      </c>
      <c r="F9017">
        <f>IF(INDEX(Transactions!$J:$J,ROW()-8)="",0,INDEX(Transactions!$O:$O,ROW()-8))</f>
      </c>
    </row>
    <row r="9018" spans="1:7">
      <c r="B9018">
        <f>IF(INDEX(Transactions!$J:$J,ROW()-8)="",TODAY(),INDEX(Transactions!$G:$G,ROW()-8))</f>
      </c>
      <c r="F9018">
        <f>IF(INDEX(Transactions!$J:$J,ROW()-8)="",0,INDEX(Transactions!$O:$O,ROW()-8))</f>
      </c>
    </row>
    <row r="9019" spans="1:7">
      <c r="B9019">
        <f>IF(INDEX(Transactions!$J:$J,ROW()-8)="",TODAY(),INDEX(Transactions!$G:$G,ROW()-8))</f>
      </c>
      <c r="F9019">
        <f>IF(INDEX(Transactions!$J:$J,ROW()-8)="",0,INDEX(Transactions!$O:$O,ROW()-8))</f>
      </c>
    </row>
    <row r="9020" spans="1:7">
      <c r="B9020">
        <f>IF(INDEX(Transactions!$J:$J,ROW()-8)="",TODAY(),INDEX(Transactions!$G:$G,ROW()-8))</f>
      </c>
      <c r="F9020">
        <f>IF(INDEX(Transactions!$J:$J,ROW()-8)="",0,INDEX(Transactions!$O:$O,ROW()-8))</f>
      </c>
    </row>
    <row r="9021" spans="1:7">
      <c r="B9021">
        <f>IF(INDEX(Transactions!$J:$J,ROW()-8)="",TODAY(),INDEX(Transactions!$G:$G,ROW()-8))</f>
      </c>
      <c r="F9021">
        <f>IF(INDEX(Transactions!$J:$J,ROW()-8)="",0,INDEX(Transactions!$O:$O,ROW()-8))</f>
      </c>
    </row>
    <row r="9022" spans="1:7">
      <c r="B9022">
        <f>IF(INDEX(Transactions!$J:$J,ROW()-8)="",TODAY(),INDEX(Transactions!$G:$G,ROW()-8))</f>
      </c>
      <c r="F9022">
        <f>IF(INDEX(Transactions!$J:$J,ROW()-8)="",0,INDEX(Transactions!$O:$O,ROW()-8))</f>
      </c>
    </row>
    <row r="9023" spans="1:7">
      <c r="B9023">
        <f>IF(INDEX(Transactions!$J:$J,ROW()-8)="",TODAY(),INDEX(Transactions!$G:$G,ROW()-8))</f>
      </c>
      <c r="F9023">
        <f>IF(INDEX(Transactions!$J:$J,ROW()-8)="",0,INDEX(Transactions!$O:$O,ROW()-8))</f>
      </c>
    </row>
    <row r="9024" spans="1:7">
      <c r="B9024">
        <f>IF(INDEX(Transactions!$J:$J,ROW()-8)="",TODAY(),INDEX(Transactions!$G:$G,ROW()-8))</f>
      </c>
      <c r="F9024">
        <f>IF(INDEX(Transactions!$J:$J,ROW()-8)="",0,INDEX(Transactions!$O:$O,ROW()-8))</f>
      </c>
    </row>
    <row r="9025" spans="1:7">
      <c r="B9025">
        <f>IF(INDEX(Transactions!$J:$J,ROW()-8)="",TODAY(),INDEX(Transactions!$G:$G,ROW()-8))</f>
      </c>
      <c r="F9025">
        <f>IF(INDEX(Transactions!$J:$J,ROW()-8)="",0,INDEX(Transactions!$O:$O,ROW()-8))</f>
      </c>
    </row>
    <row r="9026" spans="1:7">
      <c r="B9026">
        <f>IF(INDEX(Transactions!$J:$J,ROW()-8)="",TODAY(),INDEX(Transactions!$G:$G,ROW()-8))</f>
      </c>
      <c r="F9026">
        <f>IF(INDEX(Transactions!$J:$J,ROW()-8)="",0,INDEX(Transactions!$O:$O,ROW()-8))</f>
      </c>
    </row>
    <row r="9027" spans="1:7">
      <c r="B9027">
        <f>IF(INDEX(Transactions!$J:$J,ROW()-8)="",TODAY(),INDEX(Transactions!$G:$G,ROW()-8))</f>
      </c>
      <c r="F9027">
        <f>IF(INDEX(Transactions!$J:$J,ROW()-8)="",0,INDEX(Transactions!$O:$O,ROW()-8))</f>
      </c>
    </row>
    <row r="9028" spans="1:7">
      <c r="B9028">
        <f>IF(INDEX(Transactions!$J:$J,ROW()-8)="",TODAY(),INDEX(Transactions!$G:$G,ROW()-8))</f>
      </c>
      <c r="F9028">
        <f>IF(INDEX(Transactions!$J:$J,ROW()-8)="",0,INDEX(Transactions!$O:$O,ROW()-8))</f>
      </c>
    </row>
    <row r="9029" spans="1:7">
      <c r="B9029">
        <f>IF(INDEX(Transactions!$J:$J,ROW()-8)="",TODAY(),INDEX(Transactions!$G:$G,ROW()-8))</f>
      </c>
      <c r="F9029">
        <f>IF(INDEX(Transactions!$J:$J,ROW()-8)="",0,INDEX(Transactions!$O:$O,ROW()-8))</f>
      </c>
    </row>
    <row r="9030" spans="1:7">
      <c r="B9030">
        <f>IF(INDEX(Transactions!$J:$J,ROW()-8)="",TODAY(),INDEX(Transactions!$G:$G,ROW()-8))</f>
      </c>
      <c r="F9030">
        <f>IF(INDEX(Transactions!$J:$J,ROW()-8)="",0,INDEX(Transactions!$O:$O,ROW()-8))</f>
      </c>
    </row>
    <row r="9031" spans="1:7">
      <c r="B9031">
        <f>IF(INDEX(Transactions!$J:$J,ROW()-8)="",TODAY(),INDEX(Transactions!$G:$G,ROW()-8))</f>
      </c>
      <c r="F9031">
        <f>IF(INDEX(Transactions!$J:$J,ROW()-8)="",0,INDEX(Transactions!$O:$O,ROW()-8))</f>
      </c>
    </row>
    <row r="9032" spans="1:7">
      <c r="B9032">
        <f>IF(INDEX(Transactions!$J:$J,ROW()-8)="",TODAY(),INDEX(Transactions!$G:$G,ROW()-8))</f>
      </c>
      <c r="F9032">
        <f>IF(INDEX(Transactions!$J:$J,ROW()-8)="",0,INDEX(Transactions!$O:$O,ROW()-8))</f>
      </c>
    </row>
    <row r="9033" spans="1:7">
      <c r="B9033">
        <f>IF(INDEX(Transactions!$J:$J,ROW()-8)="",TODAY(),INDEX(Transactions!$G:$G,ROW()-8))</f>
      </c>
      <c r="F9033">
        <f>IF(INDEX(Transactions!$J:$J,ROW()-8)="",0,INDEX(Transactions!$O:$O,ROW()-8))</f>
      </c>
    </row>
    <row r="9034" spans="1:7">
      <c r="B9034">
        <f>IF(INDEX(Transactions!$J:$J,ROW()-8)="",TODAY(),INDEX(Transactions!$G:$G,ROW()-8))</f>
      </c>
      <c r="F9034">
        <f>IF(INDEX(Transactions!$J:$J,ROW()-8)="",0,INDEX(Transactions!$O:$O,ROW()-8))</f>
      </c>
    </row>
    <row r="9035" spans="1:7">
      <c r="B9035">
        <f>IF(INDEX(Transactions!$J:$J,ROW()-8)="",TODAY(),INDEX(Transactions!$G:$G,ROW()-8))</f>
      </c>
      <c r="F9035">
        <f>IF(INDEX(Transactions!$J:$J,ROW()-8)="",0,INDEX(Transactions!$O:$O,ROW()-8))</f>
      </c>
    </row>
    <row r="9036" spans="1:7">
      <c r="B9036">
        <f>IF(INDEX(Transactions!$J:$J,ROW()-8)="",TODAY(),INDEX(Transactions!$G:$G,ROW()-8))</f>
      </c>
      <c r="F9036">
        <f>IF(INDEX(Transactions!$J:$J,ROW()-8)="",0,INDEX(Transactions!$O:$O,ROW()-8))</f>
      </c>
    </row>
    <row r="9037" spans="1:7">
      <c r="B9037">
        <f>IF(INDEX(Transactions!$J:$J,ROW()-8)="",TODAY(),INDEX(Transactions!$G:$G,ROW()-8))</f>
      </c>
      <c r="F9037">
        <f>IF(INDEX(Transactions!$J:$J,ROW()-8)="",0,INDEX(Transactions!$O:$O,ROW()-8))</f>
      </c>
    </row>
    <row r="9038" spans="1:7">
      <c r="B9038">
        <f>IF(INDEX(Transactions!$J:$J,ROW()-8)="",TODAY(),INDEX(Transactions!$G:$G,ROW()-8))</f>
      </c>
      <c r="F9038">
        <f>IF(INDEX(Transactions!$J:$J,ROW()-8)="",0,INDEX(Transactions!$O:$O,ROW()-8))</f>
      </c>
    </row>
    <row r="9039" spans="1:7">
      <c r="B9039">
        <f>IF(INDEX(Transactions!$J:$J,ROW()-8)="",TODAY(),INDEX(Transactions!$G:$G,ROW()-8))</f>
      </c>
      <c r="F9039">
        <f>IF(INDEX(Transactions!$J:$J,ROW()-8)="",0,INDEX(Transactions!$O:$O,ROW()-8))</f>
      </c>
    </row>
    <row r="9040" spans="1:7">
      <c r="B9040">
        <f>IF(INDEX(Transactions!$J:$J,ROW()-8)="",TODAY(),INDEX(Transactions!$G:$G,ROW()-8))</f>
      </c>
      <c r="F9040">
        <f>IF(INDEX(Transactions!$J:$J,ROW()-8)="",0,INDEX(Transactions!$O:$O,ROW()-8))</f>
      </c>
    </row>
    <row r="9041" spans="1:7">
      <c r="B9041">
        <f>IF(INDEX(Transactions!$J:$J,ROW()-8)="",TODAY(),INDEX(Transactions!$G:$G,ROW()-8))</f>
      </c>
      <c r="F9041">
        <f>IF(INDEX(Transactions!$J:$J,ROW()-8)="",0,INDEX(Transactions!$O:$O,ROW()-8))</f>
      </c>
    </row>
    <row r="9042" spans="1:7">
      <c r="B9042">
        <f>IF(INDEX(Transactions!$J:$J,ROW()-8)="",TODAY(),INDEX(Transactions!$G:$G,ROW()-8))</f>
      </c>
      <c r="F9042">
        <f>IF(INDEX(Transactions!$J:$J,ROW()-8)="",0,INDEX(Transactions!$O:$O,ROW()-8))</f>
      </c>
    </row>
    <row r="9043" spans="1:7">
      <c r="B9043">
        <f>IF(INDEX(Transactions!$J:$J,ROW()-8)="",TODAY(),INDEX(Transactions!$G:$G,ROW()-8))</f>
      </c>
      <c r="F9043">
        <f>IF(INDEX(Transactions!$J:$J,ROW()-8)="",0,INDEX(Transactions!$O:$O,ROW()-8))</f>
      </c>
    </row>
    <row r="9044" spans="1:7">
      <c r="B9044">
        <f>IF(INDEX(Transactions!$J:$J,ROW()-8)="",TODAY(),INDEX(Transactions!$G:$G,ROW()-8))</f>
      </c>
      <c r="F9044">
        <f>IF(INDEX(Transactions!$J:$J,ROW()-8)="",0,INDEX(Transactions!$O:$O,ROW()-8))</f>
      </c>
    </row>
    <row r="9045" spans="1:7">
      <c r="B9045">
        <f>IF(INDEX(Transactions!$J:$J,ROW()-8)="",TODAY(),INDEX(Transactions!$G:$G,ROW()-8))</f>
      </c>
      <c r="F9045">
        <f>IF(INDEX(Transactions!$J:$J,ROW()-8)="",0,INDEX(Transactions!$O:$O,ROW()-8))</f>
      </c>
    </row>
    <row r="9046" spans="1:7">
      <c r="B9046">
        <f>IF(INDEX(Transactions!$J:$J,ROW()-8)="",TODAY(),INDEX(Transactions!$G:$G,ROW()-8))</f>
      </c>
      <c r="F9046">
        <f>IF(INDEX(Transactions!$J:$J,ROW()-8)="",0,INDEX(Transactions!$O:$O,ROW()-8))</f>
      </c>
    </row>
    <row r="9047" spans="1:7">
      <c r="B9047">
        <f>IF(INDEX(Transactions!$J:$J,ROW()-8)="",TODAY(),INDEX(Transactions!$G:$G,ROW()-8))</f>
      </c>
      <c r="F9047">
        <f>IF(INDEX(Transactions!$J:$J,ROW()-8)="",0,INDEX(Transactions!$O:$O,ROW()-8))</f>
      </c>
    </row>
    <row r="9048" spans="1:7">
      <c r="B9048">
        <f>IF(INDEX(Transactions!$J:$J,ROW()-8)="",TODAY(),INDEX(Transactions!$G:$G,ROW()-8))</f>
      </c>
      <c r="F9048">
        <f>IF(INDEX(Transactions!$J:$J,ROW()-8)="",0,INDEX(Transactions!$O:$O,ROW()-8))</f>
      </c>
    </row>
    <row r="9049" spans="1:7">
      <c r="B9049">
        <f>IF(INDEX(Transactions!$J:$J,ROW()-8)="",TODAY(),INDEX(Transactions!$G:$G,ROW()-8))</f>
      </c>
      <c r="F9049">
        <f>IF(INDEX(Transactions!$J:$J,ROW()-8)="",0,INDEX(Transactions!$O:$O,ROW()-8))</f>
      </c>
    </row>
    <row r="9050" spans="1:7">
      <c r="B9050">
        <f>IF(INDEX(Transactions!$J:$J,ROW()-8)="",TODAY(),INDEX(Transactions!$G:$G,ROW()-8))</f>
      </c>
      <c r="F9050">
        <f>IF(INDEX(Transactions!$J:$J,ROW()-8)="",0,INDEX(Transactions!$O:$O,ROW()-8))</f>
      </c>
    </row>
    <row r="9051" spans="1:7">
      <c r="B9051">
        <f>IF(INDEX(Transactions!$J:$J,ROW()-8)="",TODAY(),INDEX(Transactions!$G:$G,ROW()-8))</f>
      </c>
      <c r="F9051">
        <f>IF(INDEX(Transactions!$J:$J,ROW()-8)="",0,INDEX(Transactions!$O:$O,ROW()-8))</f>
      </c>
    </row>
    <row r="9052" spans="1:7">
      <c r="B9052">
        <f>IF(INDEX(Transactions!$J:$J,ROW()-8)="",TODAY(),INDEX(Transactions!$G:$G,ROW()-8))</f>
      </c>
      <c r="F9052">
        <f>IF(INDEX(Transactions!$J:$J,ROW()-8)="",0,INDEX(Transactions!$O:$O,ROW()-8))</f>
      </c>
    </row>
    <row r="9053" spans="1:7">
      <c r="B9053">
        <f>IF(INDEX(Transactions!$J:$J,ROW()-8)="",TODAY(),INDEX(Transactions!$G:$G,ROW()-8))</f>
      </c>
      <c r="F9053">
        <f>IF(INDEX(Transactions!$J:$J,ROW()-8)="",0,INDEX(Transactions!$O:$O,ROW()-8))</f>
      </c>
    </row>
    <row r="9054" spans="1:7">
      <c r="B9054">
        <f>IF(INDEX(Transactions!$J:$J,ROW()-8)="",TODAY(),INDEX(Transactions!$G:$G,ROW()-8))</f>
      </c>
      <c r="F9054">
        <f>IF(INDEX(Transactions!$J:$J,ROW()-8)="",0,INDEX(Transactions!$O:$O,ROW()-8))</f>
      </c>
    </row>
    <row r="9055" spans="1:7">
      <c r="B9055">
        <f>IF(INDEX(Transactions!$J:$J,ROW()-8)="",TODAY(),INDEX(Transactions!$G:$G,ROW()-8))</f>
      </c>
      <c r="F9055">
        <f>IF(INDEX(Transactions!$J:$J,ROW()-8)="",0,INDEX(Transactions!$O:$O,ROW()-8))</f>
      </c>
    </row>
    <row r="9056" spans="1:7">
      <c r="B9056">
        <f>IF(INDEX(Transactions!$J:$J,ROW()-8)="",TODAY(),INDEX(Transactions!$G:$G,ROW()-8))</f>
      </c>
      <c r="F9056">
        <f>IF(INDEX(Transactions!$J:$J,ROW()-8)="",0,INDEX(Transactions!$O:$O,ROW()-8))</f>
      </c>
    </row>
    <row r="9057" spans="1:7">
      <c r="B9057">
        <f>IF(INDEX(Transactions!$J:$J,ROW()-8)="",TODAY(),INDEX(Transactions!$G:$G,ROW()-8))</f>
      </c>
      <c r="F9057">
        <f>IF(INDEX(Transactions!$J:$J,ROW()-8)="",0,INDEX(Transactions!$O:$O,ROW()-8))</f>
      </c>
    </row>
    <row r="9058" spans="1:7">
      <c r="B9058">
        <f>IF(INDEX(Transactions!$J:$J,ROW()-8)="",TODAY(),INDEX(Transactions!$G:$G,ROW()-8))</f>
      </c>
      <c r="F9058">
        <f>IF(INDEX(Transactions!$J:$J,ROW()-8)="",0,INDEX(Transactions!$O:$O,ROW()-8))</f>
      </c>
    </row>
    <row r="9059" spans="1:7">
      <c r="B9059">
        <f>IF(INDEX(Transactions!$J:$J,ROW()-8)="",TODAY(),INDEX(Transactions!$G:$G,ROW()-8))</f>
      </c>
      <c r="F9059">
        <f>IF(INDEX(Transactions!$J:$J,ROW()-8)="",0,INDEX(Transactions!$O:$O,ROW()-8))</f>
      </c>
    </row>
    <row r="9060" spans="1:7">
      <c r="B9060">
        <f>IF(INDEX(Transactions!$J:$J,ROW()-8)="",TODAY(),INDEX(Transactions!$G:$G,ROW()-8))</f>
      </c>
      <c r="F9060">
        <f>IF(INDEX(Transactions!$J:$J,ROW()-8)="",0,INDEX(Transactions!$O:$O,ROW()-8))</f>
      </c>
    </row>
    <row r="9061" spans="1:7">
      <c r="B9061">
        <f>IF(INDEX(Transactions!$J:$J,ROW()-8)="",TODAY(),INDEX(Transactions!$G:$G,ROW()-8))</f>
      </c>
      <c r="F9061">
        <f>IF(INDEX(Transactions!$J:$J,ROW()-8)="",0,INDEX(Transactions!$O:$O,ROW()-8))</f>
      </c>
    </row>
    <row r="9062" spans="1:7">
      <c r="B9062">
        <f>IF(INDEX(Transactions!$J:$J,ROW()-8)="",TODAY(),INDEX(Transactions!$G:$G,ROW()-8))</f>
      </c>
      <c r="F9062">
        <f>IF(INDEX(Transactions!$J:$J,ROW()-8)="",0,INDEX(Transactions!$O:$O,ROW()-8))</f>
      </c>
    </row>
    <row r="9063" spans="1:7">
      <c r="B9063">
        <f>IF(INDEX(Transactions!$J:$J,ROW()-8)="",TODAY(),INDEX(Transactions!$G:$G,ROW()-8))</f>
      </c>
      <c r="F9063">
        <f>IF(INDEX(Transactions!$J:$J,ROW()-8)="",0,INDEX(Transactions!$O:$O,ROW()-8))</f>
      </c>
    </row>
    <row r="9064" spans="1:7">
      <c r="B9064">
        <f>IF(INDEX(Transactions!$J:$J,ROW()-8)="",TODAY(),INDEX(Transactions!$G:$G,ROW()-8))</f>
      </c>
      <c r="F9064">
        <f>IF(INDEX(Transactions!$J:$J,ROW()-8)="",0,INDEX(Transactions!$O:$O,ROW()-8))</f>
      </c>
    </row>
    <row r="9065" spans="1:7">
      <c r="B9065">
        <f>IF(INDEX(Transactions!$J:$J,ROW()-8)="",TODAY(),INDEX(Transactions!$G:$G,ROW()-8))</f>
      </c>
      <c r="F9065">
        <f>IF(INDEX(Transactions!$J:$J,ROW()-8)="",0,INDEX(Transactions!$O:$O,ROW()-8))</f>
      </c>
    </row>
    <row r="9066" spans="1:7">
      <c r="B9066">
        <f>IF(INDEX(Transactions!$J:$J,ROW()-8)="",TODAY(),INDEX(Transactions!$G:$G,ROW()-8))</f>
      </c>
      <c r="F9066">
        <f>IF(INDEX(Transactions!$J:$J,ROW()-8)="",0,INDEX(Transactions!$O:$O,ROW()-8))</f>
      </c>
    </row>
    <row r="9067" spans="1:7">
      <c r="B9067">
        <f>IF(INDEX(Transactions!$J:$J,ROW()-8)="",TODAY(),INDEX(Transactions!$G:$G,ROW()-8))</f>
      </c>
      <c r="F9067">
        <f>IF(INDEX(Transactions!$J:$J,ROW()-8)="",0,INDEX(Transactions!$O:$O,ROW()-8))</f>
      </c>
    </row>
    <row r="9068" spans="1:7">
      <c r="B9068">
        <f>IF(INDEX(Transactions!$J:$J,ROW()-8)="",TODAY(),INDEX(Transactions!$G:$G,ROW()-8))</f>
      </c>
      <c r="F9068">
        <f>IF(INDEX(Transactions!$J:$J,ROW()-8)="",0,INDEX(Transactions!$O:$O,ROW()-8))</f>
      </c>
    </row>
    <row r="9069" spans="1:7">
      <c r="B9069">
        <f>IF(INDEX(Transactions!$J:$J,ROW()-8)="",TODAY(),INDEX(Transactions!$G:$G,ROW()-8))</f>
      </c>
      <c r="F9069">
        <f>IF(INDEX(Transactions!$J:$J,ROW()-8)="",0,INDEX(Transactions!$O:$O,ROW()-8))</f>
      </c>
    </row>
    <row r="9070" spans="1:7">
      <c r="B9070">
        <f>IF(INDEX(Transactions!$J:$J,ROW()-8)="",TODAY(),INDEX(Transactions!$G:$G,ROW()-8))</f>
      </c>
      <c r="F9070">
        <f>IF(INDEX(Transactions!$J:$J,ROW()-8)="",0,INDEX(Transactions!$O:$O,ROW()-8))</f>
      </c>
    </row>
    <row r="9071" spans="1:7">
      <c r="B9071">
        <f>IF(INDEX(Transactions!$J:$J,ROW()-8)="",TODAY(),INDEX(Transactions!$G:$G,ROW()-8))</f>
      </c>
      <c r="F9071">
        <f>IF(INDEX(Transactions!$J:$J,ROW()-8)="",0,INDEX(Transactions!$O:$O,ROW()-8))</f>
      </c>
    </row>
    <row r="9072" spans="1:7">
      <c r="B9072">
        <f>IF(INDEX(Transactions!$J:$J,ROW()-8)="",TODAY(),INDEX(Transactions!$G:$G,ROW()-8))</f>
      </c>
      <c r="F9072">
        <f>IF(INDEX(Transactions!$J:$J,ROW()-8)="",0,INDEX(Transactions!$O:$O,ROW()-8))</f>
      </c>
    </row>
    <row r="9073" spans="1:7">
      <c r="B9073">
        <f>IF(INDEX(Transactions!$J:$J,ROW()-8)="",TODAY(),INDEX(Transactions!$G:$G,ROW()-8))</f>
      </c>
      <c r="F9073">
        <f>IF(INDEX(Transactions!$J:$J,ROW()-8)="",0,INDEX(Transactions!$O:$O,ROW()-8))</f>
      </c>
    </row>
    <row r="9074" spans="1:7">
      <c r="B9074">
        <f>IF(INDEX(Transactions!$J:$J,ROW()-8)="",TODAY(),INDEX(Transactions!$G:$G,ROW()-8))</f>
      </c>
      <c r="F9074">
        <f>IF(INDEX(Transactions!$J:$J,ROW()-8)="",0,INDEX(Transactions!$O:$O,ROW()-8))</f>
      </c>
    </row>
    <row r="9075" spans="1:7">
      <c r="B9075">
        <f>IF(INDEX(Transactions!$J:$J,ROW()-8)="",TODAY(),INDEX(Transactions!$G:$G,ROW()-8))</f>
      </c>
      <c r="F9075">
        <f>IF(INDEX(Transactions!$J:$J,ROW()-8)="",0,INDEX(Transactions!$O:$O,ROW()-8))</f>
      </c>
    </row>
    <row r="9076" spans="1:7">
      <c r="B9076">
        <f>IF(INDEX(Transactions!$J:$J,ROW()-8)="",TODAY(),INDEX(Transactions!$G:$G,ROW()-8))</f>
      </c>
      <c r="F9076">
        <f>IF(INDEX(Transactions!$J:$J,ROW()-8)="",0,INDEX(Transactions!$O:$O,ROW()-8))</f>
      </c>
    </row>
    <row r="9077" spans="1:7">
      <c r="B9077">
        <f>IF(INDEX(Transactions!$J:$J,ROW()-8)="",TODAY(),INDEX(Transactions!$G:$G,ROW()-8))</f>
      </c>
      <c r="F9077">
        <f>IF(INDEX(Transactions!$J:$J,ROW()-8)="",0,INDEX(Transactions!$O:$O,ROW()-8))</f>
      </c>
    </row>
    <row r="9078" spans="1:7">
      <c r="B9078">
        <f>IF(INDEX(Transactions!$J:$J,ROW()-8)="",TODAY(),INDEX(Transactions!$G:$G,ROW()-8))</f>
      </c>
      <c r="F9078">
        <f>IF(INDEX(Transactions!$J:$J,ROW()-8)="",0,INDEX(Transactions!$O:$O,ROW()-8))</f>
      </c>
    </row>
    <row r="9079" spans="1:7">
      <c r="B9079">
        <f>IF(INDEX(Transactions!$J:$J,ROW()-8)="",TODAY(),INDEX(Transactions!$G:$G,ROW()-8))</f>
      </c>
      <c r="F9079">
        <f>IF(INDEX(Transactions!$J:$J,ROW()-8)="",0,INDEX(Transactions!$O:$O,ROW()-8))</f>
      </c>
    </row>
    <row r="9080" spans="1:7">
      <c r="B9080">
        <f>IF(INDEX(Transactions!$J:$J,ROW()-8)="",TODAY(),INDEX(Transactions!$G:$G,ROW()-8))</f>
      </c>
      <c r="F9080">
        <f>IF(INDEX(Transactions!$J:$J,ROW()-8)="",0,INDEX(Transactions!$O:$O,ROW()-8))</f>
      </c>
    </row>
    <row r="9081" spans="1:7">
      <c r="B9081">
        <f>IF(INDEX(Transactions!$J:$J,ROW()-8)="",TODAY(),INDEX(Transactions!$G:$G,ROW()-8))</f>
      </c>
      <c r="F9081">
        <f>IF(INDEX(Transactions!$J:$J,ROW()-8)="",0,INDEX(Transactions!$O:$O,ROW()-8))</f>
      </c>
    </row>
    <row r="9082" spans="1:7">
      <c r="B9082">
        <f>IF(INDEX(Transactions!$J:$J,ROW()-8)="",TODAY(),INDEX(Transactions!$G:$G,ROW()-8))</f>
      </c>
      <c r="F9082">
        <f>IF(INDEX(Transactions!$J:$J,ROW()-8)="",0,INDEX(Transactions!$O:$O,ROW()-8))</f>
      </c>
    </row>
    <row r="9083" spans="1:7">
      <c r="B9083">
        <f>IF(INDEX(Transactions!$J:$J,ROW()-8)="",TODAY(),INDEX(Transactions!$G:$G,ROW()-8))</f>
      </c>
      <c r="F9083">
        <f>IF(INDEX(Transactions!$J:$J,ROW()-8)="",0,INDEX(Transactions!$O:$O,ROW()-8))</f>
      </c>
    </row>
    <row r="9084" spans="1:7">
      <c r="B9084">
        <f>IF(INDEX(Transactions!$J:$J,ROW()-8)="",TODAY(),INDEX(Transactions!$G:$G,ROW()-8))</f>
      </c>
      <c r="F9084">
        <f>IF(INDEX(Transactions!$J:$J,ROW()-8)="",0,INDEX(Transactions!$O:$O,ROW()-8))</f>
      </c>
    </row>
    <row r="9085" spans="1:7">
      <c r="B9085">
        <f>IF(INDEX(Transactions!$J:$J,ROW()-8)="",TODAY(),INDEX(Transactions!$G:$G,ROW()-8))</f>
      </c>
      <c r="F9085">
        <f>IF(INDEX(Transactions!$J:$J,ROW()-8)="",0,INDEX(Transactions!$O:$O,ROW()-8))</f>
      </c>
    </row>
    <row r="9086" spans="1:7">
      <c r="B9086">
        <f>IF(INDEX(Transactions!$J:$J,ROW()-8)="",TODAY(),INDEX(Transactions!$G:$G,ROW()-8))</f>
      </c>
      <c r="F9086">
        <f>IF(INDEX(Transactions!$J:$J,ROW()-8)="",0,INDEX(Transactions!$O:$O,ROW()-8))</f>
      </c>
    </row>
    <row r="9087" spans="1:7">
      <c r="B9087">
        <f>IF(INDEX(Transactions!$J:$J,ROW()-8)="",TODAY(),INDEX(Transactions!$G:$G,ROW()-8))</f>
      </c>
      <c r="F9087">
        <f>IF(INDEX(Transactions!$J:$J,ROW()-8)="",0,INDEX(Transactions!$O:$O,ROW()-8))</f>
      </c>
    </row>
    <row r="9088" spans="1:7">
      <c r="B9088">
        <f>IF(INDEX(Transactions!$J:$J,ROW()-8)="",TODAY(),INDEX(Transactions!$G:$G,ROW()-8))</f>
      </c>
      <c r="F9088">
        <f>IF(INDEX(Transactions!$J:$J,ROW()-8)="",0,INDEX(Transactions!$O:$O,ROW()-8))</f>
      </c>
    </row>
    <row r="9089" spans="1:7">
      <c r="B9089">
        <f>IF(INDEX(Transactions!$J:$J,ROW()-8)="",TODAY(),INDEX(Transactions!$G:$G,ROW()-8))</f>
      </c>
      <c r="F9089">
        <f>IF(INDEX(Transactions!$J:$J,ROW()-8)="",0,INDEX(Transactions!$O:$O,ROW()-8))</f>
      </c>
    </row>
    <row r="9090" spans="1:7">
      <c r="B9090">
        <f>IF(INDEX(Transactions!$J:$J,ROW()-8)="",TODAY(),INDEX(Transactions!$G:$G,ROW()-8))</f>
      </c>
      <c r="F9090">
        <f>IF(INDEX(Transactions!$J:$J,ROW()-8)="",0,INDEX(Transactions!$O:$O,ROW()-8))</f>
      </c>
    </row>
    <row r="9091" spans="1:7">
      <c r="B9091">
        <f>IF(INDEX(Transactions!$J:$J,ROW()-8)="",TODAY(),INDEX(Transactions!$G:$G,ROW()-8))</f>
      </c>
      <c r="F9091">
        <f>IF(INDEX(Transactions!$J:$J,ROW()-8)="",0,INDEX(Transactions!$O:$O,ROW()-8))</f>
      </c>
    </row>
    <row r="9092" spans="1:7">
      <c r="B9092">
        <f>IF(INDEX(Transactions!$J:$J,ROW()-8)="",TODAY(),INDEX(Transactions!$G:$G,ROW()-8))</f>
      </c>
      <c r="F9092">
        <f>IF(INDEX(Transactions!$J:$J,ROW()-8)="",0,INDEX(Transactions!$O:$O,ROW()-8))</f>
      </c>
    </row>
    <row r="9093" spans="1:7">
      <c r="B9093">
        <f>IF(INDEX(Transactions!$J:$J,ROW()-8)="",TODAY(),INDEX(Transactions!$G:$G,ROW()-8))</f>
      </c>
      <c r="F9093">
        <f>IF(INDEX(Transactions!$J:$J,ROW()-8)="",0,INDEX(Transactions!$O:$O,ROW()-8))</f>
      </c>
    </row>
    <row r="9094" spans="1:7">
      <c r="B9094">
        <f>IF(INDEX(Transactions!$J:$J,ROW()-8)="",TODAY(),INDEX(Transactions!$G:$G,ROW()-8))</f>
      </c>
      <c r="F9094">
        <f>IF(INDEX(Transactions!$J:$J,ROW()-8)="",0,INDEX(Transactions!$O:$O,ROW()-8))</f>
      </c>
    </row>
    <row r="9095" spans="1:7">
      <c r="B9095">
        <f>IF(INDEX(Transactions!$J:$J,ROW()-8)="",TODAY(),INDEX(Transactions!$G:$G,ROW()-8))</f>
      </c>
      <c r="F9095">
        <f>IF(INDEX(Transactions!$J:$J,ROW()-8)="",0,INDEX(Transactions!$O:$O,ROW()-8))</f>
      </c>
    </row>
    <row r="9096" spans="1:7">
      <c r="B9096">
        <f>IF(INDEX(Transactions!$J:$J,ROW()-8)="",TODAY(),INDEX(Transactions!$G:$G,ROW()-8))</f>
      </c>
      <c r="F9096">
        <f>IF(INDEX(Transactions!$J:$J,ROW()-8)="",0,INDEX(Transactions!$O:$O,ROW()-8))</f>
      </c>
    </row>
    <row r="9097" spans="1:7">
      <c r="B9097">
        <f>IF(INDEX(Transactions!$J:$J,ROW()-8)="",TODAY(),INDEX(Transactions!$G:$G,ROW()-8))</f>
      </c>
      <c r="F9097">
        <f>IF(INDEX(Transactions!$J:$J,ROW()-8)="",0,INDEX(Transactions!$O:$O,ROW()-8))</f>
      </c>
    </row>
    <row r="9098" spans="1:7">
      <c r="B9098">
        <f>IF(INDEX(Transactions!$J:$J,ROW()-8)="",TODAY(),INDEX(Transactions!$G:$G,ROW()-8))</f>
      </c>
      <c r="F9098">
        <f>IF(INDEX(Transactions!$J:$J,ROW()-8)="",0,INDEX(Transactions!$O:$O,ROW()-8))</f>
      </c>
    </row>
    <row r="9099" spans="1:7">
      <c r="B9099">
        <f>IF(INDEX(Transactions!$J:$J,ROW()-8)="",TODAY(),INDEX(Transactions!$G:$G,ROW()-8))</f>
      </c>
      <c r="F9099">
        <f>IF(INDEX(Transactions!$J:$J,ROW()-8)="",0,INDEX(Transactions!$O:$O,ROW()-8))</f>
      </c>
    </row>
    <row r="9100" spans="1:7">
      <c r="B9100">
        <f>IF(INDEX(Transactions!$J:$J,ROW()-8)="",TODAY(),INDEX(Transactions!$G:$G,ROW()-8))</f>
      </c>
      <c r="F9100">
        <f>IF(INDEX(Transactions!$J:$J,ROW()-8)="",0,INDEX(Transactions!$O:$O,ROW()-8))</f>
      </c>
    </row>
    <row r="9101" spans="1:7">
      <c r="B9101">
        <f>IF(INDEX(Transactions!$J:$J,ROW()-8)="",TODAY(),INDEX(Transactions!$G:$G,ROW()-8))</f>
      </c>
      <c r="F9101">
        <f>IF(INDEX(Transactions!$J:$J,ROW()-8)="",0,INDEX(Transactions!$O:$O,ROW()-8))</f>
      </c>
    </row>
    <row r="9102" spans="1:7">
      <c r="B9102">
        <f>IF(INDEX(Transactions!$J:$J,ROW()-8)="",TODAY(),INDEX(Transactions!$G:$G,ROW()-8))</f>
      </c>
      <c r="F9102">
        <f>IF(INDEX(Transactions!$J:$J,ROW()-8)="",0,INDEX(Transactions!$O:$O,ROW()-8))</f>
      </c>
    </row>
    <row r="9103" spans="1:7">
      <c r="B9103">
        <f>IF(INDEX(Transactions!$J:$J,ROW()-8)="",TODAY(),INDEX(Transactions!$G:$G,ROW()-8))</f>
      </c>
      <c r="F9103">
        <f>IF(INDEX(Transactions!$J:$J,ROW()-8)="",0,INDEX(Transactions!$O:$O,ROW()-8))</f>
      </c>
    </row>
    <row r="9104" spans="1:7">
      <c r="B9104">
        <f>IF(INDEX(Transactions!$J:$J,ROW()-8)="",TODAY(),INDEX(Transactions!$G:$G,ROW()-8))</f>
      </c>
      <c r="F9104">
        <f>IF(INDEX(Transactions!$J:$J,ROW()-8)="",0,INDEX(Transactions!$O:$O,ROW()-8))</f>
      </c>
    </row>
    <row r="9105" spans="1:7">
      <c r="B9105">
        <f>IF(INDEX(Transactions!$J:$J,ROW()-8)="",TODAY(),INDEX(Transactions!$G:$G,ROW()-8))</f>
      </c>
      <c r="F9105">
        <f>IF(INDEX(Transactions!$J:$J,ROW()-8)="",0,INDEX(Transactions!$O:$O,ROW()-8))</f>
      </c>
    </row>
    <row r="9106" spans="1:7">
      <c r="B9106">
        <f>IF(INDEX(Transactions!$J:$J,ROW()-8)="",TODAY(),INDEX(Transactions!$G:$G,ROW()-8))</f>
      </c>
      <c r="F9106">
        <f>IF(INDEX(Transactions!$J:$J,ROW()-8)="",0,INDEX(Transactions!$O:$O,ROW()-8))</f>
      </c>
    </row>
    <row r="9107" spans="1:7">
      <c r="B9107">
        <f>IF(INDEX(Transactions!$J:$J,ROW()-8)="",TODAY(),INDEX(Transactions!$G:$G,ROW()-8))</f>
      </c>
      <c r="F9107">
        <f>IF(INDEX(Transactions!$J:$J,ROW()-8)="",0,INDEX(Transactions!$O:$O,ROW()-8))</f>
      </c>
    </row>
    <row r="9108" spans="1:7">
      <c r="B9108">
        <f>IF(INDEX(Transactions!$J:$J,ROW()-8)="",TODAY(),INDEX(Transactions!$G:$G,ROW()-8))</f>
      </c>
      <c r="F9108">
        <f>IF(INDEX(Transactions!$J:$J,ROW()-8)="",0,INDEX(Transactions!$O:$O,ROW()-8))</f>
      </c>
    </row>
    <row r="9109" spans="1:7">
      <c r="B9109">
        <f>IF(INDEX(Transactions!$J:$J,ROW()-8)="",TODAY(),INDEX(Transactions!$G:$G,ROW()-8))</f>
      </c>
      <c r="F9109">
        <f>IF(INDEX(Transactions!$J:$J,ROW()-8)="",0,INDEX(Transactions!$O:$O,ROW()-8))</f>
      </c>
    </row>
    <row r="9110" spans="1:7">
      <c r="B9110">
        <f>IF(INDEX(Transactions!$J:$J,ROW()-8)="",TODAY(),INDEX(Transactions!$G:$G,ROW()-8))</f>
      </c>
      <c r="F9110">
        <f>IF(INDEX(Transactions!$J:$J,ROW()-8)="",0,INDEX(Transactions!$O:$O,ROW()-8))</f>
      </c>
    </row>
    <row r="9111" spans="1:7">
      <c r="B9111">
        <f>IF(INDEX(Transactions!$J:$J,ROW()-8)="",TODAY(),INDEX(Transactions!$G:$G,ROW()-8))</f>
      </c>
      <c r="F9111">
        <f>IF(INDEX(Transactions!$J:$J,ROW()-8)="",0,INDEX(Transactions!$O:$O,ROW()-8))</f>
      </c>
    </row>
    <row r="9112" spans="1:7">
      <c r="B9112">
        <f>IF(INDEX(Transactions!$J:$J,ROW()-8)="",TODAY(),INDEX(Transactions!$G:$G,ROW()-8))</f>
      </c>
      <c r="F9112">
        <f>IF(INDEX(Transactions!$J:$J,ROW()-8)="",0,INDEX(Transactions!$O:$O,ROW()-8))</f>
      </c>
    </row>
    <row r="9113" spans="1:7">
      <c r="B9113">
        <f>IF(INDEX(Transactions!$J:$J,ROW()-8)="",TODAY(),INDEX(Transactions!$G:$G,ROW()-8))</f>
      </c>
      <c r="F9113">
        <f>IF(INDEX(Transactions!$J:$J,ROW()-8)="",0,INDEX(Transactions!$O:$O,ROW()-8))</f>
      </c>
    </row>
    <row r="9114" spans="1:7">
      <c r="B9114">
        <f>IF(INDEX(Transactions!$J:$J,ROW()-8)="",TODAY(),INDEX(Transactions!$G:$G,ROW()-8))</f>
      </c>
      <c r="F9114">
        <f>IF(INDEX(Transactions!$J:$J,ROW()-8)="",0,INDEX(Transactions!$O:$O,ROW()-8))</f>
      </c>
    </row>
    <row r="9115" spans="1:7">
      <c r="B9115">
        <f>IF(INDEX(Transactions!$J:$J,ROW()-8)="",TODAY(),INDEX(Transactions!$G:$G,ROW()-8))</f>
      </c>
      <c r="F9115">
        <f>IF(INDEX(Transactions!$J:$J,ROW()-8)="",0,INDEX(Transactions!$O:$O,ROW()-8))</f>
      </c>
    </row>
    <row r="9116" spans="1:7">
      <c r="B9116">
        <f>IF(INDEX(Transactions!$J:$J,ROW()-8)="",TODAY(),INDEX(Transactions!$G:$G,ROW()-8))</f>
      </c>
      <c r="F9116">
        <f>IF(INDEX(Transactions!$J:$J,ROW()-8)="",0,INDEX(Transactions!$O:$O,ROW()-8))</f>
      </c>
    </row>
    <row r="9117" spans="1:7">
      <c r="B9117">
        <f>IF(INDEX(Transactions!$J:$J,ROW()-8)="",TODAY(),INDEX(Transactions!$G:$G,ROW()-8))</f>
      </c>
      <c r="F9117">
        <f>IF(INDEX(Transactions!$J:$J,ROW()-8)="",0,INDEX(Transactions!$O:$O,ROW()-8))</f>
      </c>
    </row>
    <row r="9118" spans="1:7">
      <c r="B9118">
        <f>IF(INDEX(Transactions!$J:$J,ROW()-8)="",TODAY(),INDEX(Transactions!$G:$G,ROW()-8))</f>
      </c>
      <c r="F9118">
        <f>IF(INDEX(Transactions!$J:$J,ROW()-8)="",0,INDEX(Transactions!$O:$O,ROW()-8))</f>
      </c>
    </row>
    <row r="9119" spans="1:7">
      <c r="B9119">
        <f>IF(INDEX(Transactions!$J:$J,ROW()-8)="",TODAY(),INDEX(Transactions!$G:$G,ROW()-8))</f>
      </c>
      <c r="F9119">
        <f>IF(INDEX(Transactions!$J:$J,ROW()-8)="",0,INDEX(Transactions!$O:$O,ROW()-8))</f>
      </c>
    </row>
    <row r="9120" spans="1:7">
      <c r="B9120">
        <f>IF(INDEX(Transactions!$J:$J,ROW()-8)="",TODAY(),INDEX(Transactions!$G:$G,ROW()-8))</f>
      </c>
      <c r="F9120">
        <f>IF(INDEX(Transactions!$J:$J,ROW()-8)="",0,INDEX(Transactions!$O:$O,ROW()-8))</f>
      </c>
    </row>
    <row r="9121" spans="1:7">
      <c r="B9121">
        <f>IF(INDEX(Transactions!$J:$J,ROW()-8)="",TODAY(),INDEX(Transactions!$G:$G,ROW()-8))</f>
      </c>
      <c r="F9121">
        <f>IF(INDEX(Transactions!$J:$J,ROW()-8)="",0,INDEX(Transactions!$O:$O,ROW()-8))</f>
      </c>
    </row>
    <row r="9122" spans="1:7">
      <c r="B9122">
        <f>IF(INDEX(Transactions!$J:$J,ROW()-8)="",TODAY(),INDEX(Transactions!$G:$G,ROW()-8))</f>
      </c>
      <c r="F9122">
        <f>IF(INDEX(Transactions!$J:$J,ROW()-8)="",0,INDEX(Transactions!$O:$O,ROW()-8))</f>
      </c>
    </row>
    <row r="9123" spans="1:7">
      <c r="B9123">
        <f>IF(INDEX(Transactions!$J:$J,ROW()-8)="",TODAY(),INDEX(Transactions!$G:$G,ROW()-8))</f>
      </c>
      <c r="F9123">
        <f>IF(INDEX(Transactions!$J:$J,ROW()-8)="",0,INDEX(Transactions!$O:$O,ROW()-8))</f>
      </c>
    </row>
    <row r="9124" spans="1:7">
      <c r="B9124">
        <f>IF(INDEX(Transactions!$J:$J,ROW()-8)="",TODAY(),INDEX(Transactions!$G:$G,ROW()-8))</f>
      </c>
      <c r="F9124">
        <f>IF(INDEX(Transactions!$J:$J,ROW()-8)="",0,INDEX(Transactions!$O:$O,ROW()-8))</f>
      </c>
    </row>
    <row r="9125" spans="1:7">
      <c r="B9125">
        <f>IF(INDEX(Transactions!$J:$J,ROW()-8)="",TODAY(),INDEX(Transactions!$G:$G,ROW()-8))</f>
      </c>
      <c r="F9125">
        <f>IF(INDEX(Transactions!$J:$J,ROW()-8)="",0,INDEX(Transactions!$O:$O,ROW()-8))</f>
      </c>
    </row>
    <row r="9126" spans="1:7">
      <c r="B9126">
        <f>IF(INDEX(Transactions!$J:$J,ROW()-8)="",TODAY(),INDEX(Transactions!$G:$G,ROW()-8))</f>
      </c>
      <c r="F9126">
        <f>IF(INDEX(Transactions!$J:$J,ROW()-8)="",0,INDEX(Transactions!$O:$O,ROW()-8))</f>
      </c>
    </row>
    <row r="9127" spans="1:7">
      <c r="B9127">
        <f>IF(INDEX(Transactions!$J:$J,ROW()-8)="",TODAY(),INDEX(Transactions!$G:$G,ROW()-8))</f>
      </c>
      <c r="F9127">
        <f>IF(INDEX(Transactions!$J:$J,ROW()-8)="",0,INDEX(Transactions!$O:$O,ROW()-8))</f>
      </c>
    </row>
    <row r="9128" spans="1:7">
      <c r="B9128">
        <f>IF(INDEX(Transactions!$J:$J,ROW()-8)="",TODAY(),INDEX(Transactions!$G:$G,ROW()-8))</f>
      </c>
      <c r="F9128">
        <f>IF(INDEX(Transactions!$J:$J,ROW()-8)="",0,INDEX(Transactions!$O:$O,ROW()-8))</f>
      </c>
    </row>
    <row r="9129" spans="1:7">
      <c r="B9129">
        <f>IF(INDEX(Transactions!$J:$J,ROW()-8)="",TODAY(),INDEX(Transactions!$G:$G,ROW()-8))</f>
      </c>
      <c r="F9129">
        <f>IF(INDEX(Transactions!$J:$J,ROW()-8)="",0,INDEX(Transactions!$O:$O,ROW()-8))</f>
      </c>
    </row>
    <row r="9130" spans="1:7">
      <c r="B9130">
        <f>IF(INDEX(Transactions!$J:$J,ROW()-8)="",TODAY(),INDEX(Transactions!$G:$G,ROW()-8))</f>
      </c>
      <c r="F9130">
        <f>IF(INDEX(Transactions!$J:$J,ROW()-8)="",0,INDEX(Transactions!$O:$O,ROW()-8))</f>
      </c>
    </row>
    <row r="9131" spans="1:7">
      <c r="B9131">
        <f>IF(INDEX(Transactions!$J:$J,ROW()-8)="",TODAY(),INDEX(Transactions!$G:$G,ROW()-8))</f>
      </c>
      <c r="F9131">
        <f>IF(INDEX(Transactions!$J:$J,ROW()-8)="",0,INDEX(Transactions!$O:$O,ROW()-8))</f>
      </c>
    </row>
    <row r="9132" spans="1:7">
      <c r="B9132">
        <f>IF(INDEX(Transactions!$J:$J,ROW()-8)="",TODAY(),INDEX(Transactions!$G:$G,ROW()-8))</f>
      </c>
      <c r="F9132">
        <f>IF(INDEX(Transactions!$J:$J,ROW()-8)="",0,INDEX(Transactions!$O:$O,ROW()-8))</f>
      </c>
    </row>
    <row r="9133" spans="1:7">
      <c r="B9133">
        <f>IF(INDEX(Transactions!$J:$J,ROW()-8)="",TODAY(),INDEX(Transactions!$G:$G,ROW()-8))</f>
      </c>
      <c r="F9133">
        <f>IF(INDEX(Transactions!$J:$J,ROW()-8)="",0,INDEX(Transactions!$O:$O,ROW()-8))</f>
      </c>
    </row>
    <row r="9134" spans="1:7">
      <c r="B9134">
        <f>IF(INDEX(Transactions!$J:$J,ROW()-8)="",TODAY(),INDEX(Transactions!$G:$G,ROW()-8))</f>
      </c>
      <c r="F9134">
        <f>IF(INDEX(Transactions!$J:$J,ROW()-8)="",0,INDEX(Transactions!$O:$O,ROW()-8))</f>
      </c>
    </row>
    <row r="9135" spans="1:7">
      <c r="B9135">
        <f>IF(INDEX(Transactions!$J:$J,ROW()-8)="",TODAY(),INDEX(Transactions!$G:$G,ROW()-8))</f>
      </c>
      <c r="F9135">
        <f>IF(INDEX(Transactions!$J:$J,ROW()-8)="",0,INDEX(Transactions!$O:$O,ROW()-8))</f>
      </c>
    </row>
    <row r="9136" spans="1:7">
      <c r="B9136">
        <f>IF(INDEX(Transactions!$J:$J,ROW()-8)="",TODAY(),INDEX(Transactions!$G:$G,ROW()-8))</f>
      </c>
      <c r="F9136">
        <f>IF(INDEX(Transactions!$J:$J,ROW()-8)="",0,INDEX(Transactions!$O:$O,ROW()-8))</f>
      </c>
    </row>
    <row r="9137" spans="1:7">
      <c r="B9137">
        <f>IF(INDEX(Transactions!$J:$J,ROW()-8)="",TODAY(),INDEX(Transactions!$G:$G,ROW()-8))</f>
      </c>
      <c r="F9137">
        <f>IF(INDEX(Transactions!$J:$J,ROW()-8)="",0,INDEX(Transactions!$O:$O,ROW()-8))</f>
      </c>
    </row>
    <row r="9138" spans="1:7">
      <c r="B9138">
        <f>IF(INDEX(Transactions!$J:$J,ROW()-8)="",TODAY(),INDEX(Transactions!$G:$G,ROW()-8))</f>
      </c>
      <c r="F9138">
        <f>IF(INDEX(Transactions!$J:$J,ROW()-8)="",0,INDEX(Transactions!$O:$O,ROW()-8))</f>
      </c>
    </row>
    <row r="9139" spans="1:7">
      <c r="B9139">
        <f>IF(INDEX(Transactions!$J:$J,ROW()-8)="",TODAY(),INDEX(Transactions!$G:$G,ROW()-8))</f>
      </c>
      <c r="F9139">
        <f>IF(INDEX(Transactions!$J:$J,ROW()-8)="",0,INDEX(Transactions!$O:$O,ROW()-8))</f>
      </c>
    </row>
    <row r="9140" spans="1:7">
      <c r="B9140">
        <f>IF(INDEX(Transactions!$J:$J,ROW()-8)="",TODAY(),INDEX(Transactions!$G:$G,ROW()-8))</f>
      </c>
      <c r="F9140">
        <f>IF(INDEX(Transactions!$J:$J,ROW()-8)="",0,INDEX(Transactions!$O:$O,ROW()-8))</f>
      </c>
    </row>
    <row r="9141" spans="1:7">
      <c r="B9141">
        <f>IF(INDEX(Transactions!$J:$J,ROW()-8)="",TODAY(),INDEX(Transactions!$G:$G,ROW()-8))</f>
      </c>
      <c r="F9141">
        <f>IF(INDEX(Transactions!$J:$J,ROW()-8)="",0,INDEX(Transactions!$O:$O,ROW()-8))</f>
      </c>
    </row>
    <row r="9142" spans="1:7">
      <c r="B9142">
        <f>IF(INDEX(Transactions!$J:$J,ROW()-8)="",TODAY(),INDEX(Transactions!$G:$G,ROW()-8))</f>
      </c>
      <c r="F9142">
        <f>IF(INDEX(Transactions!$J:$J,ROW()-8)="",0,INDEX(Transactions!$O:$O,ROW()-8))</f>
      </c>
    </row>
    <row r="9143" spans="1:7">
      <c r="B9143">
        <f>IF(INDEX(Transactions!$J:$J,ROW()-8)="",TODAY(),INDEX(Transactions!$G:$G,ROW()-8))</f>
      </c>
      <c r="F9143">
        <f>IF(INDEX(Transactions!$J:$J,ROW()-8)="",0,INDEX(Transactions!$O:$O,ROW()-8))</f>
      </c>
    </row>
    <row r="9144" spans="1:7">
      <c r="B9144">
        <f>IF(INDEX(Transactions!$J:$J,ROW()-8)="",TODAY(),INDEX(Transactions!$G:$G,ROW()-8))</f>
      </c>
      <c r="F9144">
        <f>IF(INDEX(Transactions!$J:$J,ROW()-8)="",0,INDEX(Transactions!$O:$O,ROW()-8))</f>
      </c>
    </row>
    <row r="9145" spans="1:7">
      <c r="B9145">
        <f>IF(INDEX(Transactions!$J:$J,ROW()-8)="",TODAY(),INDEX(Transactions!$G:$G,ROW()-8))</f>
      </c>
      <c r="F9145">
        <f>IF(INDEX(Transactions!$J:$J,ROW()-8)="",0,INDEX(Transactions!$O:$O,ROW()-8))</f>
      </c>
    </row>
    <row r="9146" spans="1:7">
      <c r="B9146">
        <f>IF(INDEX(Transactions!$J:$J,ROW()-8)="",TODAY(),INDEX(Transactions!$G:$G,ROW()-8))</f>
      </c>
      <c r="F9146">
        <f>IF(INDEX(Transactions!$J:$J,ROW()-8)="",0,INDEX(Transactions!$O:$O,ROW()-8))</f>
      </c>
    </row>
    <row r="9147" spans="1:7">
      <c r="B9147">
        <f>IF(INDEX(Transactions!$J:$J,ROW()-8)="",TODAY(),INDEX(Transactions!$G:$G,ROW()-8))</f>
      </c>
      <c r="F9147">
        <f>IF(INDEX(Transactions!$J:$J,ROW()-8)="",0,INDEX(Transactions!$O:$O,ROW()-8))</f>
      </c>
    </row>
    <row r="9148" spans="1:7">
      <c r="B9148">
        <f>IF(INDEX(Transactions!$J:$J,ROW()-8)="",TODAY(),INDEX(Transactions!$G:$G,ROW()-8))</f>
      </c>
      <c r="F9148">
        <f>IF(INDEX(Transactions!$J:$J,ROW()-8)="",0,INDEX(Transactions!$O:$O,ROW()-8))</f>
      </c>
    </row>
    <row r="9149" spans="1:7">
      <c r="B9149">
        <f>IF(INDEX(Transactions!$J:$J,ROW()-8)="",TODAY(),INDEX(Transactions!$G:$G,ROW()-8))</f>
      </c>
      <c r="F9149">
        <f>IF(INDEX(Transactions!$J:$J,ROW()-8)="",0,INDEX(Transactions!$O:$O,ROW()-8))</f>
      </c>
    </row>
    <row r="9150" spans="1:7">
      <c r="B9150">
        <f>IF(INDEX(Transactions!$J:$J,ROW()-8)="",TODAY(),INDEX(Transactions!$G:$G,ROW()-8))</f>
      </c>
      <c r="F9150">
        <f>IF(INDEX(Transactions!$J:$J,ROW()-8)="",0,INDEX(Transactions!$O:$O,ROW()-8))</f>
      </c>
    </row>
    <row r="9151" spans="1:7">
      <c r="B9151">
        <f>IF(INDEX(Transactions!$J:$J,ROW()-8)="",TODAY(),INDEX(Transactions!$G:$G,ROW()-8))</f>
      </c>
      <c r="F9151">
        <f>IF(INDEX(Transactions!$J:$J,ROW()-8)="",0,INDEX(Transactions!$O:$O,ROW()-8))</f>
      </c>
    </row>
    <row r="9152" spans="1:7">
      <c r="B9152">
        <f>IF(INDEX(Transactions!$J:$J,ROW()-8)="",TODAY(),INDEX(Transactions!$G:$G,ROW()-8))</f>
      </c>
      <c r="F9152">
        <f>IF(INDEX(Transactions!$J:$J,ROW()-8)="",0,INDEX(Transactions!$O:$O,ROW()-8))</f>
      </c>
    </row>
    <row r="9153" spans="1:7">
      <c r="B9153">
        <f>IF(INDEX(Transactions!$J:$J,ROW()-8)="",TODAY(),INDEX(Transactions!$G:$G,ROW()-8))</f>
      </c>
      <c r="F9153">
        <f>IF(INDEX(Transactions!$J:$J,ROW()-8)="",0,INDEX(Transactions!$O:$O,ROW()-8))</f>
      </c>
    </row>
    <row r="9154" spans="1:7">
      <c r="B9154">
        <f>IF(INDEX(Transactions!$J:$J,ROW()-8)="",TODAY(),INDEX(Transactions!$G:$G,ROW()-8))</f>
      </c>
      <c r="F9154">
        <f>IF(INDEX(Transactions!$J:$J,ROW()-8)="",0,INDEX(Transactions!$O:$O,ROW()-8))</f>
      </c>
    </row>
    <row r="9155" spans="1:7">
      <c r="B9155">
        <f>IF(INDEX(Transactions!$J:$J,ROW()-8)="",TODAY(),INDEX(Transactions!$G:$G,ROW()-8))</f>
      </c>
      <c r="F9155">
        <f>IF(INDEX(Transactions!$J:$J,ROW()-8)="",0,INDEX(Transactions!$O:$O,ROW()-8))</f>
      </c>
    </row>
    <row r="9156" spans="1:7">
      <c r="B9156">
        <f>IF(INDEX(Transactions!$J:$J,ROW()-8)="",TODAY(),INDEX(Transactions!$G:$G,ROW()-8))</f>
      </c>
      <c r="F9156">
        <f>IF(INDEX(Transactions!$J:$J,ROW()-8)="",0,INDEX(Transactions!$O:$O,ROW()-8))</f>
      </c>
    </row>
    <row r="9157" spans="1:7">
      <c r="B9157">
        <f>IF(INDEX(Transactions!$J:$J,ROW()-8)="",TODAY(),INDEX(Transactions!$G:$G,ROW()-8))</f>
      </c>
      <c r="F9157">
        <f>IF(INDEX(Transactions!$J:$J,ROW()-8)="",0,INDEX(Transactions!$O:$O,ROW()-8))</f>
      </c>
    </row>
    <row r="9158" spans="1:7">
      <c r="B9158">
        <f>IF(INDEX(Transactions!$J:$J,ROW()-8)="",TODAY(),INDEX(Transactions!$G:$G,ROW()-8))</f>
      </c>
      <c r="F9158">
        <f>IF(INDEX(Transactions!$J:$J,ROW()-8)="",0,INDEX(Transactions!$O:$O,ROW()-8))</f>
      </c>
    </row>
    <row r="9159" spans="1:7">
      <c r="B9159">
        <f>IF(INDEX(Transactions!$J:$J,ROW()-8)="",TODAY(),INDEX(Transactions!$G:$G,ROW()-8))</f>
      </c>
      <c r="F9159">
        <f>IF(INDEX(Transactions!$J:$J,ROW()-8)="",0,INDEX(Transactions!$O:$O,ROW()-8))</f>
      </c>
    </row>
    <row r="9160" spans="1:7">
      <c r="B9160">
        <f>IF(INDEX(Transactions!$J:$J,ROW()-8)="",TODAY(),INDEX(Transactions!$G:$G,ROW()-8))</f>
      </c>
      <c r="F9160">
        <f>IF(INDEX(Transactions!$J:$J,ROW()-8)="",0,INDEX(Transactions!$O:$O,ROW()-8))</f>
      </c>
    </row>
    <row r="9161" spans="1:7">
      <c r="B9161">
        <f>IF(INDEX(Transactions!$J:$J,ROW()-8)="",TODAY(),INDEX(Transactions!$G:$G,ROW()-8))</f>
      </c>
      <c r="F9161">
        <f>IF(INDEX(Transactions!$J:$J,ROW()-8)="",0,INDEX(Transactions!$O:$O,ROW()-8))</f>
      </c>
    </row>
    <row r="9162" spans="1:7">
      <c r="B9162">
        <f>IF(INDEX(Transactions!$J:$J,ROW()-8)="",TODAY(),INDEX(Transactions!$G:$G,ROW()-8))</f>
      </c>
      <c r="F9162">
        <f>IF(INDEX(Transactions!$J:$J,ROW()-8)="",0,INDEX(Transactions!$O:$O,ROW()-8))</f>
      </c>
    </row>
    <row r="9163" spans="1:7">
      <c r="B9163">
        <f>IF(INDEX(Transactions!$J:$J,ROW()-8)="",TODAY(),INDEX(Transactions!$G:$G,ROW()-8))</f>
      </c>
      <c r="F9163">
        <f>IF(INDEX(Transactions!$J:$J,ROW()-8)="",0,INDEX(Transactions!$O:$O,ROW()-8))</f>
      </c>
    </row>
    <row r="9164" spans="1:7">
      <c r="B9164">
        <f>IF(INDEX(Transactions!$J:$J,ROW()-8)="",TODAY(),INDEX(Transactions!$G:$G,ROW()-8))</f>
      </c>
      <c r="F9164">
        <f>IF(INDEX(Transactions!$J:$J,ROW()-8)="",0,INDEX(Transactions!$O:$O,ROW()-8))</f>
      </c>
    </row>
    <row r="9165" spans="1:7">
      <c r="B9165">
        <f>IF(INDEX(Transactions!$J:$J,ROW()-8)="",TODAY(),INDEX(Transactions!$G:$G,ROW()-8))</f>
      </c>
      <c r="F9165">
        <f>IF(INDEX(Transactions!$J:$J,ROW()-8)="",0,INDEX(Transactions!$O:$O,ROW()-8))</f>
      </c>
    </row>
    <row r="9166" spans="1:7">
      <c r="B9166">
        <f>IF(INDEX(Transactions!$J:$J,ROW()-8)="",TODAY(),INDEX(Transactions!$G:$G,ROW()-8))</f>
      </c>
      <c r="F9166">
        <f>IF(INDEX(Transactions!$J:$J,ROW()-8)="",0,INDEX(Transactions!$O:$O,ROW()-8))</f>
      </c>
    </row>
    <row r="9167" spans="1:7">
      <c r="B9167">
        <f>IF(INDEX(Transactions!$J:$J,ROW()-8)="",TODAY(),INDEX(Transactions!$G:$G,ROW()-8))</f>
      </c>
      <c r="F9167">
        <f>IF(INDEX(Transactions!$J:$J,ROW()-8)="",0,INDEX(Transactions!$O:$O,ROW()-8))</f>
      </c>
    </row>
    <row r="9168" spans="1:7">
      <c r="B9168">
        <f>IF(INDEX(Transactions!$J:$J,ROW()-8)="",TODAY(),INDEX(Transactions!$G:$G,ROW()-8))</f>
      </c>
      <c r="F9168">
        <f>IF(INDEX(Transactions!$J:$J,ROW()-8)="",0,INDEX(Transactions!$O:$O,ROW()-8))</f>
      </c>
    </row>
    <row r="9169" spans="1:7">
      <c r="B9169">
        <f>IF(INDEX(Transactions!$J:$J,ROW()-8)="",TODAY(),INDEX(Transactions!$G:$G,ROW()-8))</f>
      </c>
      <c r="F9169">
        <f>IF(INDEX(Transactions!$J:$J,ROW()-8)="",0,INDEX(Transactions!$O:$O,ROW()-8))</f>
      </c>
    </row>
    <row r="9170" spans="1:7">
      <c r="B9170">
        <f>IF(INDEX(Transactions!$J:$J,ROW()-8)="",TODAY(),INDEX(Transactions!$G:$G,ROW()-8))</f>
      </c>
      <c r="F9170">
        <f>IF(INDEX(Transactions!$J:$J,ROW()-8)="",0,INDEX(Transactions!$O:$O,ROW()-8))</f>
      </c>
    </row>
    <row r="9171" spans="1:7">
      <c r="B9171">
        <f>IF(INDEX(Transactions!$J:$J,ROW()-8)="",TODAY(),INDEX(Transactions!$G:$G,ROW()-8))</f>
      </c>
      <c r="F9171">
        <f>IF(INDEX(Transactions!$J:$J,ROW()-8)="",0,INDEX(Transactions!$O:$O,ROW()-8))</f>
      </c>
    </row>
    <row r="9172" spans="1:7">
      <c r="B9172">
        <f>IF(INDEX(Transactions!$J:$J,ROW()-8)="",TODAY(),INDEX(Transactions!$G:$G,ROW()-8))</f>
      </c>
      <c r="F9172">
        <f>IF(INDEX(Transactions!$J:$J,ROW()-8)="",0,INDEX(Transactions!$O:$O,ROW()-8))</f>
      </c>
    </row>
    <row r="9173" spans="1:7">
      <c r="B9173">
        <f>IF(INDEX(Transactions!$J:$J,ROW()-8)="",TODAY(),INDEX(Transactions!$G:$G,ROW()-8))</f>
      </c>
      <c r="F9173">
        <f>IF(INDEX(Transactions!$J:$J,ROW()-8)="",0,INDEX(Transactions!$O:$O,ROW()-8))</f>
      </c>
    </row>
    <row r="9174" spans="1:7">
      <c r="B9174">
        <f>IF(INDEX(Transactions!$J:$J,ROW()-8)="",TODAY(),INDEX(Transactions!$G:$G,ROW()-8))</f>
      </c>
      <c r="F9174">
        <f>IF(INDEX(Transactions!$J:$J,ROW()-8)="",0,INDEX(Transactions!$O:$O,ROW()-8))</f>
      </c>
    </row>
    <row r="9175" spans="1:7">
      <c r="B9175">
        <f>IF(INDEX(Transactions!$J:$J,ROW()-8)="",TODAY(),INDEX(Transactions!$G:$G,ROW()-8))</f>
      </c>
      <c r="F9175">
        <f>IF(INDEX(Transactions!$J:$J,ROW()-8)="",0,INDEX(Transactions!$O:$O,ROW()-8))</f>
      </c>
    </row>
    <row r="9176" spans="1:7">
      <c r="B9176">
        <f>IF(INDEX(Transactions!$J:$J,ROW()-8)="",TODAY(),INDEX(Transactions!$G:$G,ROW()-8))</f>
      </c>
      <c r="F9176">
        <f>IF(INDEX(Transactions!$J:$J,ROW()-8)="",0,INDEX(Transactions!$O:$O,ROW()-8))</f>
      </c>
    </row>
    <row r="9177" spans="1:7">
      <c r="B9177">
        <f>IF(INDEX(Transactions!$J:$J,ROW()-8)="",TODAY(),INDEX(Transactions!$G:$G,ROW()-8))</f>
      </c>
      <c r="F9177">
        <f>IF(INDEX(Transactions!$J:$J,ROW()-8)="",0,INDEX(Transactions!$O:$O,ROW()-8))</f>
      </c>
    </row>
    <row r="9178" spans="1:7">
      <c r="B9178">
        <f>IF(INDEX(Transactions!$J:$J,ROW()-8)="",TODAY(),INDEX(Transactions!$G:$G,ROW()-8))</f>
      </c>
      <c r="F9178">
        <f>IF(INDEX(Transactions!$J:$J,ROW()-8)="",0,INDEX(Transactions!$O:$O,ROW()-8))</f>
      </c>
    </row>
    <row r="9179" spans="1:7">
      <c r="B9179">
        <f>IF(INDEX(Transactions!$J:$J,ROW()-8)="",TODAY(),INDEX(Transactions!$G:$G,ROW()-8))</f>
      </c>
      <c r="F9179">
        <f>IF(INDEX(Transactions!$J:$J,ROW()-8)="",0,INDEX(Transactions!$O:$O,ROW()-8))</f>
      </c>
    </row>
    <row r="9180" spans="1:7">
      <c r="B9180">
        <f>IF(INDEX(Transactions!$J:$J,ROW()-8)="",TODAY(),INDEX(Transactions!$G:$G,ROW()-8))</f>
      </c>
      <c r="F9180">
        <f>IF(INDEX(Transactions!$J:$J,ROW()-8)="",0,INDEX(Transactions!$O:$O,ROW()-8))</f>
      </c>
    </row>
    <row r="9181" spans="1:7">
      <c r="B9181">
        <f>IF(INDEX(Transactions!$J:$J,ROW()-8)="",TODAY(),INDEX(Transactions!$G:$G,ROW()-8))</f>
      </c>
      <c r="F9181">
        <f>IF(INDEX(Transactions!$J:$J,ROW()-8)="",0,INDEX(Transactions!$O:$O,ROW()-8))</f>
      </c>
    </row>
    <row r="9182" spans="1:7">
      <c r="B9182">
        <f>IF(INDEX(Transactions!$J:$J,ROW()-8)="",TODAY(),INDEX(Transactions!$G:$G,ROW()-8))</f>
      </c>
      <c r="F9182">
        <f>IF(INDEX(Transactions!$J:$J,ROW()-8)="",0,INDEX(Transactions!$O:$O,ROW()-8))</f>
      </c>
    </row>
    <row r="9183" spans="1:7">
      <c r="B9183">
        <f>IF(INDEX(Transactions!$J:$J,ROW()-8)="",TODAY(),INDEX(Transactions!$G:$G,ROW()-8))</f>
      </c>
      <c r="F9183">
        <f>IF(INDEX(Transactions!$J:$J,ROW()-8)="",0,INDEX(Transactions!$O:$O,ROW()-8))</f>
      </c>
    </row>
    <row r="9184" spans="1:7">
      <c r="B9184">
        <f>IF(INDEX(Transactions!$J:$J,ROW()-8)="",TODAY(),INDEX(Transactions!$G:$G,ROW()-8))</f>
      </c>
      <c r="F9184">
        <f>IF(INDEX(Transactions!$J:$J,ROW()-8)="",0,INDEX(Transactions!$O:$O,ROW()-8))</f>
      </c>
    </row>
    <row r="9185" spans="1:7">
      <c r="B9185">
        <f>IF(INDEX(Transactions!$J:$J,ROW()-8)="",TODAY(),INDEX(Transactions!$G:$G,ROW()-8))</f>
      </c>
      <c r="F9185">
        <f>IF(INDEX(Transactions!$J:$J,ROW()-8)="",0,INDEX(Transactions!$O:$O,ROW()-8))</f>
      </c>
    </row>
    <row r="9186" spans="1:7">
      <c r="B9186">
        <f>IF(INDEX(Transactions!$J:$J,ROW()-8)="",TODAY(),INDEX(Transactions!$G:$G,ROW()-8))</f>
      </c>
      <c r="F9186">
        <f>IF(INDEX(Transactions!$J:$J,ROW()-8)="",0,INDEX(Transactions!$O:$O,ROW()-8))</f>
      </c>
    </row>
    <row r="9187" spans="1:7">
      <c r="B9187">
        <f>IF(INDEX(Transactions!$J:$J,ROW()-8)="",TODAY(),INDEX(Transactions!$G:$G,ROW()-8))</f>
      </c>
      <c r="F9187">
        <f>IF(INDEX(Transactions!$J:$J,ROW()-8)="",0,INDEX(Transactions!$O:$O,ROW()-8))</f>
      </c>
    </row>
    <row r="9188" spans="1:7">
      <c r="B9188">
        <f>IF(INDEX(Transactions!$J:$J,ROW()-8)="",TODAY(),INDEX(Transactions!$G:$G,ROW()-8))</f>
      </c>
      <c r="F9188">
        <f>IF(INDEX(Transactions!$J:$J,ROW()-8)="",0,INDEX(Transactions!$O:$O,ROW()-8))</f>
      </c>
    </row>
    <row r="9189" spans="1:7">
      <c r="B9189">
        <f>IF(INDEX(Transactions!$J:$J,ROW()-8)="",TODAY(),INDEX(Transactions!$G:$G,ROW()-8))</f>
      </c>
      <c r="F9189">
        <f>IF(INDEX(Transactions!$J:$J,ROW()-8)="",0,INDEX(Transactions!$O:$O,ROW()-8))</f>
      </c>
    </row>
    <row r="9190" spans="1:7">
      <c r="B9190">
        <f>IF(INDEX(Transactions!$J:$J,ROW()-8)="",TODAY(),INDEX(Transactions!$G:$G,ROW()-8))</f>
      </c>
      <c r="F9190">
        <f>IF(INDEX(Transactions!$J:$J,ROW()-8)="",0,INDEX(Transactions!$O:$O,ROW()-8))</f>
      </c>
    </row>
    <row r="9191" spans="1:7">
      <c r="B9191">
        <f>IF(INDEX(Transactions!$J:$J,ROW()-8)="",TODAY(),INDEX(Transactions!$G:$G,ROW()-8))</f>
      </c>
      <c r="F9191">
        <f>IF(INDEX(Transactions!$J:$J,ROW()-8)="",0,INDEX(Transactions!$O:$O,ROW()-8))</f>
      </c>
    </row>
    <row r="9192" spans="1:7">
      <c r="B9192">
        <f>IF(INDEX(Transactions!$J:$J,ROW()-8)="",TODAY(),INDEX(Transactions!$G:$G,ROW()-8))</f>
      </c>
      <c r="F9192">
        <f>IF(INDEX(Transactions!$J:$J,ROW()-8)="",0,INDEX(Transactions!$O:$O,ROW()-8))</f>
      </c>
    </row>
    <row r="9193" spans="1:7">
      <c r="B9193">
        <f>IF(INDEX(Transactions!$J:$J,ROW()-8)="",TODAY(),INDEX(Transactions!$G:$G,ROW()-8))</f>
      </c>
      <c r="F9193">
        <f>IF(INDEX(Transactions!$J:$J,ROW()-8)="",0,INDEX(Transactions!$O:$O,ROW()-8))</f>
      </c>
    </row>
    <row r="9194" spans="1:7">
      <c r="B9194">
        <f>IF(INDEX(Transactions!$J:$J,ROW()-8)="",TODAY(),INDEX(Transactions!$G:$G,ROW()-8))</f>
      </c>
      <c r="F9194">
        <f>IF(INDEX(Transactions!$J:$J,ROW()-8)="",0,INDEX(Transactions!$O:$O,ROW()-8))</f>
      </c>
    </row>
    <row r="9195" spans="1:7">
      <c r="B9195">
        <f>IF(INDEX(Transactions!$J:$J,ROW()-8)="",TODAY(),INDEX(Transactions!$G:$G,ROW()-8))</f>
      </c>
      <c r="F9195">
        <f>IF(INDEX(Transactions!$J:$J,ROW()-8)="",0,INDEX(Transactions!$O:$O,ROW()-8))</f>
      </c>
    </row>
    <row r="9196" spans="1:7">
      <c r="B9196">
        <f>IF(INDEX(Transactions!$J:$J,ROW()-8)="",TODAY(),INDEX(Transactions!$G:$G,ROW()-8))</f>
      </c>
      <c r="F9196">
        <f>IF(INDEX(Transactions!$J:$J,ROW()-8)="",0,INDEX(Transactions!$O:$O,ROW()-8))</f>
      </c>
    </row>
    <row r="9197" spans="1:7">
      <c r="B9197">
        <f>IF(INDEX(Transactions!$J:$J,ROW()-8)="",TODAY(),INDEX(Transactions!$G:$G,ROW()-8))</f>
      </c>
      <c r="F9197">
        <f>IF(INDEX(Transactions!$J:$J,ROW()-8)="",0,INDEX(Transactions!$O:$O,ROW()-8))</f>
      </c>
    </row>
    <row r="9198" spans="1:7">
      <c r="B9198">
        <f>IF(INDEX(Transactions!$J:$J,ROW()-8)="",TODAY(),INDEX(Transactions!$G:$G,ROW()-8))</f>
      </c>
      <c r="F9198">
        <f>IF(INDEX(Transactions!$J:$J,ROW()-8)="",0,INDEX(Transactions!$O:$O,ROW()-8))</f>
      </c>
    </row>
    <row r="9199" spans="1:7">
      <c r="B9199">
        <f>IF(INDEX(Transactions!$J:$J,ROW()-8)="",TODAY(),INDEX(Transactions!$G:$G,ROW()-8))</f>
      </c>
      <c r="F9199">
        <f>IF(INDEX(Transactions!$J:$J,ROW()-8)="",0,INDEX(Transactions!$O:$O,ROW()-8))</f>
      </c>
    </row>
    <row r="9200" spans="1:7">
      <c r="B9200">
        <f>IF(INDEX(Transactions!$J:$J,ROW()-8)="",TODAY(),INDEX(Transactions!$G:$G,ROW()-8))</f>
      </c>
      <c r="F9200">
        <f>IF(INDEX(Transactions!$J:$J,ROW()-8)="",0,INDEX(Transactions!$O:$O,ROW()-8))</f>
      </c>
    </row>
    <row r="9201" spans="1:7">
      <c r="B9201">
        <f>IF(INDEX(Transactions!$J:$J,ROW()-8)="",TODAY(),INDEX(Transactions!$G:$G,ROW()-8))</f>
      </c>
      <c r="F9201">
        <f>IF(INDEX(Transactions!$J:$J,ROW()-8)="",0,INDEX(Transactions!$O:$O,ROW()-8))</f>
      </c>
    </row>
    <row r="9202" spans="1:7">
      <c r="B9202">
        <f>IF(INDEX(Transactions!$J:$J,ROW()-8)="",TODAY(),INDEX(Transactions!$G:$G,ROW()-8))</f>
      </c>
      <c r="F9202">
        <f>IF(INDEX(Transactions!$J:$J,ROW()-8)="",0,INDEX(Transactions!$O:$O,ROW()-8))</f>
      </c>
    </row>
    <row r="9203" spans="1:7">
      <c r="B9203">
        <f>IF(INDEX(Transactions!$J:$J,ROW()-8)="",TODAY(),INDEX(Transactions!$G:$G,ROW()-8))</f>
      </c>
      <c r="F9203">
        <f>IF(INDEX(Transactions!$J:$J,ROW()-8)="",0,INDEX(Transactions!$O:$O,ROW()-8))</f>
      </c>
    </row>
    <row r="9204" spans="1:7">
      <c r="B9204">
        <f>IF(INDEX(Transactions!$J:$J,ROW()-8)="",TODAY(),INDEX(Transactions!$G:$G,ROW()-8))</f>
      </c>
      <c r="F9204">
        <f>IF(INDEX(Transactions!$J:$J,ROW()-8)="",0,INDEX(Transactions!$O:$O,ROW()-8))</f>
      </c>
    </row>
    <row r="9205" spans="1:7">
      <c r="B9205">
        <f>IF(INDEX(Transactions!$J:$J,ROW()-8)="",TODAY(),INDEX(Transactions!$G:$G,ROW()-8))</f>
      </c>
      <c r="F9205">
        <f>IF(INDEX(Transactions!$J:$J,ROW()-8)="",0,INDEX(Transactions!$O:$O,ROW()-8))</f>
      </c>
    </row>
    <row r="9206" spans="1:7">
      <c r="B9206">
        <f>IF(INDEX(Transactions!$J:$J,ROW()-8)="",TODAY(),INDEX(Transactions!$G:$G,ROW()-8))</f>
      </c>
      <c r="F9206">
        <f>IF(INDEX(Transactions!$J:$J,ROW()-8)="",0,INDEX(Transactions!$O:$O,ROW()-8))</f>
      </c>
    </row>
    <row r="9207" spans="1:7">
      <c r="B9207">
        <f>IF(INDEX(Transactions!$J:$J,ROW()-8)="",TODAY(),INDEX(Transactions!$G:$G,ROW()-8))</f>
      </c>
      <c r="F9207">
        <f>IF(INDEX(Transactions!$J:$J,ROW()-8)="",0,INDEX(Transactions!$O:$O,ROW()-8))</f>
      </c>
    </row>
    <row r="9208" spans="1:7">
      <c r="B9208">
        <f>IF(INDEX(Transactions!$J:$J,ROW()-8)="",TODAY(),INDEX(Transactions!$G:$G,ROW()-8))</f>
      </c>
      <c r="F9208">
        <f>IF(INDEX(Transactions!$J:$J,ROW()-8)="",0,INDEX(Transactions!$O:$O,ROW()-8))</f>
      </c>
    </row>
    <row r="9209" spans="1:7">
      <c r="B9209">
        <f>IF(INDEX(Transactions!$J:$J,ROW()-8)="",TODAY(),INDEX(Transactions!$G:$G,ROW()-8))</f>
      </c>
      <c r="F9209">
        <f>IF(INDEX(Transactions!$J:$J,ROW()-8)="",0,INDEX(Transactions!$O:$O,ROW()-8))</f>
      </c>
    </row>
    <row r="9210" spans="1:7">
      <c r="B9210">
        <f>IF(INDEX(Transactions!$J:$J,ROW()-8)="",TODAY(),INDEX(Transactions!$G:$G,ROW()-8))</f>
      </c>
      <c r="F9210">
        <f>IF(INDEX(Transactions!$J:$J,ROW()-8)="",0,INDEX(Transactions!$O:$O,ROW()-8))</f>
      </c>
    </row>
    <row r="9211" spans="1:7">
      <c r="B9211">
        <f>IF(INDEX(Transactions!$J:$J,ROW()-8)="",TODAY(),INDEX(Transactions!$G:$G,ROW()-8))</f>
      </c>
      <c r="F9211">
        <f>IF(INDEX(Transactions!$J:$J,ROW()-8)="",0,INDEX(Transactions!$O:$O,ROW()-8))</f>
      </c>
    </row>
    <row r="9212" spans="1:7">
      <c r="B9212">
        <f>IF(INDEX(Transactions!$J:$J,ROW()-8)="",TODAY(),INDEX(Transactions!$G:$G,ROW()-8))</f>
      </c>
      <c r="F9212">
        <f>IF(INDEX(Transactions!$J:$J,ROW()-8)="",0,INDEX(Transactions!$O:$O,ROW()-8))</f>
      </c>
    </row>
    <row r="9213" spans="1:7">
      <c r="B9213">
        <f>IF(INDEX(Transactions!$J:$J,ROW()-8)="",TODAY(),INDEX(Transactions!$G:$G,ROW()-8))</f>
      </c>
      <c r="F9213">
        <f>IF(INDEX(Transactions!$J:$J,ROW()-8)="",0,INDEX(Transactions!$O:$O,ROW()-8))</f>
      </c>
    </row>
    <row r="9214" spans="1:7">
      <c r="B9214">
        <f>IF(INDEX(Transactions!$J:$J,ROW()-8)="",TODAY(),INDEX(Transactions!$G:$G,ROW()-8))</f>
      </c>
      <c r="F9214">
        <f>IF(INDEX(Transactions!$J:$J,ROW()-8)="",0,INDEX(Transactions!$O:$O,ROW()-8))</f>
      </c>
    </row>
    <row r="9215" spans="1:7">
      <c r="B9215">
        <f>IF(INDEX(Transactions!$J:$J,ROW()-8)="",TODAY(),INDEX(Transactions!$G:$G,ROW()-8))</f>
      </c>
      <c r="F9215">
        <f>IF(INDEX(Transactions!$J:$J,ROW()-8)="",0,INDEX(Transactions!$O:$O,ROW()-8))</f>
      </c>
    </row>
    <row r="9216" spans="1:7">
      <c r="B9216">
        <f>IF(INDEX(Transactions!$J:$J,ROW()-8)="",TODAY(),INDEX(Transactions!$G:$G,ROW()-8))</f>
      </c>
      <c r="F9216">
        <f>IF(INDEX(Transactions!$J:$J,ROW()-8)="",0,INDEX(Transactions!$O:$O,ROW()-8))</f>
      </c>
    </row>
    <row r="9217" spans="1:7">
      <c r="B9217">
        <f>IF(INDEX(Transactions!$J:$J,ROW()-8)="",TODAY(),INDEX(Transactions!$G:$G,ROW()-8))</f>
      </c>
      <c r="F9217">
        <f>IF(INDEX(Transactions!$J:$J,ROW()-8)="",0,INDEX(Transactions!$O:$O,ROW()-8))</f>
      </c>
    </row>
    <row r="9218" spans="1:7">
      <c r="B9218">
        <f>IF(INDEX(Transactions!$J:$J,ROW()-8)="",TODAY(),INDEX(Transactions!$G:$G,ROW()-8))</f>
      </c>
      <c r="F9218">
        <f>IF(INDEX(Transactions!$J:$J,ROW()-8)="",0,INDEX(Transactions!$O:$O,ROW()-8))</f>
      </c>
    </row>
    <row r="9219" spans="1:7">
      <c r="B9219">
        <f>IF(INDEX(Transactions!$J:$J,ROW()-8)="",TODAY(),INDEX(Transactions!$G:$G,ROW()-8))</f>
      </c>
      <c r="F9219">
        <f>IF(INDEX(Transactions!$J:$J,ROW()-8)="",0,INDEX(Transactions!$O:$O,ROW()-8))</f>
      </c>
    </row>
    <row r="9220" spans="1:7">
      <c r="B9220">
        <f>IF(INDEX(Transactions!$J:$J,ROW()-8)="",TODAY(),INDEX(Transactions!$G:$G,ROW()-8))</f>
      </c>
      <c r="F9220">
        <f>IF(INDEX(Transactions!$J:$J,ROW()-8)="",0,INDEX(Transactions!$O:$O,ROW()-8))</f>
      </c>
    </row>
    <row r="9221" spans="1:7">
      <c r="B9221">
        <f>IF(INDEX(Transactions!$J:$J,ROW()-8)="",TODAY(),INDEX(Transactions!$G:$G,ROW()-8))</f>
      </c>
      <c r="F9221">
        <f>IF(INDEX(Transactions!$J:$J,ROW()-8)="",0,INDEX(Transactions!$O:$O,ROW()-8))</f>
      </c>
    </row>
    <row r="9222" spans="1:7">
      <c r="B9222">
        <f>IF(INDEX(Transactions!$J:$J,ROW()-8)="",TODAY(),INDEX(Transactions!$G:$G,ROW()-8))</f>
      </c>
      <c r="F9222">
        <f>IF(INDEX(Transactions!$J:$J,ROW()-8)="",0,INDEX(Transactions!$O:$O,ROW()-8))</f>
      </c>
    </row>
    <row r="9223" spans="1:7">
      <c r="B9223">
        <f>IF(INDEX(Transactions!$J:$J,ROW()-8)="",TODAY(),INDEX(Transactions!$G:$G,ROW()-8))</f>
      </c>
      <c r="F9223">
        <f>IF(INDEX(Transactions!$J:$J,ROW()-8)="",0,INDEX(Transactions!$O:$O,ROW()-8))</f>
      </c>
    </row>
    <row r="9224" spans="1:7">
      <c r="B9224">
        <f>IF(INDEX(Transactions!$J:$J,ROW()-8)="",TODAY(),INDEX(Transactions!$G:$G,ROW()-8))</f>
      </c>
      <c r="F9224">
        <f>IF(INDEX(Transactions!$J:$J,ROW()-8)="",0,INDEX(Transactions!$O:$O,ROW()-8))</f>
      </c>
    </row>
    <row r="9225" spans="1:7">
      <c r="B9225">
        <f>IF(INDEX(Transactions!$J:$J,ROW()-8)="",TODAY(),INDEX(Transactions!$G:$G,ROW()-8))</f>
      </c>
      <c r="F9225">
        <f>IF(INDEX(Transactions!$J:$J,ROW()-8)="",0,INDEX(Transactions!$O:$O,ROW()-8))</f>
      </c>
    </row>
    <row r="9226" spans="1:7">
      <c r="B9226">
        <f>IF(INDEX(Transactions!$J:$J,ROW()-8)="",TODAY(),INDEX(Transactions!$G:$G,ROW()-8))</f>
      </c>
      <c r="F9226">
        <f>IF(INDEX(Transactions!$J:$J,ROW()-8)="",0,INDEX(Transactions!$O:$O,ROW()-8))</f>
      </c>
    </row>
    <row r="9227" spans="1:7">
      <c r="B9227">
        <f>IF(INDEX(Transactions!$J:$J,ROW()-8)="",TODAY(),INDEX(Transactions!$G:$G,ROW()-8))</f>
      </c>
      <c r="F9227">
        <f>IF(INDEX(Transactions!$J:$J,ROW()-8)="",0,INDEX(Transactions!$O:$O,ROW()-8))</f>
      </c>
    </row>
    <row r="9228" spans="1:7">
      <c r="B9228">
        <f>IF(INDEX(Transactions!$J:$J,ROW()-8)="",TODAY(),INDEX(Transactions!$G:$G,ROW()-8))</f>
      </c>
      <c r="F9228">
        <f>IF(INDEX(Transactions!$J:$J,ROW()-8)="",0,INDEX(Transactions!$O:$O,ROW()-8))</f>
      </c>
    </row>
    <row r="9229" spans="1:7">
      <c r="B9229">
        <f>IF(INDEX(Transactions!$J:$J,ROW()-8)="",TODAY(),INDEX(Transactions!$G:$G,ROW()-8))</f>
      </c>
      <c r="F9229">
        <f>IF(INDEX(Transactions!$J:$J,ROW()-8)="",0,INDEX(Transactions!$O:$O,ROW()-8))</f>
      </c>
    </row>
    <row r="9230" spans="1:7">
      <c r="B9230">
        <f>IF(INDEX(Transactions!$J:$J,ROW()-8)="",TODAY(),INDEX(Transactions!$G:$G,ROW()-8))</f>
      </c>
      <c r="F9230">
        <f>IF(INDEX(Transactions!$J:$J,ROW()-8)="",0,INDEX(Transactions!$O:$O,ROW()-8))</f>
      </c>
    </row>
    <row r="9231" spans="1:7">
      <c r="B9231">
        <f>IF(INDEX(Transactions!$J:$J,ROW()-8)="",TODAY(),INDEX(Transactions!$G:$G,ROW()-8))</f>
      </c>
      <c r="F9231">
        <f>IF(INDEX(Transactions!$J:$J,ROW()-8)="",0,INDEX(Transactions!$O:$O,ROW()-8))</f>
      </c>
    </row>
    <row r="9232" spans="1:7">
      <c r="B9232">
        <f>IF(INDEX(Transactions!$J:$J,ROW()-8)="",TODAY(),INDEX(Transactions!$G:$G,ROW()-8))</f>
      </c>
      <c r="F9232">
        <f>IF(INDEX(Transactions!$J:$J,ROW()-8)="",0,INDEX(Transactions!$O:$O,ROW()-8))</f>
      </c>
    </row>
    <row r="9233" spans="1:7">
      <c r="B9233">
        <f>IF(INDEX(Transactions!$J:$J,ROW()-8)="",TODAY(),INDEX(Transactions!$G:$G,ROW()-8))</f>
      </c>
      <c r="F9233">
        <f>IF(INDEX(Transactions!$J:$J,ROW()-8)="",0,INDEX(Transactions!$O:$O,ROW()-8))</f>
      </c>
    </row>
    <row r="9234" spans="1:7">
      <c r="B9234">
        <f>IF(INDEX(Transactions!$J:$J,ROW()-8)="",TODAY(),INDEX(Transactions!$G:$G,ROW()-8))</f>
      </c>
      <c r="F9234">
        <f>IF(INDEX(Transactions!$J:$J,ROW()-8)="",0,INDEX(Transactions!$O:$O,ROW()-8))</f>
      </c>
    </row>
    <row r="9235" spans="1:7">
      <c r="B9235">
        <f>IF(INDEX(Transactions!$J:$J,ROW()-8)="",TODAY(),INDEX(Transactions!$G:$G,ROW()-8))</f>
      </c>
      <c r="F9235">
        <f>IF(INDEX(Transactions!$J:$J,ROW()-8)="",0,INDEX(Transactions!$O:$O,ROW()-8))</f>
      </c>
    </row>
    <row r="9236" spans="1:7">
      <c r="B9236">
        <f>IF(INDEX(Transactions!$J:$J,ROW()-8)="",TODAY(),INDEX(Transactions!$G:$G,ROW()-8))</f>
      </c>
      <c r="F9236">
        <f>IF(INDEX(Transactions!$J:$J,ROW()-8)="",0,INDEX(Transactions!$O:$O,ROW()-8))</f>
      </c>
    </row>
    <row r="9237" spans="1:7">
      <c r="B9237">
        <f>IF(INDEX(Transactions!$J:$J,ROW()-8)="",TODAY(),INDEX(Transactions!$G:$G,ROW()-8))</f>
      </c>
      <c r="F9237">
        <f>IF(INDEX(Transactions!$J:$J,ROW()-8)="",0,INDEX(Transactions!$O:$O,ROW()-8))</f>
      </c>
    </row>
    <row r="9238" spans="1:7">
      <c r="B9238">
        <f>IF(INDEX(Transactions!$J:$J,ROW()-8)="",TODAY(),INDEX(Transactions!$G:$G,ROW()-8))</f>
      </c>
      <c r="F9238">
        <f>IF(INDEX(Transactions!$J:$J,ROW()-8)="",0,INDEX(Transactions!$O:$O,ROW()-8))</f>
      </c>
    </row>
    <row r="9239" spans="1:7">
      <c r="B9239">
        <f>IF(INDEX(Transactions!$J:$J,ROW()-8)="",TODAY(),INDEX(Transactions!$G:$G,ROW()-8))</f>
      </c>
      <c r="F9239">
        <f>IF(INDEX(Transactions!$J:$J,ROW()-8)="",0,INDEX(Transactions!$O:$O,ROW()-8))</f>
      </c>
    </row>
    <row r="9240" spans="1:7">
      <c r="B9240">
        <f>IF(INDEX(Transactions!$J:$J,ROW()-8)="",TODAY(),INDEX(Transactions!$G:$G,ROW()-8))</f>
      </c>
      <c r="F9240">
        <f>IF(INDEX(Transactions!$J:$J,ROW()-8)="",0,INDEX(Transactions!$O:$O,ROW()-8))</f>
      </c>
    </row>
    <row r="9241" spans="1:7">
      <c r="B9241">
        <f>IF(INDEX(Transactions!$J:$J,ROW()-8)="",TODAY(),INDEX(Transactions!$G:$G,ROW()-8))</f>
      </c>
      <c r="F9241">
        <f>IF(INDEX(Transactions!$J:$J,ROW()-8)="",0,INDEX(Transactions!$O:$O,ROW()-8))</f>
      </c>
    </row>
    <row r="9242" spans="1:7">
      <c r="B9242">
        <f>IF(INDEX(Transactions!$J:$J,ROW()-8)="",TODAY(),INDEX(Transactions!$G:$G,ROW()-8))</f>
      </c>
      <c r="F9242">
        <f>IF(INDEX(Transactions!$J:$J,ROW()-8)="",0,INDEX(Transactions!$O:$O,ROW()-8))</f>
      </c>
    </row>
    <row r="9243" spans="1:7">
      <c r="B9243">
        <f>IF(INDEX(Transactions!$J:$J,ROW()-8)="",TODAY(),INDEX(Transactions!$G:$G,ROW()-8))</f>
      </c>
      <c r="F9243">
        <f>IF(INDEX(Transactions!$J:$J,ROW()-8)="",0,INDEX(Transactions!$O:$O,ROW()-8))</f>
      </c>
    </row>
    <row r="9244" spans="1:7">
      <c r="B9244">
        <f>IF(INDEX(Transactions!$J:$J,ROW()-8)="",TODAY(),INDEX(Transactions!$G:$G,ROW()-8))</f>
      </c>
      <c r="F9244">
        <f>IF(INDEX(Transactions!$J:$J,ROW()-8)="",0,INDEX(Transactions!$O:$O,ROW()-8))</f>
      </c>
    </row>
    <row r="9245" spans="1:7">
      <c r="B9245">
        <f>IF(INDEX(Transactions!$J:$J,ROW()-8)="",TODAY(),INDEX(Transactions!$G:$G,ROW()-8))</f>
      </c>
      <c r="F9245">
        <f>IF(INDEX(Transactions!$J:$J,ROW()-8)="",0,INDEX(Transactions!$O:$O,ROW()-8))</f>
      </c>
    </row>
    <row r="9246" spans="1:7">
      <c r="B9246">
        <f>IF(INDEX(Transactions!$J:$J,ROW()-8)="",TODAY(),INDEX(Transactions!$G:$G,ROW()-8))</f>
      </c>
      <c r="F9246">
        <f>IF(INDEX(Transactions!$J:$J,ROW()-8)="",0,INDEX(Transactions!$O:$O,ROW()-8))</f>
      </c>
    </row>
    <row r="9247" spans="1:7">
      <c r="B9247">
        <f>IF(INDEX(Transactions!$J:$J,ROW()-8)="",TODAY(),INDEX(Transactions!$G:$G,ROW()-8))</f>
      </c>
      <c r="F9247">
        <f>IF(INDEX(Transactions!$J:$J,ROW()-8)="",0,INDEX(Transactions!$O:$O,ROW()-8))</f>
      </c>
    </row>
    <row r="9248" spans="1:7">
      <c r="B9248">
        <f>IF(INDEX(Transactions!$J:$J,ROW()-8)="",TODAY(),INDEX(Transactions!$G:$G,ROW()-8))</f>
      </c>
      <c r="F9248">
        <f>IF(INDEX(Transactions!$J:$J,ROW()-8)="",0,INDEX(Transactions!$O:$O,ROW()-8))</f>
      </c>
    </row>
    <row r="9249" spans="1:7">
      <c r="B9249">
        <f>IF(INDEX(Transactions!$J:$J,ROW()-8)="",TODAY(),INDEX(Transactions!$G:$G,ROW()-8))</f>
      </c>
      <c r="F9249">
        <f>IF(INDEX(Transactions!$J:$J,ROW()-8)="",0,INDEX(Transactions!$O:$O,ROW()-8))</f>
      </c>
    </row>
    <row r="9250" spans="1:7">
      <c r="B9250">
        <f>IF(INDEX(Transactions!$J:$J,ROW()-8)="",TODAY(),INDEX(Transactions!$G:$G,ROW()-8))</f>
      </c>
      <c r="F9250">
        <f>IF(INDEX(Transactions!$J:$J,ROW()-8)="",0,INDEX(Transactions!$O:$O,ROW()-8))</f>
      </c>
    </row>
    <row r="9251" spans="1:7">
      <c r="B9251">
        <f>IF(INDEX(Transactions!$J:$J,ROW()-8)="",TODAY(),INDEX(Transactions!$G:$G,ROW()-8))</f>
      </c>
      <c r="F9251">
        <f>IF(INDEX(Transactions!$J:$J,ROW()-8)="",0,INDEX(Transactions!$O:$O,ROW()-8))</f>
      </c>
    </row>
    <row r="9252" spans="1:7">
      <c r="B9252">
        <f>IF(INDEX(Transactions!$J:$J,ROW()-8)="",TODAY(),INDEX(Transactions!$G:$G,ROW()-8))</f>
      </c>
      <c r="F9252">
        <f>IF(INDEX(Transactions!$J:$J,ROW()-8)="",0,INDEX(Transactions!$O:$O,ROW()-8))</f>
      </c>
    </row>
    <row r="9253" spans="1:7">
      <c r="B9253">
        <f>IF(INDEX(Transactions!$J:$J,ROW()-8)="",TODAY(),INDEX(Transactions!$G:$G,ROW()-8))</f>
      </c>
      <c r="F9253">
        <f>IF(INDEX(Transactions!$J:$J,ROW()-8)="",0,INDEX(Transactions!$O:$O,ROW()-8))</f>
      </c>
    </row>
    <row r="9254" spans="1:7">
      <c r="B9254">
        <f>IF(INDEX(Transactions!$J:$J,ROW()-8)="",TODAY(),INDEX(Transactions!$G:$G,ROW()-8))</f>
      </c>
      <c r="F9254">
        <f>IF(INDEX(Transactions!$J:$J,ROW()-8)="",0,INDEX(Transactions!$O:$O,ROW()-8))</f>
      </c>
    </row>
    <row r="9255" spans="1:7">
      <c r="B9255">
        <f>IF(INDEX(Transactions!$J:$J,ROW()-8)="",TODAY(),INDEX(Transactions!$G:$G,ROW()-8))</f>
      </c>
      <c r="F9255">
        <f>IF(INDEX(Transactions!$J:$J,ROW()-8)="",0,INDEX(Transactions!$O:$O,ROW()-8))</f>
      </c>
    </row>
    <row r="9256" spans="1:7">
      <c r="B9256">
        <f>IF(INDEX(Transactions!$J:$J,ROW()-8)="",TODAY(),INDEX(Transactions!$G:$G,ROW()-8))</f>
      </c>
      <c r="F9256">
        <f>IF(INDEX(Transactions!$J:$J,ROW()-8)="",0,INDEX(Transactions!$O:$O,ROW()-8))</f>
      </c>
    </row>
    <row r="9257" spans="1:7">
      <c r="B9257">
        <f>IF(INDEX(Transactions!$J:$J,ROW()-8)="",TODAY(),INDEX(Transactions!$G:$G,ROW()-8))</f>
      </c>
      <c r="F9257">
        <f>IF(INDEX(Transactions!$J:$J,ROW()-8)="",0,INDEX(Transactions!$O:$O,ROW()-8))</f>
      </c>
    </row>
    <row r="9258" spans="1:7">
      <c r="B9258">
        <f>IF(INDEX(Transactions!$J:$J,ROW()-8)="",TODAY(),INDEX(Transactions!$G:$G,ROW()-8))</f>
      </c>
      <c r="F9258">
        <f>IF(INDEX(Transactions!$J:$J,ROW()-8)="",0,INDEX(Transactions!$O:$O,ROW()-8))</f>
      </c>
    </row>
    <row r="9259" spans="1:7">
      <c r="B9259">
        <f>IF(INDEX(Transactions!$J:$J,ROW()-8)="",TODAY(),INDEX(Transactions!$G:$G,ROW()-8))</f>
      </c>
      <c r="F9259">
        <f>IF(INDEX(Transactions!$J:$J,ROW()-8)="",0,INDEX(Transactions!$O:$O,ROW()-8))</f>
      </c>
    </row>
    <row r="9260" spans="1:7">
      <c r="B9260">
        <f>IF(INDEX(Transactions!$J:$J,ROW()-8)="",TODAY(),INDEX(Transactions!$G:$G,ROW()-8))</f>
      </c>
      <c r="F9260">
        <f>IF(INDEX(Transactions!$J:$J,ROW()-8)="",0,INDEX(Transactions!$O:$O,ROW()-8))</f>
      </c>
    </row>
    <row r="9261" spans="1:7">
      <c r="B9261">
        <f>IF(INDEX(Transactions!$J:$J,ROW()-8)="",TODAY(),INDEX(Transactions!$G:$G,ROW()-8))</f>
      </c>
      <c r="F9261">
        <f>IF(INDEX(Transactions!$J:$J,ROW()-8)="",0,INDEX(Transactions!$O:$O,ROW()-8))</f>
      </c>
    </row>
    <row r="9262" spans="1:7">
      <c r="B9262">
        <f>IF(INDEX(Transactions!$J:$J,ROW()-8)="",TODAY(),INDEX(Transactions!$G:$G,ROW()-8))</f>
      </c>
      <c r="F9262">
        <f>IF(INDEX(Transactions!$J:$J,ROW()-8)="",0,INDEX(Transactions!$O:$O,ROW()-8))</f>
      </c>
    </row>
    <row r="9263" spans="1:7">
      <c r="B9263">
        <f>IF(INDEX(Transactions!$J:$J,ROW()-8)="",TODAY(),INDEX(Transactions!$G:$G,ROW()-8))</f>
      </c>
      <c r="F9263">
        <f>IF(INDEX(Transactions!$J:$J,ROW()-8)="",0,INDEX(Transactions!$O:$O,ROW()-8))</f>
      </c>
    </row>
    <row r="9264" spans="1:7">
      <c r="B9264">
        <f>IF(INDEX(Transactions!$J:$J,ROW()-8)="",TODAY(),INDEX(Transactions!$G:$G,ROW()-8))</f>
      </c>
      <c r="F9264">
        <f>IF(INDEX(Transactions!$J:$J,ROW()-8)="",0,INDEX(Transactions!$O:$O,ROW()-8))</f>
      </c>
    </row>
    <row r="9265" spans="1:7">
      <c r="B9265">
        <f>IF(INDEX(Transactions!$J:$J,ROW()-8)="",TODAY(),INDEX(Transactions!$G:$G,ROW()-8))</f>
      </c>
      <c r="F9265">
        <f>IF(INDEX(Transactions!$J:$J,ROW()-8)="",0,INDEX(Transactions!$O:$O,ROW()-8))</f>
      </c>
    </row>
    <row r="9266" spans="1:7">
      <c r="B9266">
        <f>IF(INDEX(Transactions!$J:$J,ROW()-8)="",TODAY(),INDEX(Transactions!$G:$G,ROW()-8))</f>
      </c>
      <c r="F9266">
        <f>IF(INDEX(Transactions!$J:$J,ROW()-8)="",0,INDEX(Transactions!$O:$O,ROW()-8))</f>
      </c>
    </row>
    <row r="9267" spans="1:7">
      <c r="B9267">
        <f>IF(INDEX(Transactions!$J:$J,ROW()-8)="",TODAY(),INDEX(Transactions!$G:$G,ROW()-8))</f>
      </c>
      <c r="F9267">
        <f>IF(INDEX(Transactions!$J:$J,ROW()-8)="",0,INDEX(Transactions!$O:$O,ROW()-8))</f>
      </c>
    </row>
    <row r="9268" spans="1:7">
      <c r="B9268">
        <f>IF(INDEX(Transactions!$J:$J,ROW()-8)="",TODAY(),INDEX(Transactions!$G:$G,ROW()-8))</f>
      </c>
      <c r="F9268">
        <f>IF(INDEX(Transactions!$J:$J,ROW()-8)="",0,INDEX(Transactions!$O:$O,ROW()-8))</f>
      </c>
    </row>
    <row r="9269" spans="1:7">
      <c r="B9269">
        <f>IF(INDEX(Transactions!$J:$J,ROW()-8)="",TODAY(),INDEX(Transactions!$G:$G,ROW()-8))</f>
      </c>
      <c r="F9269">
        <f>IF(INDEX(Transactions!$J:$J,ROW()-8)="",0,INDEX(Transactions!$O:$O,ROW()-8))</f>
      </c>
    </row>
    <row r="9270" spans="1:7">
      <c r="B9270">
        <f>IF(INDEX(Transactions!$J:$J,ROW()-8)="",TODAY(),INDEX(Transactions!$G:$G,ROW()-8))</f>
      </c>
      <c r="F9270">
        <f>IF(INDEX(Transactions!$J:$J,ROW()-8)="",0,INDEX(Transactions!$O:$O,ROW()-8))</f>
      </c>
    </row>
    <row r="9271" spans="1:7">
      <c r="B9271">
        <f>IF(INDEX(Transactions!$J:$J,ROW()-8)="",TODAY(),INDEX(Transactions!$G:$G,ROW()-8))</f>
      </c>
      <c r="F9271">
        <f>IF(INDEX(Transactions!$J:$J,ROW()-8)="",0,INDEX(Transactions!$O:$O,ROW()-8))</f>
      </c>
    </row>
    <row r="9272" spans="1:7">
      <c r="B9272">
        <f>IF(INDEX(Transactions!$J:$J,ROW()-8)="",TODAY(),INDEX(Transactions!$G:$G,ROW()-8))</f>
      </c>
      <c r="F9272">
        <f>IF(INDEX(Transactions!$J:$J,ROW()-8)="",0,INDEX(Transactions!$O:$O,ROW()-8))</f>
      </c>
    </row>
    <row r="9273" spans="1:7">
      <c r="B9273">
        <f>IF(INDEX(Transactions!$J:$J,ROW()-8)="",TODAY(),INDEX(Transactions!$G:$G,ROW()-8))</f>
      </c>
      <c r="F9273">
        <f>IF(INDEX(Transactions!$J:$J,ROW()-8)="",0,INDEX(Transactions!$O:$O,ROW()-8))</f>
      </c>
    </row>
    <row r="9274" spans="1:7">
      <c r="B9274">
        <f>IF(INDEX(Transactions!$J:$J,ROW()-8)="",TODAY(),INDEX(Transactions!$G:$G,ROW()-8))</f>
      </c>
      <c r="F9274">
        <f>IF(INDEX(Transactions!$J:$J,ROW()-8)="",0,INDEX(Transactions!$O:$O,ROW()-8))</f>
      </c>
    </row>
    <row r="9275" spans="1:7">
      <c r="B9275">
        <f>IF(INDEX(Transactions!$J:$J,ROW()-8)="",TODAY(),INDEX(Transactions!$G:$G,ROW()-8))</f>
      </c>
      <c r="F9275">
        <f>IF(INDEX(Transactions!$J:$J,ROW()-8)="",0,INDEX(Transactions!$O:$O,ROW()-8))</f>
      </c>
    </row>
    <row r="9276" spans="1:7">
      <c r="B9276">
        <f>IF(INDEX(Transactions!$J:$J,ROW()-8)="",TODAY(),INDEX(Transactions!$G:$G,ROW()-8))</f>
      </c>
      <c r="F9276">
        <f>IF(INDEX(Transactions!$J:$J,ROW()-8)="",0,INDEX(Transactions!$O:$O,ROW()-8))</f>
      </c>
    </row>
    <row r="9277" spans="1:7">
      <c r="B9277">
        <f>IF(INDEX(Transactions!$J:$J,ROW()-8)="",TODAY(),INDEX(Transactions!$G:$G,ROW()-8))</f>
      </c>
      <c r="F9277">
        <f>IF(INDEX(Transactions!$J:$J,ROW()-8)="",0,INDEX(Transactions!$O:$O,ROW()-8))</f>
      </c>
    </row>
    <row r="9278" spans="1:7">
      <c r="B9278">
        <f>IF(INDEX(Transactions!$J:$J,ROW()-8)="",TODAY(),INDEX(Transactions!$G:$G,ROW()-8))</f>
      </c>
      <c r="F9278">
        <f>IF(INDEX(Transactions!$J:$J,ROW()-8)="",0,INDEX(Transactions!$O:$O,ROW()-8))</f>
      </c>
    </row>
    <row r="9279" spans="1:7">
      <c r="B9279">
        <f>IF(INDEX(Transactions!$J:$J,ROW()-8)="",TODAY(),INDEX(Transactions!$G:$G,ROW()-8))</f>
      </c>
      <c r="F9279">
        <f>IF(INDEX(Transactions!$J:$J,ROW()-8)="",0,INDEX(Transactions!$O:$O,ROW()-8))</f>
      </c>
    </row>
    <row r="9280" spans="1:7">
      <c r="B9280">
        <f>IF(INDEX(Transactions!$J:$J,ROW()-8)="",TODAY(),INDEX(Transactions!$G:$G,ROW()-8))</f>
      </c>
      <c r="F9280">
        <f>IF(INDEX(Transactions!$J:$J,ROW()-8)="",0,INDEX(Transactions!$O:$O,ROW()-8))</f>
      </c>
    </row>
    <row r="9281" spans="1:7">
      <c r="B9281">
        <f>IF(INDEX(Transactions!$J:$J,ROW()-8)="",TODAY(),INDEX(Transactions!$G:$G,ROW()-8))</f>
      </c>
      <c r="F9281">
        <f>IF(INDEX(Transactions!$J:$J,ROW()-8)="",0,INDEX(Transactions!$O:$O,ROW()-8))</f>
      </c>
    </row>
    <row r="9282" spans="1:7">
      <c r="B9282">
        <f>IF(INDEX(Transactions!$J:$J,ROW()-8)="",TODAY(),INDEX(Transactions!$G:$G,ROW()-8))</f>
      </c>
      <c r="F9282">
        <f>IF(INDEX(Transactions!$J:$J,ROW()-8)="",0,INDEX(Transactions!$O:$O,ROW()-8))</f>
      </c>
    </row>
    <row r="9283" spans="1:7">
      <c r="B9283">
        <f>IF(INDEX(Transactions!$J:$J,ROW()-8)="",TODAY(),INDEX(Transactions!$G:$G,ROW()-8))</f>
      </c>
      <c r="F9283">
        <f>IF(INDEX(Transactions!$J:$J,ROW()-8)="",0,INDEX(Transactions!$O:$O,ROW()-8))</f>
      </c>
    </row>
    <row r="9284" spans="1:7">
      <c r="B9284">
        <f>IF(INDEX(Transactions!$J:$J,ROW()-8)="",TODAY(),INDEX(Transactions!$G:$G,ROW()-8))</f>
      </c>
      <c r="F9284">
        <f>IF(INDEX(Transactions!$J:$J,ROW()-8)="",0,INDEX(Transactions!$O:$O,ROW()-8))</f>
      </c>
    </row>
    <row r="9285" spans="1:7">
      <c r="B9285">
        <f>IF(INDEX(Transactions!$J:$J,ROW()-8)="",TODAY(),INDEX(Transactions!$G:$G,ROW()-8))</f>
      </c>
      <c r="F9285">
        <f>IF(INDEX(Transactions!$J:$J,ROW()-8)="",0,INDEX(Transactions!$O:$O,ROW()-8))</f>
      </c>
    </row>
    <row r="9286" spans="1:7">
      <c r="B9286">
        <f>IF(INDEX(Transactions!$J:$J,ROW()-8)="",TODAY(),INDEX(Transactions!$G:$G,ROW()-8))</f>
      </c>
      <c r="F9286">
        <f>IF(INDEX(Transactions!$J:$J,ROW()-8)="",0,INDEX(Transactions!$O:$O,ROW()-8))</f>
      </c>
    </row>
    <row r="9287" spans="1:7">
      <c r="B9287">
        <f>IF(INDEX(Transactions!$J:$J,ROW()-8)="",TODAY(),INDEX(Transactions!$G:$G,ROW()-8))</f>
      </c>
      <c r="F9287">
        <f>IF(INDEX(Transactions!$J:$J,ROW()-8)="",0,INDEX(Transactions!$O:$O,ROW()-8))</f>
      </c>
    </row>
    <row r="9288" spans="1:7">
      <c r="B9288">
        <f>IF(INDEX(Transactions!$J:$J,ROW()-8)="",TODAY(),INDEX(Transactions!$G:$G,ROW()-8))</f>
      </c>
      <c r="F9288">
        <f>IF(INDEX(Transactions!$J:$J,ROW()-8)="",0,INDEX(Transactions!$O:$O,ROW()-8))</f>
      </c>
    </row>
    <row r="9289" spans="1:7">
      <c r="B9289">
        <f>IF(INDEX(Transactions!$J:$J,ROW()-8)="",TODAY(),INDEX(Transactions!$G:$G,ROW()-8))</f>
      </c>
      <c r="F9289">
        <f>IF(INDEX(Transactions!$J:$J,ROW()-8)="",0,INDEX(Transactions!$O:$O,ROW()-8))</f>
      </c>
    </row>
    <row r="9290" spans="1:7">
      <c r="B9290">
        <f>IF(INDEX(Transactions!$J:$J,ROW()-8)="",TODAY(),INDEX(Transactions!$G:$G,ROW()-8))</f>
      </c>
      <c r="F9290">
        <f>IF(INDEX(Transactions!$J:$J,ROW()-8)="",0,INDEX(Transactions!$O:$O,ROW()-8))</f>
      </c>
    </row>
    <row r="9291" spans="1:7">
      <c r="B9291">
        <f>IF(INDEX(Transactions!$J:$J,ROW()-8)="",TODAY(),INDEX(Transactions!$G:$G,ROW()-8))</f>
      </c>
      <c r="F9291">
        <f>IF(INDEX(Transactions!$J:$J,ROW()-8)="",0,INDEX(Transactions!$O:$O,ROW()-8))</f>
      </c>
    </row>
    <row r="9292" spans="1:7">
      <c r="B9292">
        <f>IF(INDEX(Transactions!$J:$J,ROW()-8)="",TODAY(),INDEX(Transactions!$G:$G,ROW()-8))</f>
      </c>
      <c r="F9292">
        <f>IF(INDEX(Transactions!$J:$J,ROW()-8)="",0,INDEX(Transactions!$O:$O,ROW()-8))</f>
      </c>
    </row>
    <row r="9293" spans="1:7">
      <c r="B9293">
        <f>IF(INDEX(Transactions!$J:$J,ROW()-8)="",TODAY(),INDEX(Transactions!$G:$G,ROW()-8))</f>
      </c>
      <c r="F9293">
        <f>IF(INDEX(Transactions!$J:$J,ROW()-8)="",0,INDEX(Transactions!$O:$O,ROW()-8))</f>
      </c>
    </row>
    <row r="9294" spans="1:7">
      <c r="B9294">
        <f>IF(INDEX(Transactions!$J:$J,ROW()-8)="",TODAY(),INDEX(Transactions!$G:$G,ROW()-8))</f>
      </c>
      <c r="F9294">
        <f>IF(INDEX(Transactions!$J:$J,ROW()-8)="",0,INDEX(Transactions!$O:$O,ROW()-8))</f>
      </c>
    </row>
    <row r="9295" spans="1:7">
      <c r="B9295">
        <f>IF(INDEX(Transactions!$J:$J,ROW()-8)="",TODAY(),INDEX(Transactions!$G:$G,ROW()-8))</f>
      </c>
      <c r="F9295">
        <f>IF(INDEX(Transactions!$J:$J,ROW()-8)="",0,INDEX(Transactions!$O:$O,ROW()-8))</f>
      </c>
    </row>
    <row r="9296" spans="1:7">
      <c r="B9296">
        <f>IF(INDEX(Transactions!$J:$J,ROW()-8)="",TODAY(),INDEX(Transactions!$G:$G,ROW()-8))</f>
      </c>
      <c r="F9296">
        <f>IF(INDEX(Transactions!$J:$J,ROW()-8)="",0,INDEX(Transactions!$O:$O,ROW()-8))</f>
      </c>
    </row>
    <row r="9297" spans="1:7">
      <c r="B9297">
        <f>IF(INDEX(Transactions!$J:$J,ROW()-8)="",TODAY(),INDEX(Transactions!$G:$G,ROW()-8))</f>
      </c>
      <c r="F9297">
        <f>IF(INDEX(Transactions!$J:$J,ROW()-8)="",0,INDEX(Transactions!$O:$O,ROW()-8))</f>
      </c>
    </row>
    <row r="9298" spans="1:7">
      <c r="B9298">
        <f>IF(INDEX(Transactions!$J:$J,ROW()-8)="",TODAY(),INDEX(Transactions!$G:$G,ROW()-8))</f>
      </c>
      <c r="F9298">
        <f>IF(INDEX(Transactions!$J:$J,ROW()-8)="",0,INDEX(Transactions!$O:$O,ROW()-8))</f>
      </c>
    </row>
    <row r="9299" spans="1:7">
      <c r="B9299">
        <f>IF(INDEX(Transactions!$J:$J,ROW()-8)="",TODAY(),INDEX(Transactions!$G:$G,ROW()-8))</f>
      </c>
      <c r="F9299">
        <f>IF(INDEX(Transactions!$J:$J,ROW()-8)="",0,INDEX(Transactions!$O:$O,ROW()-8))</f>
      </c>
    </row>
    <row r="9300" spans="1:7">
      <c r="B9300">
        <f>IF(INDEX(Transactions!$J:$J,ROW()-8)="",TODAY(),INDEX(Transactions!$G:$G,ROW()-8))</f>
      </c>
      <c r="F9300">
        <f>IF(INDEX(Transactions!$J:$J,ROW()-8)="",0,INDEX(Transactions!$O:$O,ROW()-8))</f>
      </c>
    </row>
    <row r="9301" spans="1:7">
      <c r="B9301">
        <f>IF(INDEX(Transactions!$J:$J,ROW()-8)="",TODAY(),INDEX(Transactions!$G:$G,ROW()-8))</f>
      </c>
      <c r="F9301">
        <f>IF(INDEX(Transactions!$J:$J,ROW()-8)="",0,INDEX(Transactions!$O:$O,ROW()-8))</f>
      </c>
    </row>
    <row r="9302" spans="1:7">
      <c r="B9302">
        <f>IF(INDEX(Transactions!$J:$J,ROW()-8)="",TODAY(),INDEX(Transactions!$G:$G,ROW()-8))</f>
      </c>
      <c r="F9302">
        <f>IF(INDEX(Transactions!$J:$J,ROW()-8)="",0,INDEX(Transactions!$O:$O,ROW()-8))</f>
      </c>
    </row>
    <row r="9303" spans="1:7">
      <c r="B9303">
        <f>IF(INDEX(Transactions!$J:$J,ROW()-8)="",TODAY(),INDEX(Transactions!$G:$G,ROW()-8))</f>
      </c>
      <c r="F9303">
        <f>IF(INDEX(Transactions!$J:$J,ROW()-8)="",0,INDEX(Transactions!$O:$O,ROW()-8))</f>
      </c>
    </row>
    <row r="9304" spans="1:7">
      <c r="B9304">
        <f>IF(INDEX(Transactions!$J:$J,ROW()-8)="",TODAY(),INDEX(Transactions!$G:$G,ROW()-8))</f>
      </c>
      <c r="F9304">
        <f>IF(INDEX(Transactions!$J:$J,ROW()-8)="",0,INDEX(Transactions!$O:$O,ROW()-8))</f>
      </c>
    </row>
    <row r="9305" spans="1:7">
      <c r="B9305">
        <f>IF(INDEX(Transactions!$J:$J,ROW()-8)="",TODAY(),INDEX(Transactions!$G:$G,ROW()-8))</f>
      </c>
      <c r="F9305">
        <f>IF(INDEX(Transactions!$J:$J,ROW()-8)="",0,INDEX(Transactions!$O:$O,ROW()-8))</f>
      </c>
    </row>
    <row r="9306" spans="1:7">
      <c r="B9306">
        <f>IF(INDEX(Transactions!$J:$J,ROW()-8)="",TODAY(),INDEX(Transactions!$G:$G,ROW()-8))</f>
      </c>
      <c r="F9306">
        <f>IF(INDEX(Transactions!$J:$J,ROW()-8)="",0,INDEX(Transactions!$O:$O,ROW()-8))</f>
      </c>
    </row>
    <row r="9307" spans="1:7">
      <c r="B9307">
        <f>IF(INDEX(Transactions!$J:$J,ROW()-8)="",TODAY(),INDEX(Transactions!$G:$G,ROW()-8))</f>
      </c>
      <c r="F9307">
        <f>IF(INDEX(Transactions!$J:$J,ROW()-8)="",0,INDEX(Transactions!$O:$O,ROW()-8))</f>
      </c>
    </row>
    <row r="9308" spans="1:7">
      <c r="B9308">
        <f>IF(INDEX(Transactions!$J:$J,ROW()-8)="",TODAY(),INDEX(Transactions!$G:$G,ROW()-8))</f>
      </c>
      <c r="F9308">
        <f>IF(INDEX(Transactions!$J:$J,ROW()-8)="",0,INDEX(Transactions!$O:$O,ROW()-8))</f>
      </c>
    </row>
    <row r="9309" spans="1:7">
      <c r="B9309">
        <f>IF(INDEX(Transactions!$J:$J,ROW()-8)="",TODAY(),INDEX(Transactions!$G:$G,ROW()-8))</f>
      </c>
      <c r="F9309">
        <f>IF(INDEX(Transactions!$J:$J,ROW()-8)="",0,INDEX(Transactions!$O:$O,ROW()-8))</f>
      </c>
    </row>
    <row r="9310" spans="1:7">
      <c r="B9310">
        <f>IF(INDEX(Transactions!$J:$J,ROW()-8)="",TODAY(),INDEX(Transactions!$G:$G,ROW()-8))</f>
      </c>
      <c r="F9310">
        <f>IF(INDEX(Transactions!$J:$J,ROW()-8)="",0,INDEX(Transactions!$O:$O,ROW()-8))</f>
      </c>
    </row>
    <row r="9311" spans="1:7">
      <c r="B9311">
        <f>IF(INDEX(Transactions!$J:$J,ROW()-8)="",TODAY(),INDEX(Transactions!$G:$G,ROW()-8))</f>
      </c>
      <c r="F9311">
        <f>IF(INDEX(Transactions!$J:$J,ROW()-8)="",0,INDEX(Transactions!$O:$O,ROW()-8))</f>
      </c>
    </row>
    <row r="9312" spans="1:7">
      <c r="B9312">
        <f>IF(INDEX(Transactions!$J:$J,ROW()-8)="",TODAY(),INDEX(Transactions!$G:$G,ROW()-8))</f>
      </c>
      <c r="F9312">
        <f>IF(INDEX(Transactions!$J:$J,ROW()-8)="",0,INDEX(Transactions!$O:$O,ROW()-8))</f>
      </c>
    </row>
    <row r="9313" spans="1:7">
      <c r="B9313">
        <f>IF(INDEX(Transactions!$J:$J,ROW()-8)="",TODAY(),INDEX(Transactions!$G:$G,ROW()-8))</f>
      </c>
      <c r="F9313">
        <f>IF(INDEX(Transactions!$J:$J,ROW()-8)="",0,INDEX(Transactions!$O:$O,ROW()-8))</f>
      </c>
    </row>
    <row r="9314" spans="1:7">
      <c r="B9314">
        <f>IF(INDEX(Transactions!$J:$J,ROW()-8)="",TODAY(),INDEX(Transactions!$G:$G,ROW()-8))</f>
      </c>
      <c r="F9314">
        <f>IF(INDEX(Transactions!$J:$J,ROW()-8)="",0,INDEX(Transactions!$O:$O,ROW()-8))</f>
      </c>
    </row>
    <row r="9315" spans="1:7">
      <c r="B9315">
        <f>IF(INDEX(Transactions!$J:$J,ROW()-8)="",TODAY(),INDEX(Transactions!$G:$G,ROW()-8))</f>
      </c>
      <c r="F9315">
        <f>IF(INDEX(Transactions!$J:$J,ROW()-8)="",0,INDEX(Transactions!$O:$O,ROW()-8))</f>
      </c>
    </row>
    <row r="9316" spans="1:7">
      <c r="B9316">
        <f>IF(INDEX(Transactions!$J:$J,ROW()-8)="",TODAY(),INDEX(Transactions!$G:$G,ROW()-8))</f>
      </c>
      <c r="F9316">
        <f>IF(INDEX(Transactions!$J:$J,ROW()-8)="",0,INDEX(Transactions!$O:$O,ROW()-8))</f>
      </c>
    </row>
    <row r="9317" spans="1:7">
      <c r="B9317">
        <f>IF(INDEX(Transactions!$J:$J,ROW()-8)="",TODAY(),INDEX(Transactions!$G:$G,ROW()-8))</f>
      </c>
      <c r="F9317">
        <f>IF(INDEX(Transactions!$J:$J,ROW()-8)="",0,INDEX(Transactions!$O:$O,ROW()-8))</f>
      </c>
    </row>
    <row r="9318" spans="1:7">
      <c r="B9318">
        <f>IF(INDEX(Transactions!$J:$J,ROW()-8)="",TODAY(),INDEX(Transactions!$G:$G,ROW()-8))</f>
      </c>
      <c r="F9318">
        <f>IF(INDEX(Transactions!$J:$J,ROW()-8)="",0,INDEX(Transactions!$O:$O,ROW()-8))</f>
      </c>
    </row>
    <row r="9319" spans="1:7">
      <c r="B9319">
        <f>IF(INDEX(Transactions!$J:$J,ROW()-8)="",TODAY(),INDEX(Transactions!$G:$G,ROW()-8))</f>
      </c>
      <c r="F9319">
        <f>IF(INDEX(Transactions!$J:$J,ROW()-8)="",0,INDEX(Transactions!$O:$O,ROW()-8))</f>
      </c>
    </row>
    <row r="9320" spans="1:7">
      <c r="B9320">
        <f>IF(INDEX(Transactions!$J:$J,ROW()-8)="",TODAY(),INDEX(Transactions!$G:$G,ROW()-8))</f>
      </c>
      <c r="F9320">
        <f>IF(INDEX(Transactions!$J:$J,ROW()-8)="",0,INDEX(Transactions!$O:$O,ROW()-8))</f>
      </c>
    </row>
    <row r="9321" spans="1:7">
      <c r="B9321">
        <f>IF(INDEX(Transactions!$J:$J,ROW()-8)="",TODAY(),INDEX(Transactions!$G:$G,ROW()-8))</f>
      </c>
      <c r="F9321">
        <f>IF(INDEX(Transactions!$J:$J,ROW()-8)="",0,INDEX(Transactions!$O:$O,ROW()-8))</f>
      </c>
    </row>
    <row r="9322" spans="1:7">
      <c r="B9322">
        <f>IF(INDEX(Transactions!$J:$J,ROW()-8)="",TODAY(),INDEX(Transactions!$G:$G,ROW()-8))</f>
      </c>
      <c r="F9322">
        <f>IF(INDEX(Transactions!$J:$J,ROW()-8)="",0,INDEX(Transactions!$O:$O,ROW()-8))</f>
      </c>
    </row>
    <row r="9323" spans="1:7">
      <c r="B9323">
        <f>IF(INDEX(Transactions!$J:$J,ROW()-8)="",TODAY(),INDEX(Transactions!$G:$G,ROW()-8))</f>
      </c>
      <c r="F9323">
        <f>IF(INDEX(Transactions!$J:$J,ROW()-8)="",0,INDEX(Transactions!$O:$O,ROW()-8))</f>
      </c>
    </row>
    <row r="9324" spans="1:7">
      <c r="B9324">
        <f>IF(INDEX(Transactions!$J:$J,ROW()-8)="",TODAY(),INDEX(Transactions!$G:$G,ROW()-8))</f>
      </c>
      <c r="F9324">
        <f>IF(INDEX(Transactions!$J:$J,ROW()-8)="",0,INDEX(Transactions!$O:$O,ROW()-8))</f>
      </c>
    </row>
    <row r="9325" spans="1:7">
      <c r="B9325">
        <f>IF(INDEX(Transactions!$J:$J,ROW()-8)="",TODAY(),INDEX(Transactions!$G:$G,ROW()-8))</f>
      </c>
      <c r="F9325">
        <f>IF(INDEX(Transactions!$J:$J,ROW()-8)="",0,INDEX(Transactions!$O:$O,ROW()-8))</f>
      </c>
    </row>
    <row r="9326" spans="1:7">
      <c r="B9326">
        <f>IF(INDEX(Transactions!$J:$J,ROW()-8)="",TODAY(),INDEX(Transactions!$G:$G,ROW()-8))</f>
      </c>
      <c r="F9326">
        <f>IF(INDEX(Transactions!$J:$J,ROW()-8)="",0,INDEX(Transactions!$O:$O,ROW()-8))</f>
      </c>
    </row>
    <row r="9327" spans="1:7">
      <c r="B9327">
        <f>IF(INDEX(Transactions!$J:$J,ROW()-8)="",TODAY(),INDEX(Transactions!$G:$G,ROW()-8))</f>
      </c>
      <c r="F9327">
        <f>IF(INDEX(Transactions!$J:$J,ROW()-8)="",0,INDEX(Transactions!$O:$O,ROW()-8))</f>
      </c>
    </row>
    <row r="9328" spans="1:7">
      <c r="B9328">
        <f>IF(INDEX(Transactions!$J:$J,ROW()-8)="",TODAY(),INDEX(Transactions!$G:$G,ROW()-8))</f>
      </c>
      <c r="F9328">
        <f>IF(INDEX(Transactions!$J:$J,ROW()-8)="",0,INDEX(Transactions!$O:$O,ROW()-8))</f>
      </c>
    </row>
    <row r="9329" spans="1:7">
      <c r="B9329">
        <f>IF(INDEX(Transactions!$J:$J,ROW()-8)="",TODAY(),INDEX(Transactions!$G:$G,ROW()-8))</f>
      </c>
      <c r="F9329">
        <f>IF(INDEX(Transactions!$J:$J,ROW()-8)="",0,INDEX(Transactions!$O:$O,ROW()-8))</f>
      </c>
    </row>
    <row r="9330" spans="1:7">
      <c r="B9330">
        <f>IF(INDEX(Transactions!$J:$J,ROW()-8)="",TODAY(),INDEX(Transactions!$G:$G,ROW()-8))</f>
      </c>
      <c r="F9330">
        <f>IF(INDEX(Transactions!$J:$J,ROW()-8)="",0,INDEX(Transactions!$O:$O,ROW()-8))</f>
      </c>
    </row>
    <row r="9331" spans="1:7">
      <c r="B9331">
        <f>IF(INDEX(Transactions!$J:$J,ROW()-8)="",TODAY(),INDEX(Transactions!$G:$G,ROW()-8))</f>
      </c>
      <c r="F9331">
        <f>IF(INDEX(Transactions!$J:$J,ROW()-8)="",0,INDEX(Transactions!$O:$O,ROW()-8))</f>
      </c>
    </row>
    <row r="9332" spans="1:7">
      <c r="B9332">
        <f>IF(INDEX(Transactions!$J:$J,ROW()-8)="",TODAY(),INDEX(Transactions!$G:$G,ROW()-8))</f>
      </c>
      <c r="F9332">
        <f>IF(INDEX(Transactions!$J:$J,ROW()-8)="",0,INDEX(Transactions!$O:$O,ROW()-8))</f>
      </c>
    </row>
    <row r="9333" spans="1:7">
      <c r="B9333">
        <f>IF(INDEX(Transactions!$J:$J,ROW()-8)="",TODAY(),INDEX(Transactions!$G:$G,ROW()-8))</f>
      </c>
      <c r="F9333">
        <f>IF(INDEX(Transactions!$J:$J,ROW()-8)="",0,INDEX(Transactions!$O:$O,ROW()-8))</f>
      </c>
    </row>
    <row r="9334" spans="1:7">
      <c r="B9334">
        <f>IF(INDEX(Transactions!$J:$J,ROW()-8)="",TODAY(),INDEX(Transactions!$G:$G,ROW()-8))</f>
      </c>
      <c r="F9334">
        <f>IF(INDEX(Transactions!$J:$J,ROW()-8)="",0,INDEX(Transactions!$O:$O,ROW()-8))</f>
      </c>
    </row>
    <row r="9335" spans="1:7">
      <c r="B9335">
        <f>IF(INDEX(Transactions!$J:$J,ROW()-8)="",TODAY(),INDEX(Transactions!$G:$G,ROW()-8))</f>
      </c>
      <c r="F9335">
        <f>IF(INDEX(Transactions!$J:$J,ROW()-8)="",0,INDEX(Transactions!$O:$O,ROW()-8))</f>
      </c>
    </row>
    <row r="9336" spans="1:7">
      <c r="B9336">
        <f>IF(INDEX(Transactions!$J:$J,ROW()-8)="",TODAY(),INDEX(Transactions!$G:$G,ROW()-8))</f>
      </c>
      <c r="F9336">
        <f>IF(INDEX(Transactions!$J:$J,ROW()-8)="",0,INDEX(Transactions!$O:$O,ROW()-8))</f>
      </c>
    </row>
    <row r="9337" spans="1:7">
      <c r="B9337">
        <f>IF(INDEX(Transactions!$J:$J,ROW()-8)="",TODAY(),INDEX(Transactions!$G:$G,ROW()-8))</f>
      </c>
      <c r="F9337">
        <f>IF(INDEX(Transactions!$J:$J,ROW()-8)="",0,INDEX(Transactions!$O:$O,ROW()-8))</f>
      </c>
    </row>
    <row r="9338" spans="1:7">
      <c r="B9338">
        <f>IF(INDEX(Transactions!$J:$J,ROW()-8)="",TODAY(),INDEX(Transactions!$G:$G,ROW()-8))</f>
      </c>
      <c r="F9338">
        <f>IF(INDEX(Transactions!$J:$J,ROW()-8)="",0,INDEX(Transactions!$O:$O,ROW()-8))</f>
      </c>
    </row>
    <row r="9339" spans="1:7">
      <c r="B9339">
        <f>IF(INDEX(Transactions!$J:$J,ROW()-8)="",TODAY(),INDEX(Transactions!$G:$G,ROW()-8))</f>
      </c>
      <c r="F9339">
        <f>IF(INDEX(Transactions!$J:$J,ROW()-8)="",0,INDEX(Transactions!$O:$O,ROW()-8))</f>
      </c>
    </row>
    <row r="9340" spans="1:7">
      <c r="B9340">
        <f>IF(INDEX(Transactions!$J:$J,ROW()-8)="",TODAY(),INDEX(Transactions!$G:$G,ROW()-8))</f>
      </c>
      <c r="F9340">
        <f>IF(INDEX(Transactions!$J:$J,ROW()-8)="",0,INDEX(Transactions!$O:$O,ROW()-8))</f>
      </c>
    </row>
    <row r="9341" spans="1:7">
      <c r="B9341">
        <f>IF(INDEX(Transactions!$J:$J,ROW()-8)="",TODAY(),INDEX(Transactions!$G:$G,ROW()-8))</f>
      </c>
      <c r="F9341">
        <f>IF(INDEX(Transactions!$J:$J,ROW()-8)="",0,INDEX(Transactions!$O:$O,ROW()-8))</f>
      </c>
    </row>
    <row r="9342" spans="1:7">
      <c r="B9342">
        <f>IF(INDEX(Transactions!$J:$J,ROW()-8)="",TODAY(),INDEX(Transactions!$G:$G,ROW()-8))</f>
      </c>
      <c r="F9342">
        <f>IF(INDEX(Transactions!$J:$J,ROW()-8)="",0,INDEX(Transactions!$O:$O,ROW()-8))</f>
      </c>
    </row>
    <row r="9343" spans="1:7">
      <c r="B9343">
        <f>IF(INDEX(Transactions!$J:$J,ROW()-8)="",TODAY(),INDEX(Transactions!$G:$G,ROW()-8))</f>
      </c>
      <c r="F9343">
        <f>IF(INDEX(Transactions!$J:$J,ROW()-8)="",0,INDEX(Transactions!$O:$O,ROW()-8))</f>
      </c>
    </row>
    <row r="9344" spans="1:7">
      <c r="B9344">
        <f>IF(INDEX(Transactions!$J:$J,ROW()-8)="",TODAY(),INDEX(Transactions!$G:$G,ROW()-8))</f>
      </c>
      <c r="F9344">
        <f>IF(INDEX(Transactions!$J:$J,ROW()-8)="",0,INDEX(Transactions!$O:$O,ROW()-8))</f>
      </c>
    </row>
    <row r="9345" spans="1:7">
      <c r="B9345">
        <f>IF(INDEX(Transactions!$J:$J,ROW()-8)="",TODAY(),INDEX(Transactions!$G:$G,ROW()-8))</f>
      </c>
      <c r="F9345">
        <f>IF(INDEX(Transactions!$J:$J,ROW()-8)="",0,INDEX(Transactions!$O:$O,ROW()-8))</f>
      </c>
    </row>
    <row r="9346" spans="1:7">
      <c r="B9346">
        <f>IF(INDEX(Transactions!$J:$J,ROW()-8)="",TODAY(),INDEX(Transactions!$G:$G,ROW()-8))</f>
      </c>
      <c r="F9346">
        <f>IF(INDEX(Transactions!$J:$J,ROW()-8)="",0,INDEX(Transactions!$O:$O,ROW()-8))</f>
      </c>
    </row>
    <row r="9347" spans="1:7">
      <c r="B9347">
        <f>IF(INDEX(Transactions!$J:$J,ROW()-8)="",TODAY(),INDEX(Transactions!$G:$G,ROW()-8))</f>
      </c>
      <c r="F9347">
        <f>IF(INDEX(Transactions!$J:$J,ROW()-8)="",0,INDEX(Transactions!$O:$O,ROW()-8))</f>
      </c>
    </row>
    <row r="9348" spans="1:7">
      <c r="B9348">
        <f>IF(INDEX(Transactions!$J:$J,ROW()-8)="",TODAY(),INDEX(Transactions!$G:$G,ROW()-8))</f>
      </c>
      <c r="F9348">
        <f>IF(INDEX(Transactions!$J:$J,ROW()-8)="",0,INDEX(Transactions!$O:$O,ROW()-8))</f>
      </c>
    </row>
    <row r="9349" spans="1:7">
      <c r="B9349">
        <f>IF(INDEX(Transactions!$J:$J,ROW()-8)="",TODAY(),INDEX(Transactions!$G:$G,ROW()-8))</f>
      </c>
      <c r="F9349">
        <f>IF(INDEX(Transactions!$J:$J,ROW()-8)="",0,INDEX(Transactions!$O:$O,ROW()-8))</f>
      </c>
    </row>
    <row r="9350" spans="1:7">
      <c r="B9350">
        <f>IF(INDEX(Transactions!$J:$J,ROW()-8)="",TODAY(),INDEX(Transactions!$G:$G,ROW()-8))</f>
      </c>
      <c r="F9350">
        <f>IF(INDEX(Transactions!$J:$J,ROW()-8)="",0,INDEX(Transactions!$O:$O,ROW()-8))</f>
      </c>
    </row>
    <row r="9351" spans="1:7">
      <c r="B9351">
        <f>IF(INDEX(Transactions!$J:$J,ROW()-8)="",TODAY(),INDEX(Transactions!$G:$G,ROW()-8))</f>
      </c>
      <c r="F9351">
        <f>IF(INDEX(Transactions!$J:$J,ROW()-8)="",0,INDEX(Transactions!$O:$O,ROW()-8))</f>
      </c>
    </row>
    <row r="9352" spans="1:7">
      <c r="B9352">
        <f>IF(INDEX(Transactions!$J:$J,ROW()-8)="",TODAY(),INDEX(Transactions!$G:$G,ROW()-8))</f>
      </c>
      <c r="F9352">
        <f>IF(INDEX(Transactions!$J:$J,ROW()-8)="",0,INDEX(Transactions!$O:$O,ROW()-8))</f>
      </c>
    </row>
    <row r="9353" spans="1:7">
      <c r="B9353">
        <f>IF(INDEX(Transactions!$J:$J,ROW()-8)="",TODAY(),INDEX(Transactions!$G:$G,ROW()-8))</f>
      </c>
      <c r="F9353">
        <f>IF(INDEX(Transactions!$J:$J,ROW()-8)="",0,INDEX(Transactions!$O:$O,ROW()-8))</f>
      </c>
    </row>
    <row r="9354" spans="1:7">
      <c r="B9354">
        <f>IF(INDEX(Transactions!$J:$J,ROW()-8)="",TODAY(),INDEX(Transactions!$G:$G,ROW()-8))</f>
      </c>
      <c r="F9354">
        <f>IF(INDEX(Transactions!$J:$J,ROW()-8)="",0,INDEX(Transactions!$O:$O,ROW()-8))</f>
      </c>
    </row>
    <row r="9355" spans="1:7">
      <c r="B9355">
        <f>IF(INDEX(Transactions!$J:$J,ROW()-8)="",TODAY(),INDEX(Transactions!$G:$G,ROW()-8))</f>
      </c>
      <c r="F9355">
        <f>IF(INDEX(Transactions!$J:$J,ROW()-8)="",0,INDEX(Transactions!$O:$O,ROW()-8))</f>
      </c>
    </row>
    <row r="9356" spans="1:7">
      <c r="B9356">
        <f>IF(INDEX(Transactions!$J:$J,ROW()-8)="",TODAY(),INDEX(Transactions!$G:$G,ROW()-8))</f>
      </c>
      <c r="F9356">
        <f>IF(INDEX(Transactions!$J:$J,ROW()-8)="",0,INDEX(Transactions!$O:$O,ROW()-8))</f>
      </c>
    </row>
    <row r="9357" spans="1:7">
      <c r="B9357">
        <f>IF(INDEX(Transactions!$J:$J,ROW()-8)="",TODAY(),INDEX(Transactions!$G:$G,ROW()-8))</f>
      </c>
      <c r="F9357">
        <f>IF(INDEX(Transactions!$J:$J,ROW()-8)="",0,INDEX(Transactions!$O:$O,ROW()-8))</f>
      </c>
    </row>
    <row r="9358" spans="1:7">
      <c r="B9358">
        <f>IF(INDEX(Transactions!$J:$J,ROW()-8)="",TODAY(),INDEX(Transactions!$G:$G,ROW()-8))</f>
      </c>
      <c r="F9358">
        <f>IF(INDEX(Transactions!$J:$J,ROW()-8)="",0,INDEX(Transactions!$O:$O,ROW()-8))</f>
      </c>
    </row>
    <row r="9359" spans="1:7">
      <c r="B9359">
        <f>IF(INDEX(Transactions!$J:$J,ROW()-8)="",TODAY(),INDEX(Transactions!$G:$G,ROW()-8))</f>
      </c>
      <c r="F9359">
        <f>IF(INDEX(Transactions!$J:$J,ROW()-8)="",0,INDEX(Transactions!$O:$O,ROW()-8))</f>
      </c>
    </row>
    <row r="9360" spans="1:7">
      <c r="B9360">
        <f>IF(INDEX(Transactions!$J:$J,ROW()-8)="",TODAY(),INDEX(Transactions!$G:$G,ROW()-8))</f>
      </c>
      <c r="F9360">
        <f>IF(INDEX(Transactions!$J:$J,ROW()-8)="",0,INDEX(Transactions!$O:$O,ROW()-8))</f>
      </c>
    </row>
    <row r="9361" spans="1:7">
      <c r="B9361">
        <f>IF(INDEX(Transactions!$J:$J,ROW()-8)="",TODAY(),INDEX(Transactions!$G:$G,ROW()-8))</f>
      </c>
      <c r="F9361">
        <f>IF(INDEX(Transactions!$J:$J,ROW()-8)="",0,INDEX(Transactions!$O:$O,ROW()-8))</f>
      </c>
    </row>
    <row r="9362" spans="1:7">
      <c r="B9362">
        <f>IF(INDEX(Transactions!$J:$J,ROW()-8)="",TODAY(),INDEX(Transactions!$G:$G,ROW()-8))</f>
      </c>
      <c r="F9362">
        <f>IF(INDEX(Transactions!$J:$J,ROW()-8)="",0,INDEX(Transactions!$O:$O,ROW()-8))</f>
      </c>
    </row>
    <row r="9363" spans="1:7">
      <c r="B9363">
        <f>IF(INDEX(Transactions!$J:$J,ROW()-8)="",TODAY(),INDEX(Transactions!$G:$G,ROW()-8))</f>
      </c>
      <c r="F9363">
        <f>IF(INDEX(Transactions!$J:$J,ROW()-8)="",0,INDEX(Transactions!$O:$O,ROW()-8))</f>
      </c>
    </row>
    <row r="9364" spans="1:7">
      <c r="B9364">
        <f>IF(INDEX(Transactions!$J:$J,ROW()-8)="",TODAY(),INDEX(Transactions!$G:$G,ROW()-8))</f>
      </c>
      <c r="F9364">
        <f>IF(INDEX(Transactions!$J:$J,ROW()-8)="",0,INDEX(Transactions!$O:$O,ROW()-8))</f>
      </c>
    </row>
    <row r="9365" spans="1:7">
      <c r="B9365">
        <f>IF(INDEX(Transactions!$J:$J,ROW()-8)="",TODAY(),INDEX(Transactions!$G:$G,ROW()-8))</f>
      </c>
      <c r="F9365">
        <f>IF(INDEX(Transactions!$J:$J,ROW()-8)="",0,INDEX(Transactions!$O:$O,ROW()-8))</f>
      </c>
    </row>
    <row r="9366" spans="1:7">
      <c r="B9366">
        <f>IF(INDEX(Transactions!$J:$J,ROW()-8)="",TODAY(),INDEX(Transactions!$G:$G,ROW()-8))</f>
      </c>
      <c r="F9366">
        <f>IF(INDEX(Transactions!$J:$J,ROW()-8)="",0,INDEX(Transactions!$O:$O,ROW()-8))</f>
      </c>
    </row>
    <row r="9367" spans="1:7">
      <c r="B9367">
        <f>IF(INDEX(Transactions!$J:$J,ROW()-8)="",TODAY(),INDEX(Transactions!$G:$G,ROW()-8))</f>
      </c>
      <c r="F9367">
        <f>IF(INDEX(Transactions!$J:$J,ROW()-8)="",0,INDEX(Transactions!$O:$O,ROW()-8))</f>
      </c>
    </row>
    <row r="9368" spans="1:7">
      <c r="B9368">
        <f>IF(INDEX(Transactions!$J:$J,ROW()-8)="",TODAY(),INDEX(Transactions!$G:$G,ROW()-8))</f>
      </c>
      <c r="F9368">
        <f>IF(INDEX(Transactions!$J:$J,ROW()-8)="",0,INDEX(Transactions!$O:$O,ROW()-8))</f>
      </c>
    </row>
    <row r="9369" spans="1:7">
      <c r="B9369">
        <f>IF(INDEX(Transactions!$J:$J,ROW()-8)="",TODAY(),INDEX(Transactions!$G:$G,ROW()-8))</f>
      </c>
      <c r="F9369">
        <f>IF(INDEX(Transactions!$J:$J,ROW()-8)="",0,INDEX(Transactions!$O:$O,ROW()-8))</f>
      </c>
    </row>
    <row r="9370" spans="1:7">
      <c r="B9370">
        <f>IF(INDEX(Transactions!$J:$J,ROW()-8)="",TODAY(),INDEX(Transactions!$G:$G,ROW()-8))</f>
      </c>
      <c r="F9370">
        <f>IF(INDEX(Transactions!$J:$J,ROW()-8)="",0,INDEX(Transactions!$O:$O,ROW()-8))</f>
      </c>
    </row>
    <row r="9371" spans="1:7">
      <c r="B9371">
        <f>IF(INDEX(Transactions!$J:$J,ROW()-8)="",TODAY(),INDEX(Transactions!$G:$G,ROW()-8))</f>
      </c>
      <c r="F9371">
        <f>IF(INDEX(Transactions!$J:$J,ROW()-8)="",0,INDEX(Transactions!$O:$O,ROW()-8))</f>
      </c>
    </row>
    <row r="9372" spans="1:7">
      <c r="B9372">
        <f>IF(INDEX(Transactions!$J:$J,ROW()-8)="",TODAY(),INDEX(Transactions!$G:$G,ROW()-8))</f>
      </c>
      <c r="F9372">
        <f>IF(INDEX(Transactions!$J:$J,ROW()-8)="",0,INDEX(Transactions!$O:$O,ROW()-8))</f>
      </c>
    </row>
    <row r="9373" spans="1:7">
      <c r="B9373">
        <f>IF(INDEX(Transactions!$J:$J,ROW()-8)="",TODAY(),INDEX(Transactions!$G:$G,ROW()-8))</f>
      </c>
      <c r="F9373">
        <f>IF(INDEX(Transactions!$J:$J,ROW()-8)="",0,INDEX(Transactions!$O:$O,ROW()-8))</f>
      </c>
    </row>
    <row r="9374" spans="1:7">
      <c r="B9374">
        <f>IF(INDEX(Transactions!$J:$J,ROW()-8)="",TODAY(),INDEX(Transactions!$G:$G,ROW()-8))</f>
      </c>
      <c r="F9374">
        <f>IF(INDEX(Transactions!$J:$J,ROW()-8)="",0,INDEX(Transactions!$O:$O,ROW()-8))</f>
      </c>
    </row>
    <row r="9375" spans="1:7">
      <c r="B9375">
        <f>IF(INDEX(Transactions!$J:$J,ROW()-8)="",TODAY(),INDEX(Transactions!$G:$G,ROW()-8))</f>
      </c>
      <c r="F9375">
        <f>IF(INDEX(Transactions!$J:$J,ROW()-8)="",0,INDEX(Transactions!$O:$O,ROW()-8))</f>
      </c>
    </row>
    <row r="9376" spans="1:7">
      <c r="B9376">
        <f>IF(INDEX(Transactions!$J:$J,ROW()-8)="",TODAY(),INDEX(Transactions!$G:$G,ROW()-8))</f>
      </c>
      <c r="F9376">
        <f>IF(INDEX(Transactions!$J:$J,ROW()-8)="",0,INDEX(Transactions!$O:$O,ROW()-8))</f>
      </c>
    </row>
    <row r="9377" spans="1:7">
      <c r="B9377">
        <f>IF(INDEX(Transactions!$J:$J,ROW()-8)="",TODAY(),INDEX(Transactions!$G:$G,ROW()-8))</f>
      </c>
      <c r="F9377">
        <f>IF(INDEX(Transactions!$J:$J,ROW()-8)="",0,INDEX(Transactions!$O:$O,ROW()-8))</f>
      </c>
    </row>
    <row r="9378" spans="1:7">
      <c r="B9378">
        <f>IF(INDEX(Transactions!$J:$J,ROW()-8)="",TODAY(),INDEX(Transactions!$G:$G,ROW()-8))</f>
      </c>
      <c r="F9378">
        <f>IF(INDEX(Transactions!$J:$J,ROW()-8)="",0,INDEX(Transactions!$O:$O,ROW()-8))</f>
      </c>
    </row>
    <row r="9379" spans="1:7">
      <c r="B9379">
        <f>IF(INDEX(Transactions!$J:$J,ROW()-8)="",TODAY(),INDEX(Transactions!$G:$G,ROW()-8))</f>
      </c>
      <c r="F9379">
        <f>IF(INDEX(Transactions!$J:$J,ROW()-8)="",0,INDEX(Transactions!$O:$O,ROW()-8))</f>
      </c>
    </row>
    <row r="9380" spans="1:7">
      <c r="B9380">
        <f>IF(INDEX(Transactions!$J:$J,ROW()-8)="",TODAY(),INDEX(Transactions!$G:$G,ROW()-8))</f>
      </c>
      <c r="F9380">
        <f>IF(INDEX(Transactions!$J:$J,ROW()-8)="",0,INDEX(Transactions!$O:$O,ROW()-8))</f>
      </c>
    </row>
    <row r="9381" spans="1:7">
      <c r="B9381">
        <f>IF(INDEX(Transactions!$J:$J,ROW()-8)="",TODAY(),INDEX(Transactions!$G:$G,ROW()-8))</f>
      </c>
      <c r="F9381">
        <f>IF(INDEX(Transactions!$J:$J,ROW()-8)="",0,INDEX(Transactions!$O:$O,ROW()-8))</f>
      </c>
    </row>
    <row r="9382" spans="1:7">
      <c r="B9382">
        <f>IF(INDEX(Transactions!$J:$J,ROW()-8)="",TODAY(),INDEX(Transactions!$G:$G,ROW()-8))</f>
      </c>
      <c r="F9382">
        <f>IF(INDEX(Transactions!$J:$J,ROW()-8)="",0,INDEX(Transactions!$O:$O,ROW()-8))</f>
      </c>
    </row>
    <row r="9383" spans="1:7">
      <c r="B9383">
        <f>IF(INDEX(Transactions!$J:$J,ROW()-8)="",TODAY(),INDEX(Transactions!$G:$G,ROW()-8))</f>
      </c>
      <c r="F9383">
        <f>IF(INDEX(Transactions!$J:$J,ROW()-8)="",0,INDEX(Transactions!$O:$O,ROW()-8))</f>
      </c>
    </row>
    <row r="9384" spans="1:7">
      <c r="B9384">
        <f>IF(INDEX(Transactions!$J:$J,ROW()-8)="",TODAY(),INDEX(Transactions!$G:$G,ROW()-8))</f>
      </c>
      <c r="F9384">
        <f>IF(INDEX(Transactions!$J:$J,ROW()-8)="",0,INDEX(Transactions!$O:$O,ROW()-8))</f>
      </c>
    </row>
    <row r="9385" spans="1:7">
      <c r="B9385">
        <f>IF(INDEX(Transactions!$J:$J,ROW()-8)="",TODAY(),INDEX(Transactions!$G:$G,ROW()-8))</f>
      </c>
      <c r="F9385">
        <f>IF(INDEX(Transactions!$J:$J,ROW()-8)="",0,INDEX(Transactions!$O:$O,ROW()-8))</f>
      </c>
    </row>
    <row r="9386" spans="1:7">
      <c r="B9386">
        <f>IF(INDEX(Transactions!$J:$J,ROW()-8)="",TODAY(),INDEX(Transactions!$G:$G,ROW()-8))</f>
      </c>
      <c r="F9386">
        <f>IF(INDEX(Transactions!$J:$J,ROW()-8)="",0,INDEX(Transactions!$O:$O,ROW()-8))</f>
      </c>
    </row>
    <row r="9387" spans="1:7">
      <c r="B9387">
        <f>IF(INDEX(Transactions!$J:$J,ROW()-8)="",TODAY(),INDEX(Transactions!$G:$G,ROW()-8))</f>
      </c>
      <c r="F9387">
        <f>IF(INDEX(Transactions!$J:$J,ROW()-8)="",0,INDEX(Transactions!$O:$O,ROW()-8))</f>
      </c>
    </row>
    <row r="9388" spans="1:7">
      <c r="B9388">
        <f>IF(INDEX(Transactions!$J:$J,ROW()-8)="",TODAY(),INDEX(Transactions!$G:$G,ROW()-8))</f>
      </c>
      <c r="F9388">
        <f>IF(INDEX(Transactions!$J:$J,ROW()-8)="",0,INDEX(Transactions!$O:$O,ROW()-8))</f>
      </c>
    </row>
    <row r="9389" spans="1:7">
      <c r="B9389">
        <f>IF(INDEX(Transactions!$J:$J,ROW()-8)="",TODAY(),INDEX(Transactions!$G:$G,ROW()-8))</f>
      </c>
      <c r="F9389">
        <f>IF(INDEX(Transactions!$J:$J,ROW()-8)="",0,INDEX(Transactions!$O:$O,ROW()-8))</f>
      </c>
    </row>
    <row r="9390" spans="1:7">
      <c r="B9390">
        <f>IF(INDEX(Transactions!$J:$J,ROW()-8)="",TODAY(),INDEX(Transactions!$G:$G,ROW()-8))</f>
      </c>
      <c r="F9390">
        <f>IF(INDEX(Transactions!$J:$J,ROW()-8)="",0,INDEX(Transactions!$O:$O,ROW()-8))</f>
      </c>
    </row>
    <row r="9391" spans="1:7">
      <c r="B9391">
        <f>IF(INDEX(Transactions!$J:$J,ROW()-8)="",TODAY(),INDEX(Transactions!$G:$G,ROW()-8))</f>
      </c>
      <c r="F9391">
        <f>IF(INDEX(Transactions!$J:$J,ROW()-8)="",0,INDEX(Transactions!$O:$O,ROW()-8))</f>
      </c>
    </row>
    <row r="9392" spans="1:7">
      <c r="B9392">
        <f>IF(INDEX(Transactions!$J:$J,ROW()-8)="",TODAY(),INDEX(Transactions!$G:$G,ROW()-8))</f>
      </c>
      <c r="F9392">
        <f>IF(INDEX(Transactions!$J:$J,ROW()-8)="",0,INDEX(Transactions!$O:$O,ROW()-8))</f>
      </c>
    </row>
    <row r="9393" spans="1:7">
      <c r="B9393">
        <f>IF(INDEX(Transactions!$J:$J,ROW()-8)="",TODAY(),INDEX(Transactions!$G:$G,ROW()-8))</f>
      </c>
      <c r="F9393">
        <f>IF(INDEX(Transactions!$J:$J,ROW()-8)="",0,INDEX(Transactions!$O:$O,ROW()-8))</f>
      </c>
    </row>
    <row r="9394" spans="1:7">
      <c r="B9394">
        <f>IF(INDEX(Transactions!$J:$J,ROW()-8)="",TODAY(),INDEX(Transactions!$G:$G,ROW()-8))</f>
      </c>
      <c r="F9394">
        <f>IF(INDEX(Transactions!$J:$J,ROW()-8)="",0,INDEX(Transactions!$O:$O,ROW()-8))</f>
      </c>
    </row>
    <row r="9395" spans="1:7">
      <c r="B9395">
        <f>IF(INDEX(Transactions!$J:$J,ROW()-8)="",TODAY(),INDEX(Transactions!$G:$G,ROW()-8))</f>
      </c>
      <c r="F9395">
        <f>IF(INDEX(Transactions!$J:$J,ROW()-8)="",0,INDEX(Transactions!$O:$O,ROW()-8))</f>
      </c>
    </row>
    <row r="9396" spans="1:7">
      <c r="B9396">
        <f>IF(INDEX(Transactions!$J:$J,ROW()-8)="",TODAY(),INDEX(Transactions!$G:$G,ROW()-8))</f>
      </c>
      <c r="F9396">
        <f>IF(INDEX(Transactions!$J:$J,ROW()-8)="",0,INDEX(Transactions!$O:$O,ROW()-8))</f>
      </c>
    </row>
    <row r="9397" spans="1:7">
      <c r="B9397">
        <f>IF(INDEX(Transactions!$J:$J,ROW()-8)="",TODAY(),INDEX(Transactions!$G:$G,ROW()-8))</f>
      </c>
      <c r="F9397">
        <f>IF(INDEX(Transactions!$J:$J,ROW()-8)="",0,INDEX(Transactions!$O:$O,ROW()-8))</f>
      </c>
    </row>
    <row r="9398" spans="1:7">
      <c r="B9398">
        <f>IF(INDEX(Transactions!$J:$J,ROW()-8)="",TODAY(),INDEX(Transactions!$G:$G,ROW()-8))</f>
      </c>
      <c r="F9398">
        <f>IF(INDEX(Transactions!$J:$J,ROW()-8)="",0,INDEX(Transactions!$O:$O,ROW()-8))</f>
      </c>
    </row>
    <row r="9399" spans="1:7">
      <c r="B9399">
        <f>IF(INDEX(Transactions!$J:$J,ROW()-8)="",TODAY(),INDEX(Transactions!$G:$G,ROW()-8))</f>
      </c>
      <c r="F9399">
        <f>IF(INDEX(Transactions!$J:$J,ROW()-8)="",0,INDEX(Transactions!$O:$O,ROW()-8))</f>
      </c>
    </row>
    <row r="9400" spans="1:7">
      <c r="B9400">
        <f>IF(INDEX(Transactions!$J:$J,ROW()-8)="",TODAY(),INDEX(Transactions!$G:$G,ROW()-8))</f>
      </c>
      <c r="F9400">
        <f>IF(INDEX(Transactions!$J:$J,ROW()-8)="",0,INDEX(Transactions!$O:$O,ROW()-8))</f>
      </c>
    </row>
    <row r="9401" spans="1:7">
      <c r="B9401">
        <f>IF(INDEX(Transactions!$J:$J,ROW()-8)="",TODAY(),INDEX(Transactions!$G:$G,ROW()-8))</f>
      </c>
      <c r="F9401">
        <f>IF(INDEX(Transactions!$J:$J,ROW()-8)="",0,INDEX(Transactions!$O:$O,ROW()-8))</f>
      </c>
    </row>
    <row r="9402" spans="1:7">
      <c r="B9402">
        <f>IF(INDEX(Transactions!$J:$J,ROW()-8)="",TODAY(),INDEX(Transactions!$G:$G,ROW()-8))</f>
      </c>
      <c r="F9402">
        <f>IF(INDEX(Transactions!$J:$J,ROW()-8)="",0,INDEX(Transactions!$O:$O,ROW()-8))</f>
      </c>
    </row>
    <row r="9403" spans="1:7">
      <c r="B9403">
        <f>IF(INDEX(Transactions!$J:$J,ROW()-8)="",TODAY(),INDEX(Transactions!$G:$G,ROW()-8))</f>
      </c>
      <c r="F9403">
        <f>IF(INDEX(Transactions!$J:$J,ROW()-8)="",0,INDEX(Transactions!$O:$O,ROW()-8))</f>
      </c>
    </row>
    <row r="9404" spans="1:7">
      <c r="B9404">
        <f>IF(INDEX(Transactions!$J:$J,ROW()-8)="",TODAY(),INDEX(Transactions!$G:$G,ROW()-8))</f>
      </c>
      <c r="F9404">
        <f>IF(INDEX(Transactions!$J:$J,ROW()-8)="",0,INDEX(Transactions!$O:$O,ROW()-8))</f>
      </c>
    </row>
    <row r="9405" spans="1:7">
      <c r="B9405">
        <f>IF(INDEX(Transactions!$J:$J,ROW()-8)="",TODAY(),INDEX(Transactions!$G:$G,ROW()-8))</f>
      </c>
      <c r="F9405">
        <f>IF(INDEX(Transactions!$J:$J,ROW()-8)="",0,INDEX(Transactions!$O:$O,ROW()-8))</f>
      </c>
    </row>
    <row r="9406" spans="1:7">
      <c r="B9406">
        <f>IF(INDEX(Transactions!$J:$J,ROW()-8)="",TODAY(),INDEX(Transactions!$G:$G,ROW()-8))</f>
      </c>
      <c r="F9406">
        <f>IF(INDEX(Transactions!$J:$J,ROW()-8)="",0,INDEX(Transactions!$O:$O,ROW()-8))</f>
      </c>
    </row>
    <row r="9407" spans="1:7">
      <c r="B9407">
        <f>IF(INDEX(Transactions!$J:$J,ROW()-8)="",TODAY(),INDEX(Transactions!$G:$G,ROW()-8))</f>
      </c>
      <c r="F9407">
        <f>IF(INDEX(Transactions!$J:$J,ROW()-8)="",0,INDEX(Transactions!$O:$O,ROW()-8))</f>
      </c>
    </row>
    <row r="9408" spans="1:7">
      <c r="B9408">
        <f>IF(INDEX(Transactions!$J:$J,ROW()-8)="",TODAY(),INDEX(Transactions!$G:$G,ROW()-8))</f>
      </c>
      <c r="F9408">
        <f>IF(INDEX(Transactions!$J:$J,ROW()-8)="",0,INDEX(Transactions!$O:$O,ROW()-8))</f>
      </c>
    </row>
    <row r="9409" spans="1:7">
      <c r="B9409">
        <f>IF(INDEX(Transactions!$J:$J,ROW()-8)="",TODAY(),INDEX(Transactions!$G:$G,ROW()-8))</f>
      </c>
      <c r="F9409">
        <f>IF(INDEX(Transactions!$J:$J,ROW()-8)="",0,INDEX(Transactions!$O:$O,ROW()-8))</f>
      </c>
    </row>
    <row r="9410" spans="1:7">
      <c r="B9410">
        <f>IF(INDEX(Transactions!$J:$J,ROW()-8)="",TODAY(),INDEX(Transactions!$G:$G,ROW()-8))</f>
      </c>
      <c r="F9410">
        <f>IF(INDEX(Transactions!$J:$J,ROW()-8)="",0,INDEX(Transactions!$O:$O,ROW()-8))</f>
      </c>
    </row>
    <row r="9411" spans="1:7">
      <c r="B9411">
        <f>IF(INDEX(Transactions!$J:$J,ROW()-8)="",TODAY(),INDEX(Transactions!$G:$G,ROW()-8))</f>
      </c>
      <c r="F9411">
        <f>IF(INDEX(Transactions!$J:$J,ROW()-8)="",0,INDEX(Transactions!$O:$O,ROW()-8))</f>
      </c>
    </row>
    <row r="9412" spans="1:7">
      <c r="B9412">
        <f>IF(INDEX(Transactions!$J:$J,ROW()-8)="",TODAY(),INDEX(Transactions!$G:$G,ROW()-8))</f>
      </c>
      <c r="F9412">
        <f>IF(INDEX(Transactions!$J:$J,ROW()-8)="",0,INDEX(Transactions!$O:$O,ROW()-8))</f>
      </c>
    </row>
    <row r="9413" spans="1:7">
      <c r="B9413">
        <f>IF(INDEX(Transactions!$J:$J,ROW()-8)="",TODAY(),INDEX(Transactions!$G:$G,ROW()-8))</f>
      </c>
      <c r="F9413">
        <f>IF(INDEX(Transactions!$J:$J,ROW()-8)="",0,INDEX(Transactions!$O:$O,ROW()-8))</f>
      </c>
    </row>
    <row r="9414" spans="1:7">
      <c r="B9414">
        <f>IF(INDEX(Transactions!$J:$J,ROW()-8)="",TODAY(),INDEX(Transactions!$G:$G,ROW()-8))</f>
      </c>
      <c r="F9414">
        <f>IF(INDEX(Transactions!$J:$J,ROW()-8)="",0,INDEX(Transactions!$O:$O,ROW()-8))</f>
      </c>
    </row>
    <row r="9415" spans="1:7">
      <c r="B9415">
        <f>IF(INDEX(Transactions!$J:$J,ROW()-8)="",TODAY(),INDEX(Transactions!$G:$G,ROW()-8))</f>
      </c>
      <c r="F9415">
        <f>IF(INDEX(Transactions!$J:$J,ROW()-8)="",0,INDEX(Transactions!$O:$O,ROW()-8))</f>
      </c>
    </row>
    <row r="9416" spans="1:7">
      <c r="B9416">
        <f>IF(INDEX(Transactions!$J:$J,ROW()-8)="",TODAY(),INDEX(Transactions!$G:$G,ROW()-8))</f>
      </c>
      <c r="F9416">
        <f>IF(INDEX(Transactions!$J:$J,ROW()-8)="",0,INDEX(Transactions!$O:$O,ROW()-8))</f>
      </c>
    </row>
    <row r="9417" spans="1:7">
      <c r="B9417">
        <f>IF(INDEX(Transactions!$J:$J,ROW()-8)="",TODAY(),INDEX(Transactions!$G:$G,ROW()-8))</f>
      </c>
      <c r="F9417">
        <f>IF(INDEX(Transactions!$J:$J,ROW()-8)="",0,INDEX(Transactions!$O:$O,ROW()-8))</f>
      </c>
    </row>
    <row r="9418" spans="1:7">
      <c r="B9418">
        <f>IF(INDEX(Transactions!$J:$J,ROW()-8)="",TODAY(),INDEX(Transactions!$G:$G,ROW()-8))</f>
      </c>
      <c r="F9418">
        <f>IF(INDEX(Transactions!$J:$J,ROW()-8)="",0,INDEX(Transactions!$O:$O,ROW()-8))</f>
      </c>
    </row>
    <row r="9419" spans="1:7">
      <c r="B9419">
        <f>IF(INDEX(Transactions!$J:$J,ROW()-8)="",TODAY(),INDEX(Transactions!$G:$G,ROW()-8))</f>
      </c>
      <c r="F9419">
        <f>IF(INDEX(Transactions!$J:$J,ROW()-8)="",0,INDEX(Transactions!$O:$O,ROW()-8))</f>
      </c>
    </row>
    <row r="9420" spans="1:7">
      <c r="B9420">
        <f>IF(INDEX(Transactions!$J:$J,ROW()-8)="",TODAY(),INDEX(Transactions!$G:$G,ROW()-8))</f>
      </c>
      <c r="F9420">
        <f>IF(INDEX(Transactions!$J:$J,ROW()-8)="",0,INDEX(Transactions!$O:$O,ROW()-8))</f>
      </c>
    </row>
    <row r="9421" spans="1:7">
      <c r="B9421">
        <f>IF(INDEX(Transactions!$J:$J,ROW()-8)="",TODAY(),INDEX(Transactions!$G:$G,ROW()-8))</f>
      </c>
      <c r="F9421">
        <f>IF(INDEX(Transactions!$J:$J,ROW()-8)="",0,INDEX(Transactions!$O:$O,ROW()-8))</f>
      </c>
    </row>
    <row r="9422" spans="1:7">
      <c r="B9422">
        <f>IF(INDEX(Transactions!$J:$J,ROW()-8)="",TODAY(),INDEX(Transactions!$G:$G,ROW()-8))</f>
      </c>
      <c r="F9422">
        <f>IF(INDEX(Transactions!$J:$J,ROW()-8)="",0,INDEX(Transactions!$O:$O,ROW()-8))</f>
      </c>
    </row>
    <row r="9423" spans="1:7">
      <c r="B9423">
        <f>IF(INDEX(Transactions!$J:$J,ROW()-8)="",TODAY(),INDEX(Transactions!$G:$G,ROW()-8))</f>
      </c>
      <c r="F9423">
        <f>IF(INDEX(Transactions!$J:$J,ROW()-8)="",0,INDEX(Transactions!$O:$O,ROW()-8))</f>
      </c>
    </row>
    <row r="9424" spans="1:7">
      <c r="B9424">
        <f>IF(INDEX(Transactions!$J:$J,ROW()-8)="",TODAY(),INDEX(Transactions!$G:$G,ROW()-8))</f>
      </c>
      <c r="F9424">
        <f>IF(INDEX(Transactions!$J:$J,ROW()-8)="",0,INDEX(Transactions!$O:$O,ROW()-8))</f>
      </c>
    </row>
    <row r="9425" spans="1:7">
      <c r="B9425">
        <f>IF(INDEX(Transactions!$J:$J,ROW()-8)="",TODAY(),INDEX(Transactions!$G:$G,ROW()-8))</f>
      </c>
      <c r="F9425">
        <f>IF(INDEX(Transactions!$J:$J,ROW()-8)="",0,INDEX(Transactions!$O:$O,ROW()-8))</f>
      </c>
    </row>
    <row r="9426" spans="1:7">
      <c r="B9426">
        <f>IF(INDEX(Transactions!$J:$J,ROW()-8)="",TODAY(),INDEX(Transactions!$G:$G,ROW()-8))</f>
      </c>
      <c r="F9426">
        <f>IF(INDEX(Transactions!$J:$J,ROW()-8)="",0,INDEX(Transactions!$O:$O,ROW()-8))</f>
      </c>
    </row>
    <row r="9427" spans="1:7">
      <c r="B9427">
        <f>IF(INDEX(Transactions!$J:$J,ROW()-8)="",TODAY(),INDEX(Transactions!$G:$G,ROW()-8))</f>
      </c>
      <c r="F9427">
        <f>IF(INDEX(Transactions!$J:$J,ROW()-8)="",0,INDEX(Transactions!$O:$O,ROW()-8))</f>
      </c>
    </row>
    <row r="9428" spans="1:7">
      <c r="B9428">
        <f>IF(INDEX(Transactions!$J:$J,ROW()-8)="",TODAY(),INDEX(Transactions!$G:$G,ROW()-8))</f>
      </c>
      <c r="F9428">
        <f>IF(INDEX(Transactions!$J:$J,ROW()-8)="",0,INDEX(Transactions!$O:$O,ROW()-8))</f>
      </c>
    </row>
    <row r="9429" spans="1:7">
      <c r="B9429">
        <f>IF(INDEX(Transactions!$J:$J,ROW()-8)="",TODAY(),INDEX(Transactions!$G:$G,ROW()-8))</f>
      </c>
      <c r="F9429">
        <f>IF(INDEX(Transactions!$J:$J,ROW()-8)="",0,INDEX(Transactions!$O:$O,ROW()-8))</f>
      </c>
    </row>
    <row r="9430" spans="1:7">
      <c r="B9430">
        <f>IF(INDEX(Transactions!$J:$J,ROW()-8)="",TODAY(),INDEX(Transactions!$G:$G,ROW()-8))</f>
      </c>
      <c r="F9430">
        <f>IF(INDEX(Transactions!$J:$J,ROW()-8)="",0,INDEX(Transactions!$O:$O,ROW()-8))</f>
      </c>
    </row>
    <row r="9431" spans="1:7">
      <c r="B9431">
        <f>IF(INDEX(Transactions!$J:$J,ROW()-8)="",TODAY(),INDEX(Transactions!$G:$G,ROW()-8))</f>
      </c>
      <c r="F9431">
        <f>IF(INDEX(Transactions!$J:$J,ROW()-8)="",0,INDEX(Transactions!$O:$O,ROW()-8))</f>
      </c>
    </row>
    <row r="9432" spans="1:7">
      <c r="B9432">
        <f>IF(INDEX(Transactions!$J:$J,ROW()-8)="",TODAY(),INDEX(Transactions!$G:$G,ROW()-8))</f>
      </c>
      <c r="F9432">
        <f>IF(INDEX(Transactions!$J:$J,ROW()-8)="",0,INDEX(Transactions!$O:$O,ROW()-8))</f>
      </c>
    </row>
    <row r="9433" spans="1:7">
      <c r="B9433">
        <f>IF(INDEX(Transactions!$J:$J,ROW()-8)="",TODAY(),INDEX(Transactions!$G:$G,ROW()-8))</f>
      </c>
      <c r="F9433">
        <f>IF(INDEX(Transactions!$J:$J,ROW()-8)="",0,INDEX(Transactions!$O:$O,ROW()-8))</f>
      </c>
    </row>
    <row r="9434" spans="1:7">
      <c r="B9434">
        <f>IF(INDEX(Transactions!$J:$J,ROW()-8)="",TODAY(),INDEX(Transactions!$G:$G,ROW()-8))</f>
      </c>
      <c r="F9434">
        <f>IF(INDEX(Transactions!$J:$J,ROW()-8)="",0,INDEX(Transactions!$O:$O,ROW()-8))</f>
      </c>
    </row>
    <row r="9435" spans="1:7">
      <c r="B9435">
        <f>IF(INDEX(Transactions!$J:$J,ROW()-8)="",TODAY(),INDEX(Transactions!$G:$G,ROW()-8))</f>
      </c>
      <c r="F9435">
        <f>IF(INDEX(Transactions!$J:$J,ROW()-8)="",0,INDEX(Transactions!$O:$O,ROW()-8))</f>
      </c>
    </row>
    <row r="9436" spans="1:7">
      <c r="B9436">
        <f>IF(INDEX(Transactions!$J:$J,ROW()-8)="",TODAY(),INDEX(Transactions!$G:$G,ROW()-8))</f>
      </c>
      <c r="F9436">
        <f>IF(INDEX(Transactions!$J:$J,ROW()-8)="",0,INDEX(Transactions!$O:$O,ROW()-8))</f>
      </c>
    </row>
    <row r="9437" spans="1:7">
      <c r="B9437">
        <f>IF(INDEX(Transactions!$J:$J,ROW()-8)="",TODAY(),INDEX(Transactions!$G:$G,ROW()-8))</f>
      </c>
      <c r="F9437">
        <f>IF(INDEX(Transactions!$J:$J,ROW()-8)="",0,INDEX(Transactions!$O:$O,ROW()-8))</f>
      </c>
    </row>
    <row r="9438" spans="1:7">
      <c r="B9438">
        <f>IF(INDEX(Transactions!$J:$J,ROW()-8)="",TODAY(),INDEX(Transactions!$G:$G,ROW()-8))</f>
      </c>
      <c r="F9438">
        <f>IF(INDEX(Transactions!$J:$J,ROW()-8)="",0,INDEX(Transactions!$O:$O,ROW()-8))</f>
      </c>
    </row>
    <row r="9439" spans="1:7">
      <c r="B9439">
        <f>IF(INDEX(Transactions!$J:$J,ROW()-8)="",TODAY(),INDEX(Transactions!$G:$G,ROW()-8))</f>
      </c>
      <c r="F9439">
        <f>IF(INDEX(Transactions!$J:$J,ROW()-8)="",0,INDEX(Transactions!$O:$O,ROW()-8))</f>
      </c>
    </row>
    <row r="9440" spans="1:7">
      <c r="B9440">
        <f>IF(INDEX(Transactions!$J:$J,ROW()-8)="",TODAY(),INDEX(Transactions!$G:$G,ROW()-8))</f>
      </c>
      <c r="F9440">
        <f>IF(INDEX(Transactions!$J:$J,ROW()-8)="",0,INDEX(Transactions!$O:$O,ROW()-8))</f>
      </c>
    </row>
    <row r="9441" spans="1:7">
      <c r="B9441">
        <f>IF(INDEX(Transactions!$J:$J,ROW()-8)="",TODAY(),INDEX(Transactions!$G:$G,ROW()-8))</f>
      </c>
      <c r="F9441">
        <f>IF(INDEX(Transactions!$J:$J,ROW()-8)="",0,INDEX(Transactions!$O:$O,ROW()-8))</f>
      </c>
    </row>
    <row r="9442" spans="1:7">
      <c r="B9442">
        <f>IF(INDEX(Transactions!$J:$J,ROW()-8)="",TODAY(),INDEX(Transactions!$G:$G,ROW()-8))</f>
      </c>
      <c r="F9442">
        <f>IF(INDEX(Transactions!$J:$J,ROW()-8)="",0,INDEX(Transactions!$O:$O,ROW()-8))</f>
      </c>
    </row>
    <row r="9443" spans="1:7">
      <c r="B9443">
        <f>IF(INDEX(Transactions!$J:$J,ROW()-8)="",TODAY(),INDEX(Transactions!$G:$G,ROW()-8))</f>
      </c>
      <c r="F9443">
        <f>IF(INDEX(Transactions!$J:$J,ROW()-8)="",0,INDEX(Transactions!$O:$O,ROW()-8))</f>
      </c>
    </row>
    <row r="9444" spans="1:7">
      <c r="B9444">
        <f>IF(INDEX(Transactions!$J:$J,ROW()-8)="",TODAY(),INDEX(Transactions!$G:$G,ROW()-8))</f>
      </c>
      <c r="F9444">
        <f>IF(INDEX(Transactions!$J:$J,ROW()-8)="",0,INDEX(Transactions!$O:$O,ROW()-8))</f>
      </c>
    </row>
    <row r="9445" spans="1:7">
      <c r="B9445">
        <f>IF(INDEX(Transactions!$J:$J,ROW()-8)="",TODAY(),INDEX(Transactions!$G:$G,ROW()-8))</f>
      </c>
      <c r="F9445">
        <f>IF(INDEX(Transactions!$J:$J,ROW()-8)="",0,INDEX(Transactions!$O:$O,ROW()-8))</f>
      </c>
    </row>
    <row r="9446" spans="1:7">
      <c r="B9446">
        <f>IF(INDEX(Transactions!$J:$J,ROW()-8)="",TODAY(),INDEX(Transactions!$G:$G,ROW()-8))</f>
      </c>
      <c r="F9446">
        <f>IF(INDEX(Transactions!$J:$J,ROW()-8)="",0,INDEX(Transactions!$O:$O,ROW()-8))</f>
      </c>
    </row>
    <row r="9447" spans="1:7">
      <c r="B9447">
        <f>IF(INDEX(Transactions!$J:$J,ROW()-8)="",TODAY(),INDEX(Transactions!$G:$G,ROW()-8))</f>
      </c>
      <c r="F9447">
        <f>IF(INDEX(Transactions!$J:$J,ROW()-8)="",0,INDEX(Transactions!$O:$O,ROW()-8))</f>
      </c>
    </row>
    <row r="9448" spans="1:7">
      <c r="B9448">
        <f>IF(INDEX(Transactions!$J:$J,ROW()-8)="",TODAY(),INDEX(Transactions!$G:$G,ROW()-8))</f>
      </c>
      <c r="F9448">
        <f>IF(INDEX(Transactions!$J:$J,ROW()-8)="",0,INDEX(Transactions!$O:$O,ROW()-8))</f>
      </c>
    </row>
    <row r="9449" spans="1:7">
      <c r="B9449">
        <f>IF(INDEX(Transactions!$J:$J,ROW()-8)="",TODAY(),INDEX(Transactions!$G:$G,ROW()-8))</f>
      </c>
      <c r="F9449">
        <f>IF(INDEX(Transactions!$J:$J,ROW()-8)="",0,INDEX(Transactions!$O:$O,ROW()-8))</f>
      </c>
    </row>
    <row r="9450" spans="1:7">
      <c r="B9450">
        <f>IF(INDEX(Transactions!$J:$J,ROW()-8)="",TODAY(),INDEX(Transactions!$G:$G,ROW()-8))</f>
      </c>
      <c r="F9450">
        <f>IF(INDEX(Transactions!$J:$J,ROW()-8)="",0,INDEX(Transactions!$O:$O,ROW()-8))</f>
      </c>
    </row>
    <row r="9451" spans="1:7">
      <c r="B9451">
        <f>IF(INDEX(Transactions!$J:$J,ROW()-8)="",TODAY(),INDEX(Transactions!$G:$G,ROW()-8))</f>
      </c>
      <c r="F9451">
        <f>IF(INDEX(Transactions!$J:$J,ROW()-8)="",0,INDEX(Transactions!$O:$O,ROW()-8))</f>
      </c>
    </row>
    <row r="9452" spans="1:7">
      <c r="B9452">
        <f>IF(INDEX(Transactions!$J:$J,ROW()-8)="",TODAY(),INDEX(Transactions!$G:$G,ROW()-8))</f>
      </c>
      <c r="F9452">
        <f>IF(INDEX(Transactions!$J:$J,ROW()-8)="",0,INDEX(Transactions!$O:$O,ROW()-8))</f>
      </c>
    </row>
    <row r="9453" spans="1:7">
      <c r="B9453">
        <f>IF(INDEX(Transactions!$J:$J,ROW()-8)="",TODAY(),INDEX(Transactions!$G:$G,ROW()-8))</f>
      </c>
      <c r="F9453">
        <f>IF(INDEX(Transactions!$J:$J,ROW()-8)="",0,INDEX(Transactions!$O:$O,ROW()-8))</f>
      </c>
    </row>
    <row r="9454" spans="1:7">
      <c r="B9454">
        <f>IF(INDEX(Transactions!$J:$J,ROW()-8)="",TODAY(),INDEX(Transactions!$G:$G,ROW()-8))</f>
      </c>
      <c r="F9454">
        <f>IF(INDEX(Transactions!$J:$J,ROW()-8)="",0,INDEX(Transactions!$O:$O,ROW()-8))</f>
      </c>
    </row>
    <row r="9455" spans="1:7">
      <c r="B9455">
        <f>IF(INDEX(Transactions!$J:$J,ROW()-8)="",TODAY(),INDEX(Transactions!$G:$G,ROW()-8))</f>
      </c>
      <c r="F9455">
        <f>IF(INDEX(Transactions!$J:$J,ROW()-8)="",0,INDEX(Transactions!$O:$O,ROW()-8))</f>
      </c>
    </row>
    <row r="9456" spans="1:7">
      <c r="B9456">
        <f>IF(INDEX(Transactions!$J:$J,ROW()-8)="",TODAY(),INDEX(Transactions!$G:$G,ROW()-8))</f>
      </c>
      <c r="F9456">
        <f>IF(INDEX(Transactions!$J:$J,ROW()-8)="",0,INDEX(Transactions!$O:$O,ROW()-8))</f>
      </c>
    </row>
    <row r="9457" spans="1:7">
      <c r="B9457">
        <f>IF(INDEX(Transactions!$J:$J,ROW()-8)="",TODAY(),INDEX(Transactions!$G:$G,ROW()-8))</f>
      </c>
      <c r="F9457">
        <f>IF(INDEX(Transactions!$J:$J,ROW()-8)="",0,INDEX(Transactions!$O:$O,ROW()-8))</f>
      </c>
    </row>
    <row r="9458" spans="1:7">
      <c r="B9458">
        <f>IF(INDEX(Transactions!$J:$J,ROW()-8)="",TODAY(),INDEX(Transactions!$G:$G,ROW()-8))</f>
      </c>
      <c r="F9458">
        <f>IF(INDEX(Transactions!$J:$J,ROW()-8)="",0,INDEX(Transactions!$O:$O,ROW()-8))</f>
      </c>
    </row>
    <row r="9459" spans="1:7">
      <c r="B9459">
        <f>IF(INDEX(Transactions!$J:$J,ROW()-8)="",TODAY(),INDEX(Transactions!$G:$G,ROW()-8))</f>
      </c>
      <c r="F9459">
        <f>IF(INDEX(Transactions!$J:$J,ROW()-8)="",0,INDEX(Transactions!$O:$O,ROW()-8))</f>
      </c>
    </row>
    <row r="9460" spans="1:7">
      <c r="B9460">
        <f>IF(INDEX(Transactions!$J:$J,ROW()-8)="",TODAY(),INDEX(Transactions!$G:$G,ROW()-8))</f>
      </c>
      <c r="F9460">
        <f>IF(INDEX(Transactions!$J:$J,ROW()-8)="",0,INDEX(Transactions!$O:$O,ROW()-8))</f>
      </c>
    </row>
    <row r="9461" spans="1:7">
      <c r="B9461">
        <f>IF(INDEX(Transactions!$J:$J,ROW()-8)="",TODAY(),INDEX(Transactions!$G:$G,ROW()-8))</f>
      </c>
      <c r="F9461">
        <f>IF(INDEX(Transactions!$J:$J,ROW()-8)="",0,INDEX(Transactions!$O:$O,ROW()-8))</f>
      </c>
    </row>
    <row r="9462" spans="1:7">
      <c r="B9462">
        <f>IF(INDEX(Transactions!$J:$J,ROW()-8)="",TODAY(),INDEX(Transactions!$G:$G,ROW()-8))</f>
      </c>
      <c r="F9462">
        <f>IF(INDEX(Transactions!$J:$J,ROW()-8)="",0,INDEX(Transactions!$O:$O,ROW()-8))</f>
      </c>
    </row>
    <row r="9463" spans="1:7">
      <c r="B9463">
        <f>IF(INDEX(Transactions!$J:$J,ROW()-8)="",TODAY(),INDEX(Transactions!$G:$G,ROW()-8))</f>
      </c>
      <c r="F9463">
        <f>IF(INDEX(Transactions!$J:$J,ROW()-8)="",0,INDEX(Transactions!$O:$O,ROW()-8))</f>
      </c>
    </row>
    <row r="9464" spans="1:7">
      <c r="B9464">
        <f>IF(INDEX(Transactions!$J:$J,ROW()-8)="",TODAY(),INDEX(Transactions!$G:$G,ROW()-8))</f>
      </c>
      <c r="F9464">
        <f>IF(INDEX(Transactions!$J:$J,ROW()-8)="",0,INDEX(Transactions!$O:$O,ROW()-8))</f>
      </c>
    </row>
    <row r="9465" spans="1:7">
      <c r="B9465">
        <f>IF(INDEX(Transactions!$J:$J,ROW()-8)="",TODAY(),INDEX(Transactions!$G:$G,ROW()-8))</f>
      </c>
      <c r="F9465">
        <f>IF(INDEX(Transactions!$J:$J,ROW()-8)="",0,INDEX(Transactions!$O:$O,ROW()-8))</f>
      </c>
    </row>
    <row r="9466" spans="1:7">
      <c r="B9466">
        <f>IF(INDEX(Transactions!$J:$J,ROW()-8)="",TODAY(),INDEX(Transactions!$G:$G,ROW()-8))</f>
      </c>
      <c r="F9466">
        <f>IF(INDEX(Transactions!$J:$J,ROW()-8)="",0,INDEX(Transactions!$O:$O,ROW()-8))</f>
      </c>
    </row>
    <row r="9467" spans="1:7">
      <c r="B9467">
        <f>IF(INDEX(Transactions!$J:$J,ROW()-8)="",TODAY(),INDEX(Transactions!$G:$G,ROW()-8))</f>
      </c>
      <c r="F9467">
        <f>IF(INDEX(Transactions!$J:$J,ROW()-8)="",0,INDEX(Transactions!$O:$O,ROW()-8))</f>
      </c>
    </row>
    <row r="9468" spans="1:7">
      <c r="B9468">
        <f>IF(INDEX(Transactions!$J:$J,ROW()-8)="",TODAY(),INDEX(Transactions!$G:$G,ROW()-8))</f>
      </c>
      <c r="F9468">
        <f>IF(INDEX(Transactions!$J:$J,ROW()-8)="",0,INDEX(Transactions!$O:$O,ROW()-8))</f>
      </c>
    </row>
    <row r="9469" spans="1:7">
      <c r="B9469">
        <f>IF(INDEX(Transactions!$J:$J,ROW()-8)="",TODAY(),INDEX(Transactions!$G:$G,ROW()-8))</f>
      </c>
      <c r="F9469">
        <f>IF(INDEX(Transactions!$J:$J,ROW()-8)="",0,INDEX(Transactions!$O:$O,ROW()-8))</f>
      </c>
    </row>
    <row r="9470" spans="1:7">
      <c r="B9470">
        <f>IF(INDEX(Transactions!$J:$J,ROW()-8)="",TODAY(),INDEX(Transactions!$G:$G,ROW()-8))</f>
      </c>
      <c r="F9470">
        <f>IF(INDEX(Transactions!$J:$J,ROW()-8)="",0,INDEX(Transactions!$O:$O,ROW()-8))</f>
      </c>
    </row>
    <row r="9471" spans="1:7">
      <c r="B9471">
        <f>IF(INDEX(Transactions!$J:$J,ROW()-8)="",TODAY(),INDEX(Transactions!$G:$G,ROW()-8))</f>
      </c>
      <c r="F9471">
        <f>IF(INDEX(Transactions!$J:$J,ROW()-8)="",0,INDEX(Transactions!$O:$O,ROW()-8))</f>
      </c>
    </row>
    <row r="9472" spans="1:7">
      <c r="B9472">
        <f>IF(INDEX(Transactions!$J:$J,ROW()-8)="",TODAY(),INDEX(Transactions!$G:$G,ROW()-8))</f>
      </c>
      <c r="F9472">
        <f>IF(INDEX(Transactions!$J:$J,ROW()-8)="",0,INDEX(Transactions!$O:$O,ROW()-8))</f>
      </c>
    </row>
    <row r="9473" spans="1:7">
      <c r="B9473">
        <f>IF(INDEX(Transactions!$J:$J,ROW()-8)="",TODAY(),INDEX(Transactions!$G:$G,ROW()-8))</f>
      </c>
      <c r="F9473">
        <f>IF(INDEX(Transactions!$J:$J,ROW()-8)="",0,INDEX(Transactions!$O:$O,ROW()-8))</f>
      </c>
    </row>
    <row r="9474" spans="1:7">
      <c r="B9474">
        <f>IF(INDEX(Transactions!$J:$J,ROW()-8)="",TODAY(),INDEX(Transactions!$G:$G,ROW()-8))</f>
      </c>
      <c r="F9474">
        <f>IF(INDEX(Transactions!$J:$J,ROW()-8)="",0,INDEX(Transactions!$O:$O,ROW()-8))</f>
      </c>
    </row>
    <row r="9475" spans="1:7">
      <c r="B9475">
        <f>IF(INDEX(Transactions!$J:$J,ROW()-8)="",TODAY(),INDEX(Transactions!$G:$G,ROW()-8))</f>
      </c>
      <c r="F9475">
        <f>IF(INDEX(Transactions!$J:$J,ROW()-8)="",0,INDEX(Transactions!$O:$O,ROW()-8))</f>
      </c>
    </row>
    <row r="9476" spans="1:7">
      <c r="B9476">
        <f>IF(INDEX(Transactions!$J:$J,ROW()-8)="",TODAY(),INDEX(Transactions!$G:$G,ROW()-8))</f>
      </c>
      <c r="F9476">
        <f>IF(INDEX(Transactions!$J:$J,ROW()-8)="",0,INDEX(Transactions!$O:$O,ROW()-8))</f>
      </c>
    </row>
    <row r="9477" spans="1:7">
      <c r="B9477">
        <f>IF(INDEX(Transactions!$J:$J,ROW()-8)="",TODAY(),INDEX(Transactions!$G:$G,ROW()-8))</f>
      </c>
      <c r="F9477">
        <f>IF(INDEX(Transactions!$J:$J,ROW()-8)="",0,INDEX(Transactions!$O:$O,ROW()-8))</f>
      </c>
    </row>
    <row r="9478" spans="1:7">
      <c r="B9478">
        <f>IF(INDEX(Transactions!$J:$J,ROW()-8)="",TODAY(),INDEX(Transactions!$G:$G,ROW()-8))</f>
      </c>
      <c r="F9478">
        <f>IF(INDEX(Transactions!$J:$J,ROW()-8)="",0,INDEX(Transactions!$O:$O,ROW()-8))</f>
      </c>
    </row>
    <row r="9479" spans="1:7">
      <c r="B9479">
        <f>IF(INDEX(Transactions!$J:$J,ROW()-8)="",TODAY(),INDEX(Transactions!$G:$G,ROW()-8))</f>
      </c>
      <c r="F9479">
        <f>IF(INDEX(Transactions!$J:$J,ROW()-8)="",0,INDEX(Transactions!$O:$O,ROW()-8))</f>
      </c>
    </row>
    <row r="9480" spans="1:7">
      <c r="B9480">
        <f>IF(INDEX(Transactions!$J:$J,ROW()-8)="",TODAY(),INDEX(Transactions!$G:$G,ROW()-8))</f>
      </c>
      <c r="F9480">
        <f>IF(INDEX(Transactions!$J:$J,ROW()-8)="",0,INDEX(Transactions!$O:$O,ROW()-8))</f>
      </c>
    </row>
    <row r="9481" spans="1:7">
      <c r="B9481">
        <f>IF(INDEX(Transactions!$J:$J,ROW()-8)="",TODAY(),INDEX(Transactions!$G:$G,ROW()-8))</f>
      </c>
      <c r="F9481">
        <f>IF(INDEX(Transactions!$J:$J,ROW()-8)="",0,INDEX(Transactions!$O:$O,ROW()-8))</f>
      </c>
    </row>
    <row r="9482" spans="1:7">
      <c r="B9482">
        <f>IF(INDEX(Transactions!$J:$J,ROW()-8)="",TODAY(),INDEX(Transactions!$G:$G,ROW()-8))</f>
      </c>
      <c r="F9482">
        <f>IF(INDEX(Transactions!$J:$J,ROW()-8)="",0,INDEX(Transactions!$O:$O,ROW()-8))</f>
      </c>
    </row>
    <row r="9483" spans="1:7">
      <c r="B9483">
        <f>IF(INDEX(Transactions!$J:$J,ROW()-8)="",TODAY(),INDEX(Transactions!$G:$G,ROW()-8))</f>
      </c>
      <c r="F9483">
        <f>IF(INDEX(Transactions!$J:$J,ROW()-8)="",0,INDEX(Transactions!$O:$O,ROW()-8))</f>
      </c>
    </row>
    <row r="9484" spans="1:7">
      <c r="B9484">
        <f>IF(INDEX(Transactions!$J:$J,ROW()-8)="",TODAY(),INDEX(Transactions!$G:$G,ROW()-8))</f>
      </c>
      <c r="F9484">
        <f>IF(INDEX(Transactions!$J:$J,ROW()-8)="",0,INDEX(Transactions!$O:$O,ROW()-8))</f>
      </c>
    </row>
    <row r="9485" spans="1:7">
      <c r="B9485">
        <f>IF(INDEX(Transactions!$J:$J,ROW()-8)="",TODAY(),INDEX(Transactions!$G:$G,ROW()-8))</f>
      </c>
      <c r="F9485">
        <f>IF(INDEX(Transactions!$J:$J,ROW()-8)="",0,INDEX(Transactions!$O:$O,ROW()-8))</f>
      </c>
    </row>
    <row r="9486" spans="1:7">
      <c r="B9486">
        <f>IF(INDEX(Transactions!$J:$J,ROW()-8)="",TODAY(),INDEX(Transactions!$G:$G,ROW()-8))</f>
      </c>
      <c r="F9486">
        <f>IF(INDEX(Transactions!$J:$J,ROW()-8)="",0,INDEX(Transactions!$O:$O,ROW()-8))</f>
      </c>
    </row>
    <row r="9487" spans="1:7">
      <c r="B9487">
        <f>IF(INDEX(Transactions!$J:$J,ROW()-8)="",TODAY(),INDEX(Transactions!$G:$G,ROW()-8))</f>
      </c>
      <c r="F9487">
        <f>IF(INDEX(Transactions!$J:$J,ROW()-8)="",0,INDEX(Transactions!$O:$O,ROW()-8))</f>
      </c>
    </row>
    <row r="9488" spans="1:7">
      <c r="B9488">
        <f>IF(INDEX(Transactions!$J:$J,ROW()-8)="",TODAY(),INDEX(Transactions!$G:$G,ROW()-8))</f>
      </c>
      <c r="F9488">
        <f>IF(INDEX(Transactions!$J:$J,ROW()-8)="",0,INDEX(Transactions!$O:$O,ROW()-8))</f>
      </c>
    </row>
    <row r="9489" spans="1:7">
      <c r="B9489">
        <f>IF(INDEX(Transactions!$J:$J,ROW()-8)="",TODAY(),INDEX(Transactions!$G:$G,ROW()-8))</f>
      </c>
      <c r="F9489">
        <f>IF(INDEX(Transactions!$J:$J,ROW()-8)="",0,INDEX(Transactions!$O:$O,ROW()-8))</f>
      </c>
    </row>
    <row r="9490" spans="1:7">
      <c r="B9490">
        <f>IF(INDEX(Transactions!$J:$J,ROW()-8)="",TODAY(),INDEX(Transactions!$G:$G,ROW()-8))</f>
      </c>
      <c r="F9490">
        <f>IF(INDEX(Transactions!$J:$J,ROW()-8)="",0,INDEX(Transactions!$O:$O,ROW()-8))</f>
      </c>
    </row>
    <row r="9491" spans="1:7">
      <c r="B9491">
        <f>IF(INDEX(Transactions!$J:$J,ROW()-8)="",TODAY(),INDEX(Transactions!$G:$G,ROW()-8))</f>
      </c>
      <c r="F9491">
        <f>IF(INDEX(Transactions!$J:$J,ROW()-8)="",0,INDEX(Transactions!$O:$O,ROW()-8))</f>
      </c>
    </row>
    <row r="9492" spans="1:7">
      <c r="B9492">
        <f>IF(INDEX(Transactions!$J:$J,ROW()-8)="",TODAY(),INDEX(Transactions!$G:$G,ROW()-8))</f>
      </c>
      <c r="F9492">
        <f>IF(INDEX(Transactions!$J:$J,ROW()-8)="",0,INDEX(Transactions!$O:$O,ROW()-8))</f>
      </c>
    </row>
    <row r="9493" spans="1:7">
      <c r="B9493">
        <f>IF(INDEX(Transactions!$J:$J,ROW()-8)="",TODAY(),INDEX(Transactions!$G:$G,ROW()-8))</f>
      </c>
      <c r="F9493">
        <f>IF(INDEX(Transactions!$J:$J,ROW()-8)="",0,INDEX(Transactions!$O:$O,ROW()-8))</f>
      </c>
    </row>
    <row r="9494" spans="1:7">
      <c r="B9494">
        <f>IF(INDEX(Transactions!$J:$J,ROW()-8)="",TODAY(),INDEX(Transactions!$G:$G,ROW()-8))</f>
      </c>
      <c r="F9494">
        <f>IF(INDEX(Transactions!$J:$J,ROW()-8)="",0,INDEX(Transactions!$O:$O,ROW()-8))</f>
      </c>
    </row>
    <row r="9495" spans="1:7">
      <c r="B9495">
        <f>IF(INDEX(Transactions!$J:$J,ROW()-8)="",TODAY(),INDEX(Transactions!$G:$G,ROW()-8))</f>
      </c>
      <c r="F9495">
        <f>IF(INDEX(Transactions!$J:$J,ROW()-8)="",0,INDEX(Transactions!$O:$O,ROW()-8))</f>
      </c>
    </row>
    <row r="9496" spans="1:7">
      <c r="B9496">
        <f>IF(INDEX(Transactions!$J:$J,ROW()-8)="",TODAY(),INDEX(Transactions!$G:$G,ROW()-8))</f>
      </c>
      <c r="F9496">
        <f>IF(INDEX(Transactions!$J:$J,ROW()-8)="",0,INDEX(Transactions!$O:$O,ROW()-8))</f>
      </c>
    </row>
    <row r="9497" spans="1:7">
      <c r="B9497">
        <f>IF(INDEX(Transactions!$J:$J,ROW()-8)="",TODAY(),INDEX(Transactions!$G:$G,ROW()-8))</f>
      </c>
      <c r="F9497">
        <f>IF(INDEX(Transactions!$J:$J,ROW()-8)="",0,INDEX(Transactions!$O:$O,ROW()-8))</f>
      </c>
    </row>
    <row r="9498" spans="1:7">
      <c r="B9498">
        <f>IF(INDEX(Transactions!$J:$J,ROW()-8)="",TODAY(),INDEX(Transactions!$G:$G,ROW()-8))</f>
      </c>
      <c r="F9498">
        <f>IF(INDEX(Transactions!$J:$J,ROW()-8)="",0,INDEX(Transactions!$O:$O,ROW()-8))</f>
      </c>
    </row>
    <row r="9499" spans="1:7">
      <c r="B9499">
        <f>IF(INDEX(Transactions!$J:$J,ROW()-8)="",TODAY(),INDEX(Transactions!$G:$G,ROW()-8))</f>
      </c>
      <c r="F9499">
        <f>IF(INDEX(Transactions!$J:$J,ROW()-8)="",0,INDEX(Transactions!$O:$O,ROW()-8))</f>
      </c>
    </row>
    <row r="9500" spans="1:7">
      <c r="B9500">
        <f>IF(INDEX(Transactions!$J:$J,ROW()-8)="",TODAY(),INDEX(Transactions!$G:$G,ROW()-8))</f>
      </c>
      <c r="F9500">
        <f>IF(INDEX(Transactions!$J:$J,ROW()-8)="",0,INDEX(Transactions!$O:$O,ROW()-8))</f>
      </c>
    </row>
    <row r="9501" spans="1:7">
      <c r="B9501">
        <f>IF(INDEX(Transactions!$J:$J,ROW()-8)="",TODAY(),INDEX(Transactions!$G:$G,ROW()-8))</f>
      </c>
      <c r="F9501">
        <f>IF(INDEX(Transactions!$J:$J,ROW()-8)="",0,INDEX(Transactions!$O:$O,ROW()-8))</f>
      </c>
    </row>
    <row r="9502" spans="1:7">
      <c r="B9502">
        <f>IF(INDEX(Transactions!$J:$J,ROW()-8)="",TODAY(),INDEX(Transactions!$G:$G,ROW()-8))</f>
      </c>
      <c r="F9502">
        <f>IF(INDEX(Transactions!$J:$J,ROW()-8)="",0,INDEX(Transactions!$O:$O,ROW()-8))</f>
      </c>
    </row>
    <row r="9503" spans="1:7">
      <c r="B9503">
        <f>IF(INDEX(Transactions!$J:$J,ROW()-8)="",TODAY(),INDEX(Transactions!$G:$G,ROW()-8))</f>
      </c>
      <c r="F9503">
        <f>IF(INDEX(Transactions!$J:$J,ROW()-8)="",0,INDEX(Transactions!$O:$O,ROW()-8))</f>
      </c>
    </row>
    <row r="9504" spans="1:7">
      <c r="B9504">
        <f>IF(INDEX(Transactions!$J:$J,ROW()-8)="",TODAY(),INDEX(Transactions!$G:$G,ROW()-8))</f>
      </c>
      <c r="F9504">
        <f>IF(INDEX(Transactions!$J:$J,ROW()-8)="",0,INDEX(Transactions!$O:$O,ROW()-8))</f>
      </c>
    </row>
    <row r="9505" spans="1:7">
      <c r="B9505">
        <f>IF(INDEX(Transactions!$J:$J,ROW()-8)="",TODAY(),INDEX(Transactions!$G:$G,ROW()-8))</f>
      </c>
      <c r="F9505">
        <f>IF(INDEX(Transactions!$J:$J,ROW()-8)="",0,INDEX(Transactions!$O:$O,ROW()-8))</f>
      </c>
    </row>
    <row r="9506" spans="1:7">
      <c r="B9506">
        <f>IF(INDEX(Transactions!$J:$J,ROW()-8)="",TODAY(),INDEX(Transactions!$G:$G,ROW()-8))</f>
      </c>
      <c r="F9506">
        <f>IF(INDEX(Transactions!$J:$J,ROW()-8)="",0,INDEX(Transactions!$O:$O,ROW()-8))</f>
      </c>
    </row>
    <row r="9507" spans="1:7">
      <c r="B9507">
        <f>IF(INDEX(Transactions!$J:$J,ROW()-8)="",TODAY(),INDEX(Transactions!$G:$G,ROW()-8))</f>
      </c>
      <c r="F9507">
        <f>IF(INDEX(Transactions!$J:$J,ROW()-8)="",0,INDEX(Transactions!$O:$O,ROW()-8))</f>
      </c>
    </row>
    <row r="9508" spans="1:7">
      <c r="B9508">
        <f>IF(INDEX(Transactions!$J:$J,ROW()-8)="",TODAY(),INDEX(Transactions!$G:$G,ROW()-8))</f>
      </c>
      <c r="F9508">
        <f>IF(INDEX(Transactions!$J:$J,ROW()-8)="",0,INDEX(Transactions!$O:$O,ROW()-8))</f>
      </c>
    </row>
    <row r="9509" spans="1:7">
      <c r="B9509">
        <f>IF(INDEX(Transactions!$J:$J,ROW()-8)="",TODAY(),INDEX(Transactions!$G:$G,ROW()-8))</f>
      </c>
      <c r="F9509">
        <f>IF(INDEX(Transactions!$J:$J,ROW()-8)="",0,INDEX(Transactions!$O:$O,ROW()-8))</f>
      </c>
    </row>
    <row r="9510" spans="1:7">
      <c r="B9510">
        <f>IF(INDEX(Transactions!$J:$J,ROW()-8)="",TODAY(),INDEX(Transactions!$G:$G,ROW()-8))</f>
      </c>
      <c r="F9510">
        <f>IF(INDEX(Transactions!$J:$J,ROW()-8)="",0,INDEX(Transactions!$O:$O,ROW()-8))</f>
      </c>
    </row>
    <row r="9511" spans="1:7">
      <c r="B9511">
        <f>IF(INDEX(Transactions!$J:$J,ROW()-8)="",TODAY(),INDEX(Transactions!$G:$G,ROW()-8))</f>
      </c>
      <c r="F9511">
        <f>IF(INDEX(Transactions!$J:$J,ROW()-8)="",0,INDEX(Transactions!$O:$O,ROW()-8))</f>
      </c>
    </row>
    <row r="9512" spans="1:7">
      <c r="B9512">
        <f>IF(INDEX(Transactions!$J:$J,ROW()-8)="",TODAY(),INDEX(Transactions!$G:$G,ROW()-8))</f>
      </c>
      <c r="F9512">
        <f>IF(INDEX(Transactions!$J:$J,ROW()-8)="",0,INDEX(Transactions!$O:$O,ROW()-8))</f>
      </c>
    </row>
    <row r="9513" spans="1:7">
      <c r="B9513">
        <f>IF(INDEX(Transactions!$J:$J,ROW()-8)="",TODAY(),INDEX(Transactions!$G:$G,ROW()-8))</f>
      </c>
      <c r="F9513">
        <f>IF(INDEX(Transactions!$J:$J,ROW()-8)="",0,INDEX(Transactions!$O:$O,ROW()-8))</f>
      </c>
    </row>
    <row r="9514" spans="1:7">
      <c r="B9514">
        <f>IF(INDEX(Transactions!$J:$J,ROW()-8)="",TODAY(),INDEX(Transactions!$G:$G,ROW()-8))</f>
      </c>
      <c r="F9514">
        <f>IF(INDEX(Transactions!$J:$J,ROW()-8)="",0,INDEX(Transactions!$O:$O,ROW()-8))</f>
      </c>
    </row>
    <row r="9515" spans="1:7">
      <c r="B9515">
        <f>IF(INDEX(Transactions!$J:$J,ROW()-8)="",TODAY(),INDEX(Transactions!$G:$G,ROW()-8))</f>
      </c>
      <c r="F9515">
        <f>IF(INDEX(Transactions!$J:$J,ROW()-8)="",0,INDEX(Transactions!$O:$O,ROW()-8))</f>
      </c>
    </row>
    <row r="9516" spans="1:7">
      <c r="B9516">
        <f>IF(INDEX(Transactions!$J:$J,ROW()-8)="",TODAY(),INDEX(Transactions!$G:$G,ROW()-8))</f>
      </c>
      <c r="F9516">
        <f>IF(INDEX(Transactions!$J:$J,ROW()-8)="",0,INDEX(Transactions!$O:$O,ROW()-8))</f>
      </c>
    </row>
    <row r="9517" spans="1:7">
      <c r="B9517">
        <f>IF(INDEX(Transactions!$J:$J,ROW()-8)="",TODAY(),INDEX(Transactions!$G:$G,ROW()-8))</f>
      </c>
      <c r="F9517">
        <f>IF(INDEX(Transactions!$J:$J,ROW()-8)="",0,INDEX(Transactions!$O:$O,ROW()-8))</f>
      </c>
    </row>
    <row r="9518" spans="1:7">
      <c r="B9518">
        <f>IF(INDEX(Transactions!$J:$J,ROW()-8)="",TODAY(),INDEX(Transactions!$G:$G,ROW()-8))</f>
      </c>
      <c r="F9518">
        <f>IF(INDEX(Transactions!$J:$J,ROW()-8)="",0,INDEX(Transactions!$O:$O,ROW()-8))</f>
      </c>
    </row>
    <row r="9519" spans="1:7">
      <c r="B9519">
        <f>IF(INDEX(Transactions!$J:$J,ROW()-8)="",TODAY(),INDEX(Transactions!$G:$G,ROW()-8))</f>
      </c>
      <c r="F9519">
        <f>IF(INDEX(Transactions!$J:$J,ROW()-8)="",0,INDEX(Transactions!$O:$O,ROW()-8))</f>
      </c>
    </row>
    <row r="9520" spans="1:7">
      <c r="B9520">
        <f>IF(INDEX(Transactions!$J:$J,ROW()-8)="",TODAY(),INDEX(Transactions!$G:$G,ROW()-8))</f>
      </c>
      <c r="F9520">
        <f>IF(INDEX(Transactions!$J:$J,ROW()-8)="",0,INDEX(Transactions!$O:$O,ROW()-8))</f>
      </c>
    </row>
    <row r="9521" spans="1:7">
      <c r="B9521">
        <f>IF(INDEX(Transactions!$J:$J,ROW()-8)="",TODAY(),INDEX(Transactions!$G:$G,ROW()-8))</f>
      </c>
      <c r="F9521">
        <f>IF(INDEX(Transactions!$J:$J,ROW()-8)="",0,INDEX(Transactions!$O:$O,ROW()-8))</f>
      </c>
    </row>
    <row r="9522" spans="1:7">
      <c r="B9522">
        <f>IF(INDEX(Transactions!$J:$J,ROW()-8)="",TODAY(),INDEX(Transactions!$G:$G,ROW()-8))</f>
      </c>
      <c r="F9522">
        <f>IF(INDEX(Transactions!$J:$J,ROW()-8)="",0,INDEX(Transactions!$O:$O,ROW()-8))</f>
      </c>
    </row>
    <row r="9523" spans="1:7">
      <c r="B9523">
        <f>IF(INDEX(Transactions!$J:$J,ROW()-8)="",TODAY(),INDEX(Transactions!$G:$G,ROW()-8))</f>
      </c>
      <c r="F9523">
        <f>IF(INDEX(Transactions!$J:$J,ROW()-8)="",0,INDEX(Transactions!$O:$O,ROW()-8))</f>
      </c>
    </row>
    <row r="9524" spans="1:7">
      <c r="B9524">
        <f>IF(INDEX(Transactions!$J:$J,ROW()-8)="",TODAY(),INDEX(Transactions!$G:$G,ROW()-8))</f>
      </c>
      <c r="F9524">
        <f>IF(INDEX(Transactions!$J:$J,ROW()-8)="",0,INDEX(Transactions!$O:$O,ROW()-8))</f>
      </c>
    </row>
    <row r="9525" spans="1:7">
      <c r="B9525">
        <f>IF(INDEX(Transactions!$J:$J,ROW()-8)="",TODAY(),INDEX(Transactions!$G:$G,ROW()-8))</f>
      </c>
      <c r="F9525">
        <f>IF(INDEX(Transactions!$J:$J,ROW()-8)="",0,INDEX(Transactions!$O:$O,ROW()-8))</f>
      </c>
    </row>
    <row r="9526" spans="1:7">
      <c r="B9526">
        <f>IF(INDEX(Transactions!$J:$J,ROW()-8)="",TODAY(),INDEX(Transactions!$G:$G,ROW()-8))</f>
      </c>
      <c r="F9526">
        <f>IF(INDEX(Transactions!$J:$J,ROW()-8)="",0,INDEX(Transactions!$O:$O,ROW()-8))</f>
      </c>
    </row>
    <row r="9527" spans="1:7">
      <c r="B9527">
        <f>IF(INDEX(Transactions!$J:$J,ROW()-8)="",TODAY(),INDEX(Transactions!$G:$G,ROW()-8))</f>
      </c>
      <c r="F9527">
        <f>IF(INDEX(Transactions!$J:$J,ROW()-8)="",0,INDEX(Transactions!$O:$O,ROW()-8))</f>
      </c>
    </row>
    <row r="9528" spans="1:7">
      <c r="B9528">
        <f>IF(INDEX(Transactions!$J:$J,ROW()-8)="",TODAY(),INDEX(Transactions!$G:$G,ROW()-8))</f>
      </c>
      <c r="F9528">
        <f>IF(INDEX(Transactions!$J:$J,ROW()-8)="",0,INDEX(Transactions!$O:$O,ROW()-8))</f>
      </c>
    </row>
    <row r="9529" spans="1:7">
      <c r="B9529">
        <f>IF(INDEX(Transactions!$J:$J,ROW()-8)="",TODAY(),INDEX(Transactions!$G:$G,ROW()-8))</f>
      </c>
      <c r="F9529">
        <f>IF(INDEX(Transactions!$J:$J,ROW()-8)="",0,INDEX(Transactions!$O:$O,ROW()-8))</f>
      </c>
    </row>
    <row r="9530" spans="1:7">
      <c r="B9530">
        <f>IF(INDEX(Transactions!$J:$J,ROW()-8)="",TODAY(),INDEX(Transactions!$G:$G,ROW()-8))</f>
      </c>
      <c r="F9530">
        <f>IF(INDEX(Transactions!$J:$J,ROW()-8)="",0,INDEX(Transactions!$O:$O,ROW()-8))</f>
      </c>
    </row>
    <row r="9531" spans="1:7">
      <c r="B9531">
        <f>IF(INDEX(Transactions!$J:$J,ROW()-8)="",TODAY(),INDEX(Transactions!$G:$G,ROW()-8))</f>
      </c>
      <c r="F9531">
        <f>IF(INDEX(Transactions!$J:$J,ROW()-8)="",0,INDEX(Transactions!$O:$O,ROW()-8))</f>
      </c>
    </row>
    <row r="9532" spans="1:7">
      <c r="B9532">
        <f>IF(INDEX(Transactions!$J:$J,ROW()-8)="",TODAY(),INDEX(Transactions!$G:$G,ROW()-8))</f>
      </c>
      <c r="F9532">
        <f>IF(INDEX(Transactions!$J:$J,ROW()-8)="",0,INDEX(Transactions!$O:$O,ROW()-8))</f>
      </c>
    </row>
    <row r="9533" spans="1:7">
      <c r="B9533">
        <f>IF(INDEX(Transactions!$J:$J,ROW()-8)="",TODAY(),INDEX(Transactions!$G:$G,ROW()-8))</f>
      </c>
      <c r="F9533">
        <f>IF(INDEX(Transactions!$J:$J,ROW()-8)="",0,INDEX(Transactions!$O:$O,ROW()-8))</f>
      </c>
    </row>
    <row r="9534" spans="1:7">
      <c r="B9534">
        <f>IF(INDEX(Transactions!$J:$J,ROW()-8)="",TODAY(),INDEX(Transactions!$G:$G,ROW()-8))</f>
      </c>
      <c r="F9534">
        <f>IF(INDEX(Transactions!$J:$J,ROW()-8)="",0,INDEX(Transactions!$O:$O,ROW()-8))</f>
      </c>
    </row>
    <row r="9535" spans="1:7">
      <c r="B9535">
        <f>IF(INDEX(Transactions!$J:$J,ROW()-8)="",TODAY(),INDEX(Transactions!$G:$G,ROW()-8))</f>
      </c>
      <c r="F9535">
        <f>IF(INDEX(Transactions!$J:$J,ROW()-8)="",0,INDEX(Transactions!$O:$O,ROW()-8))</f>
      </c>
    </row>
    <row r="9536" spans="1:7">
      <c r="B9536">
        <f>IF(INDEX(Transactions!$J:$J,ROW()-8)="",TODAY(),INDEX(Transactions!$G:$G,ROW()-8))</f>
      </c>
      <c r="F9536">
        <f>IF(INDEX(Transactions!$J:$J,ROW()-8)="",0,INDEX(Transactions!$O:$O,ROW()-8))</f>
      </c>
    </row>
    <row r="9537" spans="1:7">
      <c r="B9537">
        <f>IF(INDEX(Transactions!$J:$J,ROW()-8)="",TODAY(),INDEX(Transactions!$G:$G,ROW()-8))</f>
      </c>
      <c r="F9537">
        <f>IF(INDEX(Transactions!$J:$J,ROW()-8)="",0,INDEX(Transactions!$O:$O,ROW()-8))</f>
      </c>
    </row>
    <row r="9538" spans="1:7">
      <c r="B9538">
        <f>IF(INDEX(Transactions!$J:$J,ROW()-8)="",TODAY(),INDEX(Transactions!$G:$G,ROW()-8))</f>
      </c>
      <c r="F9538">
        <f>IF(INDEX(Transactions!$J:$J,ROW()-8)="",0,INDEX(Transactions!$O:$O,ROW()-8))</f>
      </c>
    </row>
    <row r="9539" spans="1:7">
      <c r="B9539">
        <f>IF(INDEX(Transactions!$J:$J,ROW()-8)="",TODAY(),INDEX(Transactions!$G:$G,ROW()-8))</f>
      </c>
      <c r="F9539">
        <f>IF(INDEX(Transactions!$J:$J,ROW()-8)="",0,INDEX(Transactions!$O:$O,ROW()-8))</f>
      </c>
    </row>
    <row r="9540" spans="1:7">
      <c r="B9540">
        <f>IF(INDEX(Transactions!$J:$J,ROW()-8)="",TODAY(),INDEX(Transactions!$G:$G,ROW()-8))</f>
      </c>
      <c r="F9540">
        <f>IF(INDEX(Transactions!$J:$J,ROW()-8)="",0,INDEX(Transactions!$O:$O,ROW()-8))</f>
      </c>
    </row>
    <row r="9541" spans="1:7">
      <c r="B9541">
        <f>IF(INDEX(Transactions!$J:$J,ROW()-8)="",TODAY(),INDEX(Transactions!$G:$G,ROW()-8))</f>
      </c>
      <c r="F9541">
        <f>IF(INDEX(Transactions!$J:$J,ROW()-8)="",0,INDEX(Transactions!$O:$O,ROW()-8))</f>
      </c>
    </row>
    <row r="9542" spans="1:7">
      <c r="B9542">
        <f>IF(INDEX(Transactions!$J:$J,ROW()-8)="",TODAY(),INDEX(Transactions!$G:$G,ROW()-8))</f>
      </c>
      <c r="F9542">
        <f>IF(INDEX(Transactions!$J:$J,ROW()-8)="",0,INDEX(Transactions!$O:$O,ROW()-8))</f>
      </c>
    </row>
    <row r="9543" spans="1:7">
      <c r="B9543">
        <f>IF(INDEX(Transactions!$J:$J,ROW()-8)="",TODAY(),INDEX(Transactions!$G:$G,ROW()-8))</f>
      </c>
      <c r="F9543">
        <f>IF(INDEX(Transactions!$J:$J,ROW()-8)="",0,INDEX(Transactions!$O:$O,ROW()-8))</f>
      </c>
    </row>
    <row r="9544" spans="1:7">
      <c r="B9544">
        <f>IF(INDEX(Transactions!$J:$J,ROW()-8)="",TODAY(),INDEX(Transactions!$G:$G,ROW()-8))</f>
      </c>
      <c r="F9544">
        <f>IF(INDEX(Transactions!$J:$J,ROW()-8)="",0,INDEX(Transactions!$O:$O,ROW()-8))</f>
      </c>
    </row>
    <row r="9545" spans="1:7">
      <c r="B9545">
        <f>IF(INDEX(Transactions!$J:$J,ROW()-8)="",TODAY(),INDEX(Transactions!$G:$G,ROW()-8))</f>
      </c>
      <c r="F9545">
        <f>IF(INDEX(Transactions!$J:$J,ROW()-8)="",0,INDEX(Transactions!$O:$O,ROW()-8))</f>
      </c>
    </row>
    <row r="9546" spans="1:7">
      <c r="B9546">
        <f>IF(INDEX(Transactions!$J:$J,ROW()-8)="",TODAY(),INDEX(Transactions!$G:$G,ROW()-8))</f>
      </c>
      <c r="F9546">
        <f>IF(INDEX(Transactions!$J:$J,ROW()-8)="",0,INDEX(Transactions!$O:$O,ROW()-8))</f>
      </c>
    </row>
    <row r="9547" spans="1:7">
      <c r="B9547">
        <f>IF(INDEX(Transactions!$J:$J,ROW()-8)="",TODAY(),INDEX(Transactions!$G:$G,ROW()-8))</f>
      </c>
      <c r="F9547">
        <f>IF(INDEX(Transactions!$J:$J,ROW()-8)="",0,INDEX(Transactions!$O:$O,ROW()-8))</f>
      </c>
    </row>
    <row r="9548" spans="1:7">
      <c r="B9548">
        <f>IF(INDEX(Transactions!$J:$J,ROW()-8)="",TODAY(),INDEX(Transactions!$G:$G,ROW()-8))</f>
      </c>
      <c r="F9548">
        <f>IF(INDEX(Transactions!$J:$J,ROW()-8)="",0,INDEX(Transactions!$O:$O,ROW()-8))</f>
      </c>
    </row>
    <row r="9549" spans="1:7">
      <c r="B9549">
        <f>IF(INDEX(Transactions!$J:$J,ROW()-8)="",TODAY(),INDEX(Transactions!$G:$G,ROW()-8))</f>
      </c>
      <c r="F9549">
        <f>IF(INDEX(Transactions!$J:$J,ROW()-8)="",0,INDEX(Transactions!$O:$O,ROW()-8))</f>
      </c>
    </row>
    <row r="9550" spans="1:7">
      <c r="B9550">
        <f>IF(INDEX(Transactions!$J:$J,ROW()-8)="",TODAY(),INDEX(Transactions!$G:$G,ROW()-8))</f>
      </c>
      <c r="F9550">
        <f>IF(INDEX(Transactions!$J:$J,ROW()-8)="",0,INDEX(Transactions!$O:$O,ROW()-8))</f>
      </c>
    </row>
    <row r="9551" spans="1:7">
      <c r="B9551">
        <f>IF(INDEX(Transactions!$J:$J,ROW()-8)="",TODAY(),INDEX(Transactions!$G:$G,ROW()-8))</f>
      </c>
      <c r="F9551">
        <f>IF(INDEX(Transactions!$J:$J,ROW()-8)="",0,INDEX(Transactions!$O:$O,ROW()-8))</f>
      </c>
    </row>
    <row r="9552" spans="1:7">
      <c r="B9552">
        <f>IF(INDEX(Transactions!$J:$J,ROW()-8)="",TODAY(),INDEX(Transactions!$G:$G,ROW()-8))</f>
      </c>
      <c r="F9552">
        <f>IF(INDEX(Transactions!$J:$J,ROW()-8)="",0,INDEX(Transactions!$O:$O,ROW()-8))</f>
      </c>
    </row>
    <row r="9553" spans="1:7">
      <c r="B9553">
        <f>IF(INDEX(Transactions!$J:$J,ROW()-8)="",TODAY(),INDEX(Transactions!$G:$G,ROW()-8))</f>
      </c>
      <c r="F9553">
        <f>IF(INDEX(Transactions!$J:$J,ROW()-8)="",0,INDEX(Transactions!$O:$O,ROW()-8))</f>
      </c>
    </row>
    <row r="9554" spans="1:7">
      <c r="B9554">
        <f>IF(INDEX(Transactions!$J:$J,ROW()-8)="",TODAY(),INDEX(Transactions!$G:$G,ROW()-8))</f>
      </c>
      <c r="F9554">
        <f>IF(INDEX(Transactions!$J:$J,ROW()-8)="",0,INDEX(Transactions!$O:$O,ROW()-8))</f>
      </c>
    </row>
    <row r="9555" spans="1:7">
      <c r="B9555">
        <f>IF(INDEX(Transactions!$J:$J,ROW()-8)="",TODAY(),INDEX(Transactions!$G:$G,ROW()-8))</f>
      </c>
      <c r="F9555">
        <f>IF(INDEX(Transactions!$J:$J,ROW()-8)="",0,INDEX(Transactions!$O:$O,ROW()-8))</f>
      </c>
    </row>
    <row r="9556" spans="1:7">
      <c r="B9556">
        <f>IF(INDEX(Transactions!$J:$J,ROW()-8)="",TODAY(),INDEX(Transactions!$G:$G,ROW()-8))</f>
      </c>
      <c r="F9556">
        <f>IF(INDEX(Transactions!$J:$J,ROW()-8)="",0,INDEX(Transactions!$O:$O,ROW()-8))</f>
      </c>
    </row>
    <row r="9557" spans="1:7">
      <c r="B9557">
        <f>IF(INDEX(Transactions!$J:$J,ROW()-8)="",TODAY(),INDEX(Transactions!$G:$G,ROW()-8))</f>
      </c>
      <c r="F9557">
        <f>IF(INDEX(Transactions!$J:$J,ROW()-8)="",0,INDEX(Transactions!$O:$O,ROW()-8))</f>
      </c>
    </row>
    <row r="9558" spans="1:7">
      <c r="B9558">
        <f>IF(INDEX(Transactions!$J:$J,ROW()-8)="",TODAY(),INDEX(Transactions!$G:$G,ROW()-8))</f>
      </c>
      <c r="F9558">
        <f>IF(INDEX(Transactions!$J:$J,ROW()-8)="",0,INDEX(Transactions!$O:$O,ROW()-8))</f>
      </c>
    </row>
    <row r="9559" spans="1:7">
      <c r="B9559">
        <f>IF(INDEX(Transactions!$J:$J,ROW()-8)="",TODAY(),INDEX(Transactions!$G:$G,ROW()-8))</f>
      </c>
      <c r="F9559">
        <f>IF(INDEX(Transactions!$J:$J,ROW()-8)="",0,INDEX(Transactions!$O:$O,ROW()-8))</f>
      </c>
    </row>
    <row r="9560" spans="1:7">
      <c r="B9560">
        <f>IF(INDEX(Transactions!$J:$J,ROW()-8)="",TODAY(),INDEX(Transactions!$G:$G,ROW()-8))</f>
      </c>
      <c r="F9560">
        <f>IF(INDEX(Transactions!$J:$J,ROW()-8)="",0,INDEX(Transactions!$O:$O,ROW()-8))</f>
      </c>
    </row>
    <row r="9561" spans="1:7">
      <c r="B9561">
        <f>IF(INDEX(Transactions!$J:$J,ROW()-8)="",TODAY(),INDEX(Transactions!$G:$G,ROW()-8))</f>
      </c>
      <c r="F9561">
        <f>IF(INDEX(Transactions!$J:$J,ROW()-8)="",0,INDEX(Transactions!$O:$O,ROW()-8))</f>
      </c>
    </row>
    <row r="9562" spans="1:7">
      <c r="B9562">
        <f>IF(INDEX(Transactions!$J:$J,ROW()-8)="",TODAY(),INDEX(Transactions!$G:$G,ROW()-8))</f>
      </c>
      <c r="F9562">
        <f>IF(INDEX(Transactions!$J:$J,ROW()-8)="",0,INDEX(Transactions!$O:$O,ROW()-8))</f>
      </c>
    </row>
    <row r="9563" spans="1:7">
      <c r="B9563">
        <f>IF(INDEX(Transactions!$J:$J,ROW()-8)="",TODAY(),INDEX(Transactions!$G:$G,ROW()-8))</f>
      </c>
      <c r="F9563">
        <f>IF(INDEX(Transactions!$J:$J,ROW()-8)="",0,INDEX(Transactions!$O:$O,ROW()-8))</f>
      </c>
    </row>
    <row r="9564" spans="1:7">
      <c r="B9564">
        <f>IF(INDEX(Transactions!$J:$J,ROW()-8)="",TODAY(),INDEX(Transactions!$G:$G,ROW()-8))</f>
      </c>
      <c r="F9564">
        <f>IF(INDEX(Transactions!$J:$J,ROW()-8)="",0,INDEX(Transactions!$O:$O,ROW()-8))</f>
      </c>
    </row>
    <row r="9565" spans="1:7">
      <c r="B9565">
        <f>IF(INDEX(Transactions!$J:$J,ROW()-8)="",TODAY(),INDEX(Transactions!$G:$G,ROW()-8))</f>
      </c>
      <c r="F9565">
        <f>IF(INDEX(Transactions!$J:$J,ROW()-8)="",0,INDEX(Transactions!$O:$O,ROW()-8))</f>
      </c>
    </row>
    <row r="9566" spans="1:7">
      <c r="B9566">
        <f>IF(INDEX(Transactions!$J:$J,ROW()-8)="",TODAY(),INDEX(Transactions!$G:$G,ROW()-8))</f>
      </c>
      <c r="F9566">
        <f>IF(INDEX(Transactions!$J:$J,ROW()-8)="",0,INDEX(Transactions!$O:$O,ROW()-8))</f>
      </c>
    </row>
    <row r="9567" spans="1:7">
      <c r="B9567">
        <f>IF(INDEX(Transactions!$J:$J,ROW()-8)="",TODAY(),INDEX(Transactions!$G:$G,ROW()-8))</f>
      </c>
      <c r="F9567">
        <f>IF(INDEX(Transactions!$J:$J,ROW()-8)="",0,INDEX(Transactions!$O:$O,ROW()-8))</f>
      </c>
    </row>
    <row r="9568" spans="1:7">
      <c r="B9568">
        <f>IF(INDEX(Transactions!$J:$J,ROW()-8)="",TODAY(),INDEX(Transactions!$G:$G,ROW()-8))</f>
      </c>
      <c r="F9568">
        <f>IF(INDEX(Transactions!$J:$J,ROW()-8)="",0,INDEX(Transactions!$O:$O,ROW()-8))</f>
      </c>
    </row>
    <row r="9569" spans="1:7">
      <c r="B9569">
        <f>IF(INDEX(Transactions!$J:$J,ROW()-8)="",TODAY(),INDEX(Transactions!$G:$G,ROW()-8))</f>
      </c>
      <c r="F9569">
        <f>IF(INDEX(Transactions!$J:$J,ROW()-8)="",0,INDEX(Transactions!$O:$O,ROW()-8))</f>
      </c>
    </row>
    <row r="9570" spans="1:7">
      <c r="B9570">
        <f>IF(INDEX(Transactions!$J:$J,ROW()-8)="",TODAY(),INDEX(Transactions!$G:$G,ROW()-8))</f>
      </c>
      <c r="F9570">
        <f>IF(INDEX(Transactions!$J:$J,ROW()-8)="",0,INDEX(Transactions!$O:$O,ROW()-8))</f>
      </c>
    </row>
    <row r="9571" spans="1:7">
      <c r="B9571">
        <f>IF(INDEX(Transactions!$J:$J,ROW()-8)="",TODAY(),INDEX(Transactions!$G:$G,ROW()-8))</f>
      </c>
      <c r="F9571">
        <f>IF(INDEX(Transactions!$J:$J,ROW()-8)="",0,INDEX(Transactions!$O:$O,ROW()-8))</f>
      </c>
    </row>
    <row r="9572" spans="1:7">
      <c r="B9572">
        <f>IF(INDEX(Transactions!$J:$J,ROW()-8)="",TODAY(),INDEX(Transactions!$G:$G,ROW()-8))</f>
      </c>
      <c r="F9572">
        <f>IF(INDEX(Transactions!$J:$J,ROW()-8)="",0,INDEX(Transactions!$O:$O,ROW()-8))</f>
      </c>
    </row>
    <row r="9573" spans="1:7">
      <c r="B9573">
        <f>IF(INDEX(Transactions!$J:$J,ROW()-8)="",TODAY(),INDEX(Transactions!$G:$G,ROW()-8))</f>
      </c>
      <c r="F9573">
        <f>IF(INDEX(Transactions!$J:$J,ROW()-8)="",0,INDEX(Transactions!$O:$O,ROW()-8))</f>
      </c>
    </row>
    <row r="9574" spans="1:7">
      <c r="B9574">
        <f>IF(INDEX(Transactions!$J:$J,ROW()-8)="",TODAY(),INDEX(Transactions!$G:$G,ROW()-8))</f>
      </c>
      <c r="F9574">
        <f>IF(INDEX(Transactions!$J:$J,ROW()-8)="",0,INDEX(Transactions!$O:$O,ROW()-8))</f>
      </c>
    </row>
    <row r="9575" spans="1:7">
      <c r="B9575">
        <f>IF(INDEX(Transactions!$J:$J,ROW()-8)="",TODAY(),INDEX(Transactions!$G:$G,ROW()-8))</f>
      </c>
      <c r="F9575">
        <f>IF(INDEX(Transactions!$J:$J,ROW()-8)="",0,INDEX(Transactions!$O:$O,ROW()-8))</f>
      </c>
    </row>
    <row r="9576" spans="1:7">
      <c r="B9576">
        <f>IF(INDEX(Transactions!$J:$J,ROW()-8)="",TODAY(),INDEX(Transactions!$G:$G,ROW()-8))</f>
      </c>
      <c r="F9576">
        <f>IF(INDEX(Transactions!$J:$J,ROW()-8)="",0,INDEX(Transactions!$O:$O,ROW()-8))</f>
      </c>
    </row>
    <row r="9577" spans="1:7">
      <c r="B9577">
        <f>IF(INDEX(Transactions!$J:$J,ROW()-8)="",TODAY(),INDEX(Transactions!$G:$G,ROW()-8))</f>
      </c>
      <c r="F9577">
        <f>IF(INDEX(Transactions!$J:$J,ROW()-8)="",0,INDEX(Transactions!$O:$O,ROW()-8))</f>
      </c>
    </row>
    <row r="9578" spans="1:7">
      <c r="B9578">
        <f>IF(INDEX(Transactions!$J:$J,ROW()-8)="",TODAY(),INDEX(Transactions!$G:$G,ROW()-8))</f>
      </c>
      <c r="F9578">
        <f>IF(INDEX(Transactions!$J:$J,ROW()-8)="",0,INDEX(Transactions!$O:$O,ROW()-8))</f>
      </c>
    </row>
    <row r="9579" spans="1:7">
      <c r="B9579">
        <f>IF(INDEX(Transactions!$J:$J,ROW()-8)="",TODAY(),INDEX(Transactions!$G:$G,ROW()-8))</f>
      </c>
      <c r="F9579">
        <f>IF(INDEX(Transactions!$J:$J,ROW()-8)="",0,INDEX(Transactions!$O:$O,ROW()-8))</f>
      </c>
    </row>
    <row r="9580" spans="1:7">
      <c r="B9580">
        <f>IF(INDEX(Transactions!$J:$J,ROW()-8)="",TODAY(),INDEX(Transactions!$G:$G,ROW()-8))</f>
      </c>
      <c r="F9580">
        <f>IF(INDEX(Transactions!$J:$J,ROW()-8)="",0,INDEX(Transactions!$O:$O,ROW()-8))</f>
      </c>
    </row>
    <row r="9581" spans="1:7">
      <c r="B9581">
        <f>IF(INDEX(Transactions!$J:$J,ROW()-8)="",TODAY(),INDEX(Transactions!$G:$G,ROW()-8))</f>
      </c>
      <c r="F9581">
        <f>IF(INDEX(Transactions!$J:$J,ROW()-8)="",0,INDEX(Transactions!$O:$O,ROW()-8))</f>
      </c>
    </row>
    <row r="9582" spans="1:7">
      <c r="B9582">
        <f>IF(INDEX(Transactions!$J:$J,ROW()-8)="",TODAY(),INDEX(Transactions!$G:$G,ROW()-8))</f>
      </c>
      <c r="F9582">
        <f>IF(INDEX(Transactions!$J:$J,ROW()-8)="",0,INDEX(Transactions!$O:$O,ROW()-8))</f>
      </c>
    </row>
    <row r="9583" spans="1:7">
      <c r="B9583">
        <f>IF(INDEX(Transactions!$J:$J,ROW()-8)="",TODAY(),INDEX(Transactions!$G:$G,ROW()-8))</f>
      </c>
      <c r="F9583">
        <f>IF(INDEX(Transactions!$J:$J,ROW()-8)="",0,INDEX(Transactions!$O:$O,ROW()-8))</f>
      </c>
    </row>
    <row r="9584" spans="1:7">
      <c r="B9584">
        <f>IF(INDEX(Transactions!$J:$J,ROW()-8)="",TODAY(),INDEX(Transactions!$G:$G,ROW()-8))</f>
      </c>
      <c r="F9584">
        <f>IF(INDEX(Transactions!$J:$J,ROW()-8)="",0,INDEX(Transactions!$O:$O,ROW()-8))</f>
      </c>
    </row>
    <row r="9585" spans="1:7">
      <c r="B9585">
        <f>IF(INDEX(Transactions!$J:$J,ROW()-8)="",TODAY(),INDEX(Transactions!$G:$G,ROW()-8))</f>
      </c>
      <c r="F9585">
        <f>IF(INDEX(Transactions!$J:$J,ROW()-8)="",0,INDEX(Transactions!$O:$O,ROW()-8))</f>
      </c>
    </row>
    <row r="9586" spans="1:7">
      <c r="B9586">
        <f>IF(INDEX(Transactions!$J:$J,ROW()-8)="",TODAY(),INDEX(Transactions!$G:$G,ROW()-8))</f>
      </c>
      <c r="F9586">
        <f>IF(INDEX(Transactions!$J:$J,ROW()-8)="",0,INDEX(Transactions!$O:$O,ROW()-8))</f>
      </c>
    </row>
    <row r="9587" spans="1:7">
      <c r="B9587">
        <f>IF(INDEX(Transactions!$J:$J,ROW()-8)="",TODAY(),INDEX(Transactions!$G:$G,ROW()-8))</f>
      </c>
      <c r="F9587">
        <f>IF(INDEX(Transactions!$J:$J,ROW()-8)="",0,INDEX(Transactions!$O:$O,ROW()-8))</f>
      </c>
    </row>
    <row r="9588" spans="1:7">
      <c r="B9588">
        <f>IF(INDEX(Transactions!$J:$J,ROW()-8)="",TODAY(),INDEX(Transactions!$G:$G,ROW()-8))</f>
      </c>
      <c r="F9588">
        <f>IF(INDEX(Transactions!$J:$J,ROW()-8)="",0,INDEX(Transactions!$O:$O,ROW()-8))</f>
      </c>
    </row>
    <row r="9589" spans="1:7">
      <c r="B9589">
        <f>IF(INDEX(Transactions!$J:$J,ROW()-8)="",TODAY(),INDEX(Transactions!$G:$G,ROW()-8))</f>
      </c>
      <c r="F9589">
        <f>IF(INDEX(Transactions!$J:$J,ROW()-8)="",0,INDEX(Transactions!$O:$O,ROW()-8))</f>
      </c>
    </row>
    <row r="9590" spans="1:7">
      <c r="B9590">
        <f>IF(INDEX(Transactions!$J:$J,ROW()-8)="",TODAY(),INDEX(Transactions!$G:$G,ROW()-8))</f>
      </c>
      <c r="F9590">
        <f>IF(INDEX(Transactions!$J:$J,ROW()-8)="",0,INDEX(Transactions!$O:$O,ROW()-8))</f>
      </c>
    </row>
    <row r="9591" spans="1:7">
      <c r="B9591">
        <f>IF(INDEX(Transactions!$J:$J,ROW()-8)="",TODAY(),INDEX(Transactions!$G:$G,ROW()-8))</f>
      </c>
      <c r="F9591">
        <f>IF(INDEX(Transactions!$J:$J,ROW()-8)="",0,INDEX(Transactions!$O:$O,ROW()-8))</f>
      </c>
    </row>
    <row r="9592" spans="1:7">
      <c r="B9592">
        <f>IF(INDEX(Transactions!$J:$J,ROW()-8)="",TODAY(),INDEX(Transactions!$G:$G,ROW()-8))</f>
      </c>
      <c r="F9592">
        <f>IF(INDEX(Transactions!$J:$J,ROW()-8)="",0,INDEX(Transactions!$O:$O,ROW()-8))</f>
      </c>
    </row>
    <row r="9593" spans="1:7">
      <c r="B9593">
        <f>IF(INDEX(Transactions!$J:$J,ROW()-8)="",TODAY(),INDEX(Transactions!$G:$G,ROW()-8))</f>
      </c>
      <c r="F9593">
        <f>IF(INDEX(Transactions!$J:$J,ROW()-8)="",0,INDEX(Transactions!$O:$O,ROW()-8))</f>
      </c>
    </row>
    <row r="9594" spans="1:7">
      <c r="B9594">
        <f>IF(INDEX(Transactions!$J:$J,ROW()-8)="",TODAY(),INDEX(Transactions!$G:$G,ROW()-8))</f>
      </c>
      <c r="F9594">
        <f>IF(INDEX(Transactions!$J:$J,ROW()-8)="",0,INDEX(Transactions!$O:$O,ROW()-8))</f>
      </c>
    </row>
    <row r="9595" spans="1:7">
      <c r="B9595">
        <f>IF(INDEX(Transactions!$J:$J,ROW()-8)="",TODAY(),INDEX(Transactions!$G:$G,ROW()-8))</f>
      </c>
      <c r="F9595">
        <f>IF(INDEX(Transactions!$J:$J,ROW()-8)="",0,INDEX(Transactions!$O:$O,ROW()-8))</f>
      </c>
    </row>
    <row r="9596" spans="1:7">
      <c r="B9596">
        <f>IF(INDEX(Transactions!$J:$J,ROW()-8)="",TODAY(),INDEX(Transactions!$G:$G,ROW()-8))</f>
      </c>
      <c r="F9596">
        <f>IF(INDEX(Transactions!$J:$J,ROW()-8)="",0,INDEX(Transactions!$O:$O,ROW()-8))</f>
      </c>
    </row>
    <row r="9597" spans="1:7">
      <c r="B9597">
        <f>IF(INDEX(Transactions!$J:$J,ROW()-8)="",TODAY(),INDEX(Transactions!$G:$G,ROW()-8))</f>
      </c>
      <c r="F9597">
        <f>IF(INDEX(Transactions!$J:$J,ROW()-8)="",0,INDEX(Transactions!$O:$O,ROW()-8))</f>
      </c>
    </row>
    <row r="9598" spans="1:7">
      <c r="B9598">
        <f>IF(INDEX(Transactions!$J:$J,ROW()-8)="",TODAY(),INDEX(Transactions!$G:$G,ROW()-8))</f>
      </c>
      <c r="F9598">
        <f>IF(INDEX(Transactions!$J:$J,ROW()-8)="",0,INDEX(Transactions!$O:$O,ROW()-8))</f>
      </c>
    </row>
    <row r="9599" spans="1:7">
      <c r="B9599">
        <f>IF(INDEX(Transactions!$J:$J,ROW()-8)="",TODAY(),INDEX(Transactions!$G:$G,ROW()-8))</f>
      </c>
      <c r="F9599">
        <f>IF(INDEX(Transactions!$J:$J,ROW()-8)="",0,INDEX(Transactions!$O:$O,ROW()-8))</f>
      </c>
    </row>
    <row r="9600" spans="1:7">
      <c r="B9600">
        <f>IF(INDEX(Transactions!$J:$J,ROW()-8)="",TODAY(),INDEX(Transactions!$G:$G,ROW()-8))</f>
      </c>
      <c r="F9600">
        <f>IF(INDEX(Transactions!$J:$J,ROW()-8)="",0,INDEX(Transactions!$O:$O,ROW()-8))</f>
      </c>
    </row>
    <row r="9601" spans="1:7">
      <c r="B9601">
        <f>IF(INDEX(Transactions!$J:$J,ROW()-8)="",TODAY(),INDEX(Transactions!$G:$G,ROW()-8))</f>
      </c>
      <c r="F9601">
        <f>IF(INDEX(Transactions!$J:$J,ROW()-8)="",0,INDEX(Transactions!$O:$O,ROW()-8))</f>
      </c>
    </row>
    <row r="9602" spans="1:7">
      <c r="B9602">
        <f>IF(INDEX(Transactions!$J:$J,ROW()-8)="",TODAY(),INDEX(Transactions!$G:$G,ROW()-8))</f>
      </c>
      <c r="F9602">
        <f>IF(INDEX(Transactions!$J:$J,ROW()-8)="",0,INDEX(Transactions!$O:$O,ROW()-8))</f>
      </c>
    </row>
    <row r="9603" spans="1:7">
      <c r="B9603">
        <f>IF(INDEX(Transactions!$J:$J,ROW()-8)="",TODAY(),INDEX(Transactions!$G:$G,ROW()-8))</f>
      </c>
      <c r="F9603">
        <f>IF(INDEX(Transactions!$J:$J,ROW()-8)="",0,INDEX(Transactions!$O:$O,ROW()-8))</f>
      </c>
    </row>
    <row r="9604" spans="1:7">
      <c r="B9604">
        <f>IF(INDEX(Transactions!$J:$J,ROW()-8)="",TODAY(),INDEX(Transactions!$G:$G,ROW()-8))</f>
      </c>
      <c r="F9604">
        <f>IF(INDEX(Transactions!$J:$J,ROW()-8)="",0,INDEX(Transactions!$O:$O,ROW()-8))</f>
      </c>
    </row>
    <row r="9605" spans="1:7">
      <c r="B9605">
        <f>IF(INDEX(Transactions!$J:$J,ROW()-8)="",TODAY(),INDEX(Transactions!$G:$G,ROW()-8))</f>
      </c>
      <c r="F9605">
        <f>IF(INDEX(Transactions!$J:$J,ROW()-8)="",0,INDEX(Transactions!$O:$O,ROW()-8))</f>
      </c>
    </row>
    <row r="9606" spans="1:7">
      <c r="B9606">
        <f>IF(INDEX(Transactions!$J:$J,ROW()-8)="",TODAY(),INDEX(Transactions!$G:$G,ROW()-8))</f>
      </c>
      <c r="F9606">
        <f>IF(INDEX(Transactions!$J:$J,ROW()-8)="",0,INDEX(Transactions!$O:$O,ROW()-8))</f>
      </c>
    </row>
    <row r="9607" spans="1:7">
      <c r="B9607">
        <f>IF(INDEX(Transactions!$J:$J,ROW()-8)="",TODAY(),INDEX(Transactions!$G:$G,ROW()-8))</f>
      </c>
      <c r="F9607">
        <f>IF(INDEX(Transactions!$J:$J,ROW()-8)="",0,INDEX(Transactions!$O:$O,ROW()-8))</f>
      </c>
    </row>
    <row r="9608" spans="1:7">
      <c r="B9608">
        <f>IF(INDEX(Transactions!$J:$J,ROW()-8)="",TODAY(),INDEX(Transactions!$G:$G,ROW()-8))</f>
      </c>
      <c r="F9608">
        <f>IF(INDEX(Transactions!$J:$J,ROW()-8)="",0,INDEX(Transactions!$O:$O,ROW()-8))</f>
      </c>
    </row>
    <row r="9609" spans="1:7">
      <c r="B9609">
        <f>IF(INDEX(Transactions!$J:$J,ROW()-8)="",TODAY(),INDEX(Transactions!$G:$G,ROW()-8))</f>
      </c>
      <c r="F9609">
        <f>IF(INDEX(Transactions!$J:$J,ROW()-8)="",0,INDEX(Transactions!$O:$O,ROW()-8))</f>
      </c>
    </row>
    <row r="9610" spans="1:7">
      <c r="B9610">
        <f>IF(INDEX(Transactions!$J:$J,ROW()-8)="",TODAY(),INDEX(Transactions!$G:$G,ROW()-8))</f>
      </c>
      <c r="F9610">
        <f>IF(INDEX(Transactions!$J:$J,ROW()-8)="",0,INDEX(Transactions!$O:$O,ROW()-8))</f>
      </c>
    </row>
    <row r="9611" spans="1:7">
      <c r="B9611">
        <f>IF(INDEX(Transactions!$J:$J,ROW()-8)="",TODAY(),INDEX(Transactions!$G:$G,ROW()-8))</f>
      </c>
      <c r="F9611">
        <f>IF(INDEX(Transactions!$J:$J,ROW()-8)="",0,INDEX(Transactions!$O:$O,ROW()-8))</f>
      </c>
    </row>
    <row r="9612" spans="1:7">
      <c r="B9612">
        <f>IF(INDEX(Transactions!$J:$J,ROW()-8)="",TODAY(),INDEX(Transactions!$G:$G,ROW()-8))</f>
      </c>
      <c r="F9612">
        <f>IF(INDEX(Transactions!$J:$J,ROW()-8)="",0,INDEX(Transactions!$O:$O,ROW()-8))</f>
      </c>
    </row>
    <row r="9613" spans="1:7">
      <c r="B9613">
        <f>IF(INDEX(Transactions!$J:$J,ROW()-8)="",TODAY(),INDEX(Transactions!$G:$G,ROW()-8))</f>
      </c>
      <c r="F9613">
        <f>IF(INDEX(Transactions!$J:$J,ROW()-8)="",0,INDEX(Transactions!$O:$O,ROW()-8))</f>
      </c>
    </row>
    <row r="9614" spans="1:7">
      <c r="B9614">
        <f>IF(INDEX(Transactions!$J:$J,ROW()-8)="",TODAY(),INDEX(Transactions!$G:$G,ROW()-8))</f>
      </c>
      <c r="F9614">
        <f>IF(INDEX(Transactions!$J:$J,ROW()-8)="",0,INDEX(Transactions!$O:$O,ROW()-8))</f>
      </c>
    </row>
    <row r="9615" spans="1:7">
      <c r="B9615">
        <f>IF(INDEX(Transactions!$J:$J,ROW()-8)="",TODAY(),INDEX(Transactions!$G:$G,ROW()-8))</f>
      </c>
      <c r="F9615">
        <f>IF(INDEX(Transactions!$J:$J,ROW()-8)="",0,INDEX(Transactions!$O:$O,ROW()-8))</f>
      </c>
    </row>
    <row r="9616" spans="1:7">
      <c r="B9616">
        <f>IF(INDEX(Transactions!$J:$J,ROW()-8)="",TODAY(),INDEX(Transactions!$G:$G,ROW()-8))</f>
      </c>
      <c r="F9616">
        <f>IF(INDEX(Transactions!$J:$J,ROW()-8)="",0,INDEX(Transactions!$O:$O,ROW()-8))</f>
      </c>
    </row>
    <row r="9617" spans="1:7">
      <c r="B9617">
        <f>IF(INDEX(Transactions!$J:$J,ROW()-8)="",TODAY(),INDEX(Transactions!$G:$G,ROW()-8))</f>
      </c>
      <c r="F9617">
        <f>IF(INDEX(Transactions!$J:$J,ROW()-8)="",0,INDEX(Transactions!$O:$O,ROW()-8))</f>
      </c>
    </row>
    <row r="9618" spans="1:7">
      <c r="B9618">
        <f>IF(INDEX(Transactions!$J:$J,ROW()-8)="",TODAY(),INDEX(Transactions!$G:$G,ROW()-8))</f>
      </c>
      <c r="F9618">
        <f>IF(INDEX(Transactions!$J:$J,ROW()-8)="",0,INDEX(Transactions!$O:$O,ROW()-8))</f>
      </c>
    </row>
    <row r="9619" spans="1:7">
      <c r="B9619">
        <f>IF(INDEX(Transactions!$J:$J,ROW()-8)="",TODAY(),INDEX(Transactions!$G:$G,ROW()-8))</f>
      </c>
      <c r="F9619">
        <f>IF(INDEX(Transactions!$J:$J,ROW()-8)="",0,INDEX(Transactions!$O:$O,ROW()-8))</f>
      </c>
    </row>
    <row r="9620" spans="1:7">
      <c r="B9620">
        <f>IF(INDEX(Transactions!$J:$J,ROW()-8)="",TODAY(),INDEX(Transactions!$G:$G,ROW()-8))</f>
      </c>
      <c r="F9620">
        <f>IF(INDEX(Transactions!$J:$J,ROW()-8)="",0,INDEX(Transactions!$O:$O,ROW()-8))</f>
      </c>
    </row>
    <row r="9621" spans="1:7">
      <c r="B9621">
        <f>IF(INDEX(Transactions!$J:$J,ROW()-8)="",TODAY(),INDEX(Transactions!$G:$G,ROW()-8))</f>
      </c>
      <c r="F9621">
        <f>IF(INDEX(Transactions!$J:$J,ROW()-8)="",0,INDEX(Transactions!$O:$O,ROW()-8))</f>
      </c>
    </row>
    <row r="9622" spans="1:7">
      <c r="B9622">
        <f>IF(INDEX(Transactions!$J:$J,ROW()-8)="",TODAY(),INDEX(Transactions!$G:$G,ROW()-8))</f>
      </c>
      <c r="F9622">
        <f>IF(INDEX(Transactions!$J:$J,ROW()-8)="",0,INDEX(Transactions!$O:$O,ROW()-8))</f>
      </c>
    </row>
    <row r="9623" spans="1:7">
      <c r="B9623">
        <f>IF(INDEX(Transactions!$J:$J,ROW()-8)="",TODAY(),INDEX(Transactions!$G:$G,ROW()-8))</f>
      </c>
      <c r="F9623">
        <f>IF(INDEX(Transactions!$J:$J,ROW()-8)="",0,INDEX(Transactions!$O:$O,ROW()-8))</f>
      </c>
    </row>
    <row r="9624" spans="1:7">
      <c r="B9624">
        <f>IF(INDEX(Transactions!$J:$J,ROW()-8)="",TODAY(),INDEX(Transactions!$G:$G,ROW()-8))</f>
      </c>
      <c r="F9624">
        <f>IF(INDEX(Transactions!$J:$J,ROW()-8)="",0,INDEX(Transactions!$O:$O,ROW()-8))</f>
      </c>
    </row>
    <row r="9625" spans="1:7">
      <c r="B9625">
        <f>IF(INDEX(Transactions!$J:$J,ROW()-8)="",TODAY(),INDEX(Transactions!$G:$G,ROW()-8))</f>
      </c>
      <c r="F9625">
        <f>IF(INDEX(Transactions!$J:$J,ROW()-8)="",0,INDEX(Transactions!$O:$O,ROW()-8))</f>
      </c>
    </row>
    <row r="9626" spans="1:7">
      <c r="B9626">
        <f>IF(INDEX(Transactions!$J:$J,ROW()-8)="",TODAY(),INDEX(Transactions!$G:$G,ROW()-8))</f>
      </c>
      <c r="F9626">
        <f>IF(INDEX(Transactions!$J:$J,ROW()-8)="",0,INDEX(Transactions!$O:$O,ROW()-8))</f>
      </c>
    </row>
    <row r="9627" spans="1:7">
      <c r="B9627">
        <f>IF(INDEX(Transactions!$J:$J,ROW()-8)="",TODAY(),INDEX(Transactions!$G:$G,ROW()-8))</f>
      </c>
      <c r="F9627">
        <f>IF(INDEX(Transactions!$J:$J,ROW()-8)="",0,INDEX(Transactions!$O:$O,ROW()-8))</f>
      </c>
    </row>
    <row r="9628" spans="1:7">
      <c r="B9628">
        <f>IF(INDEX(Transactions!$J:$J,ROW()-8)="",TODAY(),INDEX(Transactions!$G:$G,ROW()-8))</f>
      </c>
      <c r="F9628">
        <f>IF(INDEX(Transactions!$J:$J,ROW()-8)="",0,INDEX(Transactions!$O:$O,ROW()-8))</f>
      </c>
    </row>
    <row r="9629" spans="1:7">
      <c r="B9629">
        <f>IF(INDEX(Transactions!$J:$J,ROW()-8)="",TODAY(),INDEX(Transactions!$G:$G,ROW()-8))</f>
      </c>
      <c r="F9629">
        <f>IF(INDEX(Transactions!$J:$J,ROW()-8)="",0,INDEX(Transactions!$O:$O,ROW()-8))</f>
      </c>
    </row>
    <row r="9630" spans="1:7">
      <c r="B9630">
        <f>IF(INDEX(Transactions!$J:$J,ROW()-8)="",TODAY(),INDEX(Transactions!$G:$G,ROW()-8))</f>
      </c>
      <c r="F9630">
        <f>IF(INDEX(Transactions!$J:$J,ROW()-8)="",0,INDEX(Transactions!$O:$O,ROW()-8))</f>
      </c>
    </row>
    <row r="9631" spans="1:7">
      <c r="B9631">
        <f>IF(INDEX(Transactions!$J:$J,ROW()-8)="",TODAY(),INDEX(Transactions!$G:$G,ROW()-8))</f>
      </c>
      <c r="F9631">
        <f>IF(INDEX(Transactions!$J:$J,ROW()-8)="",0,INDEX(Transactions!$O:$O,ROW()-8))</f>
      </c>
    </row>
    <row r="9632" spans="1:7">
      <c r="B9632">
        <f>IF(INDEX(Transactions!$J:$J,ROW()-8)="",TODAY(),INDEX(Transactions!$G:$G,ROW()-8))</f>
      </c>
      <c r="F9632">
        <f>IF(INDEX(Transactions!$J:$J,ROW()-8)="",0,INDEX(Transactions!$O:$O,ROW()-8))</f>
      </c>
    </row>
    <row r="9633" spans="1:7">
      <c r="B9633">
        <f>IF(INDEX(Transactions!$J:$J,ROW()-8)="",TODAY(),INDEX(Transactions!$G:$G,ROW()-8))</f>
      </c>
      <c r="F9633">
        <f>IF(INDEX(Transactions!$J:$J,ROW()-8)="",0,INDEX(Transactions!$O:$O,ROW()-8))</f>
      </c>
    </row>
    <row r="9634" spans="1:7">
      <c r="B9634">
        <f>IF(INDEX(Transactions!$J:$J,ROW()-8)="",TODAY(),INDEX(Transactions!$G:$G,ROW()-8))</f>
      </c>
      <c r="F9634">
        <f>IF(INDEX(Transactions!$J:$J,ROW()-8)="",0,INDEX(Transactions!$O:$O,ROW()-8))</f>
      </c>
    </row>
    <row r="9635" spans="1:7">
      <c r="B9635">
        <f>IF(INDEX(Transactions!$J:$J,ROW()-8)="",TODAY(),INDEX(Transactions!$G:$G,ROW()-8))</f>
      </c>
      <c r="F9635">
        <f>IF(INDEX(Transactions!$J:$J,ROW()-8)="",0,INDEX(Transactions!$O:$O,ROW()-8))</f>
      </c>
    </row>
    <row r="9636" spans="1:7">
      <c r="B9636">
        <f>IF(INDEX(Transactions!$J:$J,ROW()-8)="",TODAY(),INDEX(Transactions!$G:$G,ROW()-8))</f>
      </c>
      <c r="F9636">
        <f>IF(INDEX(Transactions!$J:$J,ROW()-8)="",0,INDEX(Transactions!$O:$O,ROW()-8))</f>
      </c>
    </row>
    <row r="9637" spans="1:7">
      <c r="B9637">
        <f>IF(INDEX(Transactions!$J:$J,ROW()-8)="",TODAY(),INDEX(Transactions!$G:$G,ROW()-8))</f>
      </c>
      <c r="F9637">
        <f>IF(INDEX(Transactions!$J:$J,ROW()-8)="",0,INDEX(Transactions!$O:$O,ROW()-8))</f>
      </c>
    </row>
    <row r="9638" spans="1:7">
      <c r="B9638">
        <f>IF(INDEX(Transactions!$J:$J,ROW()-8)="",TODAY(),INDEX(Transactions!$G:$G,ROW()-8))</f>
      </c>
      <c r="F9638">
        <f>IF(INDEX(Transactions!$J:$J,ROW()-8)="",0,INDEX(Transactions!$O:$O,ROW()-8))</f>
      </c>
    </row>
    <row r="9639" spans="1:7">
      <c r="B9639">
        <f>IF(INDEX(Transactions!$J:$J,ROW()-8)="",TODAY(),INDEX(Transactions!$G:$G,ROW()-8))</f>
      </c>
      <c r="F9639">
        <f>IF(INDEX(Transactions!$J:$J,ROW()-8)="",0,INDEX(Transactions!$O:$O,ROW()-8))</f>
      </c>
    </row>
    <row r="9640" spans="1:7">
      <c r="B9640">
        <f>IF(INDEX(Transactions!$J:$J,ROW()-8)="",TODAY(),INDEX(Transactions!$G:$G,ROW()-8))</f>
      </c>
      <c r="F9640">
        <f>IF(INDEX(Transactions!$J:$J,ROW()-8)="",0,INDEX(Transactions!$O:$O,ROW()-8))</f>
      </c>
    </row>
    <row r="9641" spans="1:7">
      <c r="B9641">
        <f>IF(INDEX(Transactions!$J:$J,ROW()-8)="",TODAY(),INDEX(Transactions!$G:$G,ROW()-8))</f>
      </c>
      <c r="F9641">
        <f>IF(INDEX(Transactions!$J:$J,ROW()-8)="",0,INDEX(Transactions!$O:$O,ROW()-8))</f>
      </c>
    </row>
    <row r="9642" spans="1:7">
      <c r="B9642">
        <f>IF(INDEX(Transactions!$J:$J,ROW()-8)="",TODAY(),INDEX(Transactions!$G:$G,ROW()-8))</f>
      </c>
      <c r="F9642">
        <f>IF(INDEX(Transactions!$J:$J,ROW()-8)="",0,INDEX(Transactions!$O:$O,ROW()-8))</f>
      </c>
    </row>
    <row r="9643" spans="1:7">
      <c r="B9643">
        <f>IF(INDEX(Transactions!$J:$J,ROW()-8)="",TODAY(),INDEX(Transactions!$G:$G,ROW()-8))</f>
      </c>
      <c r="F9643">
        <f>IF(INDEX(Transactions!$J:$J,ROW()-8)="",0,INDEX(Transactions!$O:$O,ROW()-8))</f>
      </c>
    </row>
    <row r="9644" spans="1:7">
      <c r="B9644">
        <f>IF(INDEX(Transactions!$J:$J,ROW()-8)="",TODAY(),INDEX(Transactions!$G:$G,ROW()-8))</f>
      </c>
      <c r="F9644">
        <f>IF(INDEX(Transactions!$J:$J,ROW()-8)="",0,INDEX(Transactions!$O:$O,ROW()-8))</f>
      </c>
    </row>
    <row r="9645" spans="1:7">
      <c r="B9645">
        <f>IF(INDEX(Transactions!$J:$J,ROW()-8)="",TODAY(),INDEX(Transactions!$G:$G,ROW()-8))</f>
      </c>
      <c r="F9645">
        <f>IF(INDEX(Transactions!$J:$J,ROW()-8)="",0,INDEX(Transactions!$O:$O,ROW()-8))</f>
      </c>
    </row>
    <row r="9646" spans="1:7">
      <c r="B9646">
        <f>IF(INDEX(Transactions!$J:$J,ROW()-8)="",TODAY(),INDEX(Transactions!$G:$G,ROW()-8))</f>
      </c>
      <c r="F9646">
        <f>IF(INDEX(Transactions!$J:$J,ROW()-8)="",0,INDEX(Transactions!$O:$O,ROW()-8))</f>
      </c>
    </row>
    <row r="9647" spans="1:7">
      <c r="B9647">
        <f>IF(INDEX(Transactions!$J:$J,ROW()-8)="",TODAY(),INDEX(Transactions!$G:$G,ROW()-8))</f>
      </c>
      <c r="F9647">
        <f>IF(INDEX(Transactions!$J:$J,ROW()-8)="",0,INDEX(Transactions!$O:$O,ROW()-8))</f>
      </c>
    </row>
    <row r="9648" spans="1:7">
      <c r="B9648">
        <f>IF(INDEX(Transactions!$J:$J,ROW()-8)="",TODAY(),INDEX(Transactions!$G:$G,ROW()-8))</f>
      </c>
      <c r="F9648">
        <f>IF(INDEX(Transactions!$J:$J,ROW()-8)="",0,INDEX(Transactions!$O:$O,ROW()-8))</f>
      </c>
    </row>
    <row r="9649" spans="1:7">
      <c r="B9649">
        <f>IF(INDEX(Transactions!$J:$J,ROW()-8)="",TODAY(),INDEX(Transactions!$G:$G,ROW()-8))</f>
      </c>
      <c r="F9649">
        <f>IF(INDEX(Transactions!$J:$J,ROW()-8)="",0,INDEX(Transactions!$O:$O,ROW()-8))</f>
      </c>
    </row>
    <row r="9650" spans="1:7">
      <c r="B9650">
        <f>IF(INDEX(Transactions!$J:$J,ROW()-8)="",TODAY(),INDEX(Transactions!$G:$G,ROW()-8))</f>
      </c>
      <c r="F9650">
        <f>IF(INDEX(Transactions!$J:$J,ROW()-8)="",0,INDEX(Transactions!$O:$O,ROW()-8))</f>
      </c>
    </row>
    <row r="9651" spans="1:7">
      <c r="B9651">
        <f>IF(INDEX(Transactions!$J:$J,ROW()-8)="",TODAY(),INDEX(Transactions!$G:$G,ROW()-8))</f>
      </c>
      <c r="F9651">
        <f>IF(INDEX(Transactions!$J:$J,ROW()-8)="",0,INDEX(Transactions!$O:$O,ROW()-8))</f>
      </c>
    </row>
    <row r="9652" spans="1:7">
      <c r="B9652">
        <f>IF(INDEX(Transactions!$J:$J,ROW()-8)="",TODAY(),INDEX(Transactions!$G:$G,ROW()-8))</f>
      </c>
      <c r="F9652">
        <f>IF(INDEX(Transactions!$J:$J,ROW()-8)="",0,INDEX(Transactions!$O:$O,ROW()-8))</f>
      </c>
    </row>
    <row r="9653" spans="1:7">
      <c r="B9653">
        <f>IF(INDEX(Transactions!$J:$J,ROW()-8)="",TODAY(),INDEX(Transactions!$G:$G,ROW()-8))</f>
      </c>
      <c r="F9653">
        <f>IF(INDEX(Transactions!$J:$J,ROW()-8)="",0,INDEX(Transactions!$O:$O,ROW()-8))</f>
      </c>
    </row>
    <row r="9654" spans="1:7">
      <c r="B9654">
        <f>IF(INDEX(Transactions!$J:$J,ROW()-8)="",TODAY(),INDEX(Transactions!$G:$G,ROW()-8))</f>
      </c>
      <c r="F9654">
        <f>IF(INDEX(Transactions!$J:$J,ROW()-8)="",0,INDEX(Transactions!$O:$O,ROW()-8))</f>
      </c>
    </row>
    <row r="9655" spans="1:7">
      <c r="B9655">
        <f>IF(INDEX(Transactions!$J:$J,ROW()-8)="",TODAY(),INDEX(Transactions!$G:$G,ROW()-8))</f>
      </c>
      <c r="F9655">
        <f>IF(INDEX(Transactions!$J:$J,ROW()-8)="",0,INDEX(Transactions!$O:$O,ROW()-8))</f>
      </c>
    </row>
    <row r="9656" spans="1:7">
      <c r="B9656">
        <f>IF(INDEX(Transactions!$J:$J,ROW()-8)="",TODAY(),INDEX(Transactions!$G:$G,ROW()-8))</f>
      </c>
      <c r="F9656">
        <f>IF(INDEX(Transactions!$J:$J,ROW()-8)="",0,INDEX(Transactions!$O:$O,ROW()-8))</f>
      </c>
    </row>
    <row r="9657" spans="1:7">
      <c r="B9657">
        <f>IF(INDEX(Transactions!$J:$J,ROW()-8)="",TODAY(),INDEX(Transactions!$G:$G,ROW()-8))</f>
      </c>
      <c r="F9657">
        <f>IF(INDEX(Transactions!$J:$J,ROW()-8)="",0,INDEX(Transactions!$O:$O,ROW()-8))</f>
      </c>
    </row>
    <row r="9658" spans="1:7">
      <c r="B9658">
        <f>IF(INDEX(Transactions!$J:$J,ROW()-8)="",TODAY(),INDEX(Transactions!$G:$G,ROW()-8))</f>
      </c>
      <c r="F9658">
        <f>IF(INDEX(Transactions!$J:$J,ROW()-8)="",0,INDEX(Transactions!$O:$O,ROW()-8))</f>
      </c>
    </row>
    <row r="9659" spans="1:7">
      <c r="B9659">
        <f>IF(INDEX(Transactions!$J:$J,ROW()-8)="",TODAY(),INDEX(Transactions!$G:$G,ROW()-8))</f>
      </c>
      <c r="F9659">
        <f>IF(INDEX(Transactions!$J:$J,ROW()-8)="",0,INDEX(Transactions!$O:$O,ROW()-8))</f>
      </c>
    </row>
    <row r="9660" spans="1:7">
      <c r="B9660">
        <f>IF(INDEX(Transactions!$J:$J,ROW()-8)="",TODAY(),INDEX(Transactions!$G:$G,ROW()-8))</f>
      </c>
      <c r="F9660">
        <f>IF(INDEX(Transactions!$J:$J,ROW()-8)="",0,INDEX(Transactions!$O:$O,ROW()-8))</f>
      </c>
    </row>
    <row r="9661" spans="1:7">
      <c r="B9661">
        <f>IF(INDEX(Transactions!$J:$J,ROW()-8)="",TODAY(),INDEX(Transactions!$G:$G,ROW()-8))</f>
      </c>
      <c r="F9661">
        <f>IF(INDEX(Transactions!$J:$J,ROW()-8)="",0,INDEX(Transactions!$O:$O,ROW()-8))</f>
      </c>
    </row>
    <row r="9662" spans="1:7">
      <c r="B9662">
        <f>IF(INDEX(Transactions!$J:$J,ROW()-8)="",TODAY(),INDEX(Transactions!$G:$G,ROW()-8))</f>
      </c>
      <c r="F9662">
        <f>IF(INDEX(Transactions!$J:$J,ROW()-8)="",0,INDEX(Transactions!$O:$O,ROW()-8))</f>
      </c>
    </row>
    <row r="9663" spans="1:7">
      <c r="B9663">
        <f>IF(INDEX(Transactions!$J:$J,ROW()-8)="",TODAY(),INDEX(Transactions!$G:$G,ROW()-8))</f>
      </c>
      <c r="F9663">
        <f>IF(INDEX(Transactions!$J:$J,ROW()-8)="",0,INDEX(Transactions!$O:$O,ROW()-8))</f>
      </c>
    </row>
    <row r="9664" spans="1:7">
      <c r="B9664">
        <f>IF(INDEX(Transactions!$J:$J,ROW()-8)="",TODAY(),INDEX(Transactions!$G:$G,ROW()-8))</f>
      </c>
      <c r="F9664">
        <f>IF(INDEX(Transactions!$J:$J,ROW()-8)="",0,INDEX(Transactions!$O:$O,ROW()-8))</f>
      </c>
    </row>
    <row r="9665" spans="1:7">
      <c r="B9665">
        <f>IF(INDEX(Transactions!$J:$J,ROW()-8)="",TODAY(),INDEX(Transactions!$G:$G,ROW()-8))</f>
      </c>
      <c r="F9665">
        <f>IF(INDEX(Transactions!$J:$J,ROW()-8)="",0,INDEX(Transactions!$O:$O,ROW()-8))</f>
      </c>
    </row>
    <row r="9666" spans="1:7">
      <c r="B9666">
        <f>IF(INDEX(Transactions!$J:$J,ROW()-8)="",TODAY(),INDEX(Transactions!$G:$G,ROW()-8))</f>
      </c>
      <c r="F9666">
        <f>IF(INDEX(Transactions!$J:$J,ROW()-8)="",0,INDEX(Transactions!$O:$O,ROW()-8))</f>
      </c>
    </row>
    <row r="9667" spans="1:7">
      <c r="B9667">
        <f>IF(INDEX(Transactions!$J:$J,ROW()-8)="",TODAY(),INDEX(Transactions!$G:$G,ROW()-8))</f>
      </c>
      <c r="F9667">
        <f>IF(INDEX(Transactions!$J:$J,ROW()-8)="",0,INDEX(Transactions!$O:$O,ROW()-8))</f>
      </c>
    </row>
    <row r="9668" spans="1:7">
      <c r="B9668">
        <f>IF(INDEX(Transactions!$J:$J,ROW()-8)="",TODAY(),INDEX(Transactions!$G:$G,ROW()-8))</f>
      </c>
      <c r="F9668">
        <f>IF(INDEX(Transactions!$J:$J,ROW()-8)="",0,INDEX(Transactions!$O:$O,ROW()-8))</f>
      </c>
    </row>
    <row r="9669" spans="1:7">
      <c r="B9669">
        <f>IF(INDEX(Transactions!$J:$J,ROW()-8)="",TODAY(),INDEX(Transactions!$G:$G,ROW()-8))</f>
      </c>
      <c r="F9669">
        <f>IF(INDEX(Transactions!$J:$J,ROW()-8)="",0,INDEX(Transactions!$O:$O,ROW()-8))</f>
      </c>
    </row>
    <row r="9670" spans="1:7">
      <c r="B9670">
        <f>IF(INDEX(Transactions!$J:$J,ROW()-8)="",TODAY(),INDEX(Transactions!$G:$G,ROW()-8))</f>
      </c>
      <c r="F9670">
        <f>IF(INDEX(Transactions!$J:$J,ROW()-8)="",0,INDEX(Transactions!$O:$O,ROW()-8))</f>
      </c>
    </row>
    <row r="9671" spans="1:7">
      <c r="B9671">
        <f>IF(INDEX(Transactions!$J:$J,ROW()-8)="",TODAY(),INDEX(Transactions!$G:$G,ROW()-8))</f>
      </c>
      <c r="F9671">
        <f>IF(INDEX(Transactions!$J:$J,ROW()-8)="",0,INDEX(Transactions!$O:$O,ROW()-8))</f>
      </c>
    </row>
    <row r="9672" spans="1:7">
      <c r="B9672">
        <f>IF(INDEX(Transactions!$J:$J,ROW()-8)="",TODAY(),INDEX(Transactions!$G:$G,ROW()-8))</f>
      </c>
      <c r="F9672">
        <f>IF(INDEX(Transactions!$J:$J,ROW()-8)="",0,INDEX(Transactions!$O:$O,ROW()-8))</f>
      </c>
    </row>
    <row r="9673" spans="1:7">
      <c r="B9673">
        <f>IF(INDEX(Transactions!$J:$J,ROW()-8)="",TODAY(),INDEX(Transactions!$G:$G,ROW()-8))</f>
      </c>
      <c r="F9673">
        <f>IF(INDEX(Transactions!$J:$J,ROW()-8)="",0,INDEX(Transactions!$O:$O,ROW()-8))</f>
      </c>
    </row>
    <row r="9674" spans="1:7">
      <c r="B9674">
        <f>IF(INDEX(Transactions!$J:$J,ROW()-8)="",TODAY(),INDEX(Transactions!$G:$G,ROW()-8))</f>
      </c>
      <c r="F9674">
        <f>IF(INDEX(Transactions!$J:$J,ROW()-8)="",0,INDEX(Transactions!$O:$O,ROW()-8))</f>
      </c>
    </row>
    <row r="9675" spans="1:7">
      <c r="B9675">
        <f>IF(INDEX(Transactions!$J:$J,ROW()-8)="",TODAY(),INDEX(Transactions!$G:$G,ROW()-8))</f>
      </c>
      <c r="F9675">
        <f>IF(INDEX(Transactions!$J:$J,ROW()-8)="",0,INDEX(Transactions!$O:$O,ROW()-8))</f>
      </c>
    </row>
    <row r="9676" spans="1:7">
      <c r="B9676">
        <f>IF(INDEX(Transactions!$J:$J,ROW()-8)="",TODAY(),INDEX(Transactions!$G:$G,ROW()-8))</f>
      </c>
      <c r="F9676">
        <f>IF(INDEX(Transactions!$J:$J,ROW()-8)="",0,INDEX(Transactions!$O:$O,ROW()-8))</f>
      </c>
    </row>
    <row r="9677" spans="1:7">
      <c r="B9677">
        <f>IF(INDEX(Transactions!$J:$J,ROW()-8)="",TODAY(),INDEX(Transactions!$G:$G,ROW()-8))</f>
      </c>
      <c r="F9677">
        <f>IF(INDEX(Transactions!$J:$J,ROW()-8)="",0,INDEX(Transactions!$O:$O,ROW()-8))</f>
      </c>
    </row>
    <row r="9678" spans="1:7">
      <c r="B9678">
        <f>IF(INDEX(Transactions!$J:$J,ROW()-8)="",TODAY(),INDEX(Transactions!$G:$G,ROW()-8))</f>
      </c>
      <c r="F9678">
        <f>IF(INDEX(Transactions!$J:$J,ROW()-8)="",0,INDEX(Transactions!$O:$O,ROW()-8))</f>
      </c>
    </row>
    <row r="9679" spans="1:7">
      <c r="B9679">
        <f>IF(INDEX(Transactions!$J:$J,ROW()-8)="",TODAY(),INDEX(Transactions!$G:$G,ROW()-8))</f>
      </c>
      <c r="F9679">
        <f>IF(INDEX(Transactions!$J:$J,ROW()-8)="",0,INDEX(Transactions!$O:$O,ROW()-8))</f>
      </c>
    </row>
    <row r="9680" spans="1:7">
      <c r="B9680">
        <f>IF(INDEX(Transactions!$J:$J,ROW()-8)="",TODAY(),INDEX(Transactions!$G:$G,ROW()-8))</f>
      </c>
      <c r="F9680">
        <f>IF(INDEX(Transactions!$J:$J,ROW()-8)="",0,INDEX(Transactions!$O:$O,ROW()-8))</f>
      </c>
    </row>
    <row r="9681" spans="1:7">
      <c r="B9681">
        <f>IF(INDEX(Transactions!$J:$J,ROW()-8)="",TODAY(),INDEX(Transactions!$G:$G,ROW()-8))</f>
      </c>
      <c r="F9681">
        <f>IF(INDEX(Transactions!$J:$J,ROW()-8)="",0,INDEX(Transactions!$O:$O,ROW()-8))</f>
      </c>
    </row>
    <row r="9682" spans="1:7">
      <c r="B9682">
        <f>IF(INDEX(Transactions!$J:$J,ROW()-8)="",TODAY(),INDEX(Transactions!$G:$G,ROW()-8))</f>
      </c>
      <c r="F9682">
        <f>IF(INDEX(Transactions!$J:$J,ROW()-8)="",0,INDEX(Transactions!$O:$O,ROW()-8))</f>
      </c>
    </row>
    <row r="9683" spans="1:7">
      <c r="B9683">
        <f>IF(INDEX(Transactions!$J:$J,ROW()-8)="",TODAY(),INDEX(Transactions!$G:$G,ROW()-8))</f>
      </c>
      <c r="F9683">
        <f>IF(INDEX(Transactions!$J:$J,ROW()-8)="",0,INDEX(Transactions!$O:$O,ROW()-8))</f>
      </c>
    </row>
    <row r="9684" spans="1:7">
      <c r="B9684">
        <f>IF(INDEX(Transactions!$J:$J,ROW()-8)="",TODAY(),INDEX(Transactions!$G:$G,ROW()-8))</f>
      </c>
      <c r="F9684">
        <f>IF(INDEX(Transactions!$J:$J,ROW()-8)="",0,INDEX(Transactions!$O:$O,ROW()-8))</f>
      </c>
    </row>
    <row r="9685" spans="1:7">
      <c r="B9685">
        <f>IF(INDEX(Transactions!$J:$J,ROW()-8)="",TODAY(),INDEX(Transactions!$G:$G,ROW()-8))</f>
      </c>
      <c r="F9685">
        <f>IF(INDEX(Transactions!$J:$J,ROW()-8)="",0,INDEX(Transactions!$O:$O,ROW()-8))</f>
      </c>
    </row>
    <row r="9686" spans="1:7">
      <c r="B9686">
        <f>IF(INDEX(Transactions!$J:$J,ROW()-8)="",TODAY(),INDEX(Transactions!$G:$G,ROW()-8))</f>
      </c>
      <c r="F9686">
        <f>IF(INDEX(Transactions!$J:$J,ROW()-8)="",0,INDEX(Transactions!$O:$O,ROW()-8))</f>
      </c>
    </row>
    <row r="9687" spans="1:7">
      <c r="B9687">
        <f>IF(INDEX(Transactions!$J:$J,ROW()-8)="",TODAY(),INDEX(Transactions!$G:$G,ROW()-8))</f>
      </c>
      <c r="F9687">
        <f>IF(INDEX(Transactions!$J:$J,ROW()-8)="",0,INDEX(Transactions!$O:$O,ROW()-8))</f>
      </c>
    </row>
    <row r="9688" spans="1:7">
      <c r="B9688">
        <f>IF(INDEX(Transactions!$J:$J,ROW()-8)="",TODAY(),INDEX(Transactions!$G:$G,ROW()-8))</f>
      </c>
      <c r="F9688">
        <f>IF(INDEX(Transactions!$J:$J,ROW()-8)="",0,INDEX(Transactions!$O:$O,ROW()-8))</f>
      </c>
    </row>
    <row r="9689" spans="1:7">
      <c r="B9689">
        <f>IF(INDEX(Transactions!$J:$J,ROW()-8)="",TODAY(),INDEX(Transactions!$G:$G,ROW()-8))</f>
      </c>
      <c r="F9689">
        <f>IF(INDEX(Transactions!$J:$J,ROW()-8)="",0,INDEX(Transactions!$O:$O,ROW()-8))</f>
      </c>
    </row>
    <row r="9690" spans="1:7">
      <c r="B9690">
        <f>IF(INDEX(Transactions!$J:$J,ROW()-8)="",TODAY(),INDEX(Transactions!$G:$G,ROW()-8))</f>
      </c>
      <c r="F9690">
        <f>IF(INDEX(Transactions!$J:$J,ROW()-8)="",0,INDEX(Transactions!$O:$O,ROW()-8))</f>
      </c>
    </row>
    <row r="9691" spans="1:7">
      <c r="B9691">
        <f>IF(INDEX(Transactions!$J:$J,ROW()-8)="",TODAY(),INDEX(Transactions!$G:$G,ROW()-8))</f>
      </c>
      <c r="F9691">
        <f>IF(INDEX(Transactions!$J:$J,ROW()-8)="",0,INDEX(Transactions!$O:$O,ROW()-8))</f>
      </c>
    </row>
    <row r="9692" spans="1:7">
      <c r="B9692">
        <f>IF(INDEX(Transactions!$J:$J,ROW()-8)="",TODAY(),INDEX(Transactions!$G:$G,ROW()-8))</f>
      </c>
      <c r="F9692">
        <f>IF(INDEX(Transactions!$J:$J,ROW()-8)="",0,INDEX(Transactions!$O:$O,ROW()-8))</f>
      </c>
    </row>
    <row r="9693" spans="1:7">
      <c r="B9693">
        <f>IF(INDEX(Transactions!$J:$J,ROW()-8)="",TODAY(),INDEX(Transactions!$G:$G,ROW()-8))</f>
      </c>
      <c r="F9693">
        <f>IF(INDEX(Transactions!$J:$J,ROW()-8)="",0,INDEX(Transactions!$O:$O,ROW()-8))</f>
      </c>
    </row>
    <row r="9694" spans="1:7">
      <c r="B9694">
        <f>IF(INDEX(Transactions!$J:$J,ROW()-8)="",TODAY(),INDEX(Transactions!$G:$G,ROW()-8))</f>
      </c>
      <c r="F9694">
        <f>IF(INDEX(Transactions!$J:$J,ROW()-8)="",0,INDEX(Transactions!$O:$O,ROW()-8))</f>
      </c>
    </row>
    <row r="9695" spans="1:7">
      <c r="B9695">
        <f>IF(INDEX(Transactions!$J:$J,ROW()-8)="",TODAY(),INDEX(Transactions!$G:$G,ROW()-8))</f>
      </c>
      <c r="F9695">
        <f>IF(INDEX(Transactions!$J:$J,ROW()-8)="",0,INDEX(Transactions!$O:$O,ROW()-8))</f>
      </c>
    </row>
    <row r="9696" spans="1:7">
      <c r="B9696">
        <f>IF(INDEX(Transactions!$J:$J,ROW()-8)="",TODAY(),INDEX(Transactions!$G:$G,ROW()-8))</f>
      </c>
      <c r="F9696">
        <f>IF(INDEX(Transactions!$J:$J,ROW()-8)="",0,INDEX(Transactions!$O:$O,ROW()-8))</f>
      </c>
    </row>
    <row r="9697" spans="1:7">
      <c r="B9697">
        <f>IF(INDEX(Transactions!$J:$J,ROW()-8)="",TODAY(),INDEX(Transactions!$G:$G,ROW()-8))</f>
      </c>
      <c r="F9697">
        <f>IF(INDEX(Transactions!$J:$J,ROW()-8)="",0,INDEX(Transactions!$O:$O,ROW()-8))</f>
      </c>
    </row>
    <row r="9698" spans="1:7">
      <c r="B9698">
        <f>IF(INDEX(Transactions!$J:$J,ROW()-8)="",TODAY(),INDEX(Transactions!$G:$G,ROW()-8))</f>
      </c>
      <c r="F9698">
        <f>IF(INDEX(Transactions!$J:$J,ROW()-8)="",0,INDEX(Transactions!$O:$O,ROW()-8))</f>
      </c>
    </row>
    <row r="9699" spans="1:7">
      <c r="B9699">
        <f>IF(INDEX(Transactions!$J:$J,ROW()-8)="",TODAY(),INDEX(Transactions!$G:$G,ROW()-8))</f>
      </c>
      <c r="F9699">
        <f>IF(INDEX(Transactions!$J:$J,ROW()-8)="",0,INDEX(Transactions!$O:$O,ROW()-8))</f>
      </c>
    </row>
    <row r="9700" spans="1:7">
      <c r="B9700">
        <f>IF(INDEX(Transactions!$J:$J,ROW()-8)="",TODAY(),INDEX(Transactions!$G:$G,ROW()-8))</f>
      </c>
      <c r="F9700">
        <f>IF(INDEX(Transactions!$J:$J,ROW()-8)="",0,INDEX(Transactions!$O:$O,ROW()-8))</f>
      </c>
    </row>
    <row r="9701" spans="1:7">
      <c r="B9701">
        <f>IF(INDEX(Transactions!$J:$J,ROW()-8)="",TODAY(),INDEX(Transactions!$G:$G,ROW()-8))</f>
      </c>
      <c r="F9701">
        <f>IF(INDEX(Transactions!$J:$J,ROW()-8)="",0,INDEX(Transactions!$O:$O,ROW()-8))</f>
      </c>
    </row>
    <row r="9702" spans="1:7">
      <c r="B9702">
        <f>IF(INDEX(Transactions!$J:$J,ROW()-8)="",TODAY(),INDEX(Transactions!$G:$G,ROW()-8))</f>
      </c>
      <c r="F9702">
        <f>IF(INDEX(Transactions!$J:$J,ROW()-8)="",0,INDEX(Transactions!$O:$O,ROW()-8))</f>
      </c>
    </row>
    <row r="9703" spans="1:7">
      <c r="B9703">
        <f>IF(INDEX(Transactions!$J:$J,ROW()-8)="",TODAY(),INDEX(Transactions!$G:$G,ROW()-8))</f>
      </c>
      <c r="F9703">
        <f>IF(INDEX(Transactions!$J:$J,ROW()-8)="",0,INDEX(Transactions!$O:$O,ROW()-8))</f>
      </c>
    </row>
    <row r="9704" spans="1:7">
      <c r="B9704">
        <f>IF(INDEX(Transactions!$J:$J,ROW()-8)="",TODAY(),INDEX(Transactions!$G:$G,ROW()-8))</f>
      </c>
      <c r="F9704">
        <f>IF(INDEX(Transactions!$J:$J,ROW()-8)="",0,INDEX(Transactions!$O:$O,ROW()-8))</f>
      </c>
    </row>
    <row r="9705" spans="1:7">
      <c r="B9705">
        <f>IF(INDEX(Transactions!$J:$J,ROW()-8)="",TODAY(),INDEX(Transactions!$G:$G,ROW()-8))</f>
      </c>
      <c r="F9705">
        <f>IF(INDEX(Transactions!$J:$J,ROW()-8)="",0,INDEX(Transactions!$O:$O,ROW()-8))</f>
      </c>
    </row>
    <row r="9706" spans="1:7">
      <c r="B9706">
        <f>IF(INDEX(Transactions!$J:$J,ROW()-8)="",TODAY(),INDEX(Transactions!$G:$G,ROW()-8))</f>
      </c>
      <c r="F9706">
        <f>IF(INDEX(Transactions!$J:$J,ROW()-8)="",0,INDEX(Transactions!$O:$O,ROW()-8))</f>
      </c>
    </row>
    <row r="9707" spans="1:7">
      <c r="B9707">
        <f>IF(INDEX(Transactions!$J:$J,ROW()-8)="",TODAY(),INDEX(Transactions!$G:$G,ROW()-8))</f>
      </c>
      <c r="F9707">
        <f>IF(INDEX(Transactions!$J:$J,ROW()-8)="",0,INDEX(Transactions!$O:$O,ROW()-8))</f>
      </c>
    </row>
    <row r="9708" spans="1:7">
      <c r="B9708">
        <f>IF(INDEX(Transactions!$J:$J,ROW()-8)="",TODAY(),INDEX(Transactions!$G:$G,ROW()-8))</f>
      </c>
      <c r="F9708">
        <f>IF(INDEX(Transactions!$J:$J,ROW()-8)="",0,INDEX(Transactions!$O:$O,ROW()-8))</f>
      </c>
    </row>
    <row r="9709" spans="1:7">
      <c r="B9709">
        <f>IF(INDEX(Transactions!$J:$J,ROW()-8)="",TODAY(),INDEX(Transactions!$G:$G,ROW()-8))</f>
      </c>
      <c r="F9709">
        <f>IF(INDEX(Transactions!$J:$J,ROW()-8)="",0,INDEX(Transactions!$O:$O,ROW()-8))</f>
      </c>
    </row>
    <row r="9710" spans="1:7">
      <c r="B9710">
        <f>IF(INDEX(Transactions!$J:$J,ROW()-8)="",TODAY(),INDEX(Transactions!$G:$G,ROW()-8))</f>
      </c>
      <c r="F9710">
        <f>IF(INDEX(Transactions!$J:$J,ROW()-8)="",0,INDEX(Transactions!$O:$O,ROW()-8))</f>
      </c>
    </row>
    <row r="9711" spans="1:7">
      <c r="B9711">
        <f>IF(INDEX(Transactions!$J:$J,ROW()-8)="",TODAY(),INDEX(Transactions!$G:$G,ROW()-8))</f>
      </c>
      <c r="F9711">
        <f>IF(INDEX(Transactions!$J:$J,ROW()-8)="",0,INDEX(Transactions!$O:$O,ROW()-8))</f>
      </c>
    </row>
    <row r="9712" spans="1:7">
      <c r="B9712">
        <f>IF(INDEX(Transactions!$J:$J,ROW()-8)="",TODAY(),INDEX(Transactions!$G:$G,ROW()-8))</f>
      </c>
      <c r="F9712">
        <f>IF(INDEX(Transactions!$J:$J,ROW()-8)="",0,INDEX(Transactions!$O:$O,ROW()-8))</f>
      </c>
    </row>
    <row r="9713" spans="1:7">
      <c r="B9713">
        <f>IF(INDEX(Transactions!$J:$J,ROW()-8)="",TODAY(),INDEX(Transactions!$G:$G,ROW()-8))</f>
      </c>
      <c r="F9713">
        <f>IF(INDEX(Transactions!$J:$J,ROW()-8)="",0,INDEX(Transactions!$O:$O,ROW()-8))</f>
      </c>
    </row>
    <row r="9714" spans="1:7">
      <c r="B9714">
        <f>IF(INDEX(Transactions!$J:$J,ROW()-8)="",TODAY(),INDEX(Transactions!$G:$G,ROW()-8))</f>
      </c>
      <c r="F9714">
        <f>IF(INDEX(Transactions!$J:$J,ROW()-8)="",0,INDEX(Transactions!$O:$O,ROW()-8))</f>
      </c>
    </row>
    <row r="9715" spans="1:7">
      <c r="B9715">
        <f>IF(INDEX(Transactions!$J:$J,ROW()-8)="",TODAY(),INDEX(Transactions!$G:$G,ROW()-8))</f>
      </c>
      <c r="F9715">
        <f>IF(INDEX(Transactions!$J:$J,ROW()-8)="",0,INDEX(Transactions!$O:$O,ROW()-8))</f>
      </c>
    </row>
    <row r="9716" spans="1:7">
      <c r="B9716">
        <f>IF(INDEX(Transactions!$J:$J,ROW()-8)="",TODAY(),INDEX(Transactions!$G:$G,ROW()-8))</f>
      </c>
      <c r="F9716">
        <f>IF(INDEX(Transactions!$J:$J,ROW()-8)="",0,INDEX(Transactions!$O:$O,ROW()-8))</f>
      </c>
    </row>
    <row r="9717" spans="1:7">
      <c r="B9717">
        <f>IF(INDEX(Transactions!$J:$J,ROW()-8)="",TODAY(),INDEX(Transactions!$G:$G,ROW()-8))</f>
      </c>
      <c r="F9717">
        <f>IF(INDEX(Transactions!$J:$J,ROW()-8)="",0,INDEX(Transactions!$O:$O,ROW()-8))</f>
      </c>
    </row>
    <row r="9718" spans="1:7">
      <c r="B9718">
        <f>IF(INDEX(Transactions!$J:$J,ROW()-8)="",TODAY(),INDEX(Transactions!$G:$G,ROW()-8))</f>
      </c>
      <c r="F9718">
        <f>IF(INDEX(Transactions!$J:$J,ROW()-8)="",0,INDEX(Transactions!$O:$O,ROW()-8))</f>
      </c>
    </row>
    <row r="9719" spans="1:7">
      <c r="B9719">
        <f>IF(INDEX(Transactions!$J:$J,ROW()-8)="",TODAY(),INDEX(Transactions!$G:$G,ROW()-8))</f>
      </c>
      <c r="F9719">
        <f>IF(INDEX(Transactions!$J:$J,ROW()-8)="",0,INDEX(Transactions!$O:$O,ROW()-8))</f>
      </c>
    </row>
    <row r="9720" spans="1:7">
      <c r="B9720">
        <f>IF(INDEX(Transactions!$J:$J,ROW()-8)="",TODAY(),INDEX(Transactions!$G:$G,ROW()-8))</f>
      </c>
      <c r="F9720">
        <f>IF(INDEX(Transactions!$J:$J,ROW()-8)="",0,INDEX(Transactions!$O:$O,ROW()-8))</f>
      </c>
    </row>
    <row r="9721" spans="1:7">
      <c r="B9721">
        <f>IF(INDEX(Transactions!$J:$J,ROW()-8)="",TODAY(),INDEX(Transactions!$G:$G,ROW()-8))</f>
      </c>
      <c r="F9721">
        <f>IF(INDEX(Transactions!$J:$J,ROW()-8)="",0,INDEX(Transactions!$O:$O,ROW()-8))</f>
      </c>
    </row>
    <row r="9722" spans="1:7">
      <c r="B9722">
        <f>IF(INDEX(Transactions!$J:$J,ROW()-8)="",TODAY(),INDEX(Transactions!$G:$G,ROW()-8))</f>
      </c>
      <c r="F9722">
        <f>IF(INDEX(Transactions!$J:$J,ROW()-8)="",0,INDEX(Transactions!$O:$O,ROW()-8))</f>
      </c>
    </row>
    <row r="9723" spans="1:7">
      <c r="B9723">
        <f>IF(INDEX(Transactions!$J:$J,ROW()-8)="",TODAY(),INDEX(Transactions!$G:$G,ROW()-8))</f>
      </c>
      <c r="F9723">
        <f>IF(INDEX(Transactions!$J:$J,ROW()-8)="",0,INDEX(Transactions!$O:$O,ROW()-8))</f>
      </c>
    </row>
    <row r="9724" spans="1:7">
      <c r="B9724">
        <f>IF(INDEX(Transactions!$J:$J,ROW()-8)="",TODAY(),INDEX(Transactions!$G:$G,ROW()-8))</f>
      </c>
      <c r="F9724">
        <f>IF(INDEX(Transactions!$J:$J,ROW()-8)="",0,INDEX(Transactions!$O:$O,ROW()-8))</f>
      </c>
    </row>
    <row r="9725" spans="1:7">
      <c r="B9725">
        <f>IF(INDEX(Transactions!$J:$J,ROW()-8)="",TODAY(),INDEX(Transactions!$G:$G,ROW()-8))</f>
      </c>
      <c r="F9725">
        <f>IF(INDEX(Transactions!$J:$J,ROW()-8)="",0,INDEX(Transactions!$O:$O,ROW()-8))</f>
      </c>
    </row>
    <row r="9726" spans="1:7">
      <c r="B9726">
        <f>IF(INDEX(Transactions!$J:$J,ROW()-8)="",TODAY(),INDEX(Transactions!$G:$G,ROW()-8))</f>
      </c>
      <c r="F9726">
        <f>IF(INDEX(Transactions!$J:$J,ROW()-8)="",0,INDEX(Transactions!$O:$O,ROW()-8))</f>
      </c>
    </row>
    <row r="9727" spans="1:7">
      <c r="B9727">
        <f>IF(INDEX(Transactions!$J:$J,ROW()-8)="",TODAY(),INDEX(Transactions!$G:$G,ROW()-8))</f>
      </c>
      <c r="F9727">
        <f>IF(INDEX(Transactions!$J:$J,ROW()-8)="",0,INDEX(Transactions!$O:$O,ROW()-8))</f>
      </c>
    </row>
    <row r="9728" spans="1:7">
      <c r="B9728">
        <f>IF(INDEX(Transactions!$J:$J,ROW()-8)="",TODAY(),INDEX(Transactions!$G:$G,ROW()-8))</f>
      </c>
      <c r="F9728">
        <f>IF(INDEX(Transactions!$J:$J,ROW()-8)="",0,INDEX(Transactions!$O:$O,ROW()-8))</f>
      </c>
    </row>
    <row r="9729" spans="1:7">
      <c r="B9729">
        <f>IF(INDEX(Transactions!$J:$J,ROW()-8)="",TODAY(),INDEX(Transactions!$G:$G,ROW()-8))</f>
      </c>
      <c r="F9729">
        <f>IF(INDEX(Transactions!$J:$J,ROW()-8)="",0,INDEX(Transactions!$O:$O,ROW()-8))</f>
      </c>
    </row>
    <row r="9730" spans="1:7">
      <c r="B9730">
        <f>IF(INDEX(Transactions!$J:$J,ROW()-8)="",TODAY(),INDEX(Transactions!$G:$G,ROW()-8))</f>
      </c>
      <c r="F9730">
        <f>IF(INDEX(Transactions!$J:$J,ROW()-8)="",0,INDEX(Transactions!$O:$O,ROW()-8))</f>
      </c>
    </row>
    <row r="9731" spans="1:7">
      <c r="B9731">
        <f>IF(INDEX(Transactions!$J:$J,ROW()-8)="",TODAY(),INDEX(Transactions!$G:$G,ROW()-8))</f>
      </c>
      <c r="F9731">
        <f>IF(INDEX(Transactions!$J:$J,ROW()-8)="",0,INDEX(Transactions!$O:$O,ROW()-8))</f>
      </c>
    </row>
    <row r="9732" spans="1:7">
      <c r="B9732">
        <f>IF(INDEX(Transactions!$J:$J,ROW()-8)="",TODAY(),INDEX(Transactions!$G:$G,ROW()-8))</f>
      </c>
      <c r="F9732">
        <f>IF(INDEX(Transactions!$J:$J,ROW()-8)="",0,INDEX(Transactions!$O:$O,ROW()-8))</f>
      </c>
    </row>
    <row r="9733" spans="1:7">
      <c r="B9733">
        <f>IF(INDEX(Transactions!$J:$J,ROW()-8)="",TODAY(),INDEX(Transactions!$G:$G,ROW()-8))</f>
      </c>
      <c r="F9733">
        <f>IF(INDEX(Transactions!$J:$J,ROW()-8)="",0,INDEX(Transactions!$O:$O,ROW()-8))</f>
      </c>
    </row>
    <row r="9734" spans="1:7">
      <c r="B9734">
        <f>IF(INDEX(Transactions!$J:$J,ROW()-8)="",TODAY(),INDEX(Transactions!$G:$G,ROW()-8))</f>
      </c>
      <c r="F9734">
        <f>IF(INDEX(Transactions!$J:$J,ROW()-8)="",0,INDEX(Transactions!$O:$O,ROW()-8))</f>
      </c>
    </row>
    <row r="9735" spans="1:7">
      <c r="B9735">
        <f>IF(INDEX(Transactions!$J:$J,ROW()-8)="",TODAY(),INDEX(Transactions!$G:$G,ROW()-8))</f>
      </c>
      <c r="F9735">
        <f>IF(INDEX(Transactions!$J:$J,ROW()-8)="",0,INDEX(Transactions!$O:$O,ROW()-8))</f>
      </c>
    </row>
    <row r="9736" spans="1:7">
      <c r="B9736">
        <f>IF(INDEX(Transactions!$J:$J,ROW()-8)="",TODAY(),INDEX(Transactions!$G:$G,ROW()-8))</f>
      </c>
      <c r="F9736">
        <f>IF(INDEX(Transactions!$J:$J,ROW()-8)="",0,INDEX(Transactions!$O:$O,ROW()-8))</f>
      </c>
    </row>
    <row r="9737" spans="1:7">
      <c r="B9737">
        <f>IF(INDEX(Transactions!$J:$J,ROW()-8)="",TODAY(),INDEX(Transactions!$G:$G,ROW()-8))</f>
      </c>
      <c r="F9737">
        <f>IF(INDEX(Transactions!$J:$J,ROW()-8)="",0,INDEX(Transactions!$O:$O,ROW()-8))</f>
      </c>
    </row>
    <row r="9738" spans="1:7">
      <c r="B9738">
        <f>IF(INDEX(Transactions!$J:$J,ROW()-8)="",TODAY(),INDEX(Transactions!$G:$G,ROW()-8))</f>
      </c>
      <c r="F9738">
        <f>IF(INDEX(Transactions!$J:$J,ROW()-8)="",0,INDEX(Transactions!$O:$O,ROW()-8))</f>
      </c>
    </row>
    <row r="9739" spans="1:7">
      <c r="B9739">
        <f>IF(INDEX(Transactions!$J:$J,ROW()-8)="",TODAY(),INDEX(Transactions!$G:$G,ROW()-8))</f>
      </c>
      <c r="F9739">
        <f>IF(INDEX(Transactions!$J:$J,ROW()-8)="",0,INDEX(Transactions!$O:$O,ROW()-8))</f>
      </c>
    </row>
    <row r="9740" spans="1:7">
      <c r="B9740">
        <f>IF(INDEX(Transactions!$J:$J,ROW()-8)="",TODAY(),INDEX(Transactions!$G:$G,ROW()-8))</f>
      </c>
      <c r="F9740">
        <f>IF(INDEX(Transactions!$J:$J,ROW()-8)="",0,INDEX(Transactions!$O:$O,ROW()-8))</f>
      </c>
    </row>
    <row r="9741" spans="1:7">
      <c r="B9741">
        <f>IF(INDEX(Transactions!$J:$J,ROW()-8)="",TODAY(),INDEX(Transactions!$G:$G,ROW()-8))</f>
      </c>
      <c r="F9741">
        <f>IF(INDEX(Transactions!$J:$J,ROW()-8)="",0,INDEX(Transactions!$O:$O,ROW()-8))</f>
      </c>
    </row>
    <row r="9742" spans="1:7">
      <c r="B9742">
        <f>IF(INDEX(Transactions!$J:$J,ROW()-8)="",TODAY(),INDEX(Transactions!$G:$G,ROW()-8))</f>
      </c>
      <c r="F9742">
        <f>IF(INDEX(Transactions!$J:$J,ROW()-8)="",0,INDEX(Transactions!$O:$O,ROW()-8))</f>
      </c>
    </row>
    <row r="9743" spans="1:7">
      <c r="B9743">
        <f>IF(INDEX(Transactions!$J:$J,ROW()-8)="",TODAY(),INDEX(Transactions!$G:$G,ROW()-8))</f>
      </c>
      <c r="F9743">
        <f>IF(INDEX(Transactions!$J:$J,ROW()-8)="",0,INDEX(Transactions!$O:$O,ROW()-8))</f>
      </c>
    </row>
    <row r="9744" spans="1:7">
      <c r="B9744">
        <f>IF(INDEX(Transactions!$J:$J,ROW()-8)="",TODAY(),INDEX(Transactions!$G:$G,ROW()-8))</f>
      </c>
      <c r="F9744">
        <f>IF(INDEX(Transactions!$J:$J,ROW()-8)="",0,INDEX(Transactions!$O:$O,ROW()-8))</f>
      </c>
    </row>
    <row r="9745" spans="1:7">
      <c r="B9745">
        <f>IF(INDEX(Transactions!$J:$J,ROW()-8)="",TODAY(),INDEX(Transactions!$G:$G,ROW()-8))</f>
      </c>
      <c r="F9745">
        <f>IF(INDEX(Transactions!$J:$J,ROW()-8)="",0,INDEX(Transactions!$O:$O,ROW()-8))</f>
      </c>
    </row>
    <row r="9746" spans="1:7">
      <c r="B9746">
        <f>IF(INDEX(Transactions!$J:$J,ROW()-8)="",TODAY(),INDEX(Transactions!$G:$G,ROW()-8))</f>
      </c>
      <c r="F9746">
        <f>IF(INDEX(Transactions!$J:$J,ROW()-8)="",0,INDEX(Transactions!$O:$O,ROW()-8))</f>
      </c>
    </row>
    <row r="9747" spans="1:7">
      <c r="B9747">
        <f>IF(INDEX(Transactions!$J:$J,ROW()-8)="",TODAY(),INDEX(Transactions!$G:$G,ROW()-8))</f>
      </c>
      <c r="F9747">
        <f>IF(INDEX(Transactions!$J:$J,ROW()-8)="",0,INDEX(Transactions!$O:$O,ROW()-8))</f>
      </c>
    </row>
    <row r="9748" spans="1:7">
      <c r="B9748">
        <f>IF(INDEX(Transactions!$J:$J,ROW()-8)="",TODAY(),INDEX(Transactions!$G:$G,ROW()-8))</f>
      </c>
      <c r="F9748">
        <f>IF(INDEX(Transactions!$J:$J,ROW()-8)="",0,INDEX(Transactions!$O:$O,ROW()-8))</f>
      </c>
    </row>
    <row r="9749" spans="1:7">
      <c r="B9749">
        <f>IF(INDEX(Transactions!$J:$J,ROW()-8)="",TODAY(),INDEX(Transactions!$G:$G,ROW()-8))</f>
      </c>
      <c r="F9749">
        <f>IF(INDEX(Transactions!$J:$J,ROW()-8)="",0,INDEX(Transactions!$O:$O,ROW()-8))</f>
      </c>
    </row>
    <row r="9750" spans="1:7">
      <c r="B9750">
        <f>IF(INDEX(Transactions!$J:$J,ROW()-8)="",TODAY(),INDEX(Transactions!$G:$G,ROW()-8))</f>
      </c>
      <c r="F9750">
        <f>IF(INDEX(Transactions!$J:$J,ROW()-8)="",0,INDEX(Transactions!$O:$O,ROW()-8))</f>
      </c>
    </row>
    <row r="9751" spans="1:7">
      <c r="B9751">
        <f>IF(INDEX(Transactions!$J:$J,ROW()-8)="",TODAY(),INDEX(Transactions!$G:$G,ROW()-8))</f>
      </c>
      <c r="F9751">
        <f>IF(INDEX(Transactions!$J:$J,ROW()-8)="",0,INDEX(Transactions!$O:$O,ROW()-8))</f>
      </c>
    </row>
    <row r="9752" spans="1:7">
      <c r="B9752">
        <f>IF(INDEX(Transactions!$J:$J,ROW()-8)="",TODAY(),INDEX(Transactions!$G:$G,ROW()-8))</f>
      </c>
      <c r="F9752">
        <f>IF(INDEX(Transactions!$J:$J,ROW()-8)="",0,INDEX(Transactions!$O:$O,ROW()-8))</f>
      </c>
    </row>
    <row r="9753" spans="1:7">
      <c r="B9753">
        <f>IF(INDEX(Transactions!$J:$J,ROW()-8)="",TODAY(),INDEX(Transactions!$G:$G,ROW()-8))</f>
      </c>
      <c r="F9753">
        <f>IF(INDEX(Transactions!$J:$J,ROW()-8)="",0,INDEX(Transactions!$O:$O,ROW()-8))</f>
      </c>
    </row>
    <row r="9754" spans="1:7">
      <c r="B9754">
        <f>IF(INDEX(Transactions!$J:$J,ROW()-8)="",TODAY(),INDEX(Transactions!$G:$G,ROW()-8))</f>
      </c>
      <c r="F9754">
        <f>IF(INDEX(Transactions!$J:$J,ROW()-8)="",0,INDEX(Transactions!$O:$O,ROW()-8))</f>
      </c>
    </row>
    <row r="9755" spans="1:7">
      <c r="B9755">
        <f>IF(INDEX(Transactions!$J:$J,ROW()-8)="",TODAY(),INDEX(Transactions!$G:$G,ROW()-8))</f>
      </c>
      <c r="F9755">
        <f>IF(INDEX(Transactions!$J:$J,ROW()-8)="",0,INDEX(Transactions!$O:$O,ROW()-8))</f>
      </c>
    </row>
    <row r="9756" spans="1:7">
      <c r="B9756">
        <f>IF(INDEX(Transactions!$J:$J,ROW()-8)="",TODAY(),INDEX(Transactions!$G:$G,ROW()-8))</f>
      </c>
      <c r="F9756">
        <f>IF(INDEX(Transactions!$J:$J,ROW()-8)="",0,INDEX(Transactions!$O:$O,ROW()-8))</f>
      </c>
    </row>
    <row r="9757" spans="1:7">
      <c r="B9757">
        <f>IF(INDEX(Transactions!$J:$J,ROW()-8)="",TODAY(),INDEX(Transactions!$G:$G,ROW()-8))</f>
      </c>
      <c r="F9757">
        <f>IF(INDEX(Transactions!$J:$J,ROW()-8)="",0,INDEX(Transactions!$O:$O,ROW()-8))</f>
      </c>
    </row>
    <row r="9758" spans="1:7">
      <c r="B9758">
        <f>IF(INDEX(Transactions!$J:$J,ROW()-8)="",TODAY(),INDEX(Transactions!$G:$G,ROW()-8))</f>
      </c>
      <c r="F9758">
        <f>IF(INDEX(Transactions!$J:$J,ROW()-8)="",0,INDEX(Transactions!$O:$O,ROW()-8))</f>
      </c>
    </row>
    <row r="9759" spans="1:7">
      <c r="B9759">
        <f>IF(INDEX(Transactions!$J:$J,ROW()-8)="",TODAY(),INDEX(Transactions!$G:$G,ROW()-8))</f>
      </c>
      <c r="F9759">
        <f>IF(INDEX(Transactions!$J:$J,ROW()-8)="",0,INDEX(Transactions!$O:$O,ROW()-8))</f>
      </c>
    </row>
    <row r="9760" spans="1:7">
      <c r="B9760">
        <f>IF(INDEX(Transactions!$J:$J,ROW()-8)="",TODAY(),INDEX(Transactions!$G:$G,ROW()-8))</f>
      </c>
      <c r="F9760">
        <f>IF(INDEX(Transactions!$J:$J,ROW()-8)="",0,INDEX(Transactions!$O:$O,ROW()-8))</f>
      </c>
    </row>
    <row r="9761" spans="1:7">
      <c r="B9761">
        <f>IF(INDEX(Transactions!$J:$J,ROW()-8)="",TODAY(),INDEX(Transactions!$G:$G,ROW()-8))</f>
      </c>
      <c r="F9761">
        <f>IF(INDEX(Transactions!$J:$J,ROW()-8)="",0,INDEX(Transactions!$O:$O,ROW()-8))</f>
      </c>
    </row>
    <row r="9762" spans="1:7">
      <c r="B9762">
        <f>IF(INDEX(Transactions!$J:$J,ROW()-8)="",TODAY(),INDEX(Transactions!$G:$G,ROW()-8))</f>
      </c>
      <c r="F9762">
        <f>IF(INDEX(Transactions!$J:$J,ROW()-8)="",0,INDEX(Transactions!$O:$O,ROW()-8))</f>
      </c>
    </row>
    <row r="9763" spans="1:7">
      <c r="B9763">
        <f>IF(INDEX(Transactions!$J:$J,ROW()-8)="",TODAY(),INDEX(Transactions!$G:$G,ROW()-8))</f>
      </c>
      <c r="F9763">
        <f>IF(INDEX(Transactions!$J:$J,ROW()-8)="",0,INDEX(Transactions!$O:$O,ROW()-8))</f>
      </c>
    </row>
    <row r="9764" spans="1:7">
      <c r="B9764">
        <f>IF(INDEX(Transactions!$J:$J,ROW()-8)="",TODAY(),INDEX(Transactions!$G:$G,ROW()-8))</f>
      </c>
      <c r="F9764">
        <f>IF(INDEX(Transactions!$J:$J,ROW()-8)="",0,INDEX(Transactions!$O:$O,ROW()-8))</f>
      </c>
    </row>
    <row r="9765" spans="1:7">
      <c r="B9765">
        <f>IF(INDEX(Transactions!$J:$J,ROW()-8)="",TODAY(),INDEX(Transactions!$G:$G,ROW()-8))</f>
      </c>
      <c r="F9765">
        <f>IF(INDEX(Transactions!$J:$J,ROW()-8)="",0,INDEX(Transactions!$O:$O,ROW()-8))</f>
      </c>
    </row>
    <row r="9766" spans="1:7">
      <c r="B9766">
        <f>IF(INDEX(Transactions!$J:$J,ROW()-8)="",TODAY(),INDEX(Transactions!$G:$G,ROW()-8))</f>
      </c>
      <c r="F9766">
        <f>IF(INDEX(Transactions!$J:$J,ROW()-8)="",0,INDEX(Transactions!$O:$O,ROW()-8))</f>
      </c>
    </row>
    <row r="9767" spans="1:7">
      <c r="B9767">
        <f>IF(INDEX(Transactions!$J:$J,ROW()-8)="",TODAY(),INDEX(Transactions!$G:$G,ROW()-8))</f>
      </c>
      <c r="F9767">
        <f>IF(INDEX(Transactions!$J:$J,ROW()-8)="",0,INDEX(Transactions!$O:$O,ROW()-8))</f>
      </c>
    </row>
    <row r="9768" spans="1:7">
      <c r="B9768">
        <f>IF(INDEX(Transactions!$J:$J,ROW()-8)="",TODAY(),INDEX(Transactions!$G:$G,ROW()-8))</f>
      </c>
      <c r="F9768">
        <f>IF(INDEX(Transactions!$J:$J,ROW()-8)="",0,INDEX(Transactions!$O:$O,ROW()-8))</f>
      </c>
    </row>
    <row r="9769" spans="1:7">
      <c r="B9769">
        <f>IF(INDEX(Transactions!$J:$J,ROW()-8)="",TODAY(),INDEX(Transactions!$G:$G,ROW()-8))</f>
      </c>
      <c r="F9769">
        <f>IF(INDEX(Transactions!$J:$J,ROW()-8)="",0,INDEX(Transactions!$O:$O,ROW()-8))</f>
      </c>
    </row>
    <row r="9770" spans="1:7">
      <c r="B9770">
        <f>IF(INDEX(Transactions!$J:$J,ROW()-8)="",TODAY(),INDEX(Transactions!$G:$G,ROW()-8))</f>
      </c>
      <c r="F9770">
        <f>IF(INDEX(Transactions!$J:$J,ROW()-8)="",0,INDEX(Transactions!$O:$O,ROW()-8))</f>
      </c>
    </row>
    <row r="9771" spans="1:7">
      <c r="B9771">
        <f>IF(INDEX(Transactions!$J:$J,ROW()-8)="",TODAY(),INDEX(Transactions!$G:$G,ROW()-8))</f>
      </c>
      <c r="F9771">
        <f>IF(INDEX(Transactions!$J:$J,ROW()-8)="",0,INDEX(Transactions!$O:$O,ROW()-8))</f>
      </c>
    </row>
    <row r="9772" spans="1:7">
      <c r="B9772">
        <f>IF(INDEX(Transactions!$J:$J,ROW()-8)="",TODAY(),INDEX(Transactions!$G:$G,ROW()-8))</f>
      </c>
      <c r="F9772">
        <f>IF(INDEX(Transactions!$J:$J,ROW()-8)="",0,INDEX(Transactions!$O:$O,ROW()-8))</f>
      </c>
    </row>
    <row r="9773" spans="1:7">
      <c r="B9773">
        <f>IF(INDEX(Transactions!$J:$J,ROW()-8)="",TODAY(),INDEX(Transactions!$G:$G,ROW()-8))</f>
      </c>
      <c r="F9773">
        <f>IF(INDEX(Transactions!$J:$J,ROW()-8)="",0,INDEX(Transactions!$O:$O,ROW()-8))</f>
      </c>
    </row>
    <row r="9774" spans="1:7">
      <c r="B9774">
        <f>IF(INDEX(Transactions!$J:$J,ROW()-8)="",TODAY(),INDEX(Transactions!$G:$G,ROW()-8))</f>
      </c>
      <c r="F9774">
        <f>IF(INDEX(Transactions!$J:$J,ROW()-8)="",0,INDEX(Transactions!$O:$O,ROW()-8))</f>
      </c>
    </row>
    <row r="9775" spans="1:7">
      <c r="B9775">
        <f>IF(INDEX(Transactions!$J:$J,ROW()-8)="",TODAY(),INDEX(Transactions!$G:$G,ROW()-8))</f>
      </c>
      <c r="F9775">
        <f>IF(INDEX(Transactions!$J:$J,ROW()-8)="",0,INDEX(Transactions!$O:$O,ROW()-8))</f>
      </c>
    </row>
    <row r="9776" spans="1:7">
      <c r="B9776">
        <f>IF(INDEX(Transactions!$J:$J,ROW()-8)="",TODAY(),INDEX(Transactions!$G:$G,ROW()-8))</f>
      </c>
      <c r="F9776">
        <f>IF(INDEX(Transactions!$J:$J,ROW()-8)="",0,INDEX(Transactions!$O:$O,ROW()-8))</f>
      </c>
    </row>
    <row r="9777" spans="1:7">
      <c r="B9777">
        <f>IF(INDEX(Transactions!$J:$J,ROW()-8)="",TODAY(),INDEX(Transactions!$G:$G,ROW()-8))</f>
      </c>
      <c r="F9777">
        <f>IF(INDEX(Transactions!$J:$J,ROW()-8)="",0,INDEX(Transactions!$O:$O,ROW()-8))</f>
      </c>
    </row>
    <row r="9778" spans="1:7">
      <c r="B9778">
        <f>IF(INDEX(Transactions!$J:$J,ROW()-8)="",TODAY(),INDEX(Transactions!$G:$G,ROW()-8))</f>
      </c>
      <c r="F9778">
        <f>IF(INDEX(Transactions!$J:$J,ROW()-8)="",0,INDEX(Transactions!$O:$O,ROW()-8))</f>
      </c>
    </row>
    <row r="9779" spans="1:7">
      <c r="B9779">
        <f>IF(INDEX(Transactions!$J:$J,ROW()-8)="",TODAY(),INDEX(Transactions!$G:$G,ROW()-8))</f>
      </c>
      <c r="F9779">
        <f>IF(INDEX(Transactions!$J:$J,ROW()-8)="",0,INDEX(Transactions!$O:$O,ROW()-8))</f>
      </c>
    </row>
    <row r="9780" spans="1:7">
      <c r="B9780">
        <f>IF(INDEX(Transactions!$J:$J,ROW()-8)="",TODAY(),INDEX(Transactions!$G:$G,ROW()-8))</f>
      </c>
      <c r="F9780">
        <f>IF(INDEX(Transactions!$J:$J,ROW()-8)="",0,INDEX(Transactions!$O:$O,ROW()-8))</f>
      </c>
    </row>
    <row r="9781" spans="1:7">
      <c r="B9781">
        <f>IF(INDEX(Transactions!$J:$J,ROW()-8)="",TODAY(),INDEX(Transactions!$G:$G,ROW()-8))</f>
      </c>
      <c r="F9781">
        <f>IF(INDEX(Transactions!$J:$J,ROW()-8)="",0,INDEX(Transactions!$O:$O,ROW()-8))</f>
      </c>
    </row>
    <row r="9782" spans="1:7">
      <c r="B9782">
        <f>IF(INDEX(Transactions!$J:$J,ROW()-8)="",TODAY(),INDEX(Transactions!$G:$G,ROW()-8))</f>
      </c>
      <c r="F9782">
        <f>IF(INDEX(Transactions!$J:$J,ROW()-8)="",0,INDEX(Transactions!$O:$O,ROW()-8))</f>
      </c>
    </row>
    <row r="9783" spans="1:7">
      <c r="B9783">
        <f>IF(INDEX(Transactions!$J:$J,ROW()-8)="",TODAY(),INDEX(Transactions!$G:$G,ROW()-8))</f>
      </c>
      <c r="F9783">
        <f>IF(INDEX(Transactions!$J:$J,ROW()-8)="",0,INDEX(Transactions!$O:$O,ROW()-8))</f>
      </c>
    </row>
    <row r="9784" spans="1:7">
      <c r="B9784">
        <f>IF(INDEX(Transactions!$J:$J,ROW()-8)="",TODAY(),INDEX(Transactions!$G:$G,ROW()-8))</f>
      </c>
      <c r="F9784">
        <f>IF(INDEX(Transactions!$J:$J,ROW()-8)="",0,INDEX(Transactions!$O:$O,ROW()-8))</f>
      </c>
    </row>
    <row r="9785" spans="1:7">
      <c r="B9785">
        <f>IF(INDEX(Transactions!$J:$J,ROW()-8)="",TODAY(),INDEX(Transactions!$G:$G,ROW()-8))</f>
      </c>
      <c r="F9785">
        <f>IF(INDEX(Transactions!$J:$J,ROW()-8)="",0,INDEX(Transactions!$O:$O,ROW()-8))</f>
      </c>
    </row>
    <row r="9786" spans="1:7">
      <c r="B9786">
        <f>IF(INDEX(Transactions!$J:$J,ROW()-8)="",TODAY(),INDEX(Transactions!$G:$G,ROW()-8))</f>
      </c>
      <c r="F9786">
        <f>IF(INDEX(Transactions!$J:$J,ROW()-8)="",0,INDEX(Transactions!$O:$O,ROW()-8))</f>
      </c>
    </row>
    <row r="9787" spans="1:7">
      <c r="B9787">
        <f>IF(INDEX(Transactions!$J:$J,ROW()-8)="",TODAY(),INDEX(Transactions!$G:$G,ROW()-8))</f>
      </c>
      <c r="F9787">
        <f>IF(INDEX(Transactions!$J:$J,ROW()-8)="",0,INDEX(Transactions!$O:$O,ROW()-8))</f>
      </c>
    </row>
    <row r="9788" spans="1:7">
      <c r="B9788">
        <f>IF(INDEX(Transactions!$J:$J,ROW()-8)="",TODAY(),INDEX(Transactions!$G:$G,ROW()-8))</f>
      </c>
      <c r="F9788">
        <f>IF(INDEX(Transactions!$J:$J,ROW()-8)="",0,INDEX(Transactions!$O:$O,ROW()-8))</f>
      </c>
    </row>
    <row r="9789" spans="1:7">
      <c r="B9789">
        <f>IF(INDEX(Transactions!$J:$J,ROW()-8)="",TODAY(),INDEX(Transactions!$G:$G,ROW()-8))</f>
      </c>
      <c r="F9789">
        <f>IF(INDEX(Transactions!$J:$J,ROW()-8)="",0,INDEX(Transactions!$O:$O,ROW()-8))</f>
      </c>
    </row>
    <row r="9790" spans="1:7">
      <c r="B9790">
        <f>IF(INDEX(Transactions!$J:$J,ROW()-8)="",TODAY(),INDEX(Transactions!$G:$G,ROW()-8))</f>
      </c>
      <c r="F9790">
        <f>IF(INDEX(Transactions!$J:$J,ROW()-8)="",0,INDEX(Transactions!$O:$O,ROW()-8))</f>
      </c>
    </row>
    <row r="9791" spans="1:7">
      <c r="B9791">
        <f>IF(INDEX(Transactions!$J:$J,ROW()-8)="",TODAY(),INDEX(Transactions!$G:$G,ROW()-8))</f>
      </c>
      <c r="F9791">
        <f>IF(INDEX(Transactions!$J:$J,ROW()-8)="",0,INDEX(Transactions!$O:$O,ROW()-8))</f>
      </c>
    </row>
    <row r="9792" spans="1:7">
      <c r="B9792">
        <f>IF(INDEX(Transactions!$J:$J,ROW()-8)="",TODAY(),INDEX(Transactions!$G:$G,ROW()-8))</f>
      </c>
      <c r="F9792">
        <f>IF(INDEX(Transactions!$J:$J,ROW()-8)="",0,INDEX(Transactions!$O:$O,ROW()-8))</f>
      </c>
    </row>
    <row r="9793" spans="1:7">
      <c r="B9793">
        <f>IF(INDEX(Transactions!$J:$J,ROW()-8)="",TODAY(),INDEX(Transactions!$G:$G,ROW()-8))</f>
      </c>
      <c r="F9793">
        <f>IF(INDEX(Transactions!$J:$J,ROW()-8)="",0,INDEX(Transactions!$O:$O,ROW()-8))</f>
      </c>
    </row>
    <row r="9794" spans="1:7">
      <c r="B9794">
        <f>IF(INDEX(Transactions!$J:$J,ROW()-8)="",TODAY(),INDEX(Transactions!$G:$G,ROW()-8))</f>
      </c>
      <c r="F9794">
        <f>IF(INDEX(Transactions!$J:$J,ROW()-8)="",0,INDEX(Transactions!$O:$O,ROW()-8))</f>
      </c>
    </row>
    <row r="9795" spans="1:7">
      <c r="B9795">
        <f>IF(INDEX(Transactions!$J:$J,ROW()-8)="",TODAY(),INDEX(Transactions!$G:$G,ROW()-8))</f>
      </c>
      <c r="F9795">
        <f>IF(INDEX(Transactions!$J:$J,ROW()-8)="",0,INDEX(Transactions!$O:$O,ROW()-8))</f>
      </c>
    </row>
    <row r="9796" spans="1:7">
      <c r="B9796">
        <f>IF(INDEX(Transactions!$J:$J,ROW()-8)="",TODAY(),INDEX(Transactions!$G:$G,ROW()-8))</f>
      </c>
      <c r="F9796">
        <f>IF(INDEX(Transactions!$J:$J,ROW()-8)="",0,INDEX(Transactions!$O:$O,ROW()-8))</f>
      </c>
    </row>
    <row r="9797" spans="1:7">
      <c r="B9797">
        <f>IF(INDEX(Transactions!$J:$J,ROW()-8)="",TODAY(),INDEX(Transactions!$G:$G,ROW()-8))</f>
      </c>
      <c r="F9797">
        <f>IF(INDEX(Transactions!$J:$J,ROW()-8)="",0,INDEX(Transactions!$O:$O,ROW()-8))</f>
      </c>
    </row>
    <row r="9798" spans="1:7">
      <c r="B9798">
        <f>IF(INDEX(Transactions!$J:$J,ROW()-8)="",TODAY(),INDEX(Transactions!$G:$G,ROW()-8))</f>
      </c>
      <c r="F9798">
        <f>IF(INDEX(Transactions!$J:$J,ROW()-8)="",0,INDEX(Transactions!$O:$O,ROW()-8))</f>
      </c>
    </row>
    <row r="9799" spans="1:7">
      <c r="B9799">
        <f>IF(INDEX(Transactions!$J:$J,ROW()-8)="",TODAY(),INDEX(Transactions!$G:$G,ROW()-8))</f>
      </c>
      <c r="F9799">
        <f>IF(INDEX(Transactions!$J:$J,ROW()-8)="",0,INDEX(Transactions!$O:$O,ROW()-8))</f>
      </c>
    </row>
    <row r="9800" spans="1:7">
      <c r="B9800">
        <f>IF(INDEX(Transactions!$J:$J,ROW()-8)="",TODAY(),INDEX(Transactions!$G:$G,ROW()-8))</f>
      </c>
      <c r="F9800">
        <f>IF(INDEX(Transactions!$J:$J,ROW()-8)="",0,INDEX(Transactions!$O:$O,ROW()-8))</f>
      </c>
    </row>
    <row r="9801" spans="1:7">
      <c r="B9801">
        <f>IF(INDEX(Transactions!$J:$J,ROW()-8)="",TODAY(),INDEX(Transactions!$G:$G,ROW()-8))</f>
      </c>
      <c r="F9801">
        <f>IF(INDEX(Transactions!$J:$J,ROW()-8)="",0,INDEX(Transactions!$O:$O,ROW()-8))</f>
      </c>
    </row>
    <row r="9802" spans="1:7">
      <c r="B9802">
        <f>IF(INDEX(Transactions!$J:$J,ROW()-8)="",TODAY(),INDEX(Transactions!$G:$G,ROW()-8))</f>
      </c>
      <c r="F9802">
        <f>IF(INDEX(Transactions!$J:$J,ROW()-8)="",0,INDEX(Transactions!$O:$O,ROW()-8))</f>
      </c>
    </row>
    <row r="9803" spans="1:7">
      <c r="B9803">
        <f>IF(INDEX(Transactions!$J:$J,ROW()-8)="",TODAY(),INDEX(Transactions!$G:$G,ROW()-8))</f>
      </c>
      <c r="F9803">
        <f>IF(INDEX(Transactions!$J:$J,ROW()-8)="",0,INDEX(Transactions!$O:$O,ROW()-8))</f>
      </c>
    </row>
    <row r="9804" spans="1:7">
      <c r="B9804">
        <f>IF(INDEX(Transactions!$J:$J,ROW()-8)="",TODAY(),INDEX(Transactions!$G:$G,ROW()-8))</f>
      </c>
      <c r="F9804">
        <f>IF(INDEX(Transactions!$J:$J,ROW()-8)="",0,INDEX(Transactions!$O:$O,ROW()-8))</f>
      </c>
    </row>
    <row r="9805" spans="1:7">
      <c r="B9805">
        <f>IF(INDEX(Transactions!$J:$J,ROW()-8)="",TODAY(),INDEX(Transactions!$G:$G,ROW()-8))</f>
      </c>
      <c r="F9805">
        <f>IF(INDEX(Transactions!$J:$J,ROW()-8)="",0,INDEX(Transactions!$O:$O,ROW()-8))</f>
      </c>
    </row>
    <row r="9806" spans="1:7">
      <c r="B9806">
        <f>IF(INDEX(Transactions!$J:$J,ROW()-8)="",TODAY(),INDEX(Transactions!$G:$G,ROW()-8))</f>
      </c>
      <c r="F9806">
        <f>IF(INDEX(Transactions!$J:$J,ROW()-8)="",0,INDEX(Transactions!$O:$O,ROW()-8))</f>
      </c>
    </row>
    <row r="9807" spans="1:7">
      <c r="B9807">
        <f>IF(INDEX(Transactions!$J:$J,ROW()-8)="",TODAY(),INDEX(Transactions!$G:$G,ROW()-8))</f>
      </c>
      <c r="F9807">
        <f>IF(INDEX(Transactions!$J:$J,ROW()-8)="",0,INDEX(Transactions!$O:$O,ROW()-8))</f>
      </c>
    </row>
    <row r="9808" spans="1:7">
      <c r="B9808">
        <f>IF(INDEX(Transactions!$J:$J,ROW()-8)="",TODAY(),INDEX(Transactions!$G:$G,ROW()-8))</f>
      </c>
      <c r="F9808">
        <f>IF(INDEX(Transactions!$J:$J,ROW()-8)="",0,INDEX(Transactions!$O:$O,ROW()-8))</f>
      </c>
    </row>
    <row r="9809" spans="1:7">
      <c r="B9809">
        <f>IF(INDEX(Transactions!$J:$J,ROW()-8)="",TODAY(),INDEX(Transactions!$G:$G,ROW()-8))</f>
      </c>
      <c r="F9809">
        <f>IF(INDEX(Transactions!$J:$J,ROW()-8)="",0,INDEX(Transactions!$O:$O,ROW()-8))</f>
      </c>
    </row>
    <row r="9810" spans="1:7">
      <c r="B9810">
        <f>IF(INDEX(Transactions!$J:$J,ROW()-8)="",TODAY(),INDEX(Transactions!$G:$G,ROW()-8))</f>
      </c>
      <c r="F9810">
        <f>IF(INDEX(Transactions!$J:$J,ROW()-8)="",0,INDEX(Transactions!$O:$O,ROW()-8))</f>
      </c>
    </row>
    <row r="9811" spans="1:7">
      <c r="B9811">
        <f>IF(INDEX(Transactions!$J:$J,ROW()-8)="",TODAY(),INDEX(Transactions!$G:$G,ROW()-8))</f>
      </c>
      <c r="F9811">
        <f>IF(INDEX(Transactions!$J:$J,ROW()-8)="",0,INDEX(Transactions!$O:$O,ROW()-8))</f>
      </c>
    </row>
    <row r="9812" spans="1:7">
      <c r="B9812">
        <f>IF(INDEX(Transactions!$J:$J,ROW()-8)="",TODAY(),INDEX(Transactions!$G:$G,ROW()-8))</f>
      </c>
      <c r="F9812">
        <f>IF(INDEX(Transactions!$J:$J,ROW()-8)="",0,INDEX(Transactions!$O:$O,ROW()-8))</f>
      </c>
    </row>
    <row r="9813" spans="1:7">
      <c r="B9813">
        <f>IF(INDEX(Transactions!$J:$J,ROW()-8)="",TODAY(),INDEX(Transactions!$G:$G,ROW()-8))</f>
      </c>
      <c r="F9813">
        <f>IF(INDEX(Transactions!$J:$J,ROW()-8)="",0,INDEX(Transactions!$O:$O,ROW()-8))</f>
      </c>
    </row>
    <row r="9814" spans="1:7">
      <c r="B9814">
        <f>IF(INDEX(Transactions!$J:$J,ROW()-8)="",TODAY(),INDEX(Transactions!$G:$G,ROW()-8))</f>
      </c>
      <c r="F9814">
        <f>IF(INDEX(Transactions!$J:$J,ROW()-8)="",0,INDEX(Transactions!$O:$O,ROW()-8))</f>
      </c>
    </row>
    <row r="9815" spans="1:7">
      <c r="B9815">
        <f>IF(INDEX(Transactions!$J:$J,ROW()-8)="",TODAY(),INDEX(Transactions!$G:$G,ROW()-8))</f>
      </c>
      <c r="F9815">
        <f>IF(INDEX(Transactions!$J:$J,ROW()-8)="",0,INDEX(Transactions!$O:$O,ROW()-8))</f>
      </c>
    </row>
    <row r="9816" spans="1:7">
      <c r="B9816">
        <f>IF(INDEX(Transactions!$J:$J,ROW()-8)="",TODAY(),INDEX(Transactions!$G:$G,ROW()-8))</f>
      </c>
      <c r="F9816">
        <f>IF(INDEX(Transactions!$J:$J,ROW()-8)="",0,INDEX(Transactions!$O:$O,ROW()-8))</f>
      </c>
    </row>
    <row r="9817" spans="1:7">
      <c r="B9817">
        <f>IF(INDEX(Transactions!$J:$J,ROW()-8)="",TODAY(),INDEX(Transactions!$G:$G,ROW()-8))</f>
      </c>
      <c r="F9817">
        <f>IF(INDEX(Transactions!$J:$J,ROW()-8)="",0,INDEX(Transactions!$O:$O,ROW()-8))</f>
      </c>
    </row>
    <row r="9818" spans="1:7">
      <c r="B9818">
        <f>IF(INDEX(Transactions!$J:$J,ROW()-8)="",TODAY(),INDEX(Transactions!$G:$G,ROW()-8))</f>
      </c>
      <c r="F9818">
        <f>IF(INDEX(Transactions!$J:$J,ROW()-8)="",0,INDEX(Transactions!$O:$O,ROW()-8))</f>
      </c>
    </row>
    <row r="9819" spans="1:7">
      <c r="B9819">
        <f>IF(INDEX(Transactions!$J:$J,ROW()-8)="",TODAY(),INDEX(Transactions!$G:$G,ROW()-8))</f>
      </c>
      <c r="F9819">
        <f>IF(INDEX(Transactions!$J:$J,ROW()-8)="",0,INDEX(Transactions!$O:$O,ROW()-8))</f>
      </c>
    </row>
    <row r="9820" spans="1:7">
      <c r="B9820">
        <f>IF(INDEX(Transactions!$J:$J,ROW()-8)="",TODAY(),INDEX(Transactions!$G:$G,ROW()-8))</f>
      </c>
      <c r="F9820">
        <f>IF(INDEX(Transactions!$J:$J,ROW()-8)="",0,INDEX(Transactions!$O:$O,ROW()-8))</f>
      </c>
    </row>
    <row r="9821" spans="1:7">
      <c r="B9821">
        <f>IF(INDEX(Transactions!$J:$J,ROW()-8)="",TODAY(),INDEX(Transactions!$G:$G,ROW()-8))</f>
      </c>
      <c r="F9821">
        <f>IF(INDEX(Transactions!$J:$J,ROW()-8)="",0,INDEX(Transactions!$O:$O,ROW()-8))</f>
      </c>
    </row>
    <row r="9822" spans="1:7">
      <c r="B9822">
        <f>IF(INDEX(Transactions!$J:$J,ROW()-8)="",TODAY(),INDEX(Transactions!$G:$G,ROW()-8))</f>
      </c>
      <c r="F9822">
        <f>IF(INDEX(Transactions!$J:$J,ROW()-8)="",0,INDEX(Transactions!$O:$O,ROW()-8))</f>
      </c>
    </row>
    <row r="9823" spans="1:7">
      <c r="B9823">
        <f>IF(INDEX(Transactions!$J:$J,ROW()-8)="",TODAY(),INDEX(Transactions!$G:$G,ROW()-8))</f>
      </c>
      <c r="F9823">
        <f>IF(INDEX(Transactions!$J:$J,ROW()-8)="",0,INDEX(Transactions!$O:$O,ROW()-8))</f>
      </c>
    </row>
    <row r="9824" spans="1:7">
      <c r="B9824">
        <f>IF(INDEX(Transactions!$J:$J,ROW()-8)="",TODAY(),INDEX(Transactions!$G:$G,ROW()-8))</f>
      </c>
      <c r="F9824">
        <f>IF(INDEX(Transactions!$J:$J,ROW()-8)="",0,INDEX(Transactions!$O:$O,ROW()-8))</f>
      </c>
    </row>
    <row r="9825" spans="1:7">
      <c r="B9825">
        <f>IF(INDEX(Transactions!$J:$J,ROW()-8)="",TODAY(),INDEX(Transactions!$G:$G,ROW()-8))</f>
      </c>
      <c r="F9825">
        <f>IF(INDEX(Transactions!$J:$J,ROW()-8)="",0,INDEX(Transactions!$O:$O,ROW()-8))</f>
      </c>
    </row>
    <row r="9826" spans="1:7">
      <c r="B9826">
        <f>IF(INDEX(Transactions!$J:$J,ROW()-8)="",TODAY(),INDEX(Transactions!$G:$G,ROW()-8))</f>
      </c>
      <c r="F9826">
        <f>IF(INDEX(Transactions!$J:$J,ROW()-8)="",0,INDEX(Transactions!$O:$O,ROW()-8))</f>
      </c>
    </row>
    <row r="9827" spans="1:7">
      <c r="B9827">
        <f>IF(INDEX(Transactions!$J:$J,ROW()-8)="",TODAY(),INDEX(Transactions!$G:$G,ROW()-8))</f>
      </c>
      <c r="F9827">
        <f>IF(INDEX(Transactions!$J:$J,ROW()-8)="",0,INDEX(Transactions!$O:$O,ROW()-8))</f>
      </c>
    </row>
    <row r="9828" spans="1:7">
      <c r="B9828">
        <f>IF(INDEX(Transactions!$J:$J,ROW()-8)="",TODAY(),INDEX(Transactions!$G:$G,ROW()-8))</f>
      </c>
      <c r="F9828">
        <f>IF(INDEX(Transactions!$J:$J,ROW()-8)="",0,INDEX(Transactions!$O:$O,ROW()-8))</f>
      </c>
    </row>
    <row r="9829" spans="1:7">
      <c r="B9829">
        <f>IF(INDEX(Transactions!$J:$J,ROW()-8)="",TODAY(),INDEX(Transactions!$G:$G,ROW()-8))</f>
      </c>
      <c r="F9829">
        <f>IF(INDEX(Transactions!$J:$J,ROW()-8)="",0,INDEX(Transactions!$O:$O,ROW()-8))</f>
      </c>
    </row>
    <row r="9830" spans="1:7">
      <c r="B9830">
        <f>IF(INDEX(Transactions!$J:$J,ROW()-8)="",TODAY(),INDEX(Transactions!$G:$G,ROW()-8))</f>
      </c>
      <c r="F9830">
        <f>IF(INDEX(Transactions!$J:$J,ROW()-8)="",0,INDEX(Transactions!$O:$O,ROW()-8))</f>
      </c>
    </row>
    <row r="9831" spans="1:7">
      <c r="B9831">
        <f>IF(INDEX(Transactions!$J:$J,ROW()-8)="",TODAY(),INDEX(Transactions!$G:$G,ROW()-8))</f>
      </c>
      <c r="F9831">
        <f>IF(INDEX(Transactions!$J:$J,ROW()-8)="",0,INDEX(Transactions!$O:$O,ROW()-8))</f>
      </c>
    </row>
    <row r="9832" spans="1:7">
      <c r="B9832">
        <f>IF(INDEX(Transactions!$J:$J,ROW()-8)="",TODAY(),INDEX(Transactions!$G:$G,ROW()-8))</f>
      </c>
      <c r="F9832">
        <f>IF(INDEX(Transactions!$J:$J,ROW()-8)="",0,INDEX(Transactions!$O:$O,ROW()-8))</f>
      </c>
    </row>
    <row r="9833" spans="1:7">
      <c r="B9833">
        <f>IF(INDEX(Transactions!$J:$J,ROW()-8)="",TODAY(),INDEX(Transactions!$G:$G,ROW()-8))</f>
      </c>
      <c r="F9833">
        <f>IF(INDEX(Transactions!$J:$J,ROW()-8)="",0,INDEX(Transactions!$O:$O,ROW()-8))</f>
      </c>
    </row>
    <row r="9834" spans="1:7">
      <c r="B9834">
        <f>IF(INDEX(Transactions!$J:$J,ROW()-8)="",TODAY(),INDEX(Transactions!$G:$G,ROW()-8))</f>
      </c>
      <c r="F9834">
        <f>IF(INDEX(Transactions!$J:$J,ROW()-8)="",0,INDEX(Transactions!$O:$O,ROW()-8))</f>
      </c>
    </row>
    <row r="9835" spans="1:7">
      <c r="B9835">
        <f>IF(INDEX(Transactions!$J:$J,ROW()-8)="",TODAY(),INDEX(Transactions!$G:$G,ROW()-8))</f>
      </c>
      <c r="F9835">
        <f>IF(INDEX(Transactions!$J:$J,ROW()-8)="",0,INDEX(Transactions!$O:$O,ROW()-8))</f>
      </c>
    </row>
    <row r="9836" spans="1:7">
      <c r="B9836">
        <f>IF(INDEX(Transactions!$J:$J,ROW()-8)="",TODAY(),INDEX(Transactions!$G:$G,ROW()-8))</f>
      </c>
      <c r="F9836">
        <f>IF(INDEX(Transactions!$J:$J,ROW()-8)="",0,INDEX(Transactions!$O:$O,ROW()-8))</f>
      </c>
    </row>
    <row r="9837" spans="1:7">
      <c r="B9837">
        <f>IF(INDEX(Transactions!$J:$J,ROW()-8)="",TODAY(),INDEX(Transactions!$G:$G,ROW()-8))</f>
      </c>
      <c r="F9837">
        <f>IF(INDEX(Transactions!$J:$J,ROW()-8)="",0,INDEX(Transactions!$O:$O,ROW()-8))</f>
      </c>
    </row>
    <row r="9838" spans="1:7">
      <c r="B9838">
        <f>IF(INDEX(Transactions!$J:$J,ROW()-8)="",TODAY(),INDEX(Transactions!$G:$G,ROW()-8))</f>
      </c>
      <c r="F9838">
        <f>IF(INDEX(Transactions!$J:$J,ROW()-8)="",0,INDEX(Transactions!$O:$O,ROW()-8))</f>
      </c>
    </row>
    <row r="9839" spans="1:7">
      <c r="B9839">
        <f>IF(INDEX(Transactions!$J:$J,ROW()-8)="",TODAY(),INDEX(Transactions!$G:$G,ROW()-8))</f>
      </c>
      <c r="F9839">
        <f>IF(INDEX(Transactions!$J:$J,ROW()-8)="",0,INDEX(Transactions!$O:$O,ROW()-8))</f>
      </c>
    </row>
    <row r="9840" spans="1:7">
      <c r="B9840">
        <f>IF(INDEX(Transactions!$J:$J,ROW()-8)="",TODAY(),INDEX(Transactions!$G:$G,ROW()-8))</f>
      </c>
      <c r="F9840">
        <f>IF(INDEX(Transactions!$J:$J,ROW()-8)="",0,INDEX(Transactions!$O:$O,ROW()-8))</f>
      </c>
    </row>
    <row r="9841" spans="1:7">
      <c r="B9841">
        <f>IF(INDEX(Transactions!$J:$J,ROW()-8)="",TODAY(),INDEX(Transactions!$G:$G,ROW()-8))</f>
      </c>
      <c r="F9841">
        <f>IF(INDEX(Transactions!$J:$J,ROW()-8)="",0,INDEX(Transactions!$O:$O,ROW()-8))</f>
      </c>
    </row>
    <row r="9842" spans="1:7">
      <c r="B9842">
        <f>IF(INDEX(Transactions!$J:$J,ROW()-8)="",TODAY(),INDEX(Transactions!$G:$G,ROW()-8))</f>
      </c>
      <c r="F9842">
        <f>IF(INDEX(Transactions!$J:$J,ROW()-8)="",0,INDEX(Transactions!$O:$O,ROW()-8))</f>
      </c>
    </row>
    <row r="9843" spans="1:7">
      <c r="B9843">
        <f>IF(INDEX(Transactions!$J:$J,ROW()-8)="",TODAY(),INDEX(Transactions!$G:$G,ROW()-8))</f>
      </c>
      <c r="F9843">
        <f>IF(INDEX(Transactions!$J:$J,ROW()-8)="",0,INDEX(Transactions!$O:$O,ROW()-8))</f>
      </c>
    </row>
    <row r="9844" spans="1:7">
      <c r="B9844">
        <f>IF(INDEX(Transactions!$J:$J,ROW()-8)="",TODAY(),INDEX(Transactions!$G:$G,ROW()-8))</f>
      </c>
      <c r="F9844">
        <f>IF(INDEX(Transactions!$J:$J,ROW()-8)="",0,INDEX(Transactions!$O:$O,ROW()-8))</f>
      </c>
    </row>
    <row r="9845" spans="1:7">
      <c r="B9845">
        <f>IF(INDEX(Transactions!$J:$J,ROW()-8)="",TODAY(),INDEX(Transactions!$G:$G,ROW()-8))</f>
      </c>
      <c r="F9845">
        <f>IF(INDEX(Transactions!$J:$J,ROW()-8)="",0,INDEX(Transactions!$O:$O,ROW()-8))</f>
      </c>
    </row>
    <row r="9846" spans="1:7">
      <c r="B9846">
        <f>IF(INDEX(Transactions!$J:$J,ROW()-8)="",TODAY(),INDEX(Transactions!$G:$G,ROW()-8))</f>
      </c>
      <c r="F9846">
        <f>IF(INDEX(Transactions!$J:$J,ROW()-8)="",0,INDEX(Transactions!$O:$O,ROW()-8))</f>
      </c>
    </row>
    <row r="9847" spans="1:7">
      <c r="B9847">
        <f>IF(INDEX(Transactions!$J:$J,ROW()-8)="",TODAY(),INDEX(Transactions!$G:$G,ROW()-8))</f>
      </c>
      <c r="F9847">
        <f>IF(INDEX(Transactions!$J:$J,ROW()-8)="",0,INDEX(Transactions!$O:$O,ROW()-8))</f>
      </c>
    </row>
    <row r="9848" spans="1:7">
      <c r="B9848">
        <f>IF(INDEX(Transactions!$J:$J,ROW()-8)="",TODAY(),INDEX(Transactions!$G:$G,ROW()-8))</f>
      </c>
      <c r="F9848">
        <f>IF(INDEX(Transactions!$J:$J,ROW()-8)="",0,INDEX(Transactions!$O:$O,ROW()-8))</f>
      </c>
    </row>
    <row r="9849" spans="1:7">
      <c r="B9849">
        <f>IF(INDEX(Transactions!$J:$J,ROW()-8)="",TODAY(),INDEX(Transactions!$G:$G,ROW()-8))</f>
      </c>
      <c r="F9849">
        <f>IF(INDEX(Transactions!$J:$J,ROW()-8)="",0,INDEX(Transactions!$O:$O,ROW()-8))</f>
      </c>
    </row>
    <row r="9850" spans="1:7">
      <c r="B9850">
        <f>IF(INDEX(Transactions!$J:$J,ROW()-8)="",TODAY(),INDEX(Transactions!$G:$G,ROW()-8))</f>
      </c>
      <c r="F9850">
        <f>IF(INDEX(Transactions!$J:$J,ROW()-8)="",0,INDEX(Transactions!$O:$O,ROW()-8))</f>
      </c>
    </row>
    <row r="9851" spans="1:7">
      <c r="B9851">
        <f>IF(INDEX(Transactions!$J:$J,ROW()-8)="",TODAY(),INDEX(Transactions!$G:$G,ROW()-8))</f>
      </c>
      <c r="F9851">
        <f>IF(INDEX(Transactions!$J:$J,ROW()-8)="",0,INDEX(Transactions!$O:$O,ROW()-8))</f>
      </c>
    </row>
    <row r="9852" spans="1:7">
      <c r="B9852">
        <f>IF(INDEX(Transactions!$J:$J,ROW()-8)="",TODAY(),INDEX(Transactions!$G:$G,ROW()-8))</f>
      </c>
      <c r="F9852">
        <f>IF(INDEX(Transactions!$J:$J,ROW()-8)="",0,INDEX(Transactions!$O:$O,ROW()-8))</f>
      </c>
    </row>
    <row r="9853" spans="1:7">
      <c r="B9853">
        <f>IF(INDEX(Transactions!$J:$J,ROW()-8)="",TODAY(),INDEX(Transactions!$G:$G,ROW()-8))</f>
      </c>
      <c r="F9853">
        <f>IF(INDEX(Transactions!$J:$J,ROW()-8)="",0,INDEX(Transactions!$O:$O,ROW()-8))</f>
      </c>
    </row>
    <row r="9854" spans="1:7">
      <c r="B9854">
        <f>IF(INDEX(Transactions!$J:$J,ROW()-8)="",TODAY(),INDEX(Transactions!$G:$G,ROW()-8))</f>
      </c>
      <c r="F9854">
        <f>IF(INDEX(Transactions!$J:$J,ROW()-8)="",0,INDEX(Transactions!$O:$O,ROW()-8))</f>
      </c>
    </row>
    <row r="9855" spans="1:7">
      <c r="B9855">
        <f>IF(INDEX(Transactions!$J:$J,ROW()-8)="",TODAY(),INDEX(Transactions!$G:$G,ROW()-8))</f>
      </c>
      <c r="F9855">
        <f>IF(INDEX(Transactions!$J:$J,ROW()-8)="",0,INDEX(Transactions!$O:$O,ROW()-8))</f>
      </c>
    </row>
    <row r="9856" spans="1:7">
      <c r="B9856">
        <f>IF(INDEX(Transactions!$J:$J,ROW()-8)="",TODAY(),INDEX(Transactions!$G:$G,ROW()-8))</f>
      </c>
      <c r="F9856">
        <f>IF(INDEX(Transactions!$J:$J,ROW()-8)="",0,INDEX(Transactions!$O:$O,ROW()-8))</f>
      </c>
    </row>
    <row r="9857" spans="1:7">
      <c r="B9857">
        <f>IF(INDEX(Transactions!$J:$J,ROW()-8)="",TODAY(),INDEX(Transactions!$G:$G,ROW()-8))</f>
      </c>
      <c r="F9857">
        <f>IF(INDEX(Transactions!$J:$J,ROW()-8)="",0,INDEX(Transactions!$O:$O,ROW()-8))</f>
      </c>
    </row>
    <row r="9858" spans="1:7">
      <c r="B9858">
        <f>IF(INDEX(Transactions!$J:$J,ROW()-8)="",TODAY(),INDEX(Transactions!$G:$G,ROW()-8))</f>
      </c>
      <c r="F9858">
        <f>IF(INDEX(Transactions!$J:$J,ROW()-8)="",0,INDEX(Transactions!$O:$O,ROW()-8))</f>
      </c>
    </row>
    <row r="9859" spans="1:7">
      <c r="B9859">
        <f>IF(INDEX(Transactions!$J:$J,ROW()-8)="",TODAY(),INDEX(Transactions!$G:$G,ROW()-8))</f>
      </c>
      <c r="F9859">
        <f>IF(INDEX(Transactions!$J:$J,ROW()-8)="",0,INDEX(Transactions!$O:$O,ROW()-8))</f>
      </c>
    </row>
    <row r="9860" spans="1:7">
      <c r="B9860">
        <f>IF(INDEX(Transactions!$J:$J,ROW()-8)="",TODAY(),INDEX(Transactions!$G:$G,ROW()-8))</f>
      </c>
      <c r="F9860">
        <f>IF(INDEX(Transactions!$J:$J,ROW()-8)="",0,INDEX(Transactions!$O:$O,ROW()-8))</f>
      </c>
    </row>
    <row r="9861" spans="1:7">
      <c r="B9861">
        <f>IF(INDEX(Transactions!$J:$J,ROW()-8)="",TODAY(),INDEX(Transactions!$G:$G,ROW()-8))</f>
      </c>
      <c r="F9861">
        <f>IF(INDEX(Transactions!$J:$J,ROW()-8)="",0,INDEX(Transactions!$O:$O,ROW()-8))</f>
      </c>
    </row>
    <row r="9862" spans="1:7">
      <c r="B9862">
        <f>IF(INDEX(Transactions!$J:$J,ROW()-8)="",TODAY(),INDEX(Transactions!$G:$G,ROW()-8))</f>
      </c>
      <c r="F9862">
        <f>IF(INDEX(Transactions!$J:$J,ROW()-8)="",0,INDEX(Transactions!$O:$O,ROW()-8))</f>
      </c>
    </row>
    <row r="9863" spans="1:7">
      <c r="B9863">
        <f>IF(INDEX(Transactions!$J:$J,ROW()-8)="",TODAY(),INDEX(Transactions!$G:$G,ROW()-8))</f>
      </c>
      <c r="F9863">
        <f>IF(INDEX(Transactions!$J:$J,ROW()-8)="",0,INDEX(Transactions!$O:$O,ROW()-8))</f>
      </c>
    </row>
    <row r="9864" spans="1:7">
      <c r="B9864">
        <f>IF(INDEX(Transactions!$J:$J,ROW()-8)="",TODAY(),INDEX(Transactions!$G:$G,ROW()-8))</f>
      </c>
      <c r="F9864">
        <f>IF(INDEX(Transactions!$J:$J,ROW()-8)="",0,INDEX(Transactions!$O:$O,ROW()-8))</f>
      </c>
    </row>
    <row r="9865" spans="1:7">
      <c r="B9865">
        <f>IF(INDEX(Transactions!$J:$J,ROW()-8)="",TODAY(),INDEX(Transactions!$G:$G,ROW()-8))</f>
      </c>
      <c r="F9865">
        <f>IF(INDEX(Transactions!$J:$J,ROW()-8)="",0,INDEX(Transactions!$O:$O,ROW()-8))</f>
      </c>
    </row>
    <row r="9866" spans="1:7">
      <c r="B9866">
        <f>IF(INDEX(Transactions!$J:$J,ROW()-8)="",TODAY(),INDEX(Transactions!$G:$G,ROW()-8))</f>
      </c>
      <c r="F9866">
        <f>IF(INDEX(Transactions!$J:$J,ROW()-8)="",0,INDEX(Transactions!$O:$O,ROW()-8))</f>
      </c>
    </row>
    <row r="9867" spans="1:7">
      <c r="B9867">
        <f>IF(INDEX(Transactions!$J:$J,ROW()-8)="",TODAY(),INDEX(Transactions!$G:$G,ROW()-8))</f>
      </c>
      <c r="F9867">
        <f>IF(INDEX(Transactions!$J:$J,ROW()-8)="",0,INDEX(Transactions!$O:$O,ROW()-8))</f>
      </c>
    </row>
    <row r="9868" spans="1:7">
      <c r="B9868">
        <f>IF(INDEX(Transactions!$J:$J,ROW()-8)="",TODAY(),INDEX(Transactions!$G:$G,ROW()-8))</f>
      </c>
      <c r="F9868">
        <f>IF(INDEX(Transactions!$J:$J,ROW()-8)="",0,INDEX(Transactions!$O:$O,ROW()-8))</f>
      </c>
    </row>
    <row r="9869" spans="1:7">
      <c r="B9869">
        <f>IF(INDEX(Transactions!$J:$J,ROW()-8)="",TODAY(),INDEX(Transactions!$G:$G,ROW()-8))</f>
      </c>
      <c r="F9869">
        <f>IF(INDEX(Transactions!$J:$J,ROW()-8)="",0,INDEX(Transactions!$O:$O,ROW()-8))</f>
      </c>
    </row>
    <row r="9870" spans="1:7">
      <c r="B9870">
        <f>IF(INDEX(Transactions!$J:$J,ROW()-8)="",TODAY(),INDEX(Transactions!$G:$G,ROW()-8))</f>
      </c>
      <c r="F9870">
        <f>IF(INDEX(Transactions!$J:$J,ROW()-8)="",0,INDEX(Transactions!$O:$O,ROW()-8))</f>
      </c>
    </row>
    <row r="9871" spans="1:7">
      <c r="B9871">
        <f>IF(INDEX(Transactions!$J:$J,ROW()-8)="",TODAY(),INDEX(Transactions!$G:$G,ROW()-8))</f>
      </c>
      <c r="F9871">
        <f>IF(INDEX(Transactions!$J:$J,ROW()-8)="",0,INDEX(Transactions!$O:$O,ROW()-8))</f>
      </c>
    </row>
    <row r="9872" spans="1:7">
      <c r="B9872">
        <f>IF(INDEX(Transactions!$J:$J,ROW()-8)="",TODAY(),INDEX(Transactions!$G:$G,ROW()-8))</f>
      </c>
      <c r="F9872">
        <f>IF(INDEX(Transactions!$J:$J,ROW()-8)="",0,INDEX(Transactions!$O:$O,ROW()-8))</f>
      </c>
    </row>
    <row r="9873" spans="1:7">
      <c r="B9873">
        <f>IF(INDEX(Transactions!$J:$J,ROW()-8)="",TODAY(),INDEX(Transactions!$G:$G,ROW()-8))</f>
      </c>
      <c r="F9873">
        <f>IF(INDEX(Transactions!$J:$J,ROW()-8)="",0,INDEX(Transactions!$O:$O,ROW()-8))</f>
      </c>
    </row>
    <row r="9874" spans="1:7">
      <c r="B9874">
        <f>IF(INDEX(Transactions!$J:$J,ROW()-8)="",TODAY(),INDEX(Transactions!$G:$G,ROW()-8))</f>
      </c>
      <c r="F9874">
        <f>IF(INDEX(Transactions!$J:$J,ROW()-8)="",0,INDEX(Transactions!$O:$O,ROW()-8))</f>
      </c>
    </row>
    <row r="9875" spans="1:7">
      <c r="B9875">
        <f>IF(INDEX(Transactions!$J:$J,ROW()-8)="",TODAY(),INDEX(Transactions!$G:$G,ROW()-8))</f>
      </c>
      <c r="F9875">
        <f>IF(INDEX(Transactions!$J:$J,ROW()-8)="",0,INDEX(Transactions!$O:$O,ROW()-8))</f>
      </c>
    </row>
    <row r="9876" spans="1:7">
      <c r="B9876">
        <f>IF(INDEX(Transactions!$J:$J,ROW()-8)="",TODAY(),INDEX(Transactions!$G:$G,ROW()-8))</f>
      </c>
      <c r="F9876">
        <f>IF(INDEX(Transactions!$J:$J,ROW()-8)="",0,INDEX(Transactions!$O:$O,ROW()-8))</f>
      </c>
    </row>
    <row r="9877" spans="1:7">
      <c r="B9877">
        <f>IF(INDEX(Transactions!$J:$J,ROW()-8)="",TODAY(),INDEX(Transactions!$G:$G,ROW()-8))</f>
      </c>
      <c r="F9877">
        <f>IF(INDEX(Transactions!$J:$J,ROW()-8)="",0,INDEX(Transactions!$O:$O,ROW()-8))</f>
      </c>
    </row>
    <row r="9878" spans="1:7">
      <c r="B9878">
        <f>IF(INDEX(Transactions!$J:$J,ROW()-8)="",TODAY(),INDEX(Transactions!$G:$G,ROW()-8))</f>
      </c>
      <c r="F9878">
        <f>IF(INDEX(Transactions!$J:$J,ROW()-8)="",0,INDEX(Transactions!$O:$O,ROW()-8))</f>
      </c>
    </row>
    <row r="9879" spans="1:7">
      <c r="B9879">
        <f>IF(INDEX(Transactions!$J:$J,ROW()-8)="",TODAY(),INDEX(Transactions!$G:$G,ROW()-8))</f>
      </c>
      <c r="F9879">
        <f>IF(INDEX(Transactions!$J:$J,ROW()-8)="",0,INDEX(Transactions!$O:$O,ROW()-8))</f>
      </c>
    </row>
    <row r="9880" spans="1:7">
      <c r="B9880">
        <f>IF(INDEX(Transactions!$J:$J,ROW()-8)="",TODAY(),INDEX(Transactions!$G:$G,ROW()-8))</f>
      </c>
      <c r="F9880">
        <f>IF(INDEX(Transactions!$J:$J,ROW()-8)="",0,INDEX(Transactions!$O:$O,ROW()-8))</f>
      </c>
    </row>
    <row r="9881" spans="1:7">
      <c r="B9881">
        <f>IF(INDEX(Transactions!$J:$J,ROW()-8)="",TODAY(),INDEX(Transactions!$G:$G,ROW()-8))</f>
      </c>
      <c r="F9881">
        <f>IF(INDEX(Transactions!$J:$J,ROW()-8)="",0,INDEX(Transactions!$O:$O,ROW()-8))</f>
      </c>
    </row>
    <row r="9882" spans="1:7">
      <c r="B9882">
        <f>IF(INDEX(Transactions!$J:$J,ROW()-8)="",TODAY(),INDEX(Transactions!$G:$G,ROW()-8))</f>
      </c>
      <c r="F9882">
        <f>IF(INDEX(Transactions!$J:$J,ROW()-8)="",0,INDEX(Transactions!$O:$O,ROW()-8))</f>
      </c>
    </row>
    <row r="9883" spans="1:7">
      <c r="B9883">
        <f>IF(INDEX(Transactions!$J:$J,ROW()-8)="",TODAY(),INDEX(Transactions!$G:$G,ROW()-8))</f>
      </c>
      <c r="F9883">
        <f>IF(INDEX(Transactions!$J:$J,ROW()-8)="",0,INDEX(Transactions!$O:$O,ROW()-8))</f>
      </c>
    </row>
    <row r="9884" spans="1:7">
      <c r="B9884">
        <f>IF(INDEX(Transactions!$J:$J,ROW()-8)="",TODAY(),INDEX(Transactions!$G:$G,ROW()-8))</f>
      </c>
      <c r="F9884">
        <f>IF(INDEX(Transactions!$J:$J,ROW()-8)="",0,INDEX(Transactions!$O:$O,ROW()-8))</f>
      </c>
    </row>
    <row r="9885" spans="1:7">
      <c r="B9885">
        <f>IF(INDEX(Transactions!$J:$J,ROW()-8)="",TODAY(),INDEX(Transactions!$G:$G,ROW()-8))</f>
      </c>
      <c r="F9885">
        <f>IF(INDEX(Transactions!$J:$J,ROW()-8)="",0,INDEX(Transactions!$O:$O,ROW()-8))</f>
      </c>
    </row>
    <row r="9886" spans="1:7">
      <c r="B9886">
        <f>IF(INDEX(Transactions!$J:$J,ROW()-8)="",TODAY(),INDEX(Transactions!$G:$G,ROW()-8))</f>
      </c>
      <c r="F9886">
        <f>IF(INDEX(Transactions!$J:$J,ROW()-8)="",0,INDEX(Transactions!$O:$O,ROW()-8))</f>
      </c>
    </row>
    <row r="9887" spans="1:7">
      <c r="B9887">
        <f>IF(INDEX(Transactions!$J:$J,ROW()-8)="",TODAY(),INDEX(Transactions!$G:$G,ROW()-8))</f>
      </c>
      <c r="F9887">
        <f>IF(INDEX(Transactions!$J:$J,ROW()-8)="",0,INDEX(Transactions!$O:$O,ROW()-8))</f>
      </c>
    </row>
    <row r="9888" spans="1:7">
      <c r="B9888">
        <f>IF(INDEX(Transactions!$J:$J,ROW()-8)="",TODAY(),INDEX(Transactions!$G:$G,ROW()-8))</f>
      </c>
      <c r="F9888">
        <f>IF(INDEX(Transactions!$J:$J,ROW()-8)="",0,INDEX(Transactions!$O:$O,ROW()-8))</f>
      </c>
    </row>
    <row r="9889" spans="1:7">
      <c r="B9889">
        <f>IF(INDEX(Transactions!$J:$J,ROW()-8)="",TODAY(),INDEX(Transactions!$G:$G,ROW()-8))</f>
      </c>
      <c r="F9889">
        <f>IF(INDEX(Transactions!$J:$J,ROW()-8)="",0,INDEX(Transactions!$O:$O,ROW()-8))</f>
      </c>
    </row>
    <row r="9890" spans="1:7">
      <c r="B9890">
        <f>IF(INDEX(Transactions!$J:$J,ROW()-8)="",TODAY(),INDEX(Transactions!$G:$G,ROW()-8))</f>
      </c>
      <c r="F9890">
        <f>IF(INDEX(Transactions!$J:$J,ROW()-8)="",0,INDEX(Transactions!$O:$O,ROW()-8))</f>
      </c>
    </row>
    <row r="9891" spans="1:7">
      <c r="B9891">
        <f>IF(INDEX(Transactions!$J:$J,ROW()-8)="",TODAY(),INDEX(Transactions!$G:$G,ROW()-8))</f>
      </c>
      <c r="F9891">
        <f>IF(INDEX(Transactions!$J:$J,ROW()-8)="",0,INDEX(Transactions!$O:$O,ROW()-8))</f>
      </c>
    </row>
    <row r="9892" spans="1:7">
      <c r="B9892">
        <f>IF(INDEX(Transactions!$J:$J,ROW()-8)="",TODAY(),INDEX(Transactions!$G:$G,ROW()-8))</f>
      </c>
      <c r="F9892">
        <f>IF(INDEX(Transactions!$J:$J,ROW()-8)="",0,INDEX(Transactions!$O:$O,ROW()-8))</f>
      </c>
    </row>
    <row r="9893" spans="1:7">
      <c r="B9893">
        <f>IF(INDEX(Transactions!$J:$J,ROW()-8)="",TODAY(),INDEX(Transactions!$G:$G,ROW()-8))</f>
      </c>
      <c r="F9893">
        <f>IF(INDEX(Transactions!$J:$J,ROW()-8)="",0,INDEX(Transactions!$O:$O,ROW()-8))</f>
      </c>
    </row>
    <row r="9894" spans="1:7">
      <c r="B9894">
        <f>IF(INDEX(Transactions!$J:$J,ROW()-8)="",TODAY(),INDEX(Transactions!$G:$G,ROW()-8))</f>
      </c>
      <c r="F9894">
        <f>IF(INDEX(Transactions!$J:$J,ROW()-8)="",0,INDEX(Transactions!$O:$O,ROW()-8))</f>
      </c>
    </row>
    <row r="9895" spans="1:7">
      <c r="B9895">
        <f>IF(INDEX(Transactions!$J:$J,ROW()-8)="",TODAY(),INDEX(Transactions!$G:$G,ROW()-8))</f>
      </c>
      <c r="F9895">
        <f>IF(INDEX(Transactions!$J:$J,ROW()-8)="",0,INDEX(Transactions!$O:$O,ROW()-8))</f>
      </c>
    </row>
    <row r="9896" spans="1:7">
      <c r="B9896">
        <f>IF(INDEX(Transactions!$J:$J,ROW()-8)="",TODAY(),INDEX(Transactions!$G:$G,ROW()-8))</f>
      </c>
      <c r="F9896">
        <f>IF(INDEX(Transactions!$J:$J,ROW()-8)="",0,INDEX(Transactions!$O:$O,ROW()-8))</f>
      </c>
    </row>
    <row r="9897" spans="1:7">
      <c r="B9897">
        <f>IF(INDEX(Transactions!$J:$J,ROW()-8)="",TODAY(),INDEX(Transactions!$G:$G,ROW()-8))</f>
      </c>
      <c r="F9897">
        <f>IF(INDEX(Transactions!$J:$J,ROW()-8)="",0,INDEX(Transactions!$O:$O,ROW()-8))</f>
      </c>
    </row>
    <row r="9898" spans="1:7">
      <c r="B9898">
        <f>IF(INDEX(Transactions!$J:$J,ROW()-8)="",TODAY(),INDEX(Transactions!$G:$G,ROW()-8))</f>
      </c>
      <c r="F9898">
        <f>IF(INDEX(Transactions!$J:$J,ROW()-8)="",0,INDEX(Transactions!$O:$O,ROW()-8))</f>
      </c>
    </row>
    <row r="9899" spans="1:7">
      <c r="B9899">
        <f>IF(INDEX(Transactions!$J:$J,ROW()-8)="",TODAY(),INDEX(Transactions!$G:$G,ROW()-8))</f>
      </c>
      <c r="F9899">
        <f>IF(INDEX(Transactions!$J:$J,ROW()-8)="",0,INDEX(Transactions!$O:$O,ROW()-8))</f>
      </c>
    </row>
    <row r="9900" spans="1:7">
      <c r="B9900">
        <f>IF(INDEX(Transactions!$J:$J,ROW()-8)="",TODAY(),INDEX(Transactions!$G:$G,ROW()-8))</f>
      </c>
      <c r="F9900">
        <f>IF(INDEX(Transactions!$J:$J,ROW()-8)="",0,INDEX(Transactions!$O:$O,ROW()-8))</f>
      </c>
    </row>
    <row r="9901" spans="1:7">
      <c r="B9901">
        <f>IF(INDEX(Transactions!$J:$J,ROW()-8)="",TODAY(),INDEX(Transactions!$G:$G,ROW()-8))</f>
      </c>
      <c r="F9901">
        <f>IF(INDEX(Transactions!$J:$J,ROW()-8)="",0,INDEX(Transactions!$O:$O,ROW()-8))</f>
      </c>
    </row>
    <row r="9902" spans="1:7">
      <c r="B9902">
        <f>IF(INDEX(Transactions!$J:$J,ROW()-8)="",TODAY(),INDEX(Transactions!$G:$G,ROW()-8))</f>
      </c>
      <c r="F9902">
        <f>IF(INDEX(Transactions!$J:$J,ROW()-8)="",0,INDEX(Transactions!$O:$O,ROW()-8))</f>
      </c>
    </row>
    <row r="9903" spans="1:7">
      <c r="B9903">
        <f>IF(INDEX(Transactions!$J:$J,ROW()-8)="",TODAY(),INDEX(Transactions!$G:$G,ROW()-8))</f>
      </c>
      <c r="F9903">
        <f>IF(INDEX(Transactions!$J:$J,ROW()-8)="",0,INDEX(Transactions!$O:$O,ROW()-8))</f>
      </c>
    </row>
    <row r="9904" spans="1:7">
      <c r="B9904">
        <f>IF(INDEX(Transactions!$J:$J,ROW()-8)="",TODAY(),INDEX(Transactions!$G:$G,ROW()-8))</f>
      </c>
      <c r="F9904">
        <f>IF(INDEX(Transactions!$J:$J,ROW()-8)="",0,INDEX(Transactions!$O:$O,ROW()-8))</f>
      </c>
    </row>
    <row r="9905" spans="1:7">
      <c r="B9905">
        <f>IF(INDEX(Transactions!$J:$J,ROW()-8)="",TODAY(),INDEX(Transactions!$G:$G,ROW()-8))</f>
      </c>
      <c r="F9905">
        <f>IF(INDEX(Transactions!$J:$J,ROW()-8)="",0,INDEX(Transactions!$O:$O,ROW()-8))</f>
      </c>
    </row>
    <row r="9906" spans="1:7">
      <c r="B9906">
        <f>IF(INDEX(Transactions!$J:$J,ROW()-8)="",TODAY(),INDEX(Transactions!$G:$G,ROW()-8))</f>
      </c>
      <c r="F9906">
        <f>IF(INDEX(Transactions!$J:$J,ROW()-8)="",0,INDEX(Transactions!$O:$O,ROW()-8))</f>
      </c>
    </row>
    <row r="9907" spans="1:7">
      <c r="B9907">
        <f>IF(INDEX(Transactions!$J:$J,ROW()-8)="",TODAY(),INDEX(Transactions!$G:$G,ROW()-8))</f>
      </c>
      <c r="F9907">
        <f>IF(INDEX(Transactions!$J:$J,ROW()-8)="",0,INDEX(Transactions!$O:$O,ROW()-8))</f>
      </c>
    </row>
    <row r="9908" spans="1:7">
      <c r="B9908">
        <f>IF(INDEX(Transactions!$J:$J,ROW()-8)="",TODAY(),INDEX(Transactions!$G:$G,ROW()-8))</f>
      </c>
      <c r="F9908">
        <f>IF(INDEX(Transactions!$J:$J,ROW()-8)="",0,INDEX(Transactions!$O:$O,ROW()-8))</f>
      </c>
    </row>
    <row r="9909" spans="1:7">
      <c r="B9909">
        <f>IF(INDEX(Transactions!$J:$J,ROW()-8)="",TODAY(),INDEX(Transactions!$G:$G,ROW()-8))</f>
      </c>
      <c r="F9909">
        <f>IF(INDEX(Transactions!$J:$J,ROW()-8)="",0,INDEX(Transactions!$O:$O,ROW()-8))</f>
      </c>
    </row>
    <row r="9910" spans="1:7">
      <c r="B9910">
        <f>IF(INDEX(Transactions!$J:$J,ROW()-8)="",TODAY(),INDEX(Transactions!$G:$G,ROW()-8))</f>
      </c>
      <c r="F9910">
        <f>IF(INDEX(Transactions!$J:$J,ROW()-8)="",0,INDEX(Transactions!$O:$O,ROW()-8))</f>
      </c>
    </row>
    <row r="9911" spans="1:7">
      <c r="B9911">
        <f>IF(INDEX(Transactions!$J:$J,ROW()-8)="",TODAY(),INDEX(Transactions!$G:$G,ROW()-8))</f>
      </c>
      <c r="F9911">
        <f>IF(INDEX(Transactions!$J:$J,ROW()-8)="",0,INDEX(Transactions!$O:$O,ROW()-8))</f>
      </c>
    </row>
    <row r="9912" spans="1:7">
      <c r="B9912">
        <f>IF(INDEX(Transactions!$J:$J,ROW()-8)="",TODAY(),INDEX(Transactions!$G:$G,ROW()-8))</f>
      </c>
      <c r="F9912">
        <f>IF(INDEX(Transactions!$J:$J,ROW()-8)="",0,INDEX(Transactions!$O:$O,ROW()-8))</f>
      </c>
    </row>
    <row r="9913" spans="1:7">
      <c r="B9913">
        <f>IF(INDEX(Transactions!$J:$J,ROW()-8)="",TODAY(),INDEX(Transactions!$G:$G,ROW()-8))</f>
      </c>
      <c r="F9913">
        <f>IF(INDEX(Transactions!$J:$J,ROW()-8)="",0,INDEX(Transactions!$O:$O,ROW()-8))</f>
      </c>
    </row>
    <row r="9914" spans="1:7">
      <c r="B9914">
        <f>IF(INDEX(Transactions!$J:$J,ROW()-8)="",TODAY(),INDEX(Transactions!$G:$G,ROW()-8))</f>
      </c>
      <c r="F9914">
        <f>IF(INDEX(Transactions!$J:$J,ROW()-8)="",0,INDEX(Transactions!$O:$O,ROW()-8))</f>
      </c>
    </row>
    <row r="9915" spans="1:7">
      <c r="B9915">
        <f>IF(INDEX(Transactions!$J:$J,ROW()-8)="",TODAY(),INDEX(Transactions!$G:$G,ROW()-8))</f>
      </c>
      <c r="F9915">
        <f>IF(INDEX(Transactions!$J:$J,ROW()-8)="",0,INDEX(Transactions!$O:$O,ROW()-8))</f>
      </c>
    </row>
    <row r="9916" spans="1:7">
      <c r="B9916">
        <f>IF(INDEX(Transactions!$J:$J,ROW()-8)="",TODAY(),INDEX(Transactions!$G:$G,ROW()-8))</f>
      </c>
      <c r="F9916">
        <f>IF(INDEX(Transactions!$J:$J,ROW()-8)="",0,INDEX(Transactions!$O:$O,ROW()-8))</f>
      </c>
    </row>
    <row r="9917" spans="1:7">
      <c r="B9917">
        <f>IF(INDEX(Transactions!$J:$J,ROW()-8)="",TODAY(),INDEX(Transactions!$G:$G,ROW()-8))</f>
      </c>
      <c r="F9917">
        <f>IF(INDEX(Transactions!$J:$J,ROW()-8)="",0,INDEX(Transactions!$O:$O,ROW()-8))</f>
      </c>
    </row>
    <row r="9918" spans="1:7">
      <c r="B9918">
        <f>IF(INDEX(Transactions!$J:$J,ROW()-8)="",TODAY(),INDEX(Transactions!$G:$G,ROW()-8))</f>
      </c>
      <c r="F9918">
        <f>IF(INDEX(Transactions!$J:$J,ROW()-8)="",0,INDEX(Transactions!$O:$O,ROW()-8))</f>
      </c>
    </row>
    <row r="9919" spans="1:7">
      <c r="B9919">
        <f>IF(INDEX(Transactions!$J:$J,ROW()-8)="",TODAY(),INDEX(Transactions!$G:$G,ROW()-8))</f>
      </c>
      <c r="F9919">
        <f>IF(INDEX(Transactions!$J:$J,ROW()-8)="",0,INDEX(Transactions!$O:$O,ROW()-8))</f>
      </c>
    </row>
    <row r="9920" spans="1:7">
      <c r="B9920">
        <f>IF(INDEX(Transactions!$J:$J,ROW()-8)="",TODAY(),INDEX(Transactions!$G:$G,ROW()-8))</f>
      </c>
      <c r="F9920">
        <f>IF(INDEX(Transactions!$J:$J,ROW()-8)="",0,INDEX(Transactions!$O:$O,ROW()-8))</f>
      </c>
    </row>
    <row r="9921" spans="1:7">
      <c r="B9921">
        <f>IF(INDEX(Transactions!$J:$J,ROW()-8)="",TODAY(),INDEX(Transactions!$G:$G,ROW()-8))</f>
      </c>
      <c r="F9921">
        <f>IF(INDEX(Transactions!$J:$J,ROW()-8)="",0,INDEX(Transactions!$O:$O,ROW()-8))</f>
      </c>
    </row>
    <row r="9922" spans="1:7">
      <c r="B9922">
        <f>IF(INDEX(Transactions!$J:$J,ROW()-8)="",TODAY(),INDEX(Transactions!$G:$G,ROW()-8))</f>
      </c>
      <c r="F9922">
        <f>IF(INDEX(Transactions!$J:$J,ROW()-8)="",0,INDEX(Transactions!$O:$O,ROW()-8))</f>
      </c>
    </row>
    <row r="9923" spans="1:7">
      <c r="B9923">
        <f>IF(INDEX(Transactions!$J:$J,ROW()-8)="",TODAY(),INDEX(Transactions!$G:$G,ROW()-8))</f>
      </c>
      <c r="F9923">
        <f>IF(INDEX(Transactions!$J:$J,ROW()-8)="",0,INDEX(Transactions!$O:$O,ROW()-8))</f>
      </c>
    </row>
    <row r="9924" spans="1:7">
      <c r="B9924">
        <f>IF(INDEX(Transactions!$J:$J,ROW()-8)="",TODAY(),INDEX(Transactions!$G:$G,ROW()-8))</f>
      </c>
      <c r="F9924">
        <f>IF(INDEX(Transactions!$J:$J,ROW()-8)="",0,INDEX(Transactions!$O:$O,ROW()-8))</f>
      </c>
    </row>
    <row r="9925" spans="1:7">
      <c r="B9925">
        <f>IF(INDEX(Transactions!$J:$J,ROW()-8)="",TODAY(),INDEX(Transactions!$G:$G,ROW()-8))</f>
      </c>
      <c r="F9925">
        <f>IF(INDEX(Transactions!$J:$J,ROW()-8)="",0,INDEX(Transactions!$O:$O,ROW()-8))</f>
      </c>
    </row>
    <row r="9926" spans="1:7">
      <c r="B9926">
        <f>IF(INDEX(Transactions!$J:$J,ROW()-8)="",TODAY(),INDEX(Transactions!$G:$G,ROW()-8))</f>
      </c>
      <c r="F9926">
        <f>IF(INDEX(Transactions!$J:$J,ROW()-8)="",0,INDEX(Transactions!$O:$O,ROW()-8))</f>
      </c>
    </row>
    <row r="9927" spans="1:7">
      <c r="B9927">
        <f>IF(INDEX(Transactions!$J:$J,ROW()-8)="",TODAY(),INDEX(Transactions!$G:$G,ROW()-8))</f>
      </c>
      <c r="F9927">
        <f>IF(INDEX(Transactions!$J:$J,ROW()-8)="",0,INDEX(Transactions!$O:$O,ROW()-8))</f>
      </c>
    </row>
    <row r="9928" spans="1:7">
      <c r="B9928">
        <f>IF(INDEX(Transactions!$J:$J,ROW()-8)="",TODAY(),INDEX(Transactions!$G:$G,ROW()-8))</f>
      </c>
      <c r="F9928">
        <f>IF(INDEX(Transactions!$J:$J,ROW()-8)="",0,INDEX(Transactions!$O:$O,ROW()-8))</f>
      </c>
    </row>
    <row r="9929" spans="1:7">
      <c r="B9929">
        <f>IF(INDEX(Transactions!$J:$J,ROW()-8)="",TODAY(),INDEX(Transactions!$G:$G,ROW()-8))</f>
      </c>
      <c r="F9929">
        <f>IF(INDEX(Transactions!$J:$J,ROW()-8)="",0,INDEX(Transactions!$O:$O,ROW()-8))</f>
      </c>
    </row>
    <row r="9930" spans="1:7">
      <c r="B9930">
        <f>IF(INDEX(Transactions!$J:$J,ROW()-8)="",TODAY(),INDEX(Transactions!$G:$G,ROW()-8))</f>
      </c>
      <c r="F9930">
        <f>IF(INDEX(Transactions!$J:$J,ROW()-8)="",0,INDEX(Transactions!$O:$O,ROW()-8))</f>
      </c>
    </row>
    <row r="9931" spans="1:7">
      <c r="B9931">
        <f>IF(INDEX(Transactions!$J:$J,ROW()-8)="",TODAY(),INDEX(Transactions!$G:$G,ROW()-8))</f>
      </c>
      <c r="F9931">
        <f>IF(INDEX(Transactions!$J:$J,ROW()-8)="",0,INDEX(Transactions!$O:$O,ROW()-8))</f>
      </c>
    </row>
    <row r="9932" spans="1:7">
      <c r="B9932">
        <f>IF(INDEX(Transactions!$J:$J,ROW()-8)="",TODAY(),INDEX(Transactions!$G:$G,ROW()-8))</f>
      </c>
      <c r="F9932">
        <f>IF(INDEX(Transactions!$J:$J,ROW()-8)="",0,INDEX(Transactions!$O:$O,ROW()-8))</f>
      </c>
    </row>
    <row r="9933" spans="1:7">
      <c r="B9933">
        <f>IF(INDEX(Transactions!$J:$J,ROW()-8)="",TODAY(),INDEX(Transactions!$G:$G,ROW()-8))</f>
      </c>
      <c r="F9933">
        <f>IF(INDEX(Transactions!$J:$J,ROW()-8)="",0,INDEX(Transactions!$O:$O,ROW()-8))</f>
      </c>
    </row>
    <row r="9934" spans="1:7">
      <c r="B9934">
        <f>IF(INDEX(Transactions!$J:$J,ROW()-8)="",TODAY(),INDEX(Transactions!$G:$G,ROW()-8))</f>
      </c>
      <c r="F9934">
        <f>IF(INDEX(Transactions!$J:$J,ROW()-8)="",0,INDEX(Transactions!$O:$O,ROW()-8))</f>
      </c>
    </row>
    <row r="9935" spans="1:7">
      <c r="B9935">
        <f>IF(INDEX(Transactions!$J:$J,ROW()-8)="",TODAY(),INDEX(Transactions!$G:$G,ROW()-8))</f>
      </c>
      <c r="F9935">
        <f>IF(INDEX(Transactions!$J:$J,ROW()-8)="",0,INDEX(Transactions!$O:$O,ROW()-8))</f>
      </c>
    </row>
    <row r="9936" spans="1:7">
      <c r="B9936">
        <f>IF(INDEX(Transactions!$J:$J,ROW()-8)="",TODAY(),INDEX(Transactions!$G:$G,ROW()-8))</f>
      </c>
      <c r="F9936">
        <f>IF(INDEX(Transactions!$J:$J,ROW()-8)="",0,INDEX(Transactions!$O:$O,ROW()-8))</f>
      </c>
    </row>
    <row r="9937" spans="1:7">
      <c r="B9937">
        <f>IF(INDEX(Transactions!$J:$J,ROW()-8)="",TODAY(),INDEX(Transactions!$G:$G,ROW()-8))</f>
      </c>
      <c r="F9937">
        <f>IF(INDEX(Transactions!$J:$J,ROW()-8)="",0,INDEX(Transactions!$O:$O,ROW()-8))</f>
      </c>
    </row>
    <row r="9938" spans="1:7">
      <c r="B9938">
        <f>IF(INDEX(Transactions!$J:$J,ROW()-8)="",TODAY(),INDEX(Transactions!$G:$G,ROW()-8))</f>
      </c>
      <c r="F9938">
        <f>IF(INDEX(Transactions!$J:$J,ROW()-8)="",0,INDEX(Transactions!$O:$O,ROW()-8))</f>
      </c>
    </row>
    <row r="9939" spans="1:7">
      <c r="B9939">
        <f>IF(INDEX(Transactions!$J:$J,ROW()-8)="",TODAY(),INDEX(Transactions!$G:$G,ROW()-8))</f>
      </c>
      <c r="F9939">
        <f>IF(INDEX(Transactions!$J:$J,ROW()-8)="",0,INDEX(Transactions!$O:$O,ROW()-8))</f>
      </c>
    </row>
    <row r="9940" spans="1:7">
      <c r="B9940">
        <f>IF(INDEX(Transactions!$J:$J,ROW()-8)="",TODAY(),INDEX(Transactions!$G:$G,ROW()-8))</f>
      </c>
      <c r="F9940">
        <f>IF(INDEX(Transactions!$J:$J,ROW()-8)="",0,INDEX(Transactions!$O:$O,ROW()-8))</f>
      </c>
    </row>
    <row r="9941" spans="1:7">
      <c r="B9941">
        <f>IF(INDEX(Transactions!$J:$J,ROW()-8)="",TODAY(),INDEX(Transactions!$G:$G,ROW()-8))</f>
      </c>
      <c r="F9941">
        <f>IF(INDEX(Transactions!$J:$J,ROW()-8)="",0,INDEX(Transactions!$O:$O,ROW()-8))</f>
      </c>
    </row>
    <row r="9942" spans="1:7">
      <c r="B9942">
        <f>IF(INDEX(Transactions!$J:$J,ROW()-8)="",TODAY(),INDEX(Transactions!$G:$G,ROW()-8))</f>
      </c>
      <c r="F9942">
        <f>IF(INDEX(Transactions!$J:$J,ROW()-8)="",0,INDEX(Transactions!$O:$O,ROW()-8))</f>
      </c>
    </row>
    <row r="9943" spans="1:7">
      <c r="B9943">
        <f>IF(INDEX(Transactions!$J:$J,ROW()-8)="",TODAY(),INDEX(Transactions!$G:$G,ROW()-8))</f>
      </c>
      <c r="F9943">
        <f>IF(INDEX(Transactions!$J:$J,ROW()-8)="",0,INDEX(Transactions!$O:$O,ROW()-8))</f>
      </c>
    </row>
    <row r="9944" spans="1:7">
      <c r="B9944">
        <f>IF(INDEX(Transactions!$J:$J,ROW()-8)="",TODAY(),INDEX(Transactions!$G:$G,ROW()-8))</f>
      </c>
      <c r="F9944">
        <f>IF(INDEX(Transactions!$J:$J,ROW()-8)="",0,INDEX(Transactions!$O:$O,ROW()-8))</f>
      </c>
    </row>
    <row r="9945" spans="1:7">
      <c r="B9945">
        <f>IF(INDEX(Transactions!$J:$J,ROW()-8)="",TODAY(),INDEX(Transactions!$G:$G,ROW()-8))</f>
      </c>
      <c r="F9945">
        <f>IF(INDEX(Transactions!$J:$J,ROW()-8)="",0,INDEX(Transactions!$O:$O,ROW()-8))</f>
      </c>
    </row>
    <row r="9946" spans="1:7">
      <c r="B9946">
        <f>IF(INDEX(Transactions!$J:$J,ROW()-8)="",TODAY(),INDEX(Transactions!$G:$G,ROW()-8))</f>
      </c>
      <c r="F9946">
        <f>IF(INDEX(Transactions!$J:$J,ROW()-8)="",0,INDEX(Transactions!$O:$O,ROW()-8))</f>
      </c>
    </row>
    <row r="9947" spans="1:7">
      <c r="B9947">
        <f>IF(INDEX(Transactions!$J:$J,ROW()-8)="",TODAY(),INDEX(Transactions!$G:$G,ROW()-8))</f>
      </c>
      <c r="F9947">
        <f>IF(INDEX(Transactions!$J:$J,ROW()-8)="",0,INDEX(Transactions!$O:$O,ROW()-8))</f>
      </c>
    </row>
    <row r="9948" spans="1:7">
      <c r="B9948">
        <f>IF(INDEX(Transactions!$J:$J,ROW()-8)="",TODAY(),INDEX(Transactions!$G:$G,ROW()-8))</f>
      </c>
      <c r="F9948">
        <f>IF(INDEX(Transactions!$J:$J,ROW()-8)="",0,INDEX(Transactions!$O:$O,ROW()-8))</f>
      </c>
    </row>
    <row r="9949" spans="1:7">
      <c r="B9949">
        <f>IF(INDEX(Transactions!$J:$J,ROW()-8)="",TODAY(),INDEX(Transactions!$G:$G,ROW()-8))</f>
      </c>
      <c r="F9949">
        <f>IF(INDEX(Transactions!$J:$J,ROW()-8)="",0,INDEX(Transactions!$O:$O,ROW()-8))</f>
      </c>
    </row>
    <row r="9950" spans="1:7">
      <c r="B9950">
        <f>IF(INDEX(Transactions!$J:$J,ROW()-8)="",TODAY(),INDEX(Transactions!$G:$G,ROW()-8))</f>
      </c>
      <c r="F9950">
        <f>IF(INDEX(Transactions!$J:$J,ROW()-8)="",0,INDEX(Transactions!$O:$O,ROW()-8))</f>
      </c>
    </row>
    <row r="9951" spans="1:7">
      <c r="B9951">
        <f>IF(INDEX(Transactions!$J:$J,ROW()-8)="",TODAY(),INDEX(Transactions!$G:$G,ROW()-8))</f>
      </c>
      <c r="F9951">
        <f>IF(INDEX(Transactions!$J:$J,ROW()-8)="",0,INDEX(Transactions!$O:$O,ROW()-8))</f>
      </c>
    </row>
    <row r="9952" spans="1:7">
      <c r="B9952">
        <f>IF(INDEX(Transactions!$J:$J,ROW()-8)="",TODAY(),INDEX(Transactions!$G:$G,ROW()-8))</f>
      </c>
      <c r="F9952">
        <f>IF(INDEX(Transactions!$J:$J,ROW()-8)="",0,INDEX(Transactions!$O:$O,ROW()-8))</f>
      </c>
    </row>
    <row r="9953" spans="1:7">
      <c r="B9953">
        <f>IF(INDEX(Transactions!$J:$J,ROW()-8)="",TODAY(),INDEX(Transactions!$G:$G,ROW()-8))</f>
      </c>
      <c r="F9953">
        <f>IF(INDEX(Transactions!$J:$J,ROW()-8)="",0,INDEX(Transactions!$O:$O,ROW()-8))</f>
      </c>
    </row>
    <row r="9954" spans="1:7">
      <c r="B9954">
        <f>IF(INDEX(Transactions!$J:$J,ROW()-8)="",TODAY(),INDEX(Transactions!$G:$G,ROW()-8))</f>
      </c>
      <c r="F9954">
        <f>IF(INDEX(Transactions!$J:$J,ROW()-8)="",0,INDEX(Transactions!$O:$O,ROW()-8))</f>
      </c>
    </row>
    <row r="9955" spans="1:7">
      <c r="B9955">
        <f>IF(INDEX(Transactions!$J:$J,ROW()-8)="",TODAY(),INDEX(Transactions!$G:$G,ROW()-8))</f>
      </c>
      <c r="F9955">
        <f>IF(INDEX(Transactions!$J:$J,ROW()-8)="",0,INDEX(Transactions!$O:$O,ROW()-8))</f>
      </c>
    </row>
    <row r="9956" spans="1:7">
      <c r="B9956">
        <f>IF(INDEX(Transactions!$J:$J,ROW()-8)="",TODAY(),INDEX(Transactions!$G:$G,ROW()-8))</f>
      </c>
      <c r="F9956">
        <f>IF(INDEX(Transactions!$J:$J,ROW()-8)="",0,INDEX(Transactions!$O:$O,ROW()-8))</f>
      </c>
    </row>
    <row r="9957" spans="1:7">
      <c r="B9957">
        <f>IF(INDEX(Transactions!$J:$J,ROW()-8)="",TODAY(),INDEX(Transactions!$G:$G,ROW()-8))</f>
      </c>
      <c r="F9957">
        <f>IF(INDEX(Transactions!$J:$J,ROW()-8)="",0,INDEX(Transactions!$O:$O,ROW()-8))</f>
      </c>
    </row>
    <row r="9958" spans="1:7">
      <c r="B9958">
        <f>IF(INDEX(Transactions!$J:$J,ROW()-8)="",TODAY(),INDEX(Transactions!$G:$G,ROW()-8))</f>
      </c>
      <c r="F9958">
        <f>IF(INDEX(Transactions!$J:$J,ROW()-8)="",0,INDEX(Transactions!$O:$O,ROW()-8))</f>
      </c>
    </row>
    <row r="9959" spans="1:7">
      <c r="B9959">
        <f>IF(INDEX(Transactions!$J:$J,ROW()-8)="",TODAY(),INDEX(Transactions!$G:$G,ROW()-8))</f>
      </c>
      <c r="F9959">
        <f>IF(INDEX(Transactions!$J:$J,ROW()-8)="",0,INDEX(Transactions!$O:$O,ROW()-8))</f>
      </c>
    </row>
    <row r="9960" spans="1:7">
      <c r="B9960">
        <f>IF(INDEX(Transactions!$J:$J,ROW()-8)="",TODAY(),INDEX(Transactions!$G:$G,ROW()-8))</f>
      </c>
      <c r="F9960">
        <f>IF(INDEX(Transactions!$J:$J,ROW()-8)="",0,INDEX(Transactions!$O:$O,ROW()-8))</f>
      </c>
    </row>
    <row r="9961" spans="1:7">
      <c r="B9961">
        <f>IF(INDEX(Transactions!$J:$J,ROW()-8)="",TODAY(),INDEX(Transactions!$G:$G,ROW()-8))</f>
      </c>
      <c r="F9961">
        <f>IF(INDEX(Transactions!$J:$J,ROW()-8)="",0,INDEX(Transactions!$O:$O,ROW()-8))</f>
      </c>
    </row>
    <row r="9962" spans="1:7">
      <c r="B9962">
        <f>IF(INDEX(Transactions!$J:$J,ROW()-8)="",TODAY(),INDEX(Transactions!$G:$G,ROW()-8))</f>
      </c>
      <c r="F9962">
        <f>IF(INDEX(Transactions!$J:$J,ROW()-8)="",0,INDEX(Transactions!$O:$O,ROW()-8))</f>
      </c>
    </row>
    <row r="9963" spans="1:7">
      <c r="B9963">
        <f>IF(INDEX(Transactions!$J:$J,ROW()-8)="",TODAY(),INDEX(Transactions!$G:$G,ROW()-8))</f>
      </c>
      <c r="F9963">
        <f>IF(INDEX(Transactions!$J:$J,ROW()-8)="",0,INDEX(Transactions!$O:$O,ROW()-8))</f>
      </c>
    </row>
    <row r="9964" spans="1:7">
      <c r="B9964">
        <f>IF(INDEX(Transactions!$J:$J,ROW()-8)="",TODAY(),INDEX(Transactions!$G:$G,ROW()-8))</f>
      </c>
      <c r="F9964">
        <f>IF(INDEX(Transactions!$J:$J,ROW()-8)="",0,INDEX(Transactions!$O:$O,ROW()-8))</f>
      </c>
    </row>
    <row r="9965" spans="1:7">
      <c r="B9965">
        <f>IF(INDEX(Transactions!$J:$J,ROW()-8)="",TODAY(),INDEX(Transactions!$G:$G,ROW()-8))</f>
      </c>
      <c r="F9965">
        <f>IF(INDEX(Transactions!$J:$J,ROW()-8)="",0,INDEX(Transactions!$O:$O,ROW()-8))</f>
      </c>
    </row>
    <row r="9966" spans="1:7">
      <c r="B9966">
        <f>IF(INDEX(Transactions!$J:$J,ROW()-8)="",TODAY(),INDEX(Transactions!$G:$G,ROW()-8))</f>
      </c>
      <c r="F9966">
        <f>IF(INDEX(Transactions!$J:$J,ROW()-8)="",0,INDEX(Transactions!$O:$O,ROW()-8))</f>
      </c>
    </row>
    <row r="9967" spans="1:7">
      <c r="B9967">
        <f>IF(INDEX(Transactions!$J:$J,ROW()-8)="",TODAY(),INDEX(Transactions!$G:$G,ROW()-8))</f>
      </c>
      <c r="F9967">
        <f>IF(INDEX(Transactions!$J:$J,ROW()-8)="",0,INDEX(Transactions!$O:$O,ROW()-8))</f>
      </c>
    </row>
    <row r="9968" spans="1:7">
      <c r="B9968">
        <f>IF(INDEX(Transactions!$J:$J,ROW()-8)="",TODAY(),INDEX(Transactions!$G:$G,ROW()-8))</f>
      </c>
      <c r="F9968">
        <f>IF(INDEX(Transactions!$J:$J,ROW()-8)="",0,INDEX(Transactions!$O:$O,ROW()-8))</f>
      </c>
    </row>
    <row r="9969" spans="1:7">
      <c r="B9969">
        <f>IF(INDEX(Transactions!$J:$J,ROW()-8)="",TODAY(),INDEX(Transactions!$G:$G,ROW()-8))</f>
      </c>
      <c r="F9969">
        <f>IF(INDEX(Transactions!$J:$J,ROW()-8)="",0,INDEX(Transactions!$O:$O,ROW()-8))</f>
      </c>
    </row>
    <row r="9970" spans="1:7">
      <c r="B9970">
        <f>IF(INDEX(Transactions!$J:$J,ROW()-8)="",TODAY(),INDEX(Transactions!$G:$G,ROW()-8))</f>
      </c>
      <c r="F9970">
        <f>IF(INDEX(Transactions!$J:$J,ROW()-8)="",0,INDEX(Transactions!$O:$O,ROW()-8))</f>
      </c>
    </row>
    <row r="9971" spans="1:7">
      <c r="B9971">
        <f>IF(INDEX(Transactions!$J:$J,ROW()-8)="",TODAY(),INDEX(Transactions!$G:$G,ROW()-8))</f>
      </c>
      <c r="F9971">
        <f>IF(INDEX(Transactions!$J:$J,ROW()-8)="",0,INDEX(Transactions!$O:$O,ROW()-8))</f>
      </c>
    </row>
    <row r="9972" spans="1:7">
      <c r="B9972">
        <f>IF(INDEX(Transactions!$J:$J,ROW()-8)="",TODAY(),INDEX(Transactions!$G:$G,ROW()-8))</f>
      </c>
      <c r="F9972">
        <f>IF(INDEX(Transactions!$J:$J,ROW()-8)="",0,INDEX(Transactions!$O:$O,ROW()-8))</f>
      </c>
    </row>
    <row r="9973" spans="1:7">
      <c r="B9973">
        <f>IF(INDEX(Transactions!$J:$J,ROW()-8)="",TODAY(),INDEX(Transactions!$G:$G,ROW()-8))</f>
      </c>
      <c r="F9973">
        <f>IF(INDEX(Transactions!$J:$J,ROW()-8)="",0,INDEX(Transactions!$O:$O,ROW()-8))</f>
      </c>
    </row>
    <row r="9974" spans="1:7">
      <c r="B9974">
        <f>IF(INDEX(Transactions!$J:$J,ROW()-8)="",TODAY(),INDEX(Transactions!$G:$G,ROW()-8))</f>
      </c>
      <c r="F9974">
        <f>IF(INDEX(Transactions!$J:$J,ROW()-8)="",0,INDEX(Transactions!$O:$O,ROW()-8))</f>
      </c>
    </row>
    <row r="9975" spans="1:7">
      <c r="B9975">
        <f>IF(INDEX(Transactions!$J:$J,ROW()-8)="",TODAY(),INDEX(Transactions!$G:$G,ROW()-8))</f>
      </c>
      <c r="F9975">
        <f>IF(INDEX(Transactions!$J:$J,ROW()-8)="",0,INDEX(Transactions!$O:$O,ROW()-8))</f>
      </c>
    </row>
    <row r="9976" spans="1:7">
      <c r="B9976">
        <f>IF(INDEX(Transactions!$J:$J,ROW()-8)="",TODAY(),INDEX(Transactions!$G:$G,ROW()-8))</f>
      </c>
      <c r="F9976">
        <f>IF(INDEX(Transactions!$J:$J,ROW()-8)="",0,INDEX(Transactions!$O:$O,ROW()-8))</f>
      </c>
    </row>
    <row r="9977" spans="1:7">
      <c r="B9977">
        <f>IF(INDEX(Transactions!$J:$J,ROW()-8)="",TODAY(),INDEX(Transactions!$G:$G,ROW()-8))</f>
      </c>
      <c r="F9977">
        <f>IF(INDEX(Transactions!$J:$J,ROW()-8)="",0,INDEX(Transactions!$O:$O,ROW()-8))</f>
      </c>
    </row>
    <row r="9978" spans="1:7">
      <c r="B9978">
        <f>IF(INDEX(Transactions!$J:$J,ROW()-8)="",TODAY(),INDEX(Transactions!$G:$G,ROW()-8))</f>
      </c>
      <c r="F9978">
        <f>IF(INDEX(Transactions!$J:$J,ROW()-8)="",0,INDEX(Transactions!$O:$O,ROW()-8))</f>
      </c>
    </row>
    <row r="9979" spans="1:7">
      <c r="B9979">
        <f>IF(INDEX(Transactions!$J:$J,ROW()-8)="",TODAY(),INDEX(Transactions!$G:$G,ROW()-8))</f>
      </c>
      <c r="F9979">
        <f>IF(INDEX(Transactions!$J:$J,ROW()-8)="",0,INDEX(Transactions!$O:$O,ROW()-8))</f>
      </c>
    </row>
    <row r="9980" spans="1:7">
      <c r="B9980">
        <f>IF(INDEX(Transactions!$J:$J,ROW()-8)="",TODAY(),INDEX(Transactions!$G:$G,ROW()-8))</f>
      </c>
      <c r="F9980">
        <f>IF(INDEX(Transactions!$J:$J,ROW()-8)="",0,INDEX(Transactions!$O:$O,ROW()-8))</f>
      </c>
    </row>
    <row r="9981" spans="1:7">
      <c r="B9981">
        <f>IF(INDEX(Transactions!$J:$J,ROW()-8)="",TODAY(),INDEX(Transactions!$G:$G,ROW()-8))</f>
      </c>
      <c r="F9981">
        <f>IF(INDEX(Transactions!$J:$J,ROW()-8)="",0,INDEX(Transactions!$O:$O,ROW()-8))</f>
      </c>
    </row>
    <row r="9982" spans="1:7">
      <c r="B9982">
        <f>IF(INDEX(Transactions!$J:$J,ROW()-8)="",TODAY(),INDEX(Transactions!$G:$G,ROW()-8))</f>
      </c>
      <c r="F9982">
        <f>IF(INDEX(Transactions!$J:$J,ROW()-8)="",0,INDEX(Transactions!$O:$O,ROW()-8))</f>
      </c>
    </row>
    <row r="9983" spans="1:7">
      <c r="B9983">
        <f>IF(INDEX(Transactions!$J:$J,ROW()-8)="",TODAY(),INDEX(Transactions!$G:$G,ROW()-8))</f>
      </c>
      <c r="F9983">
        <f>IF(INDEX(Transactions!$J:$J,ROW()-8)="",0,INDEX(Transactions!$O:$O,ROW()-8))</f>
      </c>
    </row>
    <row r="9984" spans="1:7">
      <c r="B9984">
        <f>IF(INDEX(Transactions!$J:$J,ROW()-8)="",TODAY(),INDEX(Transactions!$G:$G,ROW()-8))</f>
      </c>
      <c r="F9984">
        <f>IF(INDEX(Transactions!$J:$J,ROW()-8)="",0,INDEX(Transactions!$O:$O,ROW()-8))</f>
      </c>
    </row>
    <row r="9985" spans="1:7">
      <c r="B9985">
        <f>IF(INDEX(Transactions!$J:$J,ROW()-8)="",TODAY(),INDEX(Transactions!$G:$G,ROW()-8))</f>
      </c>
      <c r="F9985">
        <f>IF(INDEX(Transactions!$J:$J,ROW()-8)="",0,INDEX(Transactions!$O:$O,ROW()-8))</f>
      </c>
    </row>
    <row r="9986" spans="1:7">
      <c r="B9986">
        <f>IF(INDEX(Transactions!$J:$J,ROW()-8)="",TODAY(),INDEX(Transactions!$G:$G,ROW()-8))</f>
      </c>
      <c r="F9986">
        <f>IF(INDEX(Transactions!$J:$J,ROW()-8)="",0,INDEX(Transactions!$O:$O,ROW()-8))</f>
      </c>
    </row>
    <row r="9987" spans="1:7">
      <c r="B9987">
        <f>IF(INDEX(Transactions!$J:$J,ROW()-8)="",TODAY(),INDEX(Transactions!$G:$G,ROW()-8))</f>
      </c>
      <c r="F9987">
        <f>IF(INDEX(Transactions!$J:$J,ROW()-8)="",0,INDEX(Transactions!$O:$O,ROW()-8))</f>
      </c>
    </row>
    <row r="9988" spans="1:7">
      <c r="B9988">
        <f>IF(INDEX(Transactions!$J:$J,ROW()-8)="",TODAY(),INDEX(Transactions!$G:$G,ROW()-8))</f>
      </c>
      <c r="F9988">
        <f>IF(INDEX(Transactions!$J:$J,ROW()-8)="",0,INDEX(Transactions!$O:$O,ROW()-8))</f>
      </c>
    </row>
    <row r="9989" spans="1:7">
      <c r="B9989">
        <f>IF(INDEX(Transactions!$J:$J,ROW()-8)="",TODAY(),INDEX(Transactions!$G:$G,ROW()-8))</f>
      </c>
      <c r="F9989">
        <f>IF(INDEX(Transactions!$J:$J,ROW()-8)="",0,INDEX(Transactions!$O:$O,ROW()-8))</f>
      </c>
    </row>
    <row r="9990" spans="1:7">
      <c r="B9990">
        <f>IF(INDEX(Transactions!$J:$J,ROW()-8)="",TODAY(),INDEX(Transactions!$G:$G,ROW()-8))</f>
      </c>
      <c r="F9990">
        <f>IF(INDEX(Transactions!$J:$J,ROW()-8)="",0,INDEX(Transactions!$O:$O,ROW()-8))</f>
      </c>
    </row>
    <row r="9991" spans="1:7">
      <c r="B9991">
        <f>IF(INDEX(Transactions!$J:$J,ROW()-8)="",TODAY(),INDEX(Transactions!$G:$G,ROW()-8))</f>
      </c>
      <c r="F9991">
        <f>IF(INDEX(Transactions!$J:$J,ROW()-8)="",0,INDEX(Transactions!$O:$O,ROW()-8))</f>
      </c>
    </row>
    <row r="9992" spans="1:7">
      <c r="B9992">
        <f>IF(INDEX(Transactions!$J:$J,ROW()-8)="",TODAY(),INDEX(Transactions!$G:$G,ROW()-8))</f>
      </c>
      <c r="F9992">
        <f>IF(INDEX(Transactions!$J:$J,ROW()-8)="",0,INDEX(Transactions!$O:$O,ROW()-8))</f>
      </c>
    </row>
    <row r="9993" spans="1:7">
      <c r="B9993">
        <f>IF(INDEX(Transactions!$J:$J,ROW()-8)="",TODAY(),INDEX(Transactions!$G:$G,ROW()-8))</f>
      </c>
      <c r="F9993">
        <f>IF(INDEX(Transactions!$J:$J,ROW()-8)="",0,INDEX(Transactions!$O:$O,ROW()-8))</f>
      </c>
    </row>
    <row r="9994" spans="1:7">
      <c r="B9994">
        <f>IF(INDEX(Transactions!$J:$J,ROW()-8)="",TODAY(),INDEX(Transactions!$G:$G,ROW()-8))</f>
      </c>
      <c r="F9994">
        <f>IF(INDEX(Transactions!$J:$J,ROW()-8)="",0,INDEX(Transactions!$O:$O,ROW()-8))</f>
      </c>
    </row>
    <row r="9995" spans="1:7">
      <c r="B9995">
        <f>IF(INDEX(Transactions!$J:$J,ROW()-8)="",TODAY(),INDEX(Transactions!$G:$G,ROW()-8))</f>
      </c>
      <c r="F9995">
        <f>IF(INDEX(Transactions!$J:$J,ROW()-8)="",0,INDEX(Transactions!$O:$O,ROW()-8))</f>
      </c>
    </row>
    <row r="9996" spans="1:7">
      <c r="B9996">
        <f>IF(INDEX(Transactions!$J:$J,ROW()-8)="",TODAY(),INDEX(Transactions!$G:$G,ROW()-8))</f>
      </c>
      <c r="F9996">
        <f>IF(INDEX(Transactions!$J:$J,ROW()-8)="",0,INDEX(Transactions!$O:$O,ROW()-8))</f>
      </c>
    </row>
    <row r="9997" spans="1:7">
      <c r="B9997">
        <f>IF(INDEX(Transactions!$J:$J,ROW()-8)="",TODAY(),INDEX(Transactions!$G:$G,ROW()-8))</f>
      </c>
      <c r="F9997">
        <f>IF(INDEX(Transactions!$J:$J,ROW()-8)="",0,INDEX(Transactions!$O:$O,ROW()-8))</f>
      </c>
    </row>
    <row r="9998" spans="1:7">
      <c r="B9998">
        <f>IF(INDEX(Transactions!$J:$J,ROW()-8)="",TODAY(),INDEX(Transactions!$G:$G,ROW()-8))</f>
      </c>
      <c r="F9998">
        <f>IF(INDEX(Transactions!$J:$J,ROW()-8)="",0,INDEX(Transactions!$O:$O,ROW()-8))</f>
      </c>
    </row>
    <row r="9999" spans="1:7">
      <c r="B9999">
        <f>IF(INDEX(Transactions!$J:$J,ROW()-8)="",TODAY(),INDEX(Transactions!$G:$G,ROW()-8))</f>
      </c>
      <c r="F9999">
        <f>IF(INDEX(Transactions!$J:$J,ROW()-8)="",0,INDEX(Transactions!$O:$O,ROW()-8))</f>
      </c>
    </row>
    <row r="10000" spans="1:7">
      <c r="B10000">
        <f>IF(INDEX(Transactions!$J:$J,ROW()-8)="",TODAY(),INDEX(Transactions!$G:$G,ROW()-8))</f>
      </c>
      <c r="F10000">
        <f>IF(INDEX(Transactions!$J:$J,ROW()-8)="",0,INDEX(Transactions!$O:$O,ROW()-8))</f>
      </c>
    </row>
    <row r="10001" spans="1:7">
      <c r="B10001">
        <f>IF(INDEX(Transactions!$J:$J,ROW()-8)="",TODAY(),INDEX(Transactions!$G:$G,ROW()-8))</f>
      </c>
      <c r="F10001">
        <f>IF(INDEX(Transactions!$J:$J,ROW()-8)="",0,INDEX(Transactions!$O:$O,ROW()-8))</f>
      </c>
    </row>
    <row r="10002" spans="1:7">
      <c r="B10002">
        <f>IF(INDEX(Transactions!$J:$J,ROW()-8)="",TODAY(),INDEX(Transactions!$G:$G,ROW()-8))</f>
      </c>
      <c r="F10002">
        <f>IF(INDEX(Transactions!$J:$J,ROW()-8)="",0,INDEX(Transactions!$O:$O,ROW()-8))</f>
      </c>
    </row>
    <row r="10003" spans="1:7">
      <c r="B10003">
        <f>IF(INDEX(Transactions!$J:$J,ROW()-8)="",TODAY(),INDEX(Transactions!$G:$G,ROW()-8))</f>
      </c>
      <c r="F10003">
        <f>IF(INDEX(Transactions!$J:$J,ROW()-8)="",0,INDEX(Transactions!$O:$O,ROW()-8))</f>
      </c>
    </row>
    <row r="10004" spans="1:7">
      <c r="B10004">
        <f>IF(INDEX(Transactions!$J:$J,ROW()-8)="",TODAY(),INDEX(Transactions!$G:$G,ROW()-8))</f>
      </c>
      <c r="F10004">
        <f>IF(INDEX(Transactions!$J:$J,ROW()-8)="",0,INDEX(Transactions!$O:$O,ROW()-8))</f>
      </c>
    </row>
    <row r="10005" spans="1:7">
      <c r="B10005">
        <f>IF(INDEX(Transactions!$J:$J,ROW()-8)="",TODAY(),INDEX(Transactions!$G:$G,ROW()-8))</f>
      </c>
      <c r="F10005">
        <f>IF(INDEX(Transactions!$J:$J,ROW()-8)="",0,INDEX(Transactions!$O:$O,ROW()-8))</f>
      </c>
    </row>
    <row r="10006" spans="1:7">
      <c r="B10006">
        <f>IF(INDEX(Transactions!$J:$J,ROW()-8)="",TODAY(),INDEX(Transactions!$G:$G,ROW()-8))</f>
      </c>
      <c r="F10006">
        <f>IF(INDEX(Transactions!$J:$J,ROW()-8)="",0,INDEX(Transactions!$O:$O,ROW()-8))</f>
      </c>
    </row>
    <row r="10007" spans="1:7">
      <c r="B10007">
        <f>IF(INDEX(Transactions!$J:$J,ROW()-8)="",TODAY(),INDEX(Transactions!$G:$G,ROW()-8))</f>
      </c>
      <c r="F10007">
        <f>IF(INDEX(Transactions!$J:$J,ROW()-8)="",0,INDEX(Transactions!$O:$O,ROW()-8))</f>
      </c>
    </row>
    <row r="10008" spans="1:7">
      <c r="B10008">
        <f>IF(INDEX(Transactions!$J:$J,ROW()-8)="",TODAY(),INDEX(Transactions!$G:$G,ROW()-8))</f>
      </c>
      <c r="F10008">
        <f>IF(INDEX(Transactions!$J:$J,ROW()-8)="",0,INDEX(Transactions!$O:$O,ROW()-8))</f>
      </c>
    </row>
    <row r="10009" spans="1:7">
      <c r="B10009">
        <f>IF(INDEX(Transactions!$J:$J,ROW()-8)="",TODAY(),INDEX(Transactions!$G:$G,ROW()-8))</f>
      </c>
      <c r="F10009">
        <f>IF(INDEX(Transactions!$J:$J,ROW()-8)="",0,INDEX(Transactions!$O:$O,ROW()-8))</f>
      </c>
    </row>
    <row r="10010" spans="1:7">
      <c r="A10010" t="inlineStr">
        <is>
          <t>CURRENT PORTFOLIO VALUE (terminal flow)</t>
        </is>
      </c>
      <c r="B10010">
        <f>TODAY()</f>
      </c>
      <c r="F10010">
        <f>'Stock Dashboard'!$B$5</f>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