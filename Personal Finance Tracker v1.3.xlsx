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<sst xmlns="http://schemas.openxmlformats.org/spreadsheetml/2006/main" count="816" uniqueCount="573">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</sst>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3">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M21" totalsRowShown="0">
  <autoFilter ref="A1:M21" xr:uid="{00000000-0009-0000-0100-000003000000}"/>
  <tableColumns count="13">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1"/>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s">
        <v>17</v>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45" customHeight="1" x14ac:dyDescent="0.15">
      <c r="B48" s="7" t="s">
        <v>38</v>
      </c>
    </row>
    <row r="49" spans="2:2" ht="13.5" customHeight="1" x14ac:dyDescent="0.15">
      <c r="B49" s="14" t="s">
        <v>39</v>
      </c>
    </row>
    <row r="50" spans="2:2" ht="13.5" customHeight="1" x14ac:dyDescent="0.15">
      <c r="B50" s="6"/>
    </row>
    <row r="51" spans="2:2" ht="12.75" customHeight="1" x14ac:dyDescent="0.2">
      <c r="B51" s="20" t="s">
        <v>40</v>
      </c>
    </row>
    <row r="52" spans="2:2" ht="12.75" customHeight="1" x14ac:dyDescent="0.15">
      <c r="B52" s="14" t="s">
        <v>41</v>
      </c>
    </row>
    <row r="53" spans="2:2" ht="12.75" customHeight="1" x14ac:dyDescent="0.15">
      <c r="B53" s="14" t="s">
        <v>42</v>
      </c>
    </row>
    <row r="54" spans="2:2" ht="12.75" customHeight="1" x14ac:dyDescent="0.15">
      <c r="B54" s="14" t="s">
        <v>43</v>
      </c>
    </row>
    <row r="55" spans="2:2" ht="12.75" customHeight="1" x14ac:dyDescent="0.15">
      <c r="B55" s="14" t="s">
        <v>44</v>
      </c>
    </row>
    <row r="56" spans="2:2" ht="12.75" customHeight="1" x14ac:dyDescent="0.15">
      <c r="B56" s="6" t="s">
        <v>45</v>
      </c>
    </row>
    <row r="57" spans="2:2" ht="12.75" customHeight="1" x14ac:dyDescent="0.15">
      <c r="B57" s="6" t="s">
        <v>46</v>
      </c>
    </row>
    <row r="58" spans="2:2" ht="12.75" customHeight="1" x14ac:dyDescent="0.15">
      <c r="B58" s="6" t="s">
        <v>542</v>
      </c>
    </row>
    <row r="59" spans="2:2" ht="12.75" customHeight="1" x14ac:dyDescent="0.2">
      <c r="B59" s="20" t="s">
        <v>47</v>
      </c>
    </row>
    <row r="60" spans="2:2" ht="12.75" customHeight="1" x14ac:dyDescent="0.15">
      <c r="B60" s="6" t="s">
        <v>48</v>
      </c>
    </row>
    <row r="61" spans="2:2" ht="13.5" customHeight="1" x14ac:dyDescent="0.15">
      <c r="B61" s="6" t="s">
        <v>49</v>
      </c>
    </row>
    <row r="62" spans="2:2" ht="12.75" customHeight="1" x14ac:dyDescent="0.15">
      <c r="B62" s="6" t="s">
        <v>50</v>
      </c>
    </row>
    <row r="63" spans="2:2" ht="12.75" customHeight="1" x14ac:dyDescent="0.15">
      <c r="B63" s="6" t="s">
        <v>51</v>
      </c>
    </row>
    <row r="64" spans="2:2" ht="12.75" customHeight="1" x14ac:dyDescent="0.15">
      <c r="B64" s="6"/>
    </row>
    <row r="65" spans="2:2" ht="16.5" customHeight="16.5" x14ac:dyDescent="0.15">
      <c r="B65" s="7" t="inlineStr">
        <is>
          <t xml:space="preserve">PRICES SHEET — HOW IT WORKS (updated in v1.3)</t>
        </is>
      </c>
    </row>
    <row r="66" spans="2:2" ht="12.75" customHeight="1" x14ac:dyDescent="0.15">
      <c r="B66" s="6" t="inlineStr">
        <is>
          <t xml:space="preserve">The price list (columns A–H) is yours to maintain: type Current Price, Notes and Category for every ticker you own. Key, Exchange, Symbol, Currency and FX to SGD fill in automatically. Keep one row per holding, starting at row 2.</t>
        </is>
      </c>
    </row>
    <row r="67" spans="2:2" ht="13.5" customHeight="1" x14ac:dyDescent="0.15">
      <c r="B67" s="6" t="inlineStr">
        <is>
          <t xml:space="preserve">The TICKER SYNC panel (columns J–Q) reads your live holdings and flags what to change. It never edits your price rows — it only tells you what to do:</t>
        </is>
      </c>
    </row>
    <row r="68" spans="2:2" ht="12.75" customHeight="1" x14ac:dyDescent="0.15">
      <c r="B68" s="6" t="inlineStr">
        <is>
          <t xml:space="preserve">•  'Held now -&gt; in Prices?' lists every ticker you currently hold. Green 'OK - in Prices' means it is already listed. Red 'ADD TO PRICES' means you bought something new: copy the Key / Exchange / Symbol / Currency shown into the next empty price row and type its current price.</t>
        </is>
      </c>
    </row>
    <row r="69" spans="2:2" ht="12.75" customHeight="1" x14ac:dyDescent="0.15">
      <c r="B69" s="6" t="inlineStr">
        <is>
          <t xml:space="preserve">•  'Prices rows -&gt; still held?' checks each price row. Green 'held' means keep it. Red 'NOT HELD - review' means you have fully sold it — delete that row. Its realised P&amp;L and dividends stay in All Ticker P&amp;L.</t>
        </is>
      </c>
    </row>
    <row r="70" spans="2:2" ht="13.5" customHeight="1" x14ac:dyDescent="0.15">
      <c r="B70" s="6" t="inlineStr">
        <is>
          <t xml:space="preserve">•  The counters at the top — Missing and Stale — should both read 0 when your price list matches your holdings exactly.</t>
        </is>
      </c>
    </row>
    <row r="71" spans="2:2" ht="13.5" customHeight="1" x14ac:dyDescent="0.15">
      <c r="B71"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72" spans="2:2" ht="13.5" customHeight="1" x14ac:dyDescent="0.15">
      <c r="B72" s="6" t="inlineStr">
        <is>
          <t xml:space="preserve">v15 (this file, v1.3): added the Prices TICKER SYNC panel above and removed the stale sample tickers (NVDA, AMD) so the price list matches current holdings.</t>
        </is>
      </c>
    </row>
    <row r="73" spans="2:2" ht="13.5" customHeight="1" x14ac:dyDescent="0.15">
      <c r="B73" s="6"/>
    </row>
    <row r="74" spans="2:2" ht="13.5" customHeight="1" x14ac:dyDescent="0.15">
      <c r="B74" s="6"/>
    </row>
    <row r="75" spans="2:2" ht="12.75" customHeight="1" x14ac:dyDescent="0.15">
      <c r="B75" s="6"/>
    </row>
    <row r="76" spans="2:2" ht="12.75" customHeight="1" x14ac:dyDescent="0.15">
      <c r="B76" s="6"/>
    </row>
    <row r="77" spans="2:2" ht="12.75" customHeight="1" x14ac:dyDescent="0.15">
      <c r="B77" s="6"/>
    </row>
    <row r="78" spans="2:2" ht="12.75" customHeight="1" x14ac:dyDescent="0.15">
      <c r="B78" s="6"/>
    </row>
    <row r="79" spans="2:2" ht="12.75" customHeight="1" x14ac:dyDescent="0.15">
      <c r="B79" s="6"/>
    </row>
    <row r="80" spans="2:2" ht="12.75" customHeight="1" x14ac:dyDescent="0.15">
      <c r="B80" s="6"/>
    </row>
    <row r="81" spans="2:2" ht="12.75" customHeight="1" x14ac:dyDescent="0.15">
      <c r="B81" s="6"/>
    </row>
    <row r="82" spans="2:2" ht="12.75" customHeight="1" x14ac:dyDescent="0.15">
      <c r="B82" s="6"/>
    </row>
    <row r="83" spans="2:2" ht="12.75" customHeight="1" x14ac:dyDescent="0.15">
      <c r="B83" s="6"/>
    </row>
    <row r="84" spans="2:2" ht="12.75" customHeight="1" x14ac:dyDescent="0.15">
      <c r="B84" s="6"/>
    </row>
    <row r="85" spans="2:2" ht="12.75" customHeight="1" x14ac:dyDescent="0.15">
      <c r="B85" s="6"/>
    </row>
    <row r="86" spans="2:2" ht="12.75" customHeight="1" x14ac:dyDescent="0.15">
      <c r="B86" s="6"/>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M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3"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row>
    <row r="2" spans="1:13" ht="15" customHeight="1" x14ac:dyDescent="0.15">
      <c r="A2" s="244">
        <v>1</v>
      </c>
      <c r="B2" s="245" t="s">
        <v>399</v>
      </c>
      <c r="C2" s="245" t="s">
        <v>400</v>
      </c>
      <c r="D2" s="246">
        <v>400</v>
      </c>
      <c r="E2" s="245" t="s">
        <v>401</v>
      </c>
      <c r="F2" s="247">
        <v>75</v>
      </c>
      <c r="G2" s="248">
        <v>43525</v>
      </c>
      <c r="H2" s="247">
        <v>30000</v>
      </c>
      <c r="I2" s="245" t="s">
        <v>402</v>
      </c>
      <c r="J2" s="249" t="str">
        <f t="shared" ref="J2:J21" si="0">IF(OR(B2="",C2="",E2=""),"",B2&amp;":"&amp;C2&amp;":"&amp;E2)</f>
        <v>CA:GOLD:SGD</v>
      </c>
      <c r="K2" s="250">
        <f t="shared" ref="K2:K21" si="1">IF(A2="",0,A2*D2)</f>
        <v>400</v>
      </c>
      <c r="L2" s="249">
        <f t="shared" ref="L2:L21" si="2">IF(A2="",0,IF(OR(A2=1,A2=0),H2,0))</f>
        <v>30000</v>
      </c>
      <c r="M2" s="249">
        <f t="shared" ref="M2:M21" si="3">IF(A2=-1,H2,0)</f>
        <v>0</v>
      </c>
    </row>
    <row r="3" spans="1:13" ht="15" customHeight="1" x14ac:dyDescent="0.15">
      <c r="A3" s="244">
        <v>1</v>
      </c>
      <c r="B3" s="245" t="s">
        <v>403</v>
      </c>
      <c r="C3" s="245" t="s">
        <v>404</v>
      </c>
      <c r="D3" s="246">
        <v>3000</v>
      </c>
      <c r="E3" s="245" t="s">
        <v>401</v>
      </c>
      <c r="F3" s="247">
        <v>3.1</v>
      </c>
      <c r="G3" s="248">
        <v>43770</v>
      </c>
      <c r="H3" s="247">
        <v>9325</v>
      </c>
      <c r="I3" s="245"/>
      <c r="J3" s="249" t="str">
        <f t="shared" si="0"/>
        <v>SGX:Z74:SGD</v>
      </c>
      <c r="K3" s="250">
        <f t="shared" si="1"/>
        <v>3000</v>
      </c>
      <c r="L3" s="249">
        <f t="shared" si="2"/>
        <v>9325</v>
      </c>
      <c r="M3" s="249">
        <f t="shared" si="3"/>
        <v>0</v>
      </c>
    </row>
    <row r="4" spans="1:13" ht="15" customHeight="1" x14ac:dyDescent="0.15">
      <c r="A4" s="244">
        <v>1</v>
      </c>
      <c r="B4" s="245" t="s">
        <v>405</v>
      </c>
      <c r="C4" s="245" t="s">
        <v>406</v>
      </c>
      <c r="D4" s="246">
        <v>50</v>
      </c>
      <c r="E4" s="245" t="s">
        <v>407</v>
      </c>
      <c r="F4" s="247">
        <v>80</v>
      </c>
      <c r="G4" s="248">
        <v>43966</v>
      </c>
      <c r="H4" s="247">
        <v>4005</v>
      </c>
      <c r="I4" s="245"/>
      <c r="J4" s="249" t="str">
        <f t="shared" si="0"/>
        <v>USX:AAPL:USD</v>
      </c>
      <c r="K4" s="250">
        <f t="shared" si="1"/>
        <v>50</v>
      </c>
      <c r="L4" s="249">
        <f t="shared" si="2"/>
        <v>4005</v>
      </c>
      <c r="M4" s="249">
        <f t="shared" si="3"/>
        <v>0</v>
      </c>
    </row>
    <row r="5" spans="1:13" ht="15" customHeight="1" x14ac:dyDescent="0.15">
      <c r="A5" s="244">
        <v>1</v>
      </c>
      <c r="B5" s="245" t="s">
        <v>403</v>
      </c>
      <c r="C5" s="245" t="s">
        <v>408</v>
      </c>
      <c r="D5" s="246">
        <v>5000</v>
      </c>
      <c r="E5" s="245" t="s">
        <v>401</v>
      </c>
      <c r="F5" s="247">
        <v>1.9</v>
      </c>
      <c r="G5" s="248">
        <v>44046</v>
      </c>
      <c r="H5" s="247">
        <v>9525</v>
      </c>
      <c r="I5" s="245"/>
      <c r="J5" s="249" t="str">
        <f t="shared" si="0"/>
        <v>SGX:C38U:SGD</v>
      </c>
      <c r="K5" s="250">
        <f t="shared" si="1"/>
        <v>5000</v>
      </c>
      <c r="L5" s="249">
        <f t="shared" si="2"/>
        <v>9525</v>
      </c>
      <c r="M5" s="249">
        <f t="shared" si="3"/>
        <v>0</v>
      </c>
    </row>
    <row r="6" spans="1:13" ht="15" customHeight="1" x14ac:dyDescent="0.15">
      <c r="A6" s="244">
        <v>1</v>
      </c>
      <c r="B6" s="245" t="s">
        <v>409</v>
      </c>
      <c r="C6" s="245" t="s">
        <v>410</v>
      </c>
      <c r="D6" s="246">
        <v>0.05</v>
      </c>
      <c r="E6" s="245" t="s">
        <v>407</v>
      </c>
      <c r="F6" s="247">
        <v>20000</v>
      </c>
      <c r="G6" s="248">
        <v>44166</v>
      </c>
      <c r="H6" s="247">
        <v>1000</v>
      </c>
      <c r="I6" s="245"/>
      <c r="J6" s="249" t="str">
        <f t="shared" si="0"/>
        <v>CG:BITCOIN:USD</v>
      </c>
      <c r="K6" s="250">
        <f t="shared" si="1"/>
        <v>0.05</v>
      </c>
      <c r="L6" s="249">
        <f t="shared" si="2"/>
        <v>1000</v>
      </c>
      <c r="M6" s="249">
        <f t="shared" si="3"/>
        <v>0</v>
      </c>
    </row>
    <row r="7" spans="1:13" ht="15" customHeight="1" x14ac:dyDescent="0.15">
      <c r="A7" s="244">
        <v>1</v>
      </c>
      <c r="B7" s="245" t="s">
        <v>411</v>
      </c>
      <c r="C7" s="245" t="s">
        <v>412</v>
      </c>
      <c r="D7" s="246">
        <v>100</v>
      </c>
      <c r="E7" s="245" t="s">
        <v>413</v>
      </c>
      <c r="F7" s="247">
        <v>600</v>
      </c>
      <c r="G7" s="248">
        <v>44228</v>
      </c>
      <c r="H7" s="247">
        <v>60100</v>
      </c>
      <c r="I7" s="245" t="s">
        <v>414</v>
      </c>
      <c r="J7" s="249" t="str">
        <f t="shared" si="0"/>
        <v>HKEX:700:HKD</v>
      </c>
      <c r="K7" s="250">
        <f t="shared" si="1"/>
        <v>100</v>
      </c>
      <c r="L7" s="249">
        <f t="shared" si="2"/>
        <v>60100</v>
      </c>
      <c r="M7" s="249">
        <f t="shared" si="3"/>
        <v>0</v>
      </c>
    </row>
    <row r="8" spans="1:13" ht="15" customHeight="1" x14ac:dyDescent="0.15">
      <c r="A8" s="244">
        <v>1</v>
      </c>
      <c r="B8" s="245" t="s">
        <v>405</v>
      </c>
      <c r="C8" s="245" t="s">
        <v>415</v>
      </c>
      <c r="D8" s="246">
        <v>20</v>
      </c>
      <c r="E8" s="245" t="s">
        <v>407</v>
      </c>
      <c r="F8" s="247">
        <v>230</v>
      </c>
      <c r="G8" s="248">
        <v>44256</v>
      </c>
      <c r="H8" s="247">
        <v>4605</v>
      </c>
      <c r="I8" s="245"/>
      <c r="J8" s="249" t="str">
        <f t="shared" si="0"/>
        <v>USX:MSFT:USD</v>
      </c>
      <c r="K8" s="250">
        <f t="shared" si="1"/>
        <v>20</v>
      </c>
      <c r="L8" s="249">
        <f t="shared" si="2"/>
        <v>4605</v>
      </c>
      <c r="M8" s="249">
        <f t="shared" si="3"/>
        <v>0</v>
      </c>
    </row>
    <row r="9" spans="1:13" ht="15" customHeight="1" x14ac:dyDescent="0.15">
      <c r="A9" s="244">
        <v>1</v>
      </c>
      <c r="B9" s="245" t="s">
        <v>403</v>
      </c>
      <c r="C9" s="245" t="s">
        <v>416</v>
      </c>
      <c r="D9" s="246">
        <v>4000</v>
      </c>
      <c r="E9" s="245" t="s">
        <v>401</v>
      </c>
      <c r="F9" s="247">
        <v>2.95</v>
      </c>
      <c r="G9" s="248">
        <v>44326</v>
      </c>
      <c r="H9" s="247">
        <v>11825</v>
      </c>
      <c r="I9" s="245"/>
      <c r="J9" s="249" t="str">
        <f t="shared" si="0"/>
        <v>SGX:A17U:SGD</v>
      </c>
      <c r="K9" s="250">
        <f t="shared" si="1"/>
        <v>4000</v>
      </c>
      <c r="L9" s="249">
        <f t="shared" si="2"/>
        <v>11825</v>
      </c>
      <c r="M9" s="249">
        <f t="shared" si="3"/>
        <v>0</v>
      </c>
    </row>
    <row r="10" spans="1:13" ht="15" customHeight="1" x14ac:dyDescent="0.15">
      <c r="A10" s="244">
        <v>0</v>
      </c>
      <c r="B10" s="245" t="s">
        <v>403</v>
      </c>
      <c r="C10" s="245" t="s">
        <v>416</v>
      </c>
      <c r="D10" s="246">
        <v>0</v>
      </c>
      <c r="E10" s="245" t="s">
        <v>401</v>
      </c>
      <c r="F10" s="247">
        <v>0</v>
      </c>
      <c r="G10" s="248">
        <v>44326</v>
      </c>
      <c r="H10" s="247">
        <v>25</v>
      </c>
      <c r="I10" s="245" t="s">
        <v>417</v>
      </c>
      <c r="J10" s="249" t="str">
        <f t="shared" si="0"/>
        <v>SGX:A17U:SGD</v>
      </c>
      <c r="K10" s="250">
        <f t="shared" si="1"/>
        <v>0</v>
      </c>
      <c r="L10" s="249">
        <f t="shared" si="2"/>
        <v>25</v>
      </c>
      <c r="M10" s="249">
        <f t="shared" si="3"/>
        <v>0</v>
      </c>
    </row>
    <row r="11" spans="1:13" ht="15" customHeight="1" x14ac:dyDescent="0.15">
      <c r="A11" s="244">
        <v>1</v>
      </c>
      <c r="B11" s="245" t="s">
        <v>399</v>
      </c>
      <c r="C11" s="245" t="s">
        <v>400</v>
      </c>
      <c r="D11" s="246">
        <v>300</v>
      </c>
      <c r="E11" s="245" t="s">
        <v>401</v>
      </c>
      <c r="F11" s="247">
        <v>85</v>
      </c>
      <c r="G11" s="248">
        <v>44348</v>
      </c>
      <c r="H11" s="247">
        <v>25500</v>
      </c>
      <c r="I11" s="245"/>
      <c r="J11" s="249" t="str">
        <f t="shared" si="0"/>
        <v>CA:GOLD:SGD</v>
      </c>
      <c r="K11" s="250">
        <f t="shared" si="1"/>
        <v>300</v>
      </c>
      <c r="L11" s="249">
        <f t="shared" si="2"/>
        <v>25500</v>
      </c>
      <c r="M11" s="249">
        <f t="shared" si="3"/>
        <v>0</v>
      </c>
    </row>
    <row r="12" spans="1:13" ht="15" customHeight="1" x14ac:dyDescent="0.15">
      <c r="A12" s="244">
        <v>1</v>
      </c>
      <c r="B12" s="245" t="s">
        <v>405</v>
      </c>
      <c r="C12" s="245" t="s">
        <v>406</v>
      </c>
      <c r="D12" s="246">
        <v>30</v>
      </c>
      <c r="E12" s="245" t="s">
        <v>407</v>
      </c>
      <c r="F12" s="247">
        <v>170</v>
      </c>
      <c r="G12" s="248">
        <v>44571</v>
      </c>
      <c r="H12" s="247">
        <v>5105</v>
      </c>
      <c r="I12" s="245"/>
      <c r="J12" s="249" t="str">
        <f t="shared" si="0"/>
        <v>USX:AAPL:USD</v>
      </c>
      <c r="K12" s="250">
        <f t="shared" si="1"/>
        <v>30</v>
      </c>
      <c r="L12" s="249">
        <f t="shared" si="2"/>
        <v>5105</v>
      </c>
      <c r="M12" s="249">
        <f t="shared" si="3"/>
        <v>0</v>
      </c>
    </row>
    <row r="13" spans="1:13" ht="15" customHeight="1" x14ac:dyDescent="0.15">
      <c r="A13" s="244">
        <v>1</v>
      </c>
      <c r="B13" s="245" t="s">
        <v>403</v>
      </c>
      <c r="C13" s="245" t="s">
        <v>408</v>
      </c>
      <c r="D13" s="246">
        <v>3000</v>
      </c>
      <c r="E13" s="245" t="s">
        <v>401</v>
      </c>
      <c r="F13" s="247">
        <v>2.2000000000000002</v>
      </c>
      <c r="G13" s="248">
        <v>44621</v>
      </c>
      <c r="H13" s="247">
        <v>6625</v>
      </c>
      <c r="I13" s="245"/>
      <c r="J13" s="249" t="str">
        <f t="shared" si="0"/>
        <v>SGX:C38U:SGD</v>
      </c>
      <c r="K13" s="250">
        <f t="shared" si="1"/>
        <v>3000</v>
      </c>
      <c r="L13" s="249">
        <f t="shared" si="2"/>
        <v>6625</v>
      </c>
      <c r="M13" s="249">
        <f t="shared" si="3"/>
        <v>0</v>
      </c>
    </row>
    <row r="14" spans="1:13" ht="15" customHeight="1" x14ac:dyDescent="0.15">
      <c r="A14" s="244">
        <v>1</v>
      </c>
      <c r="B14" s="245" t="s">
        <v>405</v>
      </c>
      <c r="C14" s="245" t="s">
        <v>418</v>
      </c>
      <c r="D14" s="246">
        <v>40</v>
      </c>
      <c r="E14" s="245" t="s">
        <v>407</v>
      </c>
      <c r="F14" s="247">
        <v>120</v>
      </c>
      <c r="G14" s="248">
        <v>44837</v>
      </c>
      <c r="H14" s="247">
        <v>4805</v>
      </c>
      <c r="I14" s="245"/>
      <c r="J14" s="249" t="str">
        <f t="shared" si="0"/>
        <v>USX:NVDA:USD</v>
      </c>
      <c r="K14" s="250">
        <f t="shared" si="1"/>
        <v>40</v>
      </c>
      <c r="L14" s="249">
        <f t="shared" si="2"/>
        <v>4805</v>
      </c>
      <c r="M14" s="249">
        <f t="shared" si="3"/>
        <v>0</v>
      </c>
    </row>
    <row r="15" spans="1:13" ht="15" customHeight="1" x14ac:dyDescent="0.15">
      <c r="A15" s="244">
        <v>1</v>
      </c>
      <c r="B15" s="245" t="s">
        <v>409</v>
      </c>
      <c r="C15" s="245" t="s">
        <v>410</v>
      </c>
      <c r="D15" s="246">
        <v>0.05</v>
      </c>
      <c r="E15" s="245" t="s">
        <v>407</v>
      </c>
      <c r="F15" s="247">
        <v>17000</v>
      </c>
      <c r="G15" s="248">
        <v>44942</v>
      </c>
      <c r="H15" s="247">
        <v>850</v>
      </c>
      <c r="I15" s="245"/>
      <c r="J15" s="249" t="str">
        <f t="shared" si="0"/>
        <v>CG:BITCOIN:USD</v>
      </c>
      <c r="K15" s="250">
        <f t="shared" si="1"/>
        <v>0.05</v>
      </c>
      <c r="L15" s="249">
        <f t="shared" si="2"/>
        <v>850</v>
      </c>
      <c r="M15" s="249">
        <f t="shared" si="3"/>
        <v>0</v>
      </c>
    </row>
    <row r="16" spans="1:13" ht="15" customHeight="1" x14ac:dyDescent="0.15">
      <c r="A16" s="244">
        <v>1</v>
      </c>
      <c r="B16" s="245" t="s">
        <v>403</v>
      </c>
      <c r="C16" s="245" t="s">
        <v>419</v>
      </c>
      <c r="D16" s="246">
        <v>10000</v>
      </c>
      <c r="E16" s="245" t="s">
        <v>401</v>
      </c>
      <c r="F16" s="247">
        <v>0.7</v>
      </c>
      <c r="G16" s="248">
        <v>45019</v>
      </c>
      <c r="H16" s="247">
        <v>7025</v>
      </c>
      <c r="I16" s="245"/>
      <c r="J16" s="249" t="str">
        <f t="shared" si="0"/>
        <v>SGX:CLR:SGD</v>
      </c>
      <c r="K16" s="250">
        <f t="shared" si="1"/>
        <v>10000</v>
      </c>
      <c r="L16" s="249">
        <f t="shared" si="2"/>
        <v>7025</v>
      </c>
      <c r="M16" s="249">
        <f t="shared" si="3"/>
        <v>0</v>
      </c>
    </row>
    <row r="17" spans="1:13" ht="15" customHeight="1" x14ac:dyDescent="0.15">
      <c r="A17" s="244">
        <v>-1</v>
      </c>
      <c r="B17" s="245" t="s">
        <v>405</v>
      </c>
      <c r="C17" s="245" t="s">
        <v>418</v>
      </c>
      <c r="D17" s="246">
        <v>40</v>
      </c>
      <c r="E17" s="245" t="s">
        <v>407</v>
      </c>
      <c r="F17" s="247">
        <v>450</v>
      </c>
      <c r="G17" s="248">
        <v>45446</v>
      </c>
      <c r="H17" s="247">
        <v>17995</v>
      </c>
      <c r="I17" s="245" t="s">
        <v>420</v>
      </c>
      <c r="J17" s="249" t="str">
        <f t="shared" si="0"/>
        <v>USX:NVDA:USD</v>
      </c>
      <c r="K17" s="250">
        <f t="shared" si="1"/>
        <v>-40</v>
      </c>
      <c r="L17" s="249">
        <f t="shared" si="2"/>
        <v>0</v>
      </c>
      <c r="M17" s="249">
        <f t="shared" si="3"/>
        <v>17995</v>
      </c>
    </row>
    <row r="18" spans="1:13" ht="15" customHeight="1" x14ac:dyDescent="0.15">
      <c r="A18" s="244">
        <v>2</v>
      </c>
      <c r="B18" s="245" t="s">
        <v>403</v>
      </c>
      <c r="C18" s="245" t="s">
        <v>408</v>
      </c>
      <c r="D18" s="246">
        <v>0</v>
      </c>
      <c r="E18" s="245" t="s">
        <v>401</v>
      </c>
      <c r="F18" s="247">
        <v>0</v>
      </c>
      <c r="G18" s="248">
        <v>45889</v>
      </c>
      <c r="H18" s="247">
        <v>280</v>
      </c>
      <c r="I18" s="245" t="s">
        <v>421</v>
      </c>
      <c r="J18" s="249" t="str">
        <f t="shared" si="0"/>
        <v>SGX:C38U:SGD</v>
      </c>
      <c r="K18" s="250">
        <f t="shared" si="1"/>
        <v>0</v>
      </c>
      <c r="L18" s="249">
        <f t="shared" si="2"/>
        <v>0</v>
      </c>
      <c r="M18" s="249">
        <f t="shared" si="3"/>
        <v>0</v>
      </c>
    </row>
    <row r="19" spans="1:13" ht="15" customHeight="1" x14ac:dyDescent="0.15">
      <c r="A19" s="244">
        <v>2</v>
      </c>
      <c r="B19" s="245" t="s">
        <v>403</v>
      </c>
      <c r="C19" s="245" t="s">
        <v>404</v>
      </c>
      <c r="D19" s="246">
        <v>0</v>
      </c>
      <c r="E19" s="245" t="s">
        <v>401</v>
      </c>
      <c r="F19" s="247">
        <v>0</v>
      </c>
      <c r="G19" s="248">
        <v>46037</v>
      </c>
      <c r="H19" s="247">
        <v>200</v>
      </c>
      <c r="I19" s="245" t="s">
        <v>422</v>
      </c>
      <c r="J19" s="249" t="str">
        <f t="shared" si="0"/>
        <v>SGX:Z74:SGD</v>
      </c>
      <c r="K19" s="250">
        <f t="shared" si="1"/>
        <v>0</v>
      </c>
      <c r="L19" s="249">
        <f t="shared" si="2"/>
        <v>0</v>
      </c>
      <c r="M19" s="249">
        <f t="shared" si="3"/>
        <v>0</v>
      </c>
    </row>
    <row r="20" spans="1:13" ht="15" customHeight="1" x14ac:dyDescent="0.15">
      <c r="A20" s="244">
        <v>2</v>
      </c>
      <c r="B20" s="245" t="s">
        <v>403</v>
      </c>
      <c r="C20" s="245" t="s">
        <v>408</v>
      </c>
      <c r="D20" s="246">
        <v>0</v>
      </c>
      <c r="E20" s="245" t="s">
        <v>401</v>
      </c>
      <c r="F20" s="247">
        <v>0</v>
      </c>
      <c r="G20" s="248">
        <v>46073</v>
      </c>
      <c r="H20" s="247">
        <v>300</v>
      </c>
      <c r="I20" s="245" t="s">
        <v>422</v>
      </c>
      <c r="J20" s="249" t="str">
        <f t="shared" si="0"/>
        <v>SGX:C38U:SGD</v>
      </c>
      <c r="K20" s="250">
        <f t="shared" si="1"/>
        <v>0</v>
      </c>
      <c r="L20" s="249">
        <f t="shared" si="2"/>
        <v>0</v>
      </c>
      <c r="M20" s="249">
        <f t="shared" si="3"/>
        <v>0</v>
      </c>
    </row>
    <row r="21" spans="1:13" ht="15" customHeight="1" x14ac:dyDescent="0.15">
      <c r="A21" s="244">
        <v>2</v>
      </c>
      <c r="B21" s="245" t="s">
        <v>403</v>
      </c>
      <c r="C21" s="245" t="s">
        <v>416</v>
      </c>
      <c r="D21" s="246">
        <v>0</v>
      </c>
      <c r="E21" s="245" t="s">
        <v>401</v>
      </c>
      <c r="F21" s="247">
        <v>0</v>
      </c>
      <c r="G21" s="248">
        <v>46203</v>
      </c>
      <c r="H21" s="247">
        <v>310</v>
      </c>
      <c r="I21" s="245" t="s">
        <v>422</v>
      </c>
      <c r="J21" s="249" t="str">
        <f t="shared" si="0"/>
        <v>SGX:A17U:SGD</v>
      </c>
      <c r="K21" s="250">
        <f t="shared" si="1"/>
        <v>0</v>
      </c>
      <c r="L21" s="249">
        <f t="shared" si="2"/>
        <v>0</v>
      </c>
      <c r="M21" s="249">
        <f t="shared" si="3"/>
        <v>0</v>
      </c>
    </row>
    <row r="22" spans="1:13" ht="15" customHeight="1" x14ac:dyDescent="0.15">
      <c r="A22" s="244"/>
      <c r="B22" s="245"/>
      <c r="C22" s="245"/>
      <c r="D22" s="246"/>
      <c r="E22" s="245"/>
      <c r="F22" s="247"/>
      <c r="G22" s="248"/>
      <c r="H22" s="247"/>
      <c r="I22" s="245"/>
      <c r="J22" s="249"/>
      <c r="K22" s="250"/>
      <c r="L22" s="249"/>
      <c r="M22" s="249"/>
    </row>
    <row r="23" spans="1:13" ht="15" customHeight="1" x14ac:dyDescent="0.15">
      <c r="A23" s="244"/>
      <c r="B23" s="245"/>
      <c r="C23" s="245"/>
      <c r="D23" s="246"/>
      <c r="E23" s="245"/>
      <c r="F23" s="247"/>
      <c r="G23" s="248"/>
      <c r="H23" s="247"/>
      <c r="I23" s="245"/>
      <c r="J23" s="249"/>
      <c r="K23" s="250"/>
      <c r="L23" s="249"/>
      <c r="M23" s="249"/>
    </row>
    <row r="24" spans="1:13" ht="15" customHeight="1" x14ac:dyDescent="0.15">
      <c r="A24" s="244"/>
      <c r="B24" s="245"/>
      <c r="C24" s="245"/>
      <c r="D24" s="246"/>
      <c r="E24" s="245"/>
      <c r="F24" s="247"/>
      <c r="G24" s="248"/>
      <c r="H24" s="247"/>
      <c r="I24" s="245"/>
      <c r="J24" s="249"/>
      <c r="K24" s="250"/>
      <c r="L24" s="249"/>
      <c r="M24" s="249"/>
    </row>
    <row r="25" spans="1:13" ht="15" customHeight="1" x14ac:dyDescent="0.15">
      <c r="A25" s="244"/>
      <c r="B25" s="245"/>
      <c r="C25" s="245"/>
      <c r="D25" s="246"/>
      <c r="E25" s="245"/>
      <c r="F25" s="247"/>
      <c r="G25" s="248"/>
      <c r="H25" s="247"/>
      <c r="I25" s="245"/>
      <c r="J25" s="249"/>
      <c r="K25" s="250"/>
      <c r="L25" s="249"/>
      <c r="M25" s="249"/>
    </row>
    <row r="26" spans="1:13" ht="15" customHeight="1" x14ac:dyDescent="0.15">
      <c r="A26" s="244"/>
      <c r="B26" s="245"/>
      <c r="C26" s="245"/>
      <c r="D26" s="246"/>
      <c r="E26" s="245"/>
      <c r="F26" s="247"/>
      <c r="G26" s="248"/>
      <c r="H26" s="247"/>
      <c r="I26" s="245"/>
      <c r="J26" s="249"/>
      <c r="K26" s="250"/>
      <c r="L26" s="249"/>
      <c r="M26" s="249"/>
    </row>
    <row r="27" spans="1:13" ht="15" customHeight="1" x14ac:dyDescent="0.15">
      <c r="A27" s="244"/>
      <c r="B27" s="245"/>
      <c r="C27" s="245"/>
      <c r="D27" s="246"/>
      <c r="E27" s="245"/>
      <c r="F27" s="247"/>
      <c r="G27" s="248"/>
      <c r="H27" s="247"/>
      <c r="I27" s="245"/>
      <c r="J27" s="249"/>
      <c r="K27" s="250"/>
      <c r="L27" s="249"/>
      <c r="M27" s="249"/>
    </row>
    <row r="28" spans="1:13" ht="15" customHeight="1" x14ac:dyDescent="0.15">
      <c r="A28" s="244"/>
      <c r="B28" s="245"/>
      <c r="C28" s="245"/>
      <c r="D28" s="246"/>
      <c r="E28" s="245"/>
      <c r="F28" s="247"/>
      <c r="G28" s="248"/>
      <c r="H28" s="247"/>
      <c r="I28" s="245"/>
      <c r="J28" s="249"/>
      <c r="K28" s="250"/>
      <c r="L28" s="249"/>
      <c r="M28" s="249"/>
    </row>
    <row r="29" spans="1:13" ht="15" customHeight="1" x14ac:dyDescent="0.15">
      <c r="A29" s="244"/>
      <c r="B29" s="245"/>
      <c r="C29" s="245"/>
      <c r="D29" s="246"/>
      <c r="E29" s="245"/>
      <c r="F29" s="247"/>
      <c r="G29" s="248"/>
      <c r="H29" s="247"/>
      <c r="I29" s="245"/>
      <c r="J29" s="249"/>
      <c r="K29" s="250"/>
      <c r="L29" s="249"/>
      <c r="M29" s="249"/>
    </row>
    <row r="30" spans="1:13" ht="15" customHeight="1" x14ac:dyDescent="0.15">
      <c r="A30" s="244"/>
      <c r="B30" s="245"/>
      <c r="C30" s="245"/>
      <c r="D30" s="246"/>
      <c r="E30" s="245"/>
      <c r="F30" s="247"/>
      <c r="G30" s="248"/>
      <c r="H30" s="247"/>
      <c r="I30" s="245"/>
      <c r="J30" s="249"/>
      <c r="K30" s="250"/>
      <c r="L30" s="249"/>
      <c r="M30" s="249"/>
    </row>
    <row r="31" spans="1:13" ht="15" customHeight="1" x14ac:dyDescent="0.15">
      <c r="A31" s="244"/>
      <c r="B31" s="245"/>
      <c r="C31" s="245"/>
      <c r="D31" s="246"/>
      <c r="E31" s="245"/>
      <c r="F31" s="247"/>
      <c r="G31" s="248"/>
      <c r="H31" s="247"/>
      <c r="I31" s="245"/>
      <c r="J31" s="249"/>
      <c r="K31" s="250"/>
      <c r="L31" s="249"/>
      <c r="M31" s="249"/>
    </row>
    <row r="32" spans="1:13" ht="15" customHeight="1" x14ac:dyDescent="0.15">
      <c r="A32" s="244"/>
      <c r="B32" s="245"/>
      <c r="C32" s="245"/>
      <c r="D32" s="246"/>
      <c r="E32" s="245"/>
      <c r="F32" s="247"/>
      <c r="G32" s="248"/>
      <c r="H32" s="247"/>
      <c r="I32" s="245"/>
      <c r="J32" s="249"/>
      <c r="K32" s="250"/>
      <c r="L32" s="249"/>
      <c r="M32" s="249"/>
    </row>
    <row r="33" spans="1:13" ht="15" customHeight="1" x14ac:dyDescent="0.15">
      <c r="A33" s="244"/>
      <c r="B33" s="245"/>
      <c r="C33" s="245"/>
      <c r="D33" s="246"/>
      <c r="E33" s="245"/>
      <c r="F33" s="247"/>
      <c r="G33" s="248"/>
      <c r="H33" s="247"/>
      <c r="I33" s="245"/>
      <c r="J33" s="249"/>
      <c r="K33" s="250"/>
      <c r="L33" s="249"/>
      <c r="M33" s="249"/>
    </row>
    <row r="34" spans="1:13" ht="15" customHeight="1" x14ac:dyDescent="0.15">
      <c r="A34" s="244"/>
      <c r="B34" s="245"/>
      <c r="C34" s="245"/>
      <c r="D34" s="246"/>
      <c r="E34" s="245"/>
      <c r="F34" s="247"/>
      <c r="G34" s="248"/>
      <c r="H34" s="247"/>
      <c r="I34" s="245"/>
      <c r="J34" s="249"/>
      <c r="K34" s="250"/>
      <c r="L34" s="249"/>
      <c r="M34" s="249"/>
    </row>
    <row r="35" spans="1:13" ht="15" customHeight="1" x14ac:dyDescent="0.15">
      <c r="A35" s="244"/>
      <c r="B35" s="245"/>
      <c r="C35" s="245"/>
      <c r="D35" s="246"/>
      <c r="E35" s="245"/>
      <c r="F35" s="247"/>
      <c r="G35" s="248"/>
      <c r="H35" s="247"/>
      <c r="I35" s="245"/>
      <c r="J35" s="249"/>
      <c r="K35" s="250"/>
      <c r="L35" s="249"/>
      <c r="M35" s="249"/>
    </row>
    <row r="36" spans="1:13" ht="15" customHeight="1" x14ac:dyDescent="0.15">
      <c r="A36" s="244"/>
      <c r="B36" s="245"/>
      <c r="C36" s="245"/>
      <c r="D36" s="246"/>
      <c r="E36" s="245"/>
      <c r="F36" s="247"/>
      <c r="G36" s="248"/>
      <c r="H36" s="247"/>
      <c r="I36" s="245"/>
      <c r="J36" s="249"/>
      <c r="K36" s="250"/>
      <c r="L36" s="249"/>
      <c r="M36" s="249"/>
    </row>
    <row r="37" spans="1:13" ht="15" customHeight="1" x14ac:dyDescent="0.15">
      <c r="A37" s="244"/>
      <c r="B37" s="245"/>
      <c r="C37" s="245"/>
      <c r="D37" s="246"/>
      <c r="E37" s="245"/>
      <c r="F37" s="247"/>
      <c r="G37" s="248"/>
      <c r="H37" s="247"/>
      <c r="I37" s="245"/>
      <c r="J37" s="249"/>
      <c r="K37" s="250"/>
      <c r="L37" s="249"/>
      <c r="M37" s="249"/>
    </row>
    <row r="38" spans="1:13" ht="15" customHeight="1" x14ac:dyDescent="0.15">
      <c r="A38" s="244"/>
      <c r="B38" s="245"/>
      <c r="C38" s="245"/>
      <c r="D38" s="246"/>
      <c r="E38" s="245"/>
      <c r="F38" s="247"/>
      <c r="G38" s="248"/>
      <c r="H38" s="247"/>
      <c r="I38" s="245"/>
      <c r="J38" s="249"/>
      <c r="K38" s="250"/>
      <c r="L38" s="249"/>
      <c r="M38" s="249"/>
    </row>
    <row r="39" spans="1:13" ht="15" customHeight="1" x14ac:dyDescent="0.15">
      <c r="A39" s="244"/>
      <c r="B39" s="245"/>
      <c r="C39" s="245"/>
      <c r="D39" s="246"/>
      <c r="E39" s="245"/>
      <c r="F39" s="247"/>
      <c r="G39" s="248"/>
      <c r="H39" s="247"/>
      <c r="I39" s="245"/>
      <c r="J39" s="249"/>
      <c r="K39" s="250"/>
      <c r="L39" s="249"/>
      <c r="M39" s="249"/>
    </row>
    <row r="40" spans="1:13" ht="15" customHeight="1" x14ac:dyDescent="0.15">
      <c r="A40" s="244"/>
      <c r="B40" s="245"/>
      <c r="C40" s="245"/>
      <c r="D40" s="246"/>
      <c r="E40" s="245"/>
      <c r="F40" s="247"/>
      <c r="G40" s="248"/>
      <c r="H40" s="247"/>
      <c r="I40" s="245"/>
      <c r="J40" s="249"/>
      <c r="K40" s="250"/>
      <c r="L40" s="249"/>
      <c r="M40" s="249"/>
    </row>
    <row r="41" spans="1:13" ht="15" customHeight="1" x14ac:dyDescent="0.15">
      <c r="A41" s="244"/>
      <c r="B41" s="245"/>
      <c r="C41" s="245"/>
      <c r="D41" s="246"/>
      <c r="E41" s="245"/>
      <c r="F41" s="247"/>
      <c r="G41" s="248"/>
      <c r="H41" s="247"/>
      <c r="I41" s="245"/>
      <c r="J41" s="249"/>
      <c r="K41" s="250"/>
      <c r="L41" s="249"/>
      <c r="M41" s="249"/>
    </row>
    <row r="42" spans="1:13" ht="15" customHeight="1" x14ac:dyDescent="0.15">
      <c r="A42" s="244"/>
      <c r="B42" s="245"/>
      <c r="C42" s="245"/>
      <c r="D42" s="246"/>
      <c r="E42" s="245"/>
      <c r="F42" s="247"/>
      <c r="G42" s="248"/>
      <c r="H42" s="247"/>
      <c r="I42" s="245"/>
      <c r="J42" s="249"/>
      <c r="K42" s="250"/>
      <c r="L42" s="249"/>
      <c r="M42" s="249"/>
    </row>
    <row r="43" spans="1:13" ht="15" customHeight="1" x14ac:dyDescent="0.15">
      <c r="A43" s="244"/>
      <c r="B43" s="245"/>
      <c r="C43" s="245"/>
      <c r="D43" s="246"/>
      <c r="E43" s="245"/>
      <c r="F43" s="247"/>
      <c r="G43" s="248"/>
      <c r="H43" s="247"/>
      <c r="I43" s="245"/>
      <c r="J43" s="249"/>
      <c r="K43" s="250"/>
      <c r="L43" s="249"/>
      <c r="M43" s="249"/>
    </row>
    <row r="44" spans="1:13" ht="15" customHeight="1" x14ac:dyDescent="0.15">
      <c r="A44" s="244"/>
      <c r="B44" s="245"/>
      <c r="C44" s="245"/>
      <c r="D44" s="246"/>
      <c r="E44" s="245"/>
      <c r="F44" s="247"/>
      <c r="G44" s="248"/>
      <c r="H44" s="247"/>
      <c r="I44" s="245"/>
      <c r="J44" s="249"/>
      <c r="K44" s="250"/>
      <c r="L44" s="249"/>
      <c r="M44" s="249"/>
    </row>
    <row r="45" spans="1:13" ht="15" customHeight="1" x14ac:dyDescent="0.15">
      <c r="A45" s="244"/>
      <c r="B45" s="245"/>
      <c r="C45" s="245"/>
      <c r="D45" s="246"/>
      <c r="E45" s="245"/>
      <c r="F45" s="247"/>
      <c r="G45" s="248"/>
      <c r="H45" s="247"/>
      <c r="I45" s="245"/>
      <c r="J45" s="249"/>
      <c r="K45" s="250"/>
      <c r="L45" s="249"/>
      <c r="M45" s="249"/>
    </row>
    <row r="46" spans="1:13" ht="15" customHeight="1" x14ac:dyDescent="0.15">
      <c r="A46" s="244"/>
      <c r="B46" s="245"/>
      <c r="C46" s="245"/>
      <c r="D46" s="246"/>
      <c r="E46" s="245"/>
      <c r="F46" s="247"/>
      <c r="G46" s="248"/>
      <c r="H46" s="247"/>
      <c r="I46" s="245"/>
      <c r="J46" s="249"/>
      <c r="K46" s="250"/>
      <c r="L46" s="249"/>
      <c r="M46" s="249"/>
    </row>
    <row r="47" spans="1:13" ht="15" customHeight="1" x14ac:dyDescent="0.15">
      <c r="A47" s="244"/>
      <c r="B47" s="245"/>
      <c r="C47" s="245"/>
      <c r="D47" s="246"/>
      <c r="E47" s="245"/>
      <c r="F47" s="247"/>
      <c r="G47" s="248"/>
      <c r="H47" s="247"/>
      <c r="I47" s="245"/>
      <c r="J47" s="249"/>
      <c r="K47" s="250"/>
      <c r="L47" s="249"/>
      <c r="M47" s="249"/>
    </row>
    <row r="48" spans="1:13" ht="15" customHeight="1" x14ac:dyDescent="0.15">
      <c r="A48" s="244"/>
      <c r="B48" s="245"/>
      <c r="C48" s="245"/>
      <c r="D48" s="246"/>
      <c r="E48" s="245"/>
      <c r="F48" s="247"/>
      <c r="G48" s="248"/>
      <c r="H48" s="247"/>
      <c r="I48" s="245"/>
      <c r="J48" s="249"/>
      <c r="K48" s="250"/>
      <c r="L48" s="249"/>
      <c r="M48" s="249"/>
    </row>
    <row r="49" spans="1:13" ht="15" customHeight="1" x14ac:dyDescent="0.15">
      <c r="A49" s="244"/>
      <c r="B49" s="245"/>
      <c r="C49" s="245"/>
      <c r="D49" s="246"/>
      <c r="E49" s="245"/>
      <c r="F49" s="247"/>
      <c r="G49" s="248"/>
      <c r="H49" s="247"/>
      <c r="I49" s="245"/>
      <c r="J49" s="249"/>
      <c r="K49" s="250"/>
      <c r="L49" s="249"/>
      <c r="M49" s="249"/>
    </row>
    <row r="50" spans="1:13" ht="15" customHeight="1" x14ac:dyDescent="0.15">
      <c r="A50" s="244"/>
      <c r="B50" s="245"/>
      <c r="C50" s="245"/>
      <c r="D50" s="246"/>
      <c r="E50" s="245"/>
      <c r="F50" s="247"/>
      <c r="G50" s="248"/>
      <c r="H50" s="247"/>
      <c r="I50" s="245"/>
      <c r="J50" s="249"/>
      <c r="K50" s="250"/>
      <c r="L50" s="249"/>
      <c r="M50" s="249"/>
    </row>
    <row r="51" spans="1:13" ht="15" customHeight="1" x14ac:dyDescent="0.15">
      <c r="A51" s="244"/>
      <c r="B51" s="245"/>
      <c r="C51" s="245"/>
      <c r="D51" s="246"/>
      <c r="E51" s="245"/>
      <c r="F51" s="247"/>
      <c r="G51" s="248"/>
      <c r="H51" s="247"/>
      <c r="I51" s="245"/>
      <c r="J51" s="249"/>
      <c r="K51" s="250"/>
      <c r="L51" s="249"/>
      <c r="M51" s="249"/>
    </row>
    <row r="52" spans="1:13" ht="15" customHeight="1" x14ac:dyDescent="0.15">
      <c r="A52" s="244"/>
      <c r="B52" s="245"/>
      <c r="C52" s="245"/>
      <c r="D52" s="246"/>
      <c r="E52" s="245"/>
      <c r="F52" s="247"/>
      <c r="G52" s="248"/>
      <c r="H52" s="247"/>
      <c r="I52" s="245"/>
      <c r="J52" s="249"/>
      <c r="K52" s="250"/>
      <c r="L52" s="249"/>
      <c r="M52" s="249"/>
    </row>
    <row r="53" spans="1:13" ht="15" customHeight="1" x14ac:dyDescent="0.15">
      <c r="A53" s="244"/>
      <c r="B53" s="245"/>
      <c r="C53" s="245"/>
      <c r="D53" s="246"/>
      <c r="E53" s="245"/>
      <c r="F53" s="247"/>
      <c r="G53" s="248"/>
      <c r="H53" s="247"/>
      <c r="I53" s="245"/>
      <c r="J53" s="249"/>
      <c r="K53" s="250"/>
      <c r="L53" s="249"/>
      <c r="M53" s="249"/>
    </row>
    <row r="54" spans="1:13" ht="15" customHeight="1" x14ac:dyDescent="0.15">
      <c r="A54" s="244"/>
      <c r="B54" s="245"/>
      <c r="C54" s="245"/>
      <c r="D54" s="246"/>
      <c r="E54" s="245"/>
      <c r="F54" s="247"/>
      <c r="G54" s="248"/>
      <c r="H54" s="247"/>
      <c r="I54" s="245"/>
      <c r="J54" s="249"/>
      <c r="K54" s="250"/>
      <c r="L54" s="249"/>
      <c r="M54" s="249"/>
    </row>
    <row r="55" spans="1:13" ht="15" customHeight="1" x14ac:dyDescent="0.15">
      <c r="A55" s="244"/>
      <c r="B55" s="245"/>
      <c r="C55" s="245"/>
      <c r="D55" s="246"/>
      <c r="E55" s="245"/>
      <c r="F55" s="247"/>
      <c r="G55" s="248"/>
      <c r="H55" s="247"/>
      <c r="I55" s="245"/>
      <c r="J55" s="249"/>
      <c r="K55" s="250"/>
      <c r="L55" s="249"/>
      <c r="M55" s="249"/>
    </row>
    <row r="56" spans="1:13" ht="15" customHeight="1" x14ac:dyDescent="0.15">
      <c r="A56" s="244"/>
      <c r="B56" s="245"/>
      <c r="C56" s="245"/>
      <c r="D56" s="246"/>
      <c r="E56" s="245"/>
      <c r="F56" s="247"/>
      <c r="G56" s="248"/>
      <c r="H56" s="247"/>
      <c r="I56" s="245"/>
      <c r="J56" s="249"/>
      <c r="K56" s="250"/>
      <c r="L56" s="249"/>
      <c r="M56" s="249"/>
    </row>
    <row r="57" spans="1:13" ht="15" customHeight="1" x14ac:dyDescent="0.15">
      <c r="A57" s="244"/>
      <c r="B57" s="245"/>
      <c r="C57" s="245"/>
      <c r="D57" s="246"/>
      <c r="E57" s="245"/>
      <c r="F57" s="247"/>
      <c r="G57" s="248"/>
      <c r="H57" s="247"/>
      <c r="I57" s="245"/>
      <c r="J57" s="249"/>
      <c r="K57" s="250"/>
      <c r="L57" s="249"/>
      <c r="M57" s="249"/>
    </row>
    <row r="58" spans="1:13" ht="15" customHeight="1" x14ac:dyDescent="0.15">
      <c r="A58" s="244"/>
      <c r="B58" s="245"/>
      <c r="C58" s="245"/>
      <c r="D58" s="246"/>
      <c r="E58" s="245"/>
      <c r="F58" s="247"/>
      <c r="G58" s="248"/>
      <c r="H58" s="247"/>
      <c r="I58" s="245"/>
      <c r="J58" s="249"/>
      <c r="K58" s="250"/>
      <c r="L58" s="249"/>
      <c r="M58" s="249"/>
    </row>
    <row r="59" spans="1:13" ht="15" customHeight="1" x14ac:dyDescent="0.15">
      <c r="A59" s="244"/>
      <c r="B59" s="245"/>
      <c r="C59" s="245"/>
      <c r="D59" s="246"/>
      <c r="E59" s="245"/>
      <c r="F59" s="247"/>
      <c r="G59" s="248"/>
      <c r="H59" s="247"/>
      <c r="I59" s="245"/>
      <c r="J59" s="249"/>
      <c r="K59" s="250"/>
      <c r="L59" s="249"/>
      <c r="M59" s="249"/>
    </row>
    <row r="60" spans="1:13" ht="15" customHeight="1" x14ac:dyDescent="0.15">
      <c r="A60" s="244"/>
      <c r="B60" s="245"/>
      <c r="C60" s="245"/>
      <c r="D60" s="246"/>
      <c r="E60" s="245"/>
      <c r="F60" s="247"/>
      <c r="G60" s="248"/>
      <c r="H60" s="247"/>
      <c r="I60" s="245"/>
      <c r="J60" s="249"/>
      <c r="K60" s="250"/>
      <c r="L60" s="249"/>
      <c r="M60" s="249"/>
    </row>
    <row r="61" spans="1:13" ht="15" customHeight="1" x14ac:dyDescent="0.15">
      <c r="A61" s="244"/>
      <c r="B61" s="245"/>
      <c r="C61" s="245"/>
      <c r="D61" s="246"/>
      <c r="E61" s="245"/>
      <c r="F61" s="247"/>
      <c r="G61" s="248"/>
      <c r="H61" s="247"/>
      <c r="I61" s="245"/>
      <c r="J61" s="249"/>
      <c r="K61" s="250"/>
      <c r="L61" s="249"/>
      <c r="M61" s="249"/>
    </row>
    <row r="62" spans="1:13" ht="15" customHeight="1" x14ac:dyDescent="0.15">
      <c r="A62" s="244"/>
      <c r="B62" s="245"/>
      <c r="C62" s="245"/>
      <c r="D62" s="246"/>
      <c r="E62" s="245"/>
      <c r="F62" s="247"/>
      <c r="G62" s="248"/>
      <c r="H62" s="247"/>
      <c r="I62" s="245"/>
      <c r="J62" s="249"/>
      <c r="K62" s="250"/>
      <c r="L62" s="249"/>
      <c r="M62" s="249"/>
    </row>
    <row r="63" spans="1:13" ht="15" customHeight="1" x14ac:dyDescent="0.15">
      <c r="A63" s="244"/>
      <c r="B63" s="245"/>
      <c r="C63" s="245"/>
      <c r="D63" s="246"/>
      <c r="E63" s="245"/>
      <c r="F63" s="247"/>
      <c r="G63" s="248"/>
      <c r="H63" s="247"/>
      <c r="I63" s="245"/>
      <c r="J63" s="249"/>
      <c r="K63" s="250"/>
      <c r="L63" s="249"/>
      <c r="M63" s="249"/>
    </row>
    <row r="64" spans="1:13" ht="15" customHeight="1" x14ac:dyDescent="0.15">
      <c r="A64" s="244"/>
      <c r="B64" s="245"/>
      <c r="C64" s="245"/>
      <c r="D64" s="246"/>
      <c r="E64" s="245"/>
      <c r="F64" s="247"/>
      <c r="G64" s="248"/>
      <c r="H64" s="247"/>
      <c r="I64" s="245"/>
      <c r="J64" s="249"/>
      <c r="K64" s="250"/>
      <c r="L64" s="249"/>
      <c r="M64" s="249"/>
    </row>
    <row r="65" spans="1:13" ht="15" customHeight="1" x14ac:dyDescent="0.15">
      <c r="A65" s="244"/>
      <c r="B65" s="245"/>
      <c r="C65" s="245"/>
      <c r="D65" s="246"/>
      <c r="E65" s="245"/>
      <c r="F65" s="247"/>
      <c r="G65" s="248"/>
      <c r="H65" s="247"/>
      <c r="I65" s="245"/>
      <c r="J65" s="249"/>
      <c r="K65" s="250"/>
      <c r="L65" s="249"/>
      <c r="M65" s="249"/>
    </row>
    <row r="66" spans="1:13" ht="15" customHeight="1" x14ac:dyDescent="0.15">
      <c r="A66" s="244"/>
      <c r="B66" s="245"/>
      <c r="C66" s="245"/>
      <c r="D66" s="246"/>
      <c r="E66" s="245"/>
      <c r="F66" s="247"/>
      <c r="G66" s="248"/>
      <c r="H66" s="247"/>
      <c r="I66" s="245"/>
      <c r="J66" s="249"/>
      <c r="K66" s="250"/>
      <c r="L66" s="249"/>
      <c r="M66" s="249"/>
    </row>
    <row r="67" spans="1:13" ht="15" customHeight="1" x14ac:dyDescent="0.15">
      <c r="A67" s="244"/>
      <c r="B67" s="245"/>
      <c r="C67" s="245"/>
      <c r="D67" s="246"/>
      <c r="E67" s="245"/>
      <c r="F67" s="247"/>
      <c r="G67" s="248"/>
      <c r="H67" s="247"/>
      <c r="I67" s="245"/>
      <c r="J67" s="249"/>
      <c r="K67" s="250"/>
      <c r="L67" s="249"/>
      <c r="M67" s="249"/>
    </row>
    <row r="68" spans="1:13" ht="15" customHeight="1" x14ac:dyDescent="0.15">
      <c r="A68" s="244"/>
      <c r="B68" s="245"/>
      <c r="C68" s="245"/>
      <c r="D68" s="246"/>
      <c r="E68" s="245"/>
      <c r="F68" s="247"/>
      <c r="G68" s="248"/>
      <c r="H68" s="247"/>
      <c r="I68" s="245"/>
      <c r="J68" s="249"/>
      <c r="K68" s="250"/>
      <c r="L68" s="249"/>
      <c r="M68" s="249"/>
    </row>
    <row r="69" spans="1:13" ht="15" customHeight="1" x14ac:dyDescent="0.15">
      <c r="A69" s="244"/>
      <c r="B69" s="245"/>
      <c r="C69" s="245"/>
      <c r="D69" s="246"/>
      <c r="E69" s="245"/>
      <c r="F69" s="247"/>
      <c r="G69" s="248"/>
      <c r="H69" s="247"/>
      <c r="I69" s="245"/>
      <c r="J69" s="249"/>
      <c r="K69" s="250"/>
      <c r="L69" s="249"/>
      <c r="M69" s="249"/>
    </row>
    <row r="70" spans="1:13" ht="15" customHeight="1" x14ac:dyDescent="0.15">
      <c r="A70" s="244"/>
      <c r="B70" s="245"/>
      <c r="C70" s="245"/>
      <c r="D70" s="246"/>
      <c r="E70" s="245"/>
      <c r="F70" s="247"/>
      <c r="G70" s="248"/>
      <c r="H70" s="247"/>
      <c r="I70" s="245"/>
      <c r="J70" s="249"/>
      <c r="K70" s="250"/>
      <c r="L70" s="249"/>
      <c r="M70" s="249"/>
    </row>
    <row r="71" spans="1:13" ht="15" customHeight="1" x14ac:dyDescent="0.15">
      <c r="A71" s="244"/>
      <c r="B71" s="245"/>
      <c r="C71" s="245"/>
      <c r="D71" s="246"/>
      <c r="E71" s="245"/>
      <c r="F71" s="247"/>
      <c r="G71" s="248"/>
      <c r="H71" s="247"/>
      <c r="I71" s="245"/>
      <c r="J71" s="249"/>
      <c r="K71" s="250"/>
      <c r="L71" s="249"/>
      <c r="M71" s="249"/>
    </row>
    <row r="72" spans="1:13" ht="15" customHeight="1" x14ac:dyDescent="0.15">
      <c r="A72" s="244"/>
      <c r="B72" s="245"/>
      <c r="C72" s="245"/>
      <c r="D72" s="246"/>
      <c r="E72" s="245"/>
      <c r="F72" s="247"/>
      <c r="G72" s="248"/>
      <c r="H72" s="247"/>
      <c r="I72" s="245"/>
      <c r="J72" s="249"/>
      <c r="K72" s="250"/>
      <c r="L72" s="249"/>
      <c r="M72" s="249"/>
    </row>
    <row r="73" spans="1:13" ht="15" customHeight="1" x14ac:dyDescent="0.15">
      <c r="A73" s="244"/>
      <c r="B73" s="245"/>
      <c r="C73" s="245"/>
      <c r="D73" s="246"/>
      <c r="E73" s="245"/>
      <c r="F73" s="247"/>
      <c r="G73" s="248"/>
      <c r="H73" s="247"/>
      <c r="I73" s="245"/>
      <c r="J73" s="249"/>
      <c r="K73" s="250"/>
      <c r="L73" s="249"/>
      <c r="M73" s="249"/>
    </row>
    <row r="74" spans="1:13" ht="15" customHeight="1" x14ac:dyDescent="0.15">
      <c r="A74" s="244"/>
      <c r="B74" s="245"/>
      <c r="C74" s="245"/>
      <c r="D74" s="246"/>
      <c r="E74" s="245"/>
      <c r="F74" s="247"/>
      <c r="G74" s="248"/>
      <c r="H74" s="247"/>
      <c r="I74" s="245"/>
      <c r="J74" s="249"/>
      <c r="K74" s="250"/>
      <c r="L74" s="249"/>
      <c r="M74" s="249"/>
    </row>
    <row r="75" spans="1:13" ht="15" customHeight="1" x14ac:dyDescent="0.15">
      <c r="A75" s="244"/>
      <c r="B75" s="245"/>
      <c r="C75" s="245"/>
      <c r="D75" s="246"/>
      <c r="E75" s="245"/>
      <c r="F75" s="247"/>
      <c r="G75" s="248"/>
      <c r="H75" s="247"/>
      <c r="I75" s="245"/>
      <c r="J75" s="249"/>
      <c r="K75" s="250"/>
      <c r="L75" s="249"/>
      <c r="M75" s="249"/>
    </row>
    <row r="76" spans="1:13" ht="15" customHeight="1" x14ac:dyDescent="0.15">
      <c r="A76" s="244"/>
      <c r="B76" s="245"/>
      <c r="C76" s="245"/>
      <c r="D76" s="246"/>
      <c r="E76" s="245"/>
      <c r="F76" s="247"/>
      <c r="G76" s="248"/>
      <c r="H76" s="247"/>
      <c r="I76" s="245"/>
      <c r="J76" s="249"/>
      <c r="K76" s="250"/>
      <c r="L76" s="249"/>
      <c r="M76" s="249"/>
    </row>
    <row r="77" spans="1:13" ht="15" customHeight="1" x14ac:dyDescent="0.15">
      <c r="A77" s="244"/>
      <c r="B77" s="245"/>
      <c r="C77" s="245"/>
      <c r="D77" s="246"/>
      <c r="E77" s="245"/>
      <c r="F77" s="247"/>
      <c r="G77" s="248"/>
      <c r="H77" s="247"/>
      <c r="I77" s="245"/>
      <c r="J77" s="249"/>
      <c r="K77" s="250"/>
      <c r="L77" s="249"/>
      <c r="M77" s="249"/>
    </row>
    <row r="78" spans="1:13" ht="15" customHeight="1" x14ac:dyDescent="0.15">
      <c r="A78" s="244"/>
      <c r="B78" s="245"/>
      <c r="C78" s="245"/>
      <c r="D78" s="246"/>
      <c r="E78" s="245"/>
      <c r="F78" s="247"/>
      <c r="G78" s="248"/>
      <c r="H78" s="247"/>
      <c r="I78" s="245"/>
      <c r="J78" s="249"/>
      <c r="K78" s="250"/>
      <c r="L78" s="249"/>
      <c r="M78" s="249"/>
    </row>
    <row r="79" spans="1:13" ht="15" customHeight="1" x14ac:dyDescent="0.15">
      <c r="A79" s="244"/>
      <c r="B79" s="245"/>
      <c r="C79" s="245"/>
      <c r="D79" s="246"/>
      <c r="E79" s="245"/>
      <c r="F79" s="247"/>
      <c r="G79" s="248"/>
      <c r="H79" s="247"/>
      <c r="I79" s="245"/>
      <c r="J79" s="249"/>
      <c r="K79" s="250"/>
      <c r="L79" s="249"/>
      <c r="M79" s="249"/>
    </row>
    <row r="80" spans="1:13" ht="15" customHeight="1" x14ac:dyDescent="0.15">
      <c r="A80" s="244"/>
      <c r="B80" s="245"/>
      <c r="C80" s="245"/>
      <c r="D80" s="246"/>
      <c r="E80" s="245"/>
      <c r="F80" s="247"/>
      <c r="G80" s="248"/>
      <c r="H80" s="247"/>
      <c r="I80" s="245"/>
      <c r="J80" s="249"/>
      <c r="K80" s="250"/>
      <c r="L80" s="249"/>
      <c r="M80" s="249"/>
    </row>
    <row r="81" spans="1:13" ht="15" customHeight="1" x14ac:dyDescent="0.15">
      <c r="A81" s="244"/>
      <c r="B81" s="245"/>
      <c r="C81" s="245"/>
      <c r="D81" s="246"/>
      <c r="E81" s="245"/>
      <c r="F81" s="247"/>
      <c r="G81" s="248"/>
      <c r="H81" s="247"/>
      <c r="I81" s="245"/>
      <c r="J81" s="249"/>
      <c r="K81" s="250"/>
      <c r="L81" s="249"/>
      <c r="M81" s="249"/>
    </row>
    <row r="82" spans="1:13" ht="15" customHeight="1" x14ac:dyDescent="0.15">
      <c r="A82" s="244"/>
      <c r="B82" s="245"/>
      <c r="C82" s="245"/>
      <c r="D82" s="246"/>
      <c r="E82" s="245"/>
      <c r="F82" s="247"/>
      <c r="G82" s="248"/>
      <c r="H82" s="247"/>
      <c r="I82" s="245"/>
      <c r="J82" s="249"/>
      <c r="K82" s="250"/>
      <c r="L82" s="249"/>
      <c r="M82" s="249"/>
    </row>
    <row r="83" spans="1:13" ht="15" customHeight="1" x14ac:dyDescent="0.15">
      <c r="A83" s="244"/>
      <c r="B83" s="245"/>
      <c r="C83" s="245"/>
      <c r="D83" s="246"/>
      <c r="E83" s="245"/>
      <c r="F83" s="247"/>
      <c r="G83" s="248"/>
      <c r="H83" s="247"/>
      <c r="I83" s="245"/>
      <c r="J83" s="249"/>
      <c r="K83" s="250"/>
      <c r="L83" s="249"/>
      <c r="M83" s="249"/>
    </row>
    <row r="84" spans="1:13" ht="15" customHeight="1" x14ac:dyDescent="0.15">
      <c r="A84" s="244"/>
      <c r="B84" s="245"/>
      <c r="C84" s="245"/>
      <c r="D84" s="246"/>
      <c r="E84" s="245"/>
      <c r="F84" s="247"/>
      <c r="G84" s="248"/>
      <c r="H84" s="247"/>
      <c r="I84" s="245"/>
      <c r="J84" s="249"/>
      <c r="K84" s="250"/>
      <c r="L84" s="249"/>
      <c r="M84" s="249"/>
    </row>
    <row r="85" spans="1:13" ht="15" customHeight="1" x14ac:dyDescent="0.15">
      <c r="A85" s="244"/>
      <c r="B85" s="245"/>
      <c r="C85" s="245"/>
      <c r="D85" s="246"/>
      <c r="E85" s="245"/>
      <c r="F85" s="247"/>
      <c r="G85" s="248"/>
      <c r="H85" s="247"/>
      <c r="I85" s="245"/>
      <c r="J85" s="249"/>
      <c r="K85" s="250"/>
      <c r="L85" s="249"/>
      <c r="M85" s="249"/>
    </row>
    <row r="86" spans="1:13" ht="15" customHeight="1" x14ac:dyDescent="0.15">
      <c r="A86" s="244"/>
      <c r="B86" s="245"/>
      <c r="C86" s="245"/>
      <c r="D86" s="246"/>
      <c r="E86" s="245"/>
      <c r="F86" s="247"/>
      <c r="G86" s="248"/>
      <c r="H86" s="247"/>
      <c r="I86" s="245"/>
      <c r="J86" s="249"/>
      <c r="K86" s="250"/>
      <c r="L86" s="249"/>
      <c r="M86" s="249"/>
    </row>
    <row r="87" spans="1:13" ht="15" customHeight="1" x14ac:dyDescent="0.15">
      <c r="A87" s="244"/>
      <c r="B87" s="245"/>
      <c r="C87" s="245"/>
      <c r="D87" s="246"/>
      <c r="E87" s="245"/>
      <c r="F87" s="247"/>
      <c r="G87" s="248"/>
      <c r="H87" s="247"/>
      <c r="I87" s="245"/>
      <c r="J87" s="249"/>
      <c r="K87" s="250"/>
      <c r="L87" s="249"/>
      <c r="M87" s="249"/>
    </row>
    <row r="88" spans="1:13" ht="15" customHeight="1" x14ac:dyDescent="0.15">
      <c r="A88" s="244"/>
      <c r="B88" s="245"/>
      <c r="C88" s="245"/>
      <c r="D88" s="246"/>
      <c r="E88" s="245"/>
      <c r="F88" s="247"/>
      <c r="G88" s="248"/>
      <c r="H88" s="247"/>
      <c r="I88" s="245"/>
      <c r="J88" s="249"/>
      <c r="K88" s="250"/>
      <c r="L88" s="249"/>
      <c r="M88" s="249"/>
    </row>
    <row r="89" spans="1:13" ht="15" customHeight="1" x14ac:dyDescent="0.15">
      <c r="A89" s="244"/>
      <c r="B89" s="245"/>
      <c r="C89" s="245"/>
      <c r="D89" s="246"/>
      <c r="E89" s="245"/>
      <c r="F89" s="247"/>
      <c r="G89" s="248"/>
      <c r="H89" s="247"/>
      <c r="I89" s="245"/>
      <c r="J89" s="249"/>
      <c r="K89" s="250"/>
      <c r="L89" s="249"/>
      <c r="M89" s="249"/>
    </row>
    <row r="90" spans="1:13" ht="15" customHeight="1" x14ac:dyDescent="0.15">
      <c r="A90" s="244"/>
      <c r="B90" s="245"/>
      <c r="C90" s="245"/>
      <c r="D90" s="246"/>
      <c r="E90" s="245"/>
      <c r="F90" s="247"/>
      <c r="G90" s="248"/>
      <c r="H90" s="247"/>
      <c r="I90" s="245"/>
      <c r="J90" s="249"/>
      <c r="K90" s="250"/>
      <c r="L90" s="249"/>
      <c r="M90" s="249"/>
    </row>
    <row r="91" spans="1:13" ht="15" customHeight="1" x14ac:dyDescent="0.15">
      <c r="A91" s="244"/>
      <c r="B91" s="245"/>
      <c r="C91" s="245"/>
      <c r="D91" s="246"/>
      <c r="E91" s="245"/>
      <c r="F91" s="247"/>
      <c r="G91" s="248"/>
      <c r="H91" s="247"/>
      <c r="I91" s="245"/>
      <c r="J91" s="249"/>
      <c r="K91" s="250"/>
      <c r="L91" s="249"/>
      <c r="M91" s="249"/>
    </row>
    <row r="92" spans="1:13" ht="15" customHeight="1" x14ac:dyDescent="0.15">
      <c r="A92" s="244"/>
      <c r="B92" s="245"/>
      <c r="C92" s="245"/>
      <c r="D92" s="246"/>
      <c r="E92" s="245"/>
      <c r="F92" s="247"/>
      <c r="G92" s="248"/>
      <c r="H92" s="247"/>
      <c r="I92" s="245"/>
      <c r="J92" s="249"/>
      <c r="K92" s="250"/>
      <c r="L92" s="249"/>
      <c r="M92" s="249"/>
    </row>
    <row r="93" spans="1:13" ht="15" customHeight="1" x14ac:dyDescent="0.15">
      <c r="A93" s="244"/>
      <c r="B93" s="245"/>
      <c r="C93" s="245"/>
      <c r="D93" s="246"/>
      <c r="E93" s="245"/>
      <c r="F93" s="247"/>
      <c r="G93" s="248"/>
      <c r="H93" s="247"/>
      <c r="I93" s="245"/>
      <c r="J93" s="249"/>
      <c r="K93" s="250"/>
      <c r="L93" s="249"/>
      <c r="M93" s="249"/>
    </row>
    <row r="94" spans="1:13" ht="15" customHeight="1" x14ac:dyDescent="0.15">
      <c r="A94" s="244"/>
      <c r="B94" s="245"/>
      <c r="C94" s="245"/>
      <c r="D94" s="246"/>
      <c r="E94" s="245"/>
      <c r="F94" s="247"/>
      <c r="G94" s="248"/>
      <c r="H94" s="247"/>
      <c r="I94" s="245"/>
      <c r="J94" s="249"/>
      <c r="K94" s="250"/>
      <c r="L94" s="249"/>
      <c r="M94" s="249"/>
    </row>
    <row r="95" spans="1:13" ht="15" customHeight="1" x14ac:dyDescent="0.15">
      <c r="A95" s="244"/>
      <c r="B95" s="245"/>
      <c r="C95" s="245"/>
      <c r="D95" s="246"/>
      <c r="E95" s="245"/>
      <c r="F95" s="247"/>
      <c r="G95" s="248"/>
      <c r="H95" s="247"/>
      <c r="I95" s="245"/>
      <c r="J95" s="249"/>
      <c r="K95" s="250"/>
      <c r="L95" s="249"/>
      <c r="M95" s="249"/>
    </row>
    <row r="96" spans="1:13" ht="15" customHeight="1" x14ac:dyDescent="0.15">
      <c r="A96" s="244"/>
      <c r="B96" s="245"/>
      <c r="C96" s="245"/>
      <c r="D96" s="246"/>
      <c r="E96" s="245"/>
      <c r="F96" s="247"/>
      <c r="G96" s="248"/>
      <c r="H96" s="247"/>
      <c r="I96" s="245"/>
      <c r="J96" s="249"/>
      <c r="K96" s="250"/>
      <c r="L96" s="249"/>
      <c r="M96" s="249"/>
    </row>
    <row r="97" spans="1:13" ht="15" customHeight="1" x14ac:dyDescent="0.15">
      <c r="A97" s="244"/>
      <c r="B97" s="245"/>
      <c r="C97" s="245"/>
      <c r="D97" s="246"/>
      <c r="E97" s="245"/>
      <c r="F97" s="247"/>
      <c r="G97" s="248"/>
      <c r="H97" s="247"/>
      <c r="I97" s="245"/>
      <c r="J97" s="249"/>
      <c r="K97" s="250"/>
      <c r="L97" s="249"/>
      <c r="M97" s="249"/>
    </row>
    <row r="98" spans="1:13" ht="15" customHeight="1" x14ac:dyDescent="0.15">
      <c r="A98" s="244"/>
      <c r="B98" s="245"/>
      <c r="C98" s="245"/>
      <c r="D98" s="246"/>
      <c r="E98" s="245"/>
      <c r="F98" s="247"/>
      <c r="G98" s="248"/>
      <c r="H98" s="247"/>
      <c r="I98" s="245"/>
      <c r="J98" s="249"/>
      <c r="K98" s="250"/>
      <c r="L98" s="249"/>
      <c r="M98" s="249"/>
    </row>
    <row r="99" spans="1:13" ht="15" customHeight="1" x14ac:dyDescent="0.15">
      <c r="A99" s="244"/>
      <c r="B99" s="245"/>
      <c r="C99" s="245"/>
      <c r="D99" s="246"/>
      <c r="E99" s="245"/>
      <c r="F99" s="247"/>
      <c r="G99" s="248"/>
      <c r="H99" s="247"/>
      <c r="I99" s="245"/>
      <c r="J99" s="249"/>
      <c r="K99" s="250"/>
      <c r="L99" s="249"/>
      <c r="M99" s="249"/>
    </row>
    <row r="100" spans="1:13" ht="15" customHeight="1" x14ac:dyDescent="0.15">
      <c r="A100" s="244"/>
      <c r="B100" s="245"/>
      <c r="C100" s="245"/>
      <c r="D100" s="246"/>
      <c r="E100" s="245"/>
      <c r="F100" s="247"/>
      <c r="G100" s="248"/>
      <c r="H100" s="247"/>
      <c r="I100" s="245"/>
      <c r="J100" s="249"/>
      <c r="K100" s="250"/>
      <c r="L100" s="249"/>
      <c r="M100" s="249"/>
    </row>
    <row r="101" spans="1:13" ht="15" customHeight="1" x14ac:dyDescent="0.15">
      <c r="A101" s="244"/>
      <c r="B101" s="245"/>
      <c r="C101" s="245"/>
      <c r="D101" s="246"/>
      <c r="E101" s="245"/>
      <c r="F101" s="247"/>
      <c r="G101" s="248"/>
      <c r="H101" s="247"/>
      <c r="I101" s="245"/>
      <c r="J101" s="249"/>
      <c r="K101" s="250"/>
      <c r="L101" s="249"/>
      <c r="M101" s="249"/>
    </row>
    <row r="102" spans="1:13" ht="15" customHeight="1" x14ac:dyDescent="0.15">
      <c r="A102" s="244"/>
      <c r="B102" s="245"/>
      <c r="C102" s="245"/>
      <c r="D102" s="246"/>
      <c r="E102" s="245"/>
      <c r="F102" s="247"/>
      <c r="G102" s="248"/>
      <c r="H102" s="247"/>
      <c r="I102" s="245"/>
      <c r="J102" s="249"/>
      <c r="K102" s="250"/>
      <c r="L102" s="249"/>
      <c r="M102" s="249"/>
    </row>
    <row r="103" spans="1:13" ht="15" customHeight="1" x14ac:dyDescent="0.15">
      <c r="A103" s="244"/>
      <c r="B103" s="245"/>
      <c r="C103" s="245"/>
      <c r="D103" s="246"/>
      <c r="E103" s="245"/>
      <c r="F103" s="247"/>
      <c r="G103" s="248"/>
      <c r="H103" s="247"/>
      <c r="I103" s="245"/>
      <c r="J103" s="249"/>
      <c r="K103" s="250"/>
      <c r="L103" s="249"/>
      <c r="M103" s="249"/>
    </row>
    <row r="104" spans="1:13" ht="15" customHeight="1" x14ac:dyDescent="0.15">
      <c r="A104" s="244"/>
      <c r="B104" s="245"/>
      <c r="C104" s="245"/>
      <c r="D104" s="246"/>
      <c r="E104" s="245"/>
      <c r="F104" s="247"/>
      <c r="G104" s="248"/>
      <c r="H104" s="247"/>
      <c r="I104" s="245"/>
      <c r="J104" s="249"/>
      <c r="K104" s="250"/>
      <c r="L104" s="249"/>
      <c r="M104" s="249"/>
    </row>
    <row r="105" spans="1:13" ht="15" customHeight="1" x14ac:dyDescent="0.15">
      <c r="A105" s="244"/>
      <c r="B105" s="245"/>
      <c r="C105" s="245"/>
      <c r="D105" s="246"/>
      <c r="E105" s="245"/>
      <c r="F105" s="247"/>
      <c r="G105" s="248"/>
      <c r="H105" s="247"/>
      <c r="I105" s="245"/>
      <c r="J105" s="249"/>
      <c r="K105" s="250"/>
      <c r="L105" s="249"/>
      <c r="M105" s="249"/>
    </row>
    <row r="106" spans="1:13" ht="15" customHeight="1" x14ac:dyDescent="0.15">
      <c r="A106" s="244"/>
      <c r="B106" s="245"/>
      <c r="C106" s="245"/>
      <c r="D106" s="246"/>
      <c r="E106" s="245"/>
      <c r="F106" s="247"/>
      <c r="G106" s="248"/>
      <c r="H106" s="247"/>
      <c r="I106" s="245"/>
      <c r="J106" s="249"/>
      <c r="K106" s="250"/>
      <c r="L106" s="249"/>
      <c r="M106" s="249"/>
    </row>
    <row r="107" spans="1:13" ht="15" customHeight="1" x14ac:dyDescent="0.15">
      <c r="A107" s="244"/>
      <c r="B107" s="245"/>
      <c r="C107" s="245"/>
      <c r="D107" s="246"/>
      <c r="E107" s="245"/>
      <c r="F107" s="247"/>
      <c r="G107" s="248"/>
      <c r="H107" s="247"/>
      <c r="I107" s="245"/>
      <c r="J107" s="249"/>
      <c r="K107" s="250"/>
      <c r="L107" s="249"/>
      <c r="M107" s="249"/>
    </row>
    <row r="108" spans="1:13" ht="15" customHeight="1" x14ac:dyDescent="0.15">
      <c r="A108" s="244"/>
      <c r="B108" s="245"/>
      <c r="C108" s="245"/>
      <c r="D108" s="246"/>
      <c r="E108" s="245"/>
      <c r="F108" s="247"/>
      <c r="G108" s="248"/>
      <c r="H108" s="247"/>
      <c r="I108" s="245"/>
      <c r="J108" s="249"/>
      <c r="K108" s="250"/>
      <c r="L108" s="249"/>
      <c r="M108" s="249"/>
    </row>
    <row r="109" spans="1:13" ht="15" customHeight="1" x14ac:dyDescent="0.15">
      <c r="A109" s="244"/>
      <c r="B109" s="245"/>
      <c r="C109" s="245"/>
      <c r="D109" s="246"/>
      <c r="E109" s="245"/>
      <c r="F109" s="247"/>
      <c r="G109" s="248"/>
      <c r="H109" s="247"/>
      <c r="I109" s="245"/>
      <c r="J109" s="249"/>
      <c r="K109" s="250"/>
      <c r="L109" s="249"/>
      <c r="M109" s="249"/>
    </row>
    <row r="110" spans="1:13" ht="15" customHeight="1" x14ac:dyDescent="0.15">
      <c r="A110" s="244"/>
      <c r="B110" s="245"/>
      <c r="C110" s="245"/>
      <c r="D110" s="246"/>
      <c r="E110" s="245"/>
      <c r="F110" s="247"/>
      <c r="G110" s="248"/>
      <c r="H110" s="247"/>
      <c r="I110" s="245"/>
      <c r="J110" s="249"/>
      <c r="K110" s="250"/>
      <c r="L110" s="249"/>
      <c r="M110" s="249"/>
    </row>
    <row r="111" spans="1:13" ht="15" customHeight="1" x14ac:dyDescent="0.15">
      <c r="A111" s="244"/>
      <c r="B111" s="245"/>
      <c r="C111" s="245"/>
      <c r="D111" s="246"/>
      <c r="E111" s="245"/>
      <c r="F111" s="247"/>
      <c r="G111" s="248"/>
      <c r="H111" s="247"/>
      <c r="I111" s="245"/>
      <c r="J111" s="249"/>
      <c r="K111" s="250"/>
      <c r="L111" s="249"/>
      <c r="M111" s="249"/>
    </row>
    <row r="112" spans="1:13" ht="15" customHeight="1" x14ac:dyDescent="0.15">
      <c r="A112" s="244"/>
      <c r="B112" s="245"/>
      <c r="C112" s="245"/>
      <c r="D112" s="246"/>
      <c r="E112" s="245"/>
      <c r="F112" s="247"/>
      <c r="G112" s="248"/>
      <c r="H112" s="247"/>
      <c r="I112" s="245"/>
      <c r="J112" s="249"/>
      <c r="K112" s="250"/>
      <c r="L112" s="249"/>
      <c r="M112" s="249"/>
    </row>
    <row r="113" spans="1:13" ht="15" customHeight="1" x14ac:dyDescent="0.15">
      <c r="A113" s="244"/>
      <c r="B113" s="245"/>
      <c r="C113" s="245"/>
      <c r="D113" s="246"/>
      <c r="E113" s="245"/>
      <c r="F113" s="247"/>
      <c r="G113" s="248"/>
      <c r="H113" s="247"/>
      <c r="I113" s="245"/>
      <c r="J113" s="249"/>
      <c r="K113" s="250"/>
      <c r="L113" s="249"/>
      <c r="M113" s="249"/>
    </row>
    <row r="114" spans="1:13" ht="15" customHeight="1" x14ac:dyDescent="0.15">
      <c r="A114" s="244"/>
      <c r="B114" s="245"/>
      <c r="C114" s="245"/>
      <c r="D114" s="246"/>
      <c r="E114" s="245"/>
      <c r="F114" s="247"/>
      <c r="G114" s="248"/>
      <c r="H114" s="247"/>
      <c r="I114" s="245"/>
      <c r="J114" s="249"/>
      <c r="K114" s="250"/>
      <c r="L114" s="249"/>
      <c r="M114" s="249"/>
    </row>
    <row r="115" spans="1:13" ht="15" customHeight="1" x14ac:dyDescent="0.15">
      <c r="A115" s="244"/>
      <c r="B115" s="245"/>
      <c r="C115" s="245"/>
      <c r="D115" s="246"/>
      <c r="E115" s="245"/>
      <c r="F115" s="247"/>
      <c r="G115" s="248"/>
      <c r="H115" s="247"/>
      <c r="I115" s="245"/>
      <c r="J115" s="249"/>
      <c r="K115" s="250"/>
      <c r="L115" s="249"/>
      <c r="M115" s="249"/>
    </row>
    <row r="116" spans="1:13" ht="15" customHeight="1" x14ac:dyDescent="0.15">
      <c r="A116" s="244"/>
      <c r="B116" s="245"/>
      <c r="C116" s="245"/>
      <c r="D116" s="246"/>
      <c r="E116" s="245"/>
      <c r="F116" s="247"/>
      <c r="G116" s="248"/>
      <c r="H116" s="247"/>
      <c r="I116" s="245"/>
      <c r="J116" s="249"/>
      <c r="K116" s="250"/>
      <c r="L116" s="249"/>
      <c r="M116" s="249"/>
    </row>
    <row r="117" spans="1:13" ht="15" customHeight="1" x14ac:dyDescent="0.15">
      <c r="A117" s="244"/>
      <c r="B117" s="245"/>
      <c r="C117" s="245"/>
      <c r="D117" s="246"/>
      <c r="E117" s="245"/>
      <c r="F117" s="247"/>
      <c r="G117" s="248"/>
      <c r="H117" s="247"/>
      <c r="I117" s="245"/>
      <c r="J117" s="249"/>
      <c r="K117" s="250"/>
      <c r="L117" s="249"/>
      <c r="M117" s="249"/>
    </row>
    <row r="118" spans="1:13" ht="15" customHeight="1" x14ac:dyDescent="0.15">
      <c r="A118" s="244"/>
      <c r="B118" s="245"/>
      <c r="C118" s="245"/>
      <c r="D118" s="246"/>
      <c r="E118" s="245"/>
      <c r="F118" s="247"/>
      <c r="G118" s="248"/>
      <c r="H118" s="247"/>
      <c r="I118" s="245"/>
      <c r="J118" s="249"/>
      <c r="K118" s="250"/>
      <c r="L118" s="249"/>
      <c r="M118" s="249"/>
    </row>
    <row r="119" spans="1:13" ht="15" customHeight="1" x14ac:dyDescent="0.15">
      <c r="A119" s="244"/>
      <c r="B119" s="245"/>
      <c r="C119" s="245"/>
      <c r="D119" s="246"/>
      <c r="E119" s="245"/>
      <c r="F119" s="247"/>
      <c r="G119" s="248"/>
      <c r="H119" s="247"/>
      <c r="I119" s="245"/>
      <c r="J119" s="249"/>
      <c r="K119" s="250"/>
      <c r="L119" s="249"/>
      <c r="M119" s="249"/>
    </row>
    <row r="120" spans="1:13" ht="15" customHeight="1" x14ac:dyDescent="0.15">
      <c r="A120" s="244"/>
      <c r="B120" s="245"/>
      <c r="C120" s="245"/>
      <c r="D120" s="246"/>
      <c r="E120" s="245"/>
      <c r="F120" s="247"/>
      <c r="G120" s="248"/>
      <c r="H120" s="247"/>
      <c r="I120" s="245"/>
      <c r="J120" s="249"/>
      <c r="K120" s="250"/>
      <c r="L120" s="249"/>
      <c r="M120" s="249"/>
    </row>
    <row r="121" spans="1:13" ht="15" customHeight="1" x14ac:dyDescent="0.15">
      <c r="A121" s="244"/>
      <c r="B121" s="245"/>
      <c r="C121" s="245"/>
      <c r="D121" s="246"/>
      <c r="E121" s="245"/>
      <c r="F121" s="247"/>
      <c r="G121" s="248"/>
      <c r="H121" s="247"/>
      <c r="I121" s="245"/>
      <c r="J121" s="249"/>
      <c r="K121" s="250"/>
      <c r="L121" s="249"/>
      <c r="M121" s="249"/>
    </row>
    <row r="122" spans="1:13" ht="15" customHeight="1" x14ac:dyDescent="0.15">
      <c r="A122" s="244"/>
      <c r="B122" s="245"/>
      <c r="C122" s="245"/>
      <c r="D122" s="246"/>
      <c r="E122" s="245"/>
      <c r="F122" s="247"/>
      <c r="G122" s="248"/>
      <c r="H122" s="247"/>
      <c r="I122" s="245"/>
      <c r="J122" s="249"/>
      <c r="K122" s="250"/>
      <c r="L122" s="249"/>
      <c r="M122" s="249"/>
    </row>
    <row r="123" spans="1:13" ht="15" customHeight="1" x14ac:dyDescent="0.15">
      <c r="A123" s="244"/>
      <c r="B123" s="245"/>
      <c r="C123" s="245"/>
      <c r="D123" s="246"/>
      <c r="E123" s="245"/>
      <c r="F123" s="247"/>
      <c r="G123" s="248"/>
      <c r="H123" s="247"/>
      <c r="I123" s="245"/>
      <c r="J123" s="249"/>
      <c r="K123" s="250"/>
      <c r="L123" s="249"/>
      <c r="M123" s="249"/>
    </row>
    <row r="124" spans="1:13" ht="15" customHeight="1" x14ac:dyDescent="0.15">
      <c r="A124" s="244"/>
      <c r="B124" s="245"/>
      <c r="C124" s="245"/>
      <c r="D124" s="246"/>
      <c r="E124" s="245"/>
      <c r="F124" s="247"/>
      <c r="G124" s="248"/>
      <c r="H124" s="247"/>
      <c r="I124" s="245"/>
      <c r="J124" s="249"/>
      <c r="K124" s="250"/>
      <c r="L124" s="249"/>
      <c r="M124" s="249"/>
    </row>
    <row r="125" spans="1:13" ht="15" customHeight="1" x14ac:dyDescent="0.15">
      <c r="A125" s="244"/>
      <c r="B125" s="245"/>
      <c r="C125" s="245"/>
      <c r="D125" s="246"/>
      <c r="E125" s="245"/>
      <c r="F125" s="247"/>
      <c r="G125" s="248"/>
      <c r="H125" s="247"/>
      <c r="I125" s="245"/>
      <c r="J125" s="249"/>
      <c r="K125" s="250"/>
      <c r="L125" s="249"/>
      <c r="M125" s="249"/>
    </row>
    <row r="126" spans="1:13" ht="15" customHeight="1" x14ac:dyDescent="0.15">
      <c r="A126" s="244"/>
      <c r="B126" s="245"/>
      <c r="C126" s="245"/>
      <c r="D126" s="246"/>
      <c r="E126" s="245"/>
      <c r="F126" s="247"/>
      <c r="G126" s="248"/>
      <c r="H126" s="247"/>
      <c r="I126" s="245"/>
      <c r="J126" s="249"/>
      <c r="K126" s="250"/>
      <c r="L126" s="249"/>
      <c r="M126" s="249"/>
    </row>
    <row r="127" spans="1:13" ht="15" customHeight="1" x14ac:dyDescent="0.15">
      <c r="A127" s="244"/>
      <c r="B127" s="245"/>
      <c r="C127" s="245"/>
      <c r="D127" s="246"/>
      <c r="E127" s="245"/>
      <c r="F127" s="247"/>
      <c r="G127" s="248"/>
      <c r="H127" s="247"/>
      <c r="I127" s="245"/>
      <c r="J127" s="249"/>
      <c r="K127" s="250"/>
      <c r="L127" s="249"/>
      <c r="M127" s="249"/>
    </row>
    <row r="128" spans="1:13" ht="15" customHeight="1" x14ac:dyDescent="0.15">
      <c r="A128" s="244"/>
      <c r="B128" s="245"/>
      <c r="C128" s="245"/>
      <c r="D128" s="246"/>
      <c r="E128" s="245"/>
      <c r="F128" s="247"/>
      <c r="G128" s="248"/>
      <c r="H128" s="247"/>
      <c r="I128" s="245"/>
      <c r="J128" s="249"/>
      <c r="K128" s="250"/>
      <c r="L128" s="249"/>
      <c r="M128" s="249"/>
    </row>
    <row r="129" spans="1:13" ht="15" customHeight="1" x14ac:dyDescent="0.15">
      <c r="A129" s="244"/>
      <c r="B129" s="245"/>
      <c r="C129" s="245"/>
      <c r="D129" s="246"/>
      <c r="E129" s="245"/>
      <c r="F129" s="247"/>
      <c r="G129" s="248"/>
      <c r="H129" s="247"/>
      <c r="I129" s="245"/>
      <c r="J129" s="249"/>
      <c r="K129" s="250"/>
      <c r="L129" s="249"/>
      <c r="M129" s="249"/>
    </row>
    <row r="130" spans="1:13" ht="15" customHeight="1" x14ac:dyDescent="0.15">
      <c r="A130" s="244"/>
      <c r="B130" s="245"/>
      <c r="C130" s="245"/>
      <c r="D130" s="246"/>
      <c r="E130" s="245"/>
      <c r="F130" s="247"/>
      <c r="G130" s="248"/>
      <c r="H130" s="247"/>
      <c r="I130" s="245"/>
      <c r="J130" s="249"/>
      <c r="K130" s="250"/>
      <c r="L130" s="249"/>
      <c r="M130" s="249"/>
    </row>
    <row r="131" spans="1:13" ht="15" customHeight="1" x14ac:dyDescent="0.15">
      <c r="A131" s="244"/>
      <c r="B131" s="245"/>
      <c r="C131" s="245"/>
      <c r="D131" s="246"/>
      <c r="E131" s="245"/>
      <c r="F131" s="247"/>
      <c r="G131" s="248"/>
      <c r="H131" s="247"/>
      <c r="I131" s="245"/>
      <c r="J131" s="249"/>
      <c r="K131" s="250"/>
      <c r="L131" s="249"/>
      <c r="M131" s="249"/>
    </row>
    <row r="132" spans="1:13" ht="15" customHeight="1" x14ac:dyDescent="0.15">
      <c r="A132" s="244"/>
      <c r="B132" s="245"/>
      <c r="C132" s="245"/>
      <c r="D132" s="246"/>
      <c r="E132" s="245"/>
      <c r="F132" s="247"/>
      <c r="G132" s="248"/>
      <c r="H132" s="247"/>
      <c r="I132" s="245"/>
      <c r="J132" s="249"/>
      <c r="K132" s="250"/>
      <c r="L132" s="249"/>
      <c r="M132" s="249"/>
    </row>
    <row r="133" spans="1:13" ht="15" customHeight="1" x14ac:dyDescent="0.15">
      <c r="A133" s="244"/>
      <c r="B133" s="245"/>
      <c r="C133" s="245"/>
      <c r="D133" s="246"/>
      <c r="E133" s="245"/>
      <c r="F133" s="247"/>
      <c r="G133" s="248"/>
      <c r="H133" s="247"/>
      <c r="I133" s="245"/>
      <c r="J133" s="249"/>
      <c r="K133" s="250"/>
      <c r="L133" s="249"/>
      <c r="M133" s="249"/>
    </row>
    <row r="134" spans="1:13" ht="15" customHeight="1" x14ac:dyDescent="0.15">
      <c r="A134" s="244"/>
      <c r="B134" s="245"/>
      <c r="C134" s="245"/>
      <c r="D134" s="246"/>
      <c r="E134" s="245"/>
      <c r="F134" s="247"/>
      <c r="G134" s="248"/>
      <c r="H134" s="247"/>
      <c r="I134" s="245"/>
      <c r="J134" s="249"/>
      <c r="K134" s="250"/>
      <c r="L134" s="249"/>
      <c r="M134" s="249"/>
    </row>
    <row r="135" spans="1:13" ht="15" customHeight="1" x14ac:dyDescent="0.15">
      <c r="A135" s="244"/>
      <c r="B135" s="245"/>
      <c r="C135" s="245"/>
      <c r="D135" s="246"/>
      <c r="E135" s="245"/>
      <c r="F135" s="247"/>
      <c r="G135" s="248"/>
      <c r="H135" s="247"/>
      <c r="I135" s="245"/>
      <c r="J135" s="249"/>
      <c r="K135" s="250"/>
      <c r="L135" s="249"/>
      <c r="M135" s="249"/>
    </row>
    <row r="136" spans="1:13" ht="15" customHeight="1" x14ac:dyDescent="0.15">
      <c r="A136" s="244"/>
      <c r="B136" s="245"/>
      <c r="C136" s="245"/>
      <c r="D136" s="246"/>
      <c r="E136" s="245"/>
      <c r="F136" s="247"/>
      <c r="G136" s="248"/>
      <c r="H136" s="247"/>
      <c r="I136" s="245"/>
      <c r="J136" s="249"/>
      <c r="K136" s="250"/>
      <c r="L136" s="249"/>
      <c r="M136" s="249"/>
    </row>
    <row r="137" spans="1:13" ht="15" customHeight="1" x14ac:dyDescent="0.15">
      <c r="A137" s="244"/>
      <c r="B137" s="245"/>
      <c r="C137" s="245"/>
      <c r="D137" s="246"/>
      <c r="E137" s="245"/>
      <c r="F137" s="247"/>
      <c r="G137" s="248"/>
      <c r="H137" s="247"/>
      <c r="I137" s="245"/>
      <c r="J137" s="249"/>
      <c r="K137" s="250"/>
      <c r="L137" s="249"/>
      <c r="M137" s="249"/>
    </row>
    <row r="138" spans="1:13" ht="15" customHeight="1" x14ac:dyDescent="0.15">
      <c r="A138" s="244"/>
      <c r="B138" s="245"/>
      <c r="C138" s="245"/>
      <c r="D138" s="246"/>
      <c r="E138" s="245"/>
      <c r="F138" s="247"/>
      <c r="G138" s="248"/>
      <c r="H138" s="247"/>
      <c r="I138" s="245"/>
      <c r="J138" s="249"/>
      <c r="K138" s="250"/>
      <c r="L138" s="249"/>
      <c r="M138" s="249"/>
    </row>
    <row r="139" spans="1:13" ht="15" customHeight="1" x14ac:dyDescent="0.15">
      <c r="A139" s="244"/>
      <c r="B139" s="245"/>
      <c r="C139" s="245"/>
      <c r="D139" s="246"/>
      <c r="E139" s="245"/>
      <c r="F139" s="247"/>
      <c r="G139" s="248"/>
      <c r="H139" s="247"/>
      <c r="I139" s="245"/>
      <c r="J139" s="249"/>
      <c r="K139" s="250"/>
      <c r="L139" s="249"/>
      <c r="M139" s="249"/>
    </row>
    <row r="140" spans="1:13" ht="15" customHeight="1" x14ac:dyDescent="0.15">
      <c r="A140" s="244"/>
      <c r="B140" s="245"/>
      <c r="C140" s="245"/>
      <c r="D140" s="246"/>
      <c r="E140" s="245"/>
      <c r="F140" s="247"/>
      <c r="G140" s="248"/>
      <c r="H140" s="247"/>
      <c r="I140" s="245"/>
      <c r="J140" s="249"/>
      <c r="K140" s="250"/>
      <c r="L140" s="249"/>
      <c r="M140" s="249"/>
    </row>
    <row r="141" spans="1:13" ht="15" customHeight="1" x14ac:dyDescent="0.15">
      <c r="A141" s="244"/>
      <c r="B141" s="245"/>
      <c r="C141" s="245"/>
      <c r="D141" s="246"/>
      <c r="E141" s="245"/>
      <c r="F141" s="247"/>
      <c r="G141" s="248"/>
      <c r="H141" s="247"/>
      <c r="I141" s="245"/>
      <c r="J141" s="249"/>
      <c r="K141" s="250"/>
      <c r="L141" s="249"/>
      <c r="M141" s="249"/>
    </row>
    <row r="142" spans="1:13" ht="15" customHeight="1" x14ac:dyDescent="0.15">
      <c r="A142" s="244"/>
      <c r="B142" s="245"/>
      <c r="C142" s="245"/>
      <c r="D142" s="246"/>
      <c r="E142" s="245"/>
      <c r="F142" s="247"/>
      <c r="G142" s="248"/>
      <c r="H142" s="247"/>
      <c r="I142" s="245"/>
      <c r="J142" s="249"/>
      <c r="K142" s="250"/>
      <c r="L142" s="249"/>
      <c r="M142" s="249"/>
    </row>
    <row r="143" spans="1:13" ht="15" customHeight="1" x14ac:dyDescent="0.15">
      <c r="A143" s="244"/>
      <c r="B143" s="245"/>
      <c r="C143" s="245"/>
      <c r="D143" s="246"/>
      <c r="E143" s="245"/>
      <c r="F143" s="247"/>
      <c r="G143" s="248"/>
      <c r="H143" s="247"/>
      <c r="I143" s="245"/>
      <c r="J143" s="249"/>
      <c r="K143" s="250"/>
      <c r="L143" s="249"/>
      <c r="M143" s="249"/>
    </row>
    <row r="144" spans="1:13" ht="15" customHeight="1" x14ac:dyDescent="0.15">
      <c r="A144" s="244"/>
      <c r="B144" s="245"/>
      <c r="C144" s="245"/>
      <c r="D144" s="246"/>
      <c r="E144" s="245"/>
      <c r="F144" s="247"/>
      <c r="G144" s="248"/>
      <c r="H144" s="247"/>
      <c r="I144" s="245"/>
      <c r="J144" s="249"/>
      <c r="K144" s="250"/>
      <c r="L144" s="249"/>
      <c r="M144" s="249"/>
    </row>
    <row r="145" spans="1:13" ht="15" customHeight="1" x14ac:dyDescent="0.15">
      <c r="A145" s="244"/>
      <c r="B145" s="245"/>
      <c r="C145" s="245"/>
      <c r="D145" s="246"/>
      <c r="E145" s="245"/>
      <c r="F145" s="247"/>
      <c r="G145" s="248"/>
      <c r="H145" s="247"/>
      <c r="I145" s="245"/>
      <c r="J145" s="249"/>
      <c r="K145" s="250"/>
      <c r="L145" s="249"/>
      <c r="M145" s="249"/>
    </row>
    <row r="146" spans="1:13" ht="15" customHeight="1" x14ac:dyDescent="0.15">
      <c r="A146" s="244"/>
      <c r="B146" s="245"/>
      <c r="C146" s="245"/>
      <c r="D146" s="246"/>
      <c r="E146" s="245"/>
      <c r="F146" s="247"/>
      <c r="G146" s="248"/>
      <c r="H146" s="247"/>
      <c r="I146" s="245"/>
      <c r="J146" s="249"/>
      <c r="K146" s="250"/>
      <c r="L146" s="249"/>
      <c r="M146" s="249"/>
    </row>
    <row r="147" spans="1:13" ht="15" customHeight="1" x14ac:dyDescent="0.15">
      <c r="A147" s="244"/>
      <c r="B147" s="245"/>
      <c r="C147" s="245"/>
      <c r="D147" s="246"/>
      <c r="E147" s="245"/>
      <c r="F147" s="247"/>
      <c r="G147" s="248"/>
      <c r="H147" s="247"/>
      <c r="I147" s="245"/>
      <c r="J147" s="249"/>
      <c r="K147" s="250"/>
      <c r="L147" s="249"/>
      <c r="M147" s="249"/>
    </row>
    <row r="148" spans="1:13" ht="15" customHeight="1" x14ac:dyDescent="0.15">
      <c r="A148" s="244"/>
      <c r="B148" s="245"/>
      <c r="C148" s="245"/>
      <c r="D148" s="246"/>
      <c r="E148" s="245"/>
      <c r="F148" s="247"/>
      <c r="G148" s="248"/>
      <c r="H148" s="247"/>
      <c r="I148" s="245"/>
      <c r="J148" s="249"/>
      <c r="K148" s="250"/>
      <c r="L148" s="249"/>
      <c r="M148" s="249"/>
    </row>
    <row r="149" spans="1:13" ht="15" customHeight="1" x14ac:dyDescent="0.15">
      <c r="A149" s="244"/>
      <c r="B149" s="245"/>
      <c r="C149" s="245"/>
      <c r="D149" s="246"/>
      <c r="E149" s="245"/>
      <c r="F149" s="247"/>
      <c r="G149" s="248"/>
      <c r="H149" s="247"/>
      <c r="I149" s="245"/>
      <c r="J149" s="249"/>
      <c r="K149" s="250"/>
      <c r="L149" s="249"/>
      <c r="M149" s="249"/>
    </row>
    <row r="150" spans="1:13" ht="15" customHeight="1" x14ac:dyDescent="0.15">
      <c r="A150" s="244"/>
      <c r="B150" s="245"/>
      <c r="C150" s="245"/>
      <c r="D150" s="246"/>
      <c r="E150" s="245"/>
      <c r="F150" s="247"/>
      <c r="G150" s="248"/>
      <c r="H150" s="247"/>
      <c r="I150" s="245"/>
      <c r="J150" s="249"/>
      <c r="K150" s="250"/>
      <c r="L150" s="249"/>
      <c r="M150" s="249"/>
    </row>
    <row r="151" spans="1:13" ht="15" customHeight="1" x14ac:dyDescent="0.15">
      <c r="A151" s="244"/>
      <c r="B151" s="245"/>
      <c r="C151" s="245"/>
      <c r="D151" s="246"/>
      <c r="E151" s="245"/>
      <c r="F151" s="247"/>
      <c r="G151" s="248"/>
      <c r="H151" s="247"/>
      <c r="I151" s="245"/>
      <c r="J151" s="249"/>
      <c r="K151" s="250"/>
      <c r="L151" s="249"/>
      <c r="M151" s="249"/>
    </row>
    <row r="152" spans="1:13" ht="15" customHeight="1" x14ac:dyDescent="0.15">
      <c r="A152" s="244"/>
      <c r="B152" s="245"/>
      <c r="C152" s="245"/>
      <c r="D152" s="246"/>
      <c r="E152" s="245"/>
      <c r="F152" s="247"/>
      <c r="G152" s="248"/>
      <c r="H152" s="247"/>
      <c r="I152" s="245"/>
      <c r="J152" s="249"/>
      <c r="K152" s="250"/>
      <c r="L152" s="249"/>
      <c r="M152" s="249"/>
    </row>
    <row r="153" spans="1:13" ht="15" customHeight="1" x14ac:dyDescent="0.15">
      <c r="A153" s="244"/>
      <c r="B153" s="245"/>
      <c r="C153" s="245"/>
      <c r="D153" s="246"/>
      <c r="E153" s="245"/>
      <c r="F153" s="247"/>
      <c r="G153" s="248"/>
      <c r="H153" s="247"/>
      <c r="I153" s="245"/>
      <c r="J153" s="249"/>
      <c r="K153" s="250"/>
      <c r="L153" s="249"/>
      <c r="M153" s="249"/>
    </row>
    <row r="154" spans="1:13" ht="15" customHeight="1" x14ac:dyDescent="0.15">
      <c r="A154" s="244"/>
      <c r="B154" s="245"/>
      <c r="C154" s="245"/>
      <c r="D154" s="246"/>
      <c r="E154" s="245"/>
      <c r="F154" s="247"/>
      <c r="G154" s="248"/>
      <c r="H154" s="247"/>
      <c r="I154" s="245"/>
      <c r="J154" s="249"/>
      <c r="K154" s="250"/>
      <c r="L154" s="249"/>
      <c r="M154" s="249"/>
    </row>
    <row r="155" spans="1:13" ht="15" customHeight="1" x14ac:dyDescent="0.15">
      <c r="A155" s="244"/>
      <c r="B155" s="245"/>
      <c r="C155" s="245"/>
      <c r="D155" s="246"/>
      <c r="E155" s="245"/>
      <c r="F155" s="247"/>
      <c r="G155" s="248"/>
      <c r="H155" s="247"/>
      <c r="I155" s="245"/>
      <c r="J155" s="249"/>
      <c r="K155" s="250"/>
      <c r="L155" s="249"/>
      <c r="M155" s="249"/>
    </row>
    <row r="156" spans="1:13" ht="15" customHeight="1" x14ac:dyDescent="0.15">
      <c r="A156" s="244"/>
      <c r="B156" s="245"/>
      <c r="C156" s="245"/>
      <c r="D156" s="246"/>
      <c r="E156" s="245"/>
      <c r="F156" s="247"/>
      <c r="G156" s="248"/>
      <c r="H156" s="247"/>
      <c r="I156" s="245"/>
      <c r="J156" s="249"/>
      <c r="K156" s="250"/>
      <c r="L156" s="249"/>
      <c r="M156" s="249"/>
    </row>
    <row r="157" spans="1:13" ht="15" customHeight="1" x14ac:dyDescent="0.15">
      <c r="A157" s="244"/>
      <c r="B157" s="245"/>
      <c r="C157" s="245"/>
      <c r="D157" s="246"/>
      <c r="E157" s="245"/>
      <c r="F157" s="247"/>
      <c r="G157" s="248"/>
      <c r="H157" s="247"/>
      <c r="I157" s="245"/>
      <c r="J157" s="249"/>
      <c r="K157" s="250"/>
      <c r="L157" s="249"/>
      <c r="M157" s="249"/>
    </row>
    <row r="158" spans="1:13" ht="15" customHeight="1" x14ac:dyDescent="0.15">
      <c r="A158" s="244"/>
      <c r="B158" s="245"/>
      <c r="C158" s="245"/>
      <c r="D158" s="246"/>
      <c r="E158" s="245"/>
      <c r="F158" s="247"/>
      <c r="G158" s="248"/>
      <c r="H158" s="247"/>
      <c r="I158" s="245"/>
      <c r="J158" s="249"/>
      <c r="K158" s="250"/>
      <c r="L158" s="249"/>
      <c r="M158" s="249"/>
    </row>
    <row r="159" spans="1:13" ht="15" customHeight="1" x14ac:dyDescent="0.15">
      <c r="A159" s="244"/>
      <c r="B159" s="245"/>
      <c r="C159" s="245"/>
      <c r="D159" s="246"/>
      <c r="E159" s="245"/>
      <c r="F159" s="247"/>
      <c r="G159" s="248"/>
      <c r="H159" s="247"/>
      <c r="I159" s="245"/>
      <c r="J159" s="249"/>
      <c r="K159" s="250"/>
      <c r="L159" s="249"/>
      <c r="M159" s="249"/>
    </row>
    <row r="160" spans="1:13" ht="15" customHeight="1" x14ac:dyDescent="0.15">
      <c r="A160" s="244"/>
      <c r="B160" s="245"/>
      <c r="C160" s="245"/>
      <c r="D160" s="246"/>
      <c r="E160" s="245"/>
      <c r="F160" s="247"/>
      <c r="G160" s="248"/>
      <c r="H160" s="247"/>
      <c r="I160" s="245"/>
      <c r="J160" s="249"/>
      <c r="K160" s="250"/>
      <c r="L160" s="249"/>
      <c r="M160" s="249"/>
    </row>
    <row r="161" spans="1:13" ht="15" customHeight="1" x14ac:dyDescent="0.15">
      <c r="A161" s="244"/>
      <c r="B161" s="245"/>
      <c r="C161" s="245"/>
      <c r="D161" s="246"/>
      <c r="E161" s="245"/>
      <c r="F161" s="247"/>
      <c r="G161" s="248"/>
      <c r="H161" s="247"/>
      <c r="I161" s="245"/>
      <c r="J161" s="249"/>
      <c r="K161" s="250"/>
      <c r="L161" s="249"/>
      <c r="M161" s="249"/>
    </row>
    <row r="162" spans="1:13" ht="15" customHeight="1" x14ac:dyDescent="0.15">
      <c r="A162" s="244"/>
      <c r="B162" s="245"/>
      <c r="C162" s="245"/>
      <c r="D162" s="246"/>
      <c r="E162" s="245"/>
      <c r="F162" s="247"/>
      <c r="G162" s="248"/>
      <c r="H162" s="247"/>
      <c r="I162" s="245"/>
      <c r="J162" s="249"/>
      <c r="K162" s="250"/>
      <c r="L162" s="249"/>
      <c r="M162" s="249"/>
    </row>
    <row r="163" spans="1:13" ht="15" customHeight="1" x14ac:dyDescent="0.15">
      <c r="A163" s="244"/>
      <c r="B163" s="245"/>
      <c r="C163" s="245"/>
      <c r="D163" s="246"/>
      <c r="E163" s="245"/>
      <c r="F163" s="247"/>
      <c r="G163" s="248"/>
      <c r="H163" s="247"/>
      <c r="I163" s="245"/>
      <c r="J163" s="249"/>
      <c r="K163" s="250"/>
      <c r="L163" s="249"/>
      <c r="M163" s="249"/>
    </row>
    <row r="164" spans="1:13" ht="15" customHeight="1" x14ac:dyDescent="0.15">
      <c r="A164" s="244"/>
      <c r="B164" s="245"/>
      <c r="C164" s="245"/>
      <c r="D164" s="246"/>
      <c r="E164" s="245"/>
      <c r="F164" s="247"/>
      <c r="G164" s="248"/>
      <c r="H164" s="247"/>
      <c r="I164" s="245"/>
      <c r="J164" s="249"/>
      <c r="K164" s="250"/>
      <c r="L164" s="249"/>
      <c r="M164" s="249"/>
    </row>
    <row r="165" spans="1:13" ht="15" customHeight="1" x14ac:dyDescent="0.15">
      <c r="A165" s="244"/>
      <c r="B165" s="245"/>
      <c r="C165" s="245"/>
      <c r="D165" s="246"/>
      <c r="E165" s="245"/>
      <c r="F165" s="247"/>
      <c r="G165" s="248"/>
      <c r="H165" s="247"/>
      <c r="I165" s="245"/>
      <c r="J165" s="249"/>
      <c r="K165" s="250"/>
      <c r="L165" s="249"/>
      <c r="M165" s="249"/>
    </row>
    <row r="166" spans="1:13" ht="15" customHeight="1" x14ac:dyDescent="0.15">
      <c r="A166" s="244"/>
      <c r="B166" s="245"/>
      <c r="C166" s="245"/>
      <c r="D166" s="246"/>
      <c r="E166" s="245"/>
      <c r="F166" s="247"/>
      <c r="G166" s="248"/>
      <c r="H166" s="247"/>
      <c r="I166" s="245"/>
      <c r="J166" s="249"/>
      <c r="K166" s="250"/>
      <c r="L166" s="249"/>
      <c r="M166" s="249"/>
    </row>
    <row r="167" spans="1:13" ht="15" customHeight="1" x14ac:dyDescent="0.15">
      <c r="A167" s="244"/>
      <c r="B167" s="245"/>
      <c r="C167" s="245"/>
      <c r="D167" s="246"/>
      <c r="E167" s="245"/>
      <c r="F167" s="247"/>
      <c r="G167" s="248"/>
      <c r="H167" s="247"/>
      <c r="I167" s="245"/>
      <c r="J167" s="249"/>
      <c r="K167" s="250"/>
      <c r="L167" s="249"/>
      <c r="M167" s="249"/>
    </row>
    <row r="168" spans="1:13" ht="15" customHeight="1" x14ac:dyDescent="0.15">
      <c r="A168" s="244"/>
      <c r="B168" s="245"/>
      <c r="C168" s="245"/>
      <c r="D168" s="246"/>
      <c r="E168" s="245"/>
      <c r="F168" s="247"/>
      <c r="G168" s="248"/>
      <c r="H168" s="247"/>
      <c r="I168" s="245"/>
      <c r="J168" s="249"/>
      <c r="K168" s="250"/>
      <c r="L168" s="249"/>
      <c r="M168" s="249"/>
    </row>
    <row r="169" spans="1:13" ht="15" customHeight="1" x14ac:dyDescent="0.15">
      <c r="A169" s="244"/>
      <c r="B169" s="245"/>
      <c r="C169" s="245"/>
      <c r="D169" s="246"/>
      <c r="E169" s="245"/>
      <c r="F169" s="247"/>
      <c r="G169" s="248"/>
      <c r="H169" s="247"/>
      <c r="I169" s="245"/>
      <c r="J169" s="249"/>
      <c r="K169" s="250"/>
      <c r="L169" s="249"/>
      <c r="M169" s="249"/>
    </row>
    <row r="170" spans="1:13" ht="15" customHeight="1" x14ac:dyDescent="0.15">
      <c r="A170" s="244"/>
      <c r="B170" s="245"/>
      <c r="C170" s="245"/>
      <c r="D170" s="246"/>
      <c r="E170" s="245"/>
      <c r="F170" s="247"/>
      <c r="G170" s="248"/>
      <c r="H170" s="247"/>
      <c r="I170" s="245"/>
      <c r="J170" s="249"/>
      <c r="K170" s="250"/>
      <c r="L170" s="249"/>
      <c r="M170" s="249"/>
    </row>
    <row r="171" spans="1:13" ht="15" customHeight="1" x14ac:dyDescent="0.15">
      <c r="A171" s="244"/>
      <c r="B171" s="245"/>
      <c r="C171" s="245"/>
      <c r="D171" s="246"/>
      <c r="E171" s="245"/>
      <c r="F171" s="247"/>
      <c r="G171" s="248"/>
      <c r="H171" s="247"/>
      <c r="I171" s="245"/>
      <c r="J171" s="249"/>
      <c r="K171" s="250"/>
      <c r="L171" s="249"/>
      <c r="M171" s="249"/>
    </row>
    <row r="172" spans="1:13" ht="15" customHeight="1" x14ac:dyDescent="0.15">
      <c r="A172" s="244"/>
      <c r="B172" s="245"/>
      <c r="C172" s="245"/>
      <c r="D172" s="246"/>
      <c r="E172" s="245"/>
      <c r="F172" s="247"/>
      <c r="G172" s="248"/>
      <c r="H172" s="247"/>
      <c r="I172" s="245"/>
      <c r="J172" s="249"/>
      <c r="K172" s="250"/>
      <c r="L172" s="249"/>
      <c r="M172" s="249"/>
    </row>
    <row r="173" spans="1:13" ht="15" customHeight="1" x14ac:dyDescent="0.15">
      <c r="A173" s="244"/>
      <c r="B173" s="245"/>
      <c r="C173" s="245"/>
      <c r="D173" s="246"/>
      <c r="E173" s="245"/>
      <c r="F173" s="247"/>
      <c r="G173" s="248"/>
      <c r="H173" s="247"/>
      <c r="I173" s="245"/>
      <c r="J173" s="249"/>
      <c r="K173" s="250"/>
      <c r="L173" s="249"/>
      <c r="M173" s="249"/>
    </row>
    <row r="174" spans="1:13" ht="15" customHeight="1" x14ac:dyDescent="0.15">
      <c r="A174" s="244"/>
      <c r="B174" s="245"/>
      <c r="C174" s="245"/>
      <c r="D174" s="246"/>
      <c r="E174" s="245"/>
      <c r="F174" s="247"/>
      <c r="G174" s="248"/>
      <c r="H174" s="247"/>
      <c r="I174" s="245"/>
      <c r="J174" s="249"/>
      <c r="K174" s="250"/>
      <c r="L174" s="249"/>
      <c r="M174" s="249"/>
    </row>
    <row r="175" spans="1:13" ht="15" customHeight="1" x14ac:dyDescent="0.15">
      <c r="A175" s="244"/>
      <c r="B175" s="245"/>
      <c r="C175" s="245"/>
      <c r="D175" s="246"/>
      <c r="E175" s="245"/>
      <c r="F175" s="247"/>
      <c r="G175" s="248"/>
      <c r="H175" s="247"/>
      <c r="I175" s="245"/>
      <c r="J175" s="249"/>
      <c r="K175" s="250"/>
      <c r="L175" s="249"/>
      <c r="M175" s="249"/>
    </row>
    <row r="176" spans="1:13" ht="15" customHeight="1" x14ac:dyDescent="0.15">
      <c r="A176" s="244"/>
      <c r="B176" s="245"/>
      <c r="C176" s="245"/>
      <c r="D176" s="246"/>
      <c r="E176" s="245"/>
      <c r="F176" s="247"/>
      <c r="G176" s="248"/>
      <c r="H176" s="247"/>
      <c r="I176" s="245"/>
      <c r="J176" s="249"/>
      <c r="K176" s="250"/>
      <c r="L176" s="249"/>
      <c r="M176" s="249"/>
    </row>
    <row r="177" spans="1:13" ht="15" customHeight="1" x14ac:dyDescent="0.15">
      <c r="A177" s="244"/>
      <c r="B177" s="245"/>
      <c r="C177" s="245"/>
      <c r="D177" s="246"/>
      <c r="E177" s="245"/>
      <c r="F177" s="247"/>
      <c r="G177" s="248"/>
      <c r="H177" s="247"/>
      <c r="I177" s="245"/>
      <c r="J177" s="249"/>
      <c r="K177" s="250"/>
      <c r="L177" s="249"/>
      <c r="M177" s="249"/>
    </row>
    <row r="178" spans="1:13" ht="15" customHeight="1" x14ac:dyDescent="0.15">
      <c r="A178" s="244"/>
      <c r="B178" s="245"/>
      <c r="C178" s="245"/>
      <c r="D178" s="246"/>
      <c r="E178" s="245"/>
      <c r="F178" s="247"/>
      <c r="G178" s="248"/>
      <c r="H178" s="247"/>
      <c r="I178" s="245"/>
      <c r="J178" s="249"/>
      <c r="K178" s="250"/>
      <c r="L178" s="249"/>
      <c r="M178" s="249"/>
    </row>
    <row r="179" spans="1:13" ht="15" customHeight="1" x14ac:dyDescent="0.15">
      <c r="A179" s="244"/>
      <c r="B179" s="245"/>
      <c r="C179" s="245"/>
      <c r="D179" s="246"/>
      <c r="E179" s="245"/>
      <c r="F179" s="247"/>
      <c r="G179" s="248"/>
      <c r="H179" s="247"/>
      <c r="I179" s="245"/>
      <c r="J179" s="249"/>
      <c r="K179" s="250"/>
      <c r="L179" s="249"/>
      <c r="M179" s="249"/>
    </row>
    <row r="180" spans="1:13" ht="15" customHeight="1" x14ac:dyDescent="0.15">
      <c r="A180" s="244"/>
      <c r="B180" s="245"/>
      <c r="C180" s="245"/>
      <c r="D180" s="246"/>
      <c r="E180" s="245"/>
      <c r="F180" s="247"/>
      <c r="G180" s="248"/>
      <c r="H180" s="247"/>
      <c r="I180" s="245"/>
      <c r="J180" s="249"/>
      <c r="K180" s="250"/>
      <c r="L180" s="249"/>
      <c r="M180" s="249"/>
    </row>
    <row r="181" spans="1:13" ht="15" customHeight="1" x14ac:dyDescent="0.15">
      <c r="A181" s="244"/>
      <c r="B181" s="245"/>
      <c r="C181" s="245"/>
      <c r="D181" s="246"/>
      <c r="E181" s="245"/>
      <c r="F181" s="247"/>
      <c r="G181" s="248"/>
      <c r="H181" s="247"/>
      <c r="I181" s="245"/>
      <c r="J181" s="249"/>
      <c r="K181" s="250"/>
      <c r="L181" s="249"/>
      <c r="M181" s="249"/>
    </row>
    <row r="182" spans="1:13" ht="15" customHeight="1" x14ac:dyDescent="0.15">
      <c r="A182" s="244"/>
      <c r="B182" s="245"/>
      <c r="C182" s="245"/>
      <c r="D182" s="246"/>
      <c r="E182" s="245"/>
      <c r="F182" s="247"/>
      <c r="G182" s="248"/>
      <c r="H182" s="247"/>
      <c r="I182" s="245"/>
      <c r="J182" s="249"/>
      <c r="K182" s="250"/>
      <c r="L182" s="249"/>
      <c r="M182" s="249"/>
    </row>
    <row r="183" spans="1:13" ht="15" customHeight="1" x14ac:dyDescent="0.15">
      <c r="A183" s="244"/>
      <c r="B183" s="245"/>
      <c r="C183" s="245"/>
      <c r="D183" s="246"/>
      <c r="E183" s="245"/>
      <c r="F183" s="247"/>
      <c r="G183" s="248"/>
      <c r="H183" s="247"/>
      <c r="I183" s="245"/>
      <c r="J183" s="249"/>
      <c r="K183" s="250"/>
      <c r="L183" s="249"/>
      <c r="M183" s="249"/>
    </row>
    <row r="184" spans="1:13" ht="15" customHeight="1" x14ac:dyDescent="0.15">
      <c r="A184" s="244"/>
      <c r="B184" s="245"/>
      <c r="C184" s="245"/>
      <c r="D184" s="246"/>
      <c r="E184" s="245"/>
      <c r="F184" s="247"/>
      <c r="G184" s="248"/>
      <c r="H184" s="247"/>
      <c r="I184" s="245"/>
      <c r="J184" s="249"/>
      <c r="K184" s="250"/>
      <c r="L184" s="249"/>
      <c r="M184" s="249"/>
    </row>
    <row r="185" spans="1:13" ht="15" customHeight="1" x14ac:dyDescent="0.15">
      <c r="A185" s="244"/>
      <c r="B185" s="245"/>
      <c r="C185" s="245"/>
      <c r="D185" s="246"/>
      <c r="E185" s="245"/>
      <c r="F185" s="247"/>
      <c r="G185" s="248"/>
      <c r="H185" s="247"/>
      <c r="I185" s="245"/>
      <c r="J185" s="249"/>
      <c r="K185" s="250"/>
      <c r="L185" s="249"/>
      <c r="M185" s="249"/>
    </row>
    <row r="186" spans="1:13" ht="15" customHeight="1" x14ac:dyDescent="0.15">
      <c r="A186" s="244"/>
      <c r="B186" s="245"/>
      <c r="C186" s="245"/>
      <c r="D186" s="246"/>
      <c r="E186" s="245"/>
      <c r="F186" s="247"/>
      <c r="G186" s="248"/>
      <c r="H186" s="247"/>
      <c r="I186" s="245"/>
      <c r="J186" s="249"/>
      <c r="K186" s="250"/>
      <c r="L186" s="249"/>
      <c r="M186" s="249"/>
    </row>
    <row r="187" spans="1:13" ht="15" customHeight="1" x14ac:dyDescent="0.15">
      <c r="A187" s="244"/>
      <c r="B187" s="245"/>
      <c r="C187" s="245"/>
      <c r="D187" s="246"/>
      <c r="E187" s="245"/>
      <c r="F187" s="247"/>
      <c r="G187" s="248"/>
      <c r="H187" s="247"/>
      <c r="I187" s="245"/>
      <c r="J187" s="249"/>
      <c r="K187" s="250"/>
      <c r="L187" s="249"/>
      <c r="M187" s="249"/>
    </row>
    <row r="188" spans="1:13" ht="15" customHeight="1" x14ac:dyDescent="0.15">
      <c r="A188" s="244"/>
      <c r="B188" s="245"/>
      <c r="C188" s="245"/>
      <c r="D188" s="246"/>
      <c r="E188" s="245"/>
      <c r="F188" s="247"/>
      <c r="G188" s="248"/>
      <c r="H188" s="247"/>
      <c r="I188" s="245"/>
      <c r="J188" s="249"/>
      <c r="K188" s="250"/>
      <c r="L188" s="249"/>
      <c r="M188" s="249"/>
    </row>
    <row r="189" spans="1:13" ht="15" customHeight="1" x14ac:dyDescent="0.15">
      <c r="A189" s="244"/>
      <c r="B189" s="245"/>
      <c r="C189" s="245"/>
      <c r="D189" s="246"/>
      <c r="E189" s="245"/>
      <c r="F189" s="247"/>
      <c r="G189" s="248"/>
      <c r="H189" s="247"/>
      <c r="I189" s="245"/>
      <c r="J189" s="249"/>
      <c r="K189" s="250"/>
      <c r="L189" s="249"/>
      <c r="M189" s="249"/>
    </row>
    <row r="190" spans="1:13" ht="15" customHeight="1" x14ac:dyDescent="0.15">
      <c r="A190" s="244"/>
      <c r="B190" s="245"/>
      <c r="C190" s="245"/>
      <c r="D190" s="246"/>
      <c r="E190" s="245"/>
      <c r="F190" s="247"/>
      <c r="G190" s="248"/>
      <c r="H190" s="247"/>
      <c r="I190" s="245"/>
      <c r="J190" s="249"/>
      <c r="K190" s="250"/>
      <c r="L190" s="249"/>
      <c r="M190" s="249"/>
    </row>
    <row r="191" spans="1:13" ht="15" customHeight="1" x14ac:dyDescent="0.15">
      <c r="A191" s="244"/>
      <c r="B191" s="245"/>
      <c r="C191" s="245"/>
      <c r="D191" s="246"/>
      <c r="E191" s="245"/>
      <c r="F191" s="247"/>
      <c r="G191" s="248"/>
      <c r="H191" s="247"/>
      <c r="I191" s="245"/>
      <c r="J191" s="249"/>
      <c r="K191" s="250"/>
      <c r="L191" s="249"/>
      <c r="M191" s="249"/>
    </row>
    <row r="192" spans="1:13" ht="15" customHeight="1" x14ac:dyDescent="0.15">
      <c r="A192" s="244"/>
      <c r="B192" s="245"/>
      <c r="C192" s="245"/>
      <c r="D192" s="246"/>
      <c r="E192" s="245"/>
      <c r="F192" s="247"/>
      <c r="G192" s="248"/>
      <c r="H192" s="247"/>
      <c r="I192" s="245"/>
      <c r="J192" s="249"/>
      <c r="K192" s="250"/>
      <c r="L192" s="249"/>
      <c r="M192" s="249"/>
    </row>
    <row r="193" spans="1:13" ht="15" customHeight="1" x14ac:dyDescent="0.15">
      <c r="A193" s="244"/>
      <c r="B193" s="245"/>
      <c r="C193" s="245"/>
      <c r="D193" s="246"/>
      <c r="E193" s="245"/>
      <c r="F193" s="247"/>
      <c r="G193" s="248"/>
      <c r="H193" s="247"/>
      <c r="I193" s="245"/>
      <c r="J193" s="249"/>
      <c r="K193" s="250"/>
      <c r="L193" s="249"/>
      <c r="M193" s="249"/>
    </row>
    <row r="194" spans="1:13" ht="15" customHeight="1" x14ac:dyDescent="0.15">
      <c r="A194" s="244"/>
      <c r="B194" s="245"/>
      <c r="C194" s="245"/>
      <c r="D194" s="246"/>
      <c r="E194" s="245"/>
      <c r="F194" s="247"/>
      <c r="G194" s="248"/>
      <c r="H194" s="247"/>
      <c r="I194" s="245"/>
      <c r="J194" s="249"/>
      <c r="K194" s="250"/>
      <c r="L194" s="249"/>
      <c r="M194" s="249"/>
    </row>
    <row r="195" spans="1:13" ht="15" customHeight="1" x14ac:dyDescent="0.15">
      <c r="A195" s="244"/>
      <c r="B195" s="245"/>
      <c r="C195" s="245"/>
      <c r="D195" s="246"/>
      <c r="E195" s="245"/>
      <c r="F195" s="247"/>
      <c r="G195" s="248"/>
      <c r="H195" s="247"/>
      <c r="I195" s="245"/>
      <c r="J195" s="249"/>
      <c r="K195" s="250"/>
      <c r="L195" s="249"/>
      <c r="M195" s="249"/>
    </row>
    <row r="196" spans="1:13" ht="15" customHeight="1" x14ac:dyDescent="0.15">
      <c r="A196" s="244"/>
      <c r="B196" s="245"/>
      <c r="C196" s="245"/>
      <c r="D196" s="246"/>
      <c r="E196" s="245"/>
      <c r="F196" s="247"/>
      <c r="G196" s="248"/>
      <c r="H196" s="247"/>
      <c r="I196" s="245"/>
      <c r="J196" s="249"/>
      <c r="K196" s="250"/>
      <c r="L196" s="249"/>
      <c r="M196" s="249"/>
    </row>
    <row r="197" spans="1:13" ht="15" customHeight="1" x14ac:dyDescent="0.15">
      <c r="A197" s="244"/>
      <c r="B197" s="245"/>
      <c r="C197" s="245"/>
      <c r="D197" s="246"/>
      <c r="E197" s="245"/>
      <c r="F197" s="247"/>
      <c r="G197" s="248"/>
      <c r="H197" s="247"/>
      <c r="I197" s="245"/>
      <c r="J197" s="249"/>
      <c r="K197" s="250"/>
      <c r="L197" s="249"/>
      <c r="M197" s="249"/>
    </row>
    <row r="198" spans="1:13" ht="15" customHeight="1" x14ac:dyDescent="0.15">
      <c r="A198" s="244"/>
      <c r="B198" s="245"/>
      <c r="C198" s="245"/>
      <c r="D198" s="246"/>
      <c r="E198" s="245"/>
      <c r="F198" s="247"/>
      <c r="G198" s="248"/>
      <c r="H198" s="247"/>
      <c r="I198" s="245"/>
      <c r="J198" s="249"/>
      <c r="K198" s="250"/>
      <c r="L198" s="249"/>
      <c r="M198" s="249"/>
    </row>
    <row r="199" spans="1:13" ht="15" customHeight="1" x14ac:dyDescent="0.15">
      <c r="A199" s="244"/>
      <c r="B199" s="245"/>
      <c r="C199" s="245"/>
      <c r="D199" s="246"/>
      <c r="E199" s="245"/>
      <c r="F199" s="247"/>
      <c r="G199" s="248"/>
      <c r="H199" s="247"/>
      <c r="I199" s="245"/>
      <c r="J199" s="249"/>
      <c r="K199" s="250"/>
      <c r="L199" s="249"/>
      <c r="M199" s="249"/>
    </row>
    <row r="200" spans="1:13" ht="15" customHeight="1" x14ac:dyDescent="0.15">
      <c r="A200" s="244"/>
      <c r="B200" s="245"/>
      <c r="C200" s="245"/>
      <c r="D200" s="246"/>
      <c r="E200" s="245"/>
      <c r="F200" s="247"/>
      <c r="G200" s="248"/>
      <c r="H200" s="247"/>
      <c r="I200" s="245"/>
      <c r="J200" s="249"/>
      <c r="K200" s="250"/>
      <c r="L200" s="249"/>
      <c r="M200" s="249"/>
    </row>
    <row r="201" spans="1:13" ht="15" customHeight="1" x14ac:dyDescent="0.15">
      <c r="A201" s="244"/>
      <c r="B201" s="245"/>
      <c r="C201" s="245"/>
      <c r="D201" s="246"/>
      <c r="E201" s="245"/>
      <c r="F201" s="247"/>
      <c r="G201" s="248"/>
      <c r="H201" s="247"/>
      <c r="I201" s="245"/>
      <c r="J201" s="249"/>
      <c r="K201" s="250"/>
      <c r="L201" s="249"/>
      <c r="M201" s="249"/>
    </row>
    <row r="202" spans="1:13" ht="15" customHeight="1" x14ac:dyDescent="0.15">
      <c r="A202" s="244"/>
      <c r="B202" s="245"/>
      <c r="C202" s="245"/>
      <c r="D202" s="246"/>
      <c r="E202" s="245"/>
      <c r="F202" s="247"/>
      <c r="G202" s="248"/>
      <c r="H202" s="247"/>
      <c r="I202" s="245"/>
      <c r="J202" s="249"/>
      <c r="K202" s="250"/>
      <c r="L202" s="249"/>
      <c r="M202" s="249"/>
    </row>
    <row r="203" spans="1:13" ht="15" customHeight="1" x14ac:dyDescent="0.15">
      <c r="A203" s="244"/>
      <c r="B203" s="245"/>
      <c r="C203" s="245"/>
      <c r="D203" s="246"/>
      <c r="E203" s="245"/>
      <c r="F203" s="247"/>
      <c r="G203" s="248"/>
      <c r="H203" s="247"/>
      <c r="I203" s="245"/>
      <c r="J203" s="249"/>
      <c r="K203" s="250"/>
      <c r="L203" s="249"/>
      <c r="M203" s="249"/>
    </row>
    <row r="204" spans="1:13" ht="15" customHeight="1" x14ac:dyDescent="0.15">
      <c r="A204" s="244"/>
      <c r="B204" s="245"/>
      <c r="C204" s="245"/>
      <c r="D204" s="246"/>
      <c r="E204" s="245"/>
      <c r="F204" s="247"/>
      <c r="G204" s="248"/>
      <c r="H204" s="247"/>
      <c r="I204" s="245"/>
      <c r="J204" s="249"/>
      <c r="K204" s="250"/>
      <c r="L204" s="249"/>
      <c r="M204" s="249"/>
    </row>
    <row r="205" spans="1:13" ht="15" customHeight="1" x14ac:dyDescent="0.15">
      <c r="A205" s="244"/>
      <c r="B205" s="245"/>
      <c r="C205" s="245"/>
      <c r="D205" s="246"/>
      <c r="E205" s="245"/>
      <c r="F205" s="247"/>
      <c r="G205" s="248"/>
      <c r="H205" s="247"/>
      <c r="I205" s="245"/>
      <c r="J205" s="249"/>
      <c r="K205" s="250"/>
      <c r="L205" s="249"/>
      <c r="M205" s="249"/>
    </row>
    <row r="206" spans="1:13" ht="15" customHeight="1" x14ac:dyDescent="0.15">
      <c r="A206" s="244"/>
      <c r="B206" s="245"/>
      <c r="C206" s="245"/>
      <c r="D206" s="246"/>
      <c r="E206" s="245"/>
      <c r="F206" s="247"/>
      <c r="G206" s="248"/>
      <c r="H206" s="247"/>
      <c r="I206" s="245"/>
      <c r="J206" s="249"/>
      <c r="K206" s="250"/>
      <c r="L206" s="249"/>
      <c r="M206" s="249"/>
    </row>
    <row r="207" spans="1:13" ht="15" customHeight="1" x14ac:dyDescent="0.15">
      <c r="A207" s="244"/>
      <c r="B207" s="245"/>
      <c r="C207" s="245"/>
      <c r="D207" s="246"/>
      <c r="E207" s="245"/>
      <c r="F207" s="247"/>
      <c r="G207" s="248"/>
      <c r="H207" s="247"/>
      <c r="I207" s="245"/>
      <c r="J207" s="249"/>
      <c r="K207" s="250"/>
      <c r="L207" s="249"/>
      <c r="M207" s="249"/>
    </row>
    <row r="208" spans="1:13" ht="15" customHeight="1" x14ac:dyDescent="0.15">
      <c r="A208" s="244"/>
      <c r="B208" s="245"/>
      <c r="C208" s="245"/>
      <c r="D208" s="246"/>
      <c r="E208" s="245"/>
      <c r="F208" s="247"/>
      <c r="G208" s="248"/>
      <c r="H208" s="247"/>
      <c r="I208" s="245"/>
      <c r="J208" s="249"/>
      <c r="K208" s="250"/>
      <c r="L208" s="249"/>
      <c r="M208" s="249"/>
    </row>
    <row r="209" spans="1:13" ht="15" customHeight="1" x14ac:dyDescent="0.15">
      <c r="A209" s="244"/>
      <c r="B209" s="245"/>
      <c r="C209" s="245"/>
      <c r="D209" s="246"/>
      <c r="E209" s="245"/>
      <c r="F209" s="247"/>
      <c r="G209" s="248"/>
      <c r="H209" s="247"/>
      <c r="I209" s="245"/>
      <c r="J209" s="249"/>
      <c r="K209" s="250"/>
      <c r="L209" s="249"/>
      <c r="M209" s="249"/>
    </row>
    <row r="210" spans="1:13" ht="15" customHeight="1" x14ac:dyDescent="0.15">
      <c r="A210" s="244"/>
      <c r="B210" s="245"/>
      <c r="C210" s="245"/>
      <c r="D210" s="246"/>
      <c r="E210" s="245"/>
      <c r="F210" s="247"/>
      <c r="G210" s="248"/>
      <c r="H210" s="247"/>
      <c r="I210" s="245"/>
      <c r="J210" s="249"/>
      <c r="K210" s="250"/>
      <c r="L210" s="249"/>
      <c r="M210" s="249"/>
    </row>
    <row r="211" spans="1:13" ht="15" customHeight="1" x14ac:dyDescent="0.15">
      <c r="A211" s="244"/>
      <c r="B211" s="245"/>
      <c r="C211" s="245"/>
      <c r="D211" s="246"/>
      <c r="E211" s="245"/>
      <c r="F211" s="247"/>
      <c r="G211" s="248"/>
      <c r="H211" s="247"/>
      <c r="I211" s="245"/>
      <c r="J211" s="249"/>
      <c r="K211" s="250"/>
      <c r="L211" s="249"/>
      <c r="M211" s="249"/>
    </row>
    <row r="212" spans="1:13" ht="15" customHeight="1" x14ac:dyDescent="0.15">
      <c r="A212" s="244"/>
      <c r="B212" s="245"/>
      <c r="C212" s="245"/>
      <c r="D212" s="246"/>
      <c r="E212" s="245"/>
      <c r="F212" s="247"/>
      <c r="G212" s="248"/>
      <c r="H212" s="247"/>
      <c r="I212" s="245"/>
      <c r="J212" s="249"/>
      <c r="K212" s="250"/>
      <c r="L212" s="249"/>
      <c r="M212" s="249"/>
    </row>
    <row r="213" spans="1:13" ht="15" customHeight="1" x14ac:dyDescent="0.15">
      <c r="A213" s="244"/>
      <c r="B213" s="245"/>
      <c r="C213" s="245"/>
      <c r="D213" s="246"/>
      <c r="E213" s="245"/>
      <c r="F213" s="247"/>
      <c r="G213" s="248"/>
      <c r="H213" s="247"/>
      <c r="I213" s="245"/>
      <c r="J213" s="249"/>
      <c r="K213" s="250"/>
      <c r="L213" s="249"/>
      <c r="M213" s="249"/>
    </row>
    <row r="214" spans="1:13" ht="15" customHeight="1" x14ac:dyDescent="0.15">
      <c r="A214" s="244"/>
      <c r="B214" s="245"/>
      <c r="C214" s="245"/>
      <c r="D214" s="246"/>
      <c r="E214" s="245"/>
      <c r="F214" s="247"/>
      <c r="G214" s="248"/>
      <c r="H214" s="247"/>
      <c r="I214" s="245"/>
      <c r="J214" s="249"/>
      <c r="K214" s="250"/>
      <c r="L214" s="249"/>
      <c r="M214" s="249"/>
    </row>
    <row r="215" spans="1:13" ht="15" customHeight="1" x14ac:dyDescent="0.15">
      <c r="A215" s="244"/>
      <c r="B215" s="245"/>
      <c r="C215" s="245"/>
      <c r="D215" s="246"/>
      <c r="E215" s="245"/>
      <c r="F215" s="247"/>
      <c r="G215" s="248"/>
      <c r="H215" s="247"/>
      <c r="I215" s="245"/>
      <c r="J215" s="249"/>
      <c r="K215" s="250"/>
      <c r="L215" s="249"/>
      <c r="M215" s="249"/>
    </row>
    <row r="216" spans="1:13" ht="15" customHeight="1" x14ac:dyDescent="0.15">
      <c r="A216" s="244"/>
      <c r="B216" s="245"/>
      <c r="C216" s="245"/>
      <c r="D216" s="246"/>
      <c r="E216" s="245"/>
      <c r="F216" s="247"/>
      <c r="G216" s="248"/>
      <c r="H216" s="247"/>
      <c r="I216" s="245"/>
      <c r="J216" s="249"/>
      <c r="K216" s="250"/>
      <c r="L216" s="249"/>
      <c r="M216" s="249"/>
    </row>
    <row r="217" spans="1:13" ht="15" customHeight="1" x14ac:dyDescent="0.15">
      <c r="A217" s="244"/>
      <c r="B217" s="245"/>
      <c r="C217" s="245"/>
      <c r="D217" s="246"/>
      <c r="E217" s="245"/>
      <c r="F217" s="247"/>
      <c r="G217" s="248"/>
      <c r="H217" s="247"/>
      <c r="I217" s="245"/>
      <c r="J217" s="249"/>
      <c r="K217" s="250"/>
      <c r="L217" s="249"/>
      <c r="M217" s="249"/>
    </row>
    <row r="218" spans="1:13" ht="15" customHeight="1" x14ac:dyDescent="0.15">
      <c r="A218" s="244"/>
      <c r="B218" s="245"/>
      <c r="C218" s="245"/>
      <c r="D218" s="246"/>
      <c r="E218" s="245"/>
      <c r="F218" s="247"/>
      <c r="G218" s="248"/>
      <c r="H218" s="247"/>
      <c r="I218" s="245"/>
      <c r="J218" s="249"/>
      <c r="K218" s="250"/>
      <c r="L218" s="249"/>
      <c r="M218" s="249"/>
    </row>
    <row r="219" spans="1:13" ht="15" customHeight="1" x14ac:dyDescent="0.15">
      <c r="A219" s="244"/>
      <c r="B219" s="245"/>
      <c r="C219" s="245"/>
      <c r="D219" s="246"/>
      <c r="E219" s="245"/>
      <c r="F219" s="247"/>
      <c r="G219" s="248"/>
      <c r="H219" s="247"/>
      <c r="I219" s="245"/>
      <c r="J219" s="249"/>
      <c r="K219" s="250"/>
      <c r="L219" s="249"/>
      <c r="M219" s="249"/>
    </row>
    <row r="220" spans="1:13" ht="15" customHeight="1" x14ac:dyDescent="0.15">
      <c r="A220" s="244"/>
      <c r="B220" s="245"/>
      <c r="C220" s="245"/>
      <c r="D220" s="246"/>
      <c r="E220" s="245"/>
      <c r="F220" s="247"/>
      <c r="G220" s="248"/>
      <c r="H220" s="247"/>
      <c r="I220" s="245"/>
      <c r="J220" s="249"/>
      <c r="K220" s="250"/>
      <c r="L220" s="249"/>
      <c r="M220" s="249"/>
    </row>
    <row r="221" spans="1:13" ht="15" customHeight="1" x14ac:dyDescent="0.15">
      <c r="A221" s="244"/>
      <c r="B221" s="245"/>
      <c r="C221" s="245"/>
      <c r="D221" s="246"/>
      <c r="E221" s="245"/>
      <c r="F221" s="247"/>
      <c r="G221" s="248"/>
      <c r="H221" s="247"/>
      <c r="I221" s="245"/>
      <c r="J221" s="249"/>
      <c r="K221" s="250"/>
      <c r="L221" s="249"/>
      <c r="M221" s="249"/>
    </row>
    <row r="222" spans="1:13" ht="15" customHeight="1" x14ac:dyDescent="0.15">
      <c r="A222" s="244"/>
      <c r="B222" s="245"/>
      <c r="C222" s="245"/>
      <c r="D222" s="246"/>
      <c r="E222" s="245"/>
      <c r="F222" s="247"/>
      <c r="G222" s="248"/>
      <c r="H222" s="247"/>
      <c r="I222" s="245"/>
      <c r="J222" s="249"/>
      <c r="K222" s="250"/>
      <c r="L222" s="249"/>
      <c r="M222" s="249"/>
    </row>
    <row r="223" spans="1:13" ht="15" customHeight="1" x14ac:dyDescent="0.15">
      <c r="A223" s="244"/>
      <c r="B223" s="245"/>
      <c r="C223" s="245"/>
      <c r="D223" s="246"/>
      <c r="E223" s="245"/>
      <c r="F223" s="247"/>
      <c r="G223" s="248"/>
      <c r="H223" s="247"/>
      <c r="I223" s="245"/>
      <c r="J223" s="249"/>
      <c r="K223" s="250"/>
      <c r="L223" s="249"/>
      <c r="M223" s="249"/>
    </row>
    <row r="224" spans="1:13" ht="15" customHeight="1" x14ac:dyDescent="0.15">
      <c r="A224" s="244"/>
      <c r="B224" s="245"/>
      <c r="C224" s="245"/>
      <c r="D224" s="246"/>
      <c r="E224" s="245"/>
      <c r="F224" s="247"/>
      <c r="G224" s="248"/>
      <c r="H224" s="247"/>
      <c r="I224" s="245"/>
      <c r="J224" s="249"/>
      <c r="K224" s="250"/>
      <c r="L224" s="249"/>
      <c r="M224" s="249"/>
    </row>
    <row r="225" spans="1:13" ht="15" customHeight="1" x14ac:dyDescent="0.15">
      <c r="A225" s="244"/>
      <c r="B225" s="245"/>
      <c r="C225" s="245"/>
      <c r="D225" s="246"/>
      <c r="E225" s="245"/>
      <c r="F225" s="247"/>
      <c r="G225" s="248"/>
      <c r="H225" s="247"/>
      <c r="I225" s="245"/>
      <c r="J225" s="249"/>
      <c r="K225" s="250"/>
      <c r="L225" s="249"/>
      <c r="M225" s="249"/>
    </row>
    <row r="226" spans="1:13" ht="15" customHeight="1" x14ac:dyDescent="0.15">
      <c r="A226" s="244"/>
      <c r="B226" s="245"/>
      <c r="C226" s="245"/>
      <c r="D226" s="246"/>
      <c r="E226" s="245"/>
      <c r="F226" s="247"/>
      <c r="G226" s="248"/>
      <c r="H226" s="247"/>
      <c r="I226" s="245"/>
      <c r="J226" s="249"/>
      <c r="K226" s="250"/>
      <c r="L226" s="249"/>
      <c r="M226" s="249"/>
    </row>
    <row r="227" spans="1:13" ht="15" customHeight="1" x14ac:dyDescent="0.15">
      <c r="A227" s="244"/>
      <c r="B227" s="245"/>
      <c r="C227" s="245"/>
      <c r="D227" s="246"/>
      <c r="E227" s="245"/>
      <c r="F227" s="247"/>
      <c r="G227" s="248"/>
      <c r="H227" s="247"/>
      <c r="I227" s="245"/>
      <c r="J227" s="249"/>
      <c r="K227" s="250"/>
      <c r="L227" s="249"/>
      <c r="M227" s="249"/>
    </row>
    <row r="228" spans="1:13" ht="15" customHeight="1" x14ac:dyDescent="0.15">
      <c r="A228" s="244"/>
      <c r="B228" s="245"/>
      <c r="C228" s="245"/>
      <c r="D228" s="246"/>
      <c r="E228" s="245"/>
      <c r="F228" s="247"/>
      <c r="G228" s="248"/>
      <c r="H228" s="247"/>
      <c r="I228" s="245"/>
      <c r="J228" s="249"/>
      <c r="K228" s="250"/>
      <c r="L228" s="249"/>
      <c r="M228" s="249"/>
    </row>
    <row r="229" spans="1:13" ht="15" customHeight="1" x14ac:dyDescent="0.15">
      <c r="A229" s="244"/>
      <c r="B229" s="245"/>
      <c r="C229" s="245"/>
      <c r="D229" s="246"/>
      <c r="E229" s="245"/>
      <c r="F229" s="247"/>
      <c r="G229" s="248"/>
      <c r="H229" s="247"/>
      <c r="I229" s="245"/>
      <c r="J229" s="249"/>
      <c r="K229" s="250"/>
      <c r="L229" s="249"/>
      <c r="M229" s="249"/>
    </row>
    <row r="230" spans="1:13" ht="15" customHeight="1" x14ac:dyDescent="0.15">
      <c r="A230" s="244"/>
      <c r="B230" s="245"/>
      <c r="C230" s="245"/>
      <c r="D230" s="246"/>
      <c r="E230" s="245"/>
      <c r="F230" s="247"/>
      <c r="G230" s="248"/>
      <c r="H230" s="247"/>
      <c r="I230" s="245"/>
      <c r="J230" s="249"/>
      <c r="K230" s="250"/>
      <c r="L230" s="249"/>
      <c r="M230" s="249"/>
    </row>
    <row r="231" spans="1:13" ht="15" customHeight="1" x14ac:dyDescent="0.15">
      <c r="A231" s="244"/>
      <c r="B231" s="245"/>
      <c r="C231" s="245"/>
      <c r="D231" s="246"/>
      <c r="E231" s="245"/>
      <c r="F231" s="247"/>
      <c r="G231" s="248"/>
      <c r="H231" s="247"/>
      <c r="I231" s="245"/>
      <c r="J231" s="249"/>
      <c r="K231" s="250"/>
      <c r="L231" s="249"/>
      <c r="M231" s="249"/>
    </row>
    <row r="232" spans="1:13" ht="15" customHeight="1" x14ac:dyDescent="0.15">
      <c r="A232" s="244"/>
      <c r="B232" s="245"/>
      <c r="C232" s="245"/>
      <c r="D232" s="246"/>
      <c r="E232" s="245"/>
      <c r="F232" s="247"/>
      <c r="G232" s="248"/>
      <c r="H232" s="247"/>
      <c r="I232" s="245"/>
      <c r="J232" s="249"/>
      <c r="K232" s="250"/>
      <c r="L232" s="249"/>
      <c r="M232" s="249"/>
    </row>
    <row r="233" spans="1:13" ht="15" customHeight="1" x14ac:dyDescent="0.15">
      <c r="A233" s="244"/>
      <c r="B233" s="245"/>
      <c r="C233" s="245"/>
      <c r="D233" s="246"/>
      <c r="E233" s="245"/>
      <c r="F233" s="247"/>
      <c r="G233" s="248"/>
      <c r="H233" s="247"/>
      <c r="I233" s="245"/>
      <c r="J233" s="249"/>
      <c r="K233" s="250"/>
      <c r="L233" s="249"/>
      <c r="M233" s="249"/>
    </row>
    <row r="234" spans="1:13" ht="15" customHeight="1" x14ac:dyDescent="0.15">
      <c r="A234" s="244"/>
      <c r="B234" s="245"/>
      <c r="C234" s="245"/>
      <c r="D234" s="246"/>
      <c r="E234" s="245"/>
      <c r="F234" s="247"/>
      <c r="G234" s="248"/>
      <c r="H234" s="247"/>
      <c r="I234" s="245"/>
      <c r="J234" s="249"/>
      <c r="K234" s="250"/>
      <c r="L234" s="249"/>
      <c r="M234" s="249"/>
    </row>
    <row r="235" spans="1:13" ht="15" customHeight="1" x14ac:dyDescent="0.15">
      <c r="A235" s="244"/>
      <c r="B235" s="245"/>
      <c r="C235" s="245"/>
      <c r="D235" s="246"/>
      <c r="E235" s="245"/>
      <c r="F235" s="247"/>
      <c r="G235" s="248"/>
      <c r="H235" s="247"/>
      <c r="I235" s="245"/>
      <c r="J235" s="249"/>
      <c r="K235" s="250"/>
      <c r="L235" s="249"/>
      <c r="M235" s="249"/>
    </row>
    <row r="236" spans="1:13" ht="15" customHeight="1" x14ac:dyDescent="0.15">
      <c r="A236" s="244"/>
      <c r="B236" s="245"/>
      <c r="C236" s="245"/>
      <c r="D236" s="246"/>
      <c r="E236" s="245"/>
      <c r="F236" s="247"/>
      <c r="G236" s="248"/>
      <c r="H236" s="247"/>
      <c r="I236" s="245"/>
      <c r="J236" s="249"/>
      <c r="K236" s="250"/>
      <c r="L236" s="249"/>
      <c r="M236" s="249"/>
    </row>
    <row r="237" spans="1:13" ht="15" customHeight="1" x14ac:dyDescent="0.15">
      <c r="A237" s="244"/>
      <c r="B237" s="245"/>
      <c r="C237" s="245"/>
      <c r="D237" s="246"/>
      <c r="E237" s="245"/>
      <c r="F237" s="247"/>
      <c r="G237" s="248"/>
      <c r="H237" s="247"/>
      <c r="I237" s="245"/>
      <c r="J237" s="249"/>
      <c r="K237" s="250"/>
      <c r="L237" s="249"/>
      <c r="M237" s="249"/>
    </row>
    <row r="238" spans="1:13" ht="15" customHeight="1" x14ac:dyDescent="0.15">
      <c r="A238" s="244"/>
      <c r="B238" s="245"/>
      <c r="C238" s="245"/>
      <c r="D238" s="246"/>
      <c r="E238" s="245"/>
      <c r="F238" s="247"/>
      <c r="G238" s="248"/>
      <c r="H238" s="247"/>
      <c r="I238" s="245"/>
      <c r="J238" s="249"/>
      <c r="K238" s="250"/>
      <c r="L238" s="249"/>
      <c r="M238" s="249"/>
    </row>
    <row r="239" spans="1:13" ht="15" customHeight="1" x14ac:dyDescent="0.15">
      <c r="A239" s="244"/>
      <c r="B239" s="245"/>
      <c r="C239" s="245"/>
      <c r="D239" s="246"/>
      <c r="E239" s="245"/>
      <c r="F239" s="247"/>
      <c r="G239" s="248"/>
      <c r="H239" s="247"/>
      <c r="I239" s="245"/>
      <c r="J239" s="249"/>
      <c r="K239" s="250"/>
      <c r="L239" s="249"/>
      <c r="M239" s="249"/>
    </row>
    <row r="240" spans="1:13" ht="15" customHeight="1" x14ac:dyDescent="0.15">
      <c r="A240" s="244"/>
      <c r="B240" s="245"/>
      <c r="C240" s="245"/>
      <c r="D240" s="246"/>
      <c r="E240" s="245"/>
      <c r="F240" s="247"/>
      <c r="G240" s="248"/>
      <c r="H240" s="247"/>
      <c r="I240" s="245"/>
      <c r="J240" s="249"/>
      <c r="K240" s="250"/>
      <c r="L240" s="249"/>
      <c r="M240" s="249"/>
    </row>
    <row r="241" spans="1:13" ht="15" customHeight="1" x14ac:dyDescent="0.15">
      <c r="A241" s="244"/>
      <c r="B241" s="245"/>
      <c r="C241" s="245"/>
      <c r="D241" s="246"/>
      <c r="E241" s="245"/>
      <c r="F241" s="247"/>
      <c r="G241" s="248"/>
      <c r="H241" s="247"/>
      <c r="I241" s="245"/>
      <c r="J241" s="249"/>
      <c r="K241" s="250"/>
      <c r="L241" s="249"/>
      <c r="M241" s="249"/>
    </row>
    <row r="242" spans="1:13" ht="15" customHeight="1" x14ac:dyDescent="0.15">
      <c r="A242" s="244"/>
      <c r="B242" s="245"/>
      <c r="C242" s="245"/>
      <c r="D242" s="246"/>
      <c r="E242" s="245"/>
      <c r="F242" s="247"/>
      <c r="G242" s="248"/>
      <c r="H242" s="247"/>
      <c r="I242" s="245"/>
      <c r="J242" s="249"/>
      <c r="K242" s="250"/>
      <c r="L242" s="249"/>
      <c r="M242" s="249"/>
    </row>
    <row r="243" spans="1:13" ht="15" customHeight="1" x14ac:dyDescent="0.15">
      <c r="A243" s="244"/>
      <c r="B243" s="245"/>
      <c r="C243" s="245"/>
      <c r="D243" s="246"/>
      <c r="E243" s="245"/>
      <c r="F243" s="247"/>
      <c r="G243" s="248"/>
      <c r="H243" s="247"/>
      <c r="I243" s="245"/>
      <c r="J243" s="249"/>
      <c r="K243" s="250"/>
      <c r="L243" s="249"/>
      <c r="M243" s="249"/>
    </row>
    <row r="244" spans="1:13" ht="15" customHeight="1" x14ac:dyDescent="0.15">
      <c r="A244" s="244"/>
      <c r="B244" s="245"/>
      <c r="C244" s="245"/>
      <c r="D244" s="246"/>
      <c r="E244" s="245"/>
      <c r="F244" s="247"/>
      <c r="G244" s="248"/>
      <c r="H244" s="247"/>
      <c r="I244" s="245"/>
      <c r="J244" s="249"/>
      <c r="K244" s="250"/>
      <c r="L244" s="249"/>
      <c r="M244" s="249"/>
    </row>
    <row r="245" spans="1:13" ht="15" customHeight="1" x14ac:dyDescent="0.15">
      <c r="A245" s="244"/>
      <c r="B245" s="245"/>
      <c r="C245" s="245"/>
      <c r="D245" s="246"/>
      <c r="E245" s="245"/>
      <c r="F245" s="247"/>
      <c r="G245" s="248"/>
      <c r="H245" s="247"/>
      <c r="I245" s="245"/>
      <c r="J245" s="249"/>
      <c r="K245" s="250"/>
      <c r="L245" s="249"/>
      <c r="M245" s="249"/>
    </row>
    <row r="246" spans="1:13" ht="15" customHeight="1" x14ac:dyDescent="0.15">
      <c r="A246" s="244"/>
      <c r="B246" s="245"/>
      <c r="C246" s="245"/>
      <c r="D246" s="246"/>
      <c r="E246" s="245"/>
      <c r="F246" s="247"/>
      <c r="G246" s="248"/>
      <c r="H246" s="247"/>
      <c r="I246" s="245"/>
      <c r="J246" s="249"/>
      <c r="K246" s="250"/>
      <c r="L246" s="249"/>
      <c r="M246" s="249"/>
    </row>
    <row r="247" spans="1:13" ht="15" customHeight="1" x14ac:dyDescent="0.15">
      <c r="A247" s="244"/>
      <c r="B247" s="245"/>
      <c r="C247" s="245"/>
      <c r="D247" s="246"/>
      <c r="E247" s="245"/>
      <c r="F247" s="247"/>
      <c r="G247" s="248"/>
      <c r="H247" s="247"/>
      <c r="I247" s="245"/>
      <c r="J247" s="249"/>
      <c r="K247" s="250"/>
      <c r="L247" s="249"/>
      <c r="M247" s="249"/>
    </row>
    <row r="248" spans="1:13" ht="15" customHeight="1" x14ac:dyDescent="0.15">
      <c r="A248" s="244"/>
      <c r="B248" s="245"/>
      <c r="C248" s="245"/>
      <c r="D248" s="246"/>
      <c r="E248" s="245"/>
      <c r="F248" s="247"/>
      <c r="G248" s="248"/>
      <c r="H248" s="247"/>
      <c r="I248" s="245"/>
      <c r="J248" s="249"/>
      <c r="K248" s="250"/>
      <c r="L248" s="249"/>
      <c r="M248" s="249"/>
    </row>
    <row r="249" spans="1:13" ht="15" customHeight="1" x14ac:dyDescent="0.15">
      <c r="A249" s="244"/>
      <c r="B249" s="245"/>
      <c r="C249" s="245"/>
      <c r="D249" s="246"/>
      <c r="E249" s="245"/>
      <c r="F249" s="247"/>
      <c r="G249" s="248"/>
      <c r="H249" s="247"/>
      <c r="I249" s="245"/>
      <c r="J249" s="249"/>
      <c r="K249" s="250"/>
      <c r="L249" s="249"/>
      <c r="M249" s="249"/>
    </row>
    <row r="250" spans="1:13" ht="15" customHeight="1" x14ac:dyDescent="0.15">
      <c r="A250" s="244"/>
      <c r="B250" s="245"/>
      <c r="C250" s="245"/>
      <c r="D250" s="246"/>
      <c r="E250" s="245"/>
      <c r="F250" s="247"/>
      <c r="G250" s="248"/>
      <c r="H250" s="247"/>
      <c r="I250" s="245"/>
      <c r="J250" s="249"/>
      <c r="K250" s="250"/>
      <c r="L250" s="249"/>
      <c r="M250" s="249"/>
    </row>
    <row r="251" spans="1:13" ht="15" customHeight="1" x14ac:dyDescent="0.15">
      <c r="A251" s="244"/>
      <c r="B251" s="245"/>
      <c r="C251" s="245"/>
      <c r="D251" s="246"/>
      <c r="E251" s="245"/>
      <c r="F251" s="247"/>
      <c r="G251" s="248"/>
      <c r="H251" s="247"/>
      <c r="I251" s="245"/>
      <c r="J251" s="249"/>
      <c r="K251" s="250"/>
      <c r="L251" s="249"/>
      <c r="M251" s="249"/>
    </row>
    <row r="252" spans="1:13" ht="15" customHeight="1" x14ac:dyDescent="0.15">
      <c r="A252" s="244"/>
      <c r="B252" s="245"/>
      <c r="C252" s="245"/>
      <c r="D252" s="246"/>
      <c r="E252" s="245"/>
      <c r="F252" s="247"/>
      <c r="G252" s="248"/>
      <c r="H252" s="247"/>
      <c r="I252" s="245"/>
      <c r="J252" s="249"/>
      <c r="K252" s="250"/>
      <c r="L252" s="249"/>
      <c r="M252" s="249"/>
    </row>
    <row r="253" spans="1:13" ht="15" customHeight="1" x14ac:dyDescent="0.15">
      <c r="A253" s="244"/>
      <c r="B253" s="245"/>
      <c r="C253" s="245"/>
      <c r="D253" s="246"/>
      <c r="E253" s="245"/>
      <c r="F253" s="247"/>
      <c r="G253" s="248"/>
      <c r="H253" s="247"/>
      <c r="I253" s="245"/>
      <c r="J253" s="249"/>
      <c r="K253" s="250"/>
      <c r="L253" s="249"/>
      <c r="M253" s="249"/>
    </row>
    <row r="254" spans="1:13" ht="15" customHeight="1" x14ac:dyDescent="0.15">
      <c r="A254" s="244"/>
      <c r="B254" s="245"/>
      <c r="C254" s="245"/>
      <c r="D254" s="246"/>
      <c r="E254" s="245"/>
      <c r="F254" s="247"/>
      <c r="G254" s="248"/>
      <c r="H254" s="247"/>
      <c r="I254" s="245"/>
      <c r="J254" s="249"/>
      <c r="K254" s="250"/>
      <c r="L254" s="249"/>
      <c r="M254" s="249"/>
    </row>
    <row r="255" spans="1:13" ht="15" customHeight="1" x14ac:dyDescent="0.15">
      <c r="A255" s="244"/>
      <c r="B255" s="245"/>
      <c r="C255" s="245"/>
      <c r="D255" s="246"/>
      <c r="E255" s="245"/>
      <c r="F255" s="247"/>
      <c r="G255" s="248"/>
      <c r="H255" s="247"/>
      <c r="I255" s="245"/>
      <c r="J255" s="249"/>
      <c r="K255" s="250"/>
      <c r="L255" s="249"/>
      <c r="M255" s="249"/>
    </row>
    <row r="256" spans="1:13" ht="15" customHeight="1" x14ac:dyDescent="0.15">
      <c r="A256" s="244"/>
      <c r="B256" s="245"/>
      <c r="C256" s="245"/>
      <c r="D256" s="246"/>
      <c r="E256" s="245"/>
      <c r="F256" s="247"/>
      <c r="G256" s="248"/>
      <c r="H256" s="247"/>
      <c r="I256" s="245"/>
      <c r="J256" s="249"/>
      <c r="K256" s="250"/>
      <c r="L256" s="249"/>
      <c r="M256" s="249"/>
    </row>
    <row r="257" spans="1:13" ht="15" customHeight="1" x14ac:dyDescent="0.15">
      <c r="A257" s="244"/>
      <c r="B257" s="245"/>
      <c r="C257" s="245"/>
      <c r="D257" s="246"/>
      <c r="E257" s="245"/>
      <c r="F257" s="247"/>
      <c r="G257" s="248"/>
      <c r="H257" s="247"/>
      <c r="I257" s="245"/>
      <c r="J257" s="249"/>
      <c r="K257" s="250"/>
      <c r="L257" s="249"/>
      <c r="M257" s="249"/>
    </row>
    <row r="258" spans="1:13" ht="15" customHeight="1" x14ac:dyDescent="0.15">
      <c r="A258" s="244"/>
      <c r="B258" s="245"/>
      <c r="C258" s="245"/>
      <c r="D258" s="246"/>
      <c r="E258" s="245"/>
      <c r="F258" s="247"/>
      <c r="G258" s="248"/>
      <c r="H258" s="247"/>
      <c r="I258" s="245"/>
      <c r="J258" s="249"/>
      <c r="K258" s="250"/>
      <c r="L258" s="249"/>
      <c r="M258" s="249"/>
    </row>
    <row r="259" spans="1:13" ht="15" customHeight="1" x14ac:dyDescent="0.15">
      <c r="A259" s="244"/>
      <c r="B259" s="245"/>
      <c r="C259" s="245"/>
      <c r="D259" s="246"/>
      <c r="E259" s="245"/>
      <c r="F259" s="247"/>
      <c r="G259" s="248"/>
      <c r="H259" s="247"/>
      <c r="I259" s="245"/>
      <c r="J259" s="249"/>
      <c r="K259" s="250"/>
      <c r="L259" s="249"/>
      <c r="M259" s="249"/>
    </row>
    <row r="260" spans="1:13" ht="15" customHeight="1" x14ac:dyDescent="0.15">
      <c r="A260" s="244"/>
      <c r="B260" s="245"/>
      <c r="C260" s="245"/>
      <c r="D260" s="246"/>
      <c r="E260" s="245"/>
      <c r="F260" s="247"/>
      <c r="G260" s="248"/>
      <c r="H260" s="247"/>
      <c r="I260" s="245"/>
      <c r="J260" s="249"/>
      <c r="K260" s="250"/>
      <c r="L260" s="249"/>
      <c r="M260" s="249"/>
    </row>
    <row r="261" spans="1:13" ht="15" customHeight="1" x14ac:dyDescent="0.15">
      <c r="A261" s="244"/>
      <c r="B261" s="245"/>
      <c r="C261" s="245"/>
      <c r="D261" s="246"/>
      <c r="E261" s="245"/>
      <c r="F261" s="247"/>
      <c r="G261" s="248"/>
      <c r="H261" s="247"/>
      <c r="I261" s="245"/>
      <c r="J261" s="249"/>
      <c r="K261" s="250"/>
      <c r="L261" s="249"/>
      <c r="M261" s="249"/>
    </row>
    <row r="262" spans="1:13" ht="15" customHeight="1" x14ac:dyDescent="0.15">
      <c r="A262" s="244"/>
      <c r="B262" s="245"/>
      <c r="C262" s="245"/>
      <c r="D262" s="246"/>
      <c r="E262" s="245"/>
      <c r="F262" s="247"/>
      <c r="G262" s="248"/>
      <c r="H262" s="247"/>
      <c r="I262" s="245"/>
      <c r="J262" s="249"/>
      <c r="K262" s="250"/>
      <c r="L262" s="249"/>
      <c r="M262" s="249"/>
    </row>
    <row r="263" spans="1:13" ht="15" customHeight="1" x14ac:dyDescent="0.15">
      <c r="A263" s="244"/>
      <c r="B263" s="245"/>
      <c r="C263" s="245"/>
      <c r="D263" s="246"/>
      <c r="E263" s="245"/>
      <c r="F263" s="247"/>
      <c r="G263" s="248"/>
      <c r="H263" s="247"/>
      <c r="I263" s="245"/>
      <c r="J263" s="249"/>
      <c r="K263" s="250"/>
      <c r="L263" s="249"/>
      <c r="M263" s="249"/>
    </row>
    <row r="264" spans="1:13" ht="15" customHeight="1" x14ac:dyDescent="0.15">
      <c r="A264" s="244"/>
      <c r="B264" s="245"/>
      <c r="C264" s="245"/>
      <c r="D264" s="246"/>
      <c r="E264" s="245"/>
      <c r="F264" s="247"/>
      <c r="G264" s="248"/>
      <c r="H264" s="247"/>
      <c r="I264" s="245"/>
      <c r="J264" s="249"/>
      <c r="K264" s="250"/>
      <c r="L264" s="249"/>
      <c r="M264" s="249"/>
    </row>
    <row r="265" spans="1:13" ht="15" customHeight="1" x14ac:dyDescent="0.15">
      <c r="A265" s="244"/>
      <c r="B265" s="245"/>
      <c r="C265" s="245"/>
      <c r="D265" s="246"/>
      <c r="E265" s="245"/>
      <c r="F265" s="247"/>
      <c r="G265" s="248"/>
      <c r="H265" s="247"/>
      <c r="I265" s="245"/>
      <c r="J265" s="249"/>
      <c r="K265" s="250"/>
      <c r="L265" s="249"/>
      <c r="M265" s="249"/>
    </row>
    <row r="266" spans="1:13" ht="15" customHeight="1" x14ac:dyDescent="0.15">
      <c r="A266" s="244"/>
      <c r="B266" s="245"/>
      <c r="C266" s="245"/>
      <c r="D266" s="246"/>
      <c r="E266" s="245"/>
      <c r="F266" s="247"/>
      <c r="G266" s="248"/>
      <c r="H266" s="247"/>
      <c r="I266" s="245"/>
      <c r="J266" s="249"/>
      <c r="K266" s="250"/>
      <c r="L266" s="249"/>
      <c r="M266" s="249"/>
    </row>
    <row r="267" spans="1:13" ht="15" customHeight="1" x14ac:dyDescent="0.15">
      <c r="A267" s="244"/>
      <c r="B267" s="245"/>
      <c r="C267" s="245"/>
      <c r="D267" s="246"/>
      <c r="E267" s="245"/>
      <c r="F267" s="247"/>
      <c r="G267" s="248"/>
      <c r="H267" s="247"/>
      <c r="I267" s="245"/>
      <c r="J267" s="249"/>
      <c r="K267" s="250"/>
      <c r="L267" s="249"/>
      <c r="M267" s="249"/>
    </row>
    <row r="268" spans="1:13" ht="15" customHeight="1" x14ac:dyDescent="0.15">
      <c r="A268" s="244"/>
      <c r="B268" s="245"/>
      <c r="C268" s="245"/>
      <c r="D268" s="246"/>
      <c r="E268" s="245"/>
      <c r="F268" s="247"/>
      <c r="G268" s="248"/>
      <c r="H268" s="247"/>
      <c r="I268" s="245"/>
      <c r="J268" s="249"/>
      <c r="K268" s="250"/>
      <c r="L268" s="249"/>
      <c r="M268" s="249"/>
    </row>
    <row r="269" spans="1:13" ht="15" customHeight="1" x14ac:dyDescent="0.15">
      <c r="A269" s="244"/>
      <c r="B269" s="245"/>
      <c r="C269" s="245"/>
      <c r="D269" s="246"/>
      <c r="E269" s="245"/>
      <c r="F269" s="247"/>
      <c r="G269" s="248"/>
      <c r="H269" s="247"/>
      <c r="I269" s="245"/>
      <c r="J269" s="249"/>
      <c r="K269" s="250"/>
      <c r="L269" s="249"/>
      <c r="M269" s="249"/>
    </row>
    <row r="270" spans="1:13" ht="15" customHeight="1" x14ac:dyDescent="0.15">
      <c r="A270" s="244"/>
      <c r="B270" s="245"/>
      <c r="C270" s="245"/>
      <c r="D270" s="246"/>
      <c r="E270" s="245"/>
      <c r="F270" s="247"/>
      <c r="G270" s="248"/>
      <c r="H270" s="247"/>
      <c r="I270" s="245"/>
      <c r="J270" s="249"/>
      <c r="K270" s="250"/>
      <c r="L270" s="249"/>
      <c r="M270" s="249"/>
    </row>
    <row r="271" spans="1:13" ht="15" customHeight="1" x14ac:dyDescent="0.15">
      <c r="A271" s="244"/>
      <c r="B271" s="245"/>
      <c r="C271" s="245"/>
      <c r="D271" s="246"/>
      <c r="E271" s="245"/>
      <c r="F271" s="247"/>
      <c r="G271" s="248"/>
      <c r="H271" s="247"/>
      <c r="I271" s="245"/>
      <c r="J271" s="249"/>
      <c r="K271" s="250"/>
      <c r="L271" s="249"/>
      <c r="M271" s="249"/>
    </row>
    <row r="272" spans="1:13" ht="15" customHeight="1" x14ac:dyDescent="0.15">
      <c r="A272" s="244"/>
      <c r="B272" s="245"/>
      <c r="C272" s="245"/>
      <c r="D272" s="246"/>
      <c r="E272" s="245"/>
      <c r="F272" s="247"/>
      <c r="G272" s="248"/>
      <c r="H272" s="247"/>
      <c r="I272" s="245"/>
      <c r="J272" s="249"/>
      <c r="K272" s="250"/>
      <c r="L272" s="249"/>
      <c r="M272" s="249"/>
    </row>
    <row r="273" spans="1:13" ht="15" customHeight="1" x14ac:dyDescent="0.15">
      <c r="A273" s="244"/>
      <c r="B273" s="245"/>
      <c r="C273" s="245"/>
      <c r="D273" s="246"/>
      <c r="E273" s="245"/>
      <c r="F273" s="247"/>
      <c r="G273" s="248"/>
      <c r="H273" s="247"/>
      <c r="I273" s="245"/>
      <c r="J273" s="249"/>
      <c r="K273" s="250"/>
      <c r="L273" s="249"/>
      <c r="M273" s="249"/>
    </row>
    <row r="274" spans="1:13" ht="15" customHeight="1" x14ac:dyDescent="0.15">
      <c r="A274" s="244"/>
      <c r="B274" s="245"/>
      <c r="C274" s="245"/>
      <c r="D274" s="246"/>
      <c r="E274" s="245"/>
      <c r="F274" s="247"/>
      <c r="G274" s="248"/>
      <c r="H274" s="247"/>
      <c r="I274" s="245"/>
      <c r="J274" s="249"/>
      <c r="K274" s="250"/>
      <c r="L274" s="249"/>
      <c r="M274" s="249"/>
    </row>
    <row r="275" spans="1:13" ht="15" customHeight="1" x14ac:dyDescent="0.15">
      <c r="A275" s="244"/>
      <c r="B275" s="245"/>
      <c r="C275" s="245"/>
      <c r="D275" s="246"/>
      <c r="E275" s="245"/>
      <c r="F275" s="247"/>
      <c r="G275" s="248"/>
      <c r="H275" s="247"/>
      <c r="I275" s="245"/>
      <c r="J275" s="249"/>
      <c r="K275" s="250"/>
      <c r="L275" s="249"/>
      <c r="M275" s="249"/>
    </row>
    <row r="276" spans="1:13" ht="15" customHeight="1" x14ac:dyDescent="0.15">
      <c r="A276" s="244"/>
      <c r="B276" s="245"/>
      <c r="C276" s="245"/>
      <c r="D276" s="246"/>
      <c r="E276" s="245"/>
      <c r="F276" s="247"/>
      <c r="G276" s="248"/>
      <c r="H276" s="247"/>
      <c r="I276" s="245"/>
      <c r="J276" s="249"/>
      <c r="K276" s="250"/>
      <c r="L276" s="249"/>
      <c r="M276" s="249"/>
    </row>
    <row r="277" spans="1:13" ht="15" customHeight="1" x14ac:dyDescent="0.15">
      <c r="A277" s="244"/>
      <c r="B277" s="245"/>
      <c r="C277" s="245"/>
      <c r="D277" s="246"/>
      <c r="E277" s="245"/>
      <c r="F277" s="247"/>
      <c r="G277" s="248"/>
      <c r="H277" s="247"/>
      <c r="I277" s="245"/>
      <c r="J277" s="249"/>
      <c r="K277" s="250"/>
      <c r="L277" s="249"/>
      <c r="M277" s="249"/>
    </row>
    <row r="278" spans="1:13" ht="15" customHeight="1" x14ac:dyDescent="0.15">
      <c r="A278" s="244"/>
      <c r="B278" s="245"/>
      <c r="C278" s="245"/>
      <c r="D278" s="246"/>
      <c r="E278" s="245"/>
      <c r="F278" s="247"/>
      <c r="G278" s="248"/>
      <c r="H278" s="247"/>
      <c r="I278" s="245"/>
      <c r="J278" s="249"/>
      <c r="K278" s="250"/>
      <c r="L278" s="249"/>
      <c r="M278" s="249"/>
    </row>
    <row r="279" spans="1:13" ht="15" customHeight="1" x14ac:dyDescent="0.15">
      <c r="A279" s="244"/>
      <c r="B279" s="245"/>
      <c r="C279" s="245"/>
      <c r="D279" s="246"/>
      <c r="E279" s="245"/>
      <c r="F279" s="247"/>
      <c r="G279" s="248"/>
      <c r="H279" s="247"/>
      <c r="I279" s="245"/>
      <c r="J279" s="249"/>
      <c r="K279" s="250"/>
      <c r="L279" s="249"/>
      <c r="M279" s="249"/>
    </row>
    <row r="280" spans="1:13" ht="15" customHeight="1" x14ac:dyDescent="0.15">
      <c r="A280" s="244"/>
      <c r="B280" s="245"/>
      <c r="C280" s="245"/>
      <c r="D280" s="246"/>
      <c r="E280" s="245"/>
      <c r="F280" s="247"/>
      <c r="G280" s="248"/>
      <c r="H280" s="247"/>
      <c r="I280" s="245"/>
      <c r="J280" s="249"/>
      <c r="K280" s="250"/>
      <c r="L280" s="249"/>
      <c r="M280" s="249"/>
    </row>
    <row r="281" spans="1:13" ht="15" customHeight="1" x14ac:dyDescent="0.15">
      <c r="A281" s="244"/>
      <c r="B281" s="245"/>
      <c r="C281" s="245"/>
      <c r="D281" s="246"/>
      <c r="E281" s="245"/>
      <c r="F281" s="247"/>
      <c r="G281" s="248"/>
      <c r="H281" s="247"/>
      <c r="I281" s="245"/>
      <c r="J281" s="249"/>
      <c r="K281" s="250"/>
      <c r="L281" s="249"/>
      <c r="M281" s="249"/>
    </row>
    <row r="282" spans="1:13" ht="15" customHeight="1" x14ac:dyDescent="0.15">
      <c r="A282" s="244"/>
      <c r="B282" s="245"/>
      <c r="C282" s="245"/>
      <c r="D282" s="246"/>
      <c r="E282" s="245"/>
      <c r="F282" s="247"/>
      <c r="G282" s="248"/>
      <c r="H282" s="247"/>
      <c r="I282" s="245"/>
      <c r="J282" s="249"/>
      <c r="K282" s="250"/>
      <c r="L282" s="249"/>
      <c r="M282" s="249"/>
    </row>
    <row r="283" spans="1:13" ht="15" customHeight="1" x14ac:dyDescent="0.15">
      <c r="A283" s="244"/>
      <c r="B283" s="245"/>
      <c r="C283" s="245"/>
      <c r="D283" s="246"/>
      <c r="E283" s="245"/>
      <c r="F283" s="247"/>
      <c r="G283" s="248"/>
      <c r="H283" s="247"/>
      <c r="I283" s="245"/>
      <c r="J283" s="249"/>
      <c r="K283" s="250"/>
      <c r="L283" s="249"/>
      <c r="M283" s="249"/>
    </row>
    <row r="284" spans="1:13" ht="15" customHeight="1" x14ac:dyDescent="0.15">
      <c r="A284" s="251"/>
      <c r="B284" s="252"/>
      <c r="C284" s="252"/>
      <c r="D284" s="253"/>
      <c r="E284" s="252"/>
      <c r="F284" s="254"/>
      <c r="G284" s="255"/>
      <c r="H284" s="254"/>
      <c r="I284" s="252"/>
    </row>
    <row r="285" spans="1:13" ht="15" customHeight="1" x14ac:dyDescent="0.15">
      <c r="A285" s="251"/>
      <c r="B285" s="252"/>
      <c r="C285" s="252"/>
      <c r="D285" s="253"/>
      <c r="E285" s="252"/>
      <c r="F285" s="254"/>
      <c r="G285" s="255"/>
      <c r="H285" s="254"/>
      <c r="I285" s="252"/>
    </row>
    <row r="286" spans="1:13" ht="15" customHeight="1" x14ac:dyDescent="0.15">
      <c r="A286" s="242"/>
      <c r="B286" s="242"/>
      <c r="C286" s="242"/>
      <c r="D286" s="256"/>
      <c r="E286" s="242"/>
      <c r="F286" s="257"/>
      <c r="G286" s="242"/>
      <c r="H286" s="257"/>
      <c r="I286" s="242"/>
    </row>
    <row r="287" spans="1:13" ht="15" customHeight="1" x14ac:dyDescent="0.15">
      <c r="A287" s="242"/>
      <c r="B287" s="242"/>
      <c r="C287" s="242"/>
      <c r="D287" s="256"/>
      <c r="E287" s="242"/>
      <c r="F287" s="257"/>
      <c r="G287" s="242"/>
      <c r="H287" s="257"/>
      <c r="I287" s="242"/>
    </row>
    <row r="288" spans="1:13" ht="15" customHeight="1" x14ac:dyDescent="0.15">
      <c r="A288" s="242"/>
      <c r="B288" s="242"/>
      <c r="C288" s="242"/>
      <c r="D288" s="256"/>
      <c r="E288" s="242"/>
      <c r="F288" s="257"/>
      <c r="G288" s="242"/>
      <c r="H288" s="257"/>
      <c r="I288" s="242"/>
    </row>
    <row r="289" spans="1:9" ht="15" customHeight="1" x14ac:dyDescent="0.15">
      <c r="A289" s="242"/>
      <c r="B289" s="242"/>
      <c r="C289" s="242"/>
      <c r="D289" s="256"/>
      <c r="E289" s="242"/>
      <c r="F289" s="257"/>
      <c r="G289" s="242"/>
      <c r="H289" s="257"/>
      <c r="I289" s="242"/>
    </row>
    <row r="290" spans="1:9" ht="15" customHeight="1" x14ac:dyDescent="0.15">
      <c r="A290" s="242"/>
      <c r="B290" s="242"/>
      <c r="C290" s="242"/>
      <c r="D290" s="256"/>
      <c r="E290" s="242"/>
      <c r="F290" s="257"/>
      <c r="G290" s="242"/>
      <c r="H290" s="257"/>
      <c r="I290" s="242"/>
    </row>
    <row r="291" spans="1:9" ht="15" customHeight="1" x14ac:dyDescent="0.15">
      <c r="A291" s="242"/>
      <c r="B291" s="242"/>
      <c r="C291" s="242"/>
      <c r="D291" s="256"/>
      <c r="E291" s="242"/>
      <c r="F291" s="257"/>
      <c r="G291" s="242"/>
      <c r="H291" s="257"/>
      <c r="I291" s="242"/>
    </row>
    <row r="292" spans="1:9" ht="15" customHeight="1" x14ac:dyDescent="0.15">
      <c r="A292" s="242"/>
      <c r="B292" s="242"/>
      <c r="C292" s="242"/>
      <c r="D292" s="256"/>
      <c r="E292" s="242"/>
      <c r="F292" s="257"/>
      <c r="G292" s="242"/>
      <c r="H292" s="257"/>
      <c r="I292" s="242"/>
    </row>
    <row r="293" spans="1:9" ht="15" customHeight="1" x14ac:dyDescent="0.15">
      <c r="A293" s="242"/>
      <c r="B293" s="242"/>
      <c r="C293" s="242"/>
      <c r="D293" s="256"/>
      <c r="E293" s="242"/>
      <c r="F293" s="257"/>
      <c r="G293" s="242"/>
      <c r="H293" s="257"/>
      <c r="I293" s="242"/>
    </row>
    <row r="294" spans="1:9" ht="15" customHeight="1" x14ac:dyDescent="0.15">
      <c r="A294" s="242"/>
      <c r="B294" s="242"/>
      <c r="C294" s="242"/>
      <c r="D294" s="256"/>
      <c r="E294" s="242"/>
      <c r="F294" s="257"/>
      <c r="G294" s="242"/>
      <c r="H294" s="257"/>
      <c r="I294" s="242"/>
    </row>
    <row r="295" spans="1:9" ht="15" customHeight="1" x14ac:dyDescent="0.15">
      <c r="A295" s="242"/>
      <c r="B295" s="242"/>
      <c r="C295" s="242"/>
      <c r="D295" s="256"/>
      <c r="E295" s="242"/>
      <c r="F295" s="257"/>
      <c r="G295" s="242"/>
      <c r="H295" s="257"/>
      <c r="I295" s="242"/>
    </row>
    <row r="296" spans="1:9" ht="15" customHeight="1" x14ac:dyDescent="0.15">
      <c r="A296" s="242"/>
      <c r="B296" s="242"/>
      <c r="C296" s="242"/>
      <c r="D296" s="256"/>
      <c r="E296" s="242"/>
      <c r="F296" s="257"/>
      <c r="G296" s="242"/>
      <c r="H296" s="257"/>
      <c r="I296" s="242"/>
    </row>
    <row r="297" spans="1:9" ht="15" customHeight="1" x14ac:dyDescent="0.15">
      <c r="A297" s="242"/>
      <c r="B297" s="242"/>
      <c r="C297" s="242"/>
      <c r="D297" s="256"/>
      <c r="E297" s="242"/>
      <c r="F297" s="257"/>
      <c r="G297" s="242"/>
      <c r="H297" s="257"/>
      <c r="I297" s="242"/>
    </row>
    <row r="298" spans="1:9" ht="15" customHeight="1" x14ac:dyDescent="0.15">
      <c r="A298" s="242"/>
      <c r="B298" s="242"/>
      <c r="C298" s="242"/>
      <c r="D298" s="256"/>
      <c r="E298" s="242"/>
      <c r="F298" s="257"/>
      <c r="G298" s="242"/>
      <c r="H298" s="257"/>
      <c r="I298" s="242"/>
    </row>
    <row r="299" spans="1:9" ht="15" customHeight="1" x14ac:dyDescent="0.15">
      <c r="A299" s="242"/>
      <c r="B299" s="242"/>
      <c r="C299" s="242"/>
      <c r="D299" s="256"/>
      <c r="E299" s="242"/>
      <c r="F299" s="257"/>
      <c r="G299" s="242"/>
      <c r="H299" s="257"/>
      <c r="I299" s="242"/>
    </row>
    <row r="300" spans="1:9" ht="15" customHeight="1" x14ac:dyDescent="0.15">
      <c r="A300" s="242"/>
      <c r="B300" s="242"/>
      <c r="C300" s="242"/>
      <c r="D300" s="256"/>
      <c r="E300" s="242"/>
      <c r="F300" s="257"/>
      <c r="G300" s="242"/>
      <c r="H300" s="257"/>
      <c r="I300" s="242"/>
    </row>
    <row r="301" spans="1:9" ht="15" customHeight="1" x14ac:dyDescent="0.15">
      <c r="A301" s="242"/>
      <c r="B301" s="242"/>
      <c r="C301" s="242"/>
      <c r="D301" s="256"/>
      <c r="E301" s="242"/>
      <c r="F301" s="257"/>
      <c r="G301" s="242"/>
      <c r="H301" s="257"/>
      <c r="I301" s="242"/>
    </row>
    <row r="302" spans="1:9" ht="15" customHeight="1" x14ac:dyDescent="0.15">
      <c r="A302" s="242"/>
      <c r="B302" s="242"/>
      <c r="C302" s="242"/>
      <c r="D302" s="256"/>
      <c r="E302" s="242"/>
      <c r="F302" s="257"/>
      <c r="G302" s="242"/>
      <c r="H302" s="257"/>
      <c r="I302" s="242"/>
    </row>
    <row r="303" spans="1:9" ht="15" customHeight="1" x14ac:dyDescent="0.15">
      <c r="A303" s="242"/>
      <c r="B303" s="242"/>
      <c r="C303" s="242"/>
      <c r="D303" s="256"/>
      <c r="E303" s="242"/>
      <c r="F303" s="257"/>
      <c r="G303" s="242"/>
      <c r="H303" s="257"/>
      <c r="I303" s="242"/>
    </row>
    <row r="304" spans="1:9" ht="15" customHeight="1" x14ac:dyDescent="0.15">
      <c r="A304" s="242"/>
      <c r="B304" s="242"/>
      <c r="C304" s="242"/>
      <c r="D304" s="256"/>
      <c r="E304" s="242"/>
      <c r="F304" s="257"/>
      <c r="G304" s="242"/>
      <c r="H304" s="257"/>
      <c r="I304" s="242"/>
    </row>
    <row r="305" spans="1:9" ht="15" customHeight="1" x14ac:dyDescent="0.15">
      <c r="A305" s="242"/>
      <c r="B305" s="242"/>
      <c r="C305" s="242"/>
      <c r="D305" s="256"/>
      <c r="E305" s="242"/>
      <c r="F305" s="257"/>
      <c r="G305" s="242"/>
      <c r="H305" s="257"/>
      <c r="I305" s="242"/>
    </row>
    <row r="306" spans="1:9" ht="15" customHeight="1" x14ac:dyDescent="0.15">
      <c r="A306" s="242"/>
      <c r="B306" s="242"/>
      <c r="C306" s="242"/>
      <c r="D306" s="256"/>
      <c r="E306" s="242"/>
      <c r="F306" s="257"/>
      <c r="G306" s="242"/>
      <c r="H306" s="257"/>
      <c r="I306" s="242"/>
    </row>
    <row r="307" spans="1:9" ht="15" customHeight="1" x14ac:dyDescent="0.15">
      <c r="A307" s="242"/>
      <c r="B307" s="242"/>
      <c r="C307" s="242"/>
      <c r="D307" s="256"/>
      <c r="E307" s="242"/>
      <c r="F307" s="257"/>
      <c r="G307" s="242"/>
      <c r="H307" s="257"/>
      <c r="I307" s="242"/>
    </row>
    <row r="308" spans="1:9" ht="15" customHeight="1" x14ac:dyDescent="0.15">
      <c r="A308" s="242"/>
      <c r="B308" s="242"/>
      <c r="C308" s="242"/>
      <c r="D308" s="256"/>
      <c r="E308" s="242"/>
      <c r="F308" s="257"/>
      <c r="G308" s="242"/>
      <c r="H308" s="257"/>
      <c r="I308" s="242"/>
    </row>
    <row r="309" spans="1:9" ht="15" customHeight="1" x14ac:dyDescent="0.15">
      <c r="A309" s="242"/>
      <c r="B309" s="242"/>
      <c r="C309" s="242"/>
      <c r="D309" s="256"/>
      <c r="E309" s="242"/>
      <c r="F309" s="257"/>
      <c r="G309" s="242"/>
      <c r="H309" s="257"/>
      <c r="I309" s="242"/>
    </row>
    <row r="310" spans="1:9" ht="15" customHeight="1" x14ac:dyDescent="0.15">
      <c r="A310" s="242"/>
      <c r="B310" s="242"/>
      <c r="C310" s="242"/>
      <c r="D310" s="256"/>
      <c r="E310" s="242"/>
      <c r="F310" s="257"/>
      <c r="G310" s="242"/>
      <c r="H310" s="257"/>
      <c r="I310" s="242"/>
    </row>
    <row r="311" spans="1:9" ht="15" customHeight="1" x14ac:dyDescent="0.15">
      <c r="A311" s="242"/>
      <c r="B311" s="242"/>
      <c r="C311" s="242"/>
      <c r="D311" s="256"/>
      <c r="E311" s="242"/>
      <c r="F311" s="257"/>
      <c r="G311" s="242"/>
      <c r="H311" s="257"/>
      <c r="I311" s="242"/>
    </row>
    <row r="312" spans="1:9" ht="15" customHeight="1" x14ac:dyDescent="0.15">
      <c r="A312" s="242"/>
      <c r="B312" s="242"/>
      <c r="C312" s="242"/>
      <c r="D312" s="256"/>
      <c r="E312" s="242"/>
      <c r="F312" s="257"/>
      <c r="G312" s="242"/>
      <c r="H312" s="257"/>
      <c r="I312" s="242"/>
    </row>
    <row r="313" spans="1:9" ht="15" customHeight="1" x14ac:dyDescent="0.15">
      <c r="A313" s="242"/>
      <c r="B313" s="242"/>
      <c r="C313" s="242"/>
      <c r="D313" s="256"/>
      <c r="E313" s="242"/>
      <c r="F313" s="257"/>
      <c r="G313" s="242"/>
      <c r="H313" s="257"/>
      <c r="I313" s="242"/>
    </row>
    <row r="314" spans="1:9" ht="15" customHeight="1" x14ac:dyDescent="0.15">
      <c r="A314" s="242"/>
      <c r="B314" s="242"/>
      <c r="C314" s="242"/>
      <c r="D314" s="256"/>
      <c r="E314" s="242"/>
      <c r="F314" s="257"/>
      <c r="G314" s="242"/>
      <c r="H314" s="257"/>
      <c r="I314" s="242"/>
    </row>
    <row r="315" spans="1:9" ht="15" customHeight="1" x14ac:dyDescent="0.15">
      <c r="A315" s="242"/>
      <c r="B315" s="242"/>
      <c r="C315" s="242"/>
      <c r="D315" s="256"/>
      <c r="E315" s="242"/>
      <c r="F315" s="257"/>
      <c r="G315" s="242"/>
      <c r="H315" s="257"/>
      <c r="I315" s="242"/>
    </row>
    <row r="316" spans="1:9" ht="15" customHeight="1" x14ac:dyDescent="0.15">
      <c r="A316" s="242"/>
      <c r="B316" s="242"/>
      <c r="C316" s="242"/>
      <c r="D316" s="256"/>
      <c r="E316" s="242"/>
      <c r="F316" s="257"/>
      <c r="G316" s="242"/>
      <c r="H316" s="257"/>
      <c r="I316" s="242"/>
    </row>
    <row r="317" spans="1:9" ht="15" customHeight="1" x14ac:dyDescent="0.15">
      <c r="A317" s="242"/>
      <c r="B317" s="242"/>
      <c r="C317" s="242"/>
      <c r="D317" s="256"/>
      <c r="E317" s="242"/>
      <c r="F317" s="257"/>
      <c r="G317" s="242"/>
      <c r="H317" s="257"/>
      <c r="I317" s="242"/>
    </row>
    <row r="318" spans="1:9" ht="15" customHeight="1" x14ac:dyDescent="0.15">
      <c r="A318" s="242"/>
      <c r="B318" s="242"/>
      <c r="C318" s="242"/>
      <c r="D318" s="256"/>
      <c r="E318" s="242"/>
      <c r="F318" s="257"/>
      <c r="G318" s="242"/>
      <c r="H318" s="257"/>
      <c r="I318" s="242"/>
    </row>
    <row r="319" spans="1:9" ht="15" customHeight="1" x14ac:dyDescent="0.15">
      <c r="A319" s="242"/>
      <c r="B319" s="242"/>
      <c r="C319" s="242"/>
      <c r="D319" s="256"/>
      <c r="E319" s="242"/>
      <c r="F319" s="257"/>
      <c r="G319" s="242"/>
      <c r="H319" s="257"/>
      <c r="I319" s="242"/>
    </row>
    <row r="320" spans="1:9" ht="15" customHeight="1" x14ac:dyDescent="0.15">
      <c r="A320" s="242"/>
      <c r="B320" s="242"/>
      <c r="C320" s="242"/>
      <c r="D320" s="256"/>
      <c r="E320" s="242"/>
      <c r="F320" s="257"/>
      <c r="G320" s="242"/>
      <c r="H320" s="257"/>
      <c r="I320" s="242"/>
    </row>
    <row r="321" spans="1:9" ht="15" customHeight="1" x14ac:dyDescent="0.15">
      <c r="A321" s="242"/>
      <c r="B321" s="242"/>
      <c r="C321" s="242"/>
      <c r="D321" s="256"/>
      <c r="E321" s="242"/>
      <c r="F321" s="257"/>
      <c r="G321" s="242"/>
      <c r="H321" s="257"/>
      <c r="I321" s="242"/>
    </row>
    <row r="322" spans="1:9" ht="15" customHeight="1" x14ac:dyDescent="0.15">
      <c r="A322" s="242"/>
      <c r="B322" s="242"/>
      <c r="C322" s="242"/>
      <c r="D322" s="256"/>
      <c r="E322" s="242"/>
      <c r="F322" s="257"/>
      <c r="G322" s="242"/>
      <c r="H322" s="257"/>
      <c r="I322" s="242"/>
    </row>
    <row r="323" spans="1:9" ht="15" customHeight="1" x14ac:dyDescent="0.15">
      <c r="A323" s="242"/>
      <c r="B323" s="242"/>
      <c r="C323" s="242"/>
      <c r="D323" s="256"/>
      <c r="E323" s="242"/>
      <c r="F323" s="257"/>
      <c r="G323" s="242"/>
      <c r="H323" s="257"/>
      <c r="I323" s="242"/>
    </row>
    <row r="324" spans="1:9" ht="15" customHeight="1" x14ac:dyDescent="0.15">
      <c r="A324" s="242"/>
      <c r="B324" s="242"/>
      <c r="C324" s="242"/>
      <c r="D324" s="256"/>
      <c r="E324" s="242"/>
      <c r="F324" s="257"/>
      <c r="G324" s="242"/>
      <c r="H324" s="257"/>
      <c r="I324" s="242"/>
    </row>
    <row r="325" spans="1:9" ht="15" customHeight="1" x14ac:dyDescent="0.15">
      <c r="A325" s="242"/>
      <c r="B325" s="242"/>
      <c r="C325" s="242"/>
      <c r="D325" s="256"/>
      <c r="E325" s="242"/>
      <c r="F325" s="257"/>
      <c r="G325" s="242"/>
      <c r="H325" s="257"/>
      <c r="I325" s="242"/>
    </row>
    <row r="326" spans="1:9" ht="15" customHeight="1" x14ac:dyDescent="0.15">
      <c r="A326" s="242"/>
      <c r="B326" s="242"/>
      <c r="C326" s="242"/>
      <c r="D326" s="256"/>
      <c r="E326" s="242"/>
      <c r="F326" s="257"/>
      <c r="G326" s="242"/>
      <c r="H326" s="257"/>
      <c r="I326" s="242"/>
    </row>
    <row r="327" spans="1:9" ht="15" customHeight="1" x14ac:dyDescent="0.15">
      <c r="A327" s="242"/>
      <c r="B327" s="242"/>
      <c r="C327" s="242"/>
      <c r="D327" s="256"/>
      <c r="E327" s="242"/>
      <c r="F327" s="257"/>
      <c r="G327" s="242"/>
      <c r="H327" s="257"/>
      <c r="I327" s="242"/>
    </row>
    <row r="328" spans="1:9" ht="15" customHeight="1" x14ac:dyDescent="0.15">
      <c r="A328" s="242"/>
      <c r="B328" s="242"/>
      <c r="C328" s="242"/>
      <c r="D328" s="256"/>
      <c r="E328" s="242"/>
      <c r="F328" s="257"/>
      <c r="G328" s="242"/>
      <c r="H328" s="257"/>
      <c r="I328" s="242"/>
    </row>
    <row r="329" spans="1:9" ht="15" customHeight="1" x14ac:dyDescent="0.15">
      <c r="A329" s="242"/>
      <c r="B329" s="242"/>
      <c r="C329" s="242"/>
      <c r="D329" s="256"/>
      <c r="E329" s="242"/>
      <c r="F329" s="257"/>
      <c r="G329" s="242"/>
      <c r="H329" s="257"/>
      <c r="I329" s="242"/>
    </row>
    <row r="330" spans="1:9" ht="15" customHeight="1" x14ac:dyDescent="0.15">
      <c r="A330" s="242"/>
      <c r="B330" s="242"/>
      <c r="C330" s="242"/>
      <c r="D330" s="256"/>
      <c r="E330" s="242"/>
      <c r="F330" s="257"/>
      <c r="G330" s="242"/>
      <c r="H330" s="257"/>
      <c r="I330" s="242"/>
    </row>
    <row r="331" spans="1:9" ht="15" customHeight="1" x14ac:dyDescent="0.15">
      <c r="A331" s="242"/>
      <c r="B331" s="242"/>
      <c r="C331" s="242"/>
      <c r="D331" s="256"/>
      <c r="E331" s="242"/>
      <c r="F331" s="257"/>
      <c r="G331" s="242"/>
      <c r="H331" s="257"/>
      <c r="I331" s="242"/>
    </row>
    <row r="332" spans="1:9" ht="15" customHeight="1" x14ac:dyDescent="0.15">
      <c r="A332" s="242"/>
      <c r="B332" s="242"/>
      <c r="C332" s="242"/>
      <c r="D332" s="256"/>
      <c r="E332" s="242"/>
      <c r="F332" s="257"/>
      <c r="G332" s="242"/>
      <c r="H332" s="257"/>
      <c r="I332" s="242"/>
    </row>
    <row r="333" spans="1:9" ht="15" customHeight="1" x14ac:dyDescent="0.15">
      <c r="A333" s="242"/>
      <c r="B333" s="242"/>
      <c r="C333" s="242"/>
      <c r="D333" s="256"/>
      <c r="E333" s="242"/>
      <c r="F333" s="257"/>
      <c r="G333" s="242"/>
      <c r="H333" s="257"/>
      <c r="I333" s="242"/>
    </row>
    <row r="334" spans="1:9" ht="15" customHeight="1" x14ac:dyDescent="0.15">
      <c r="A334" s="242"/>
      <c r="B334" s="242"/>
      <c r="C334" s="242"/>
      <c r="D334" s="256"/>
      <c r="E334" s="242"/>
      <c r="F334" s="257"/>
      <c r="G334" s="242"/>
      <c r="H334" s="257"/>
      <c r="I334" s="242"/>
    </row>
    <row r="335" spans="1:9" ht="15" customHeight="1" x14ac:dyDescent="0.15">
      <c r="A335" s="242"/>
      <c r="B335" s="242"/>
      <c r="C335" s="242"/>
      <c r="D335" s="256"/>
      <c r="E335" s="242"/>
      <c r="F335" s="257"/>
      <c r="G335" s="242"/>
      <c r="H335" s="257"/>
      <c r="I335" s="242"/>
    </row>
    <row r="336" spans="1:9" ht="15" customHeight="1" x14ac:dyDescent="0.15">
      <c r="A336" s="242"/>
      <c r="B336" s="242"/>
      <c r="C336" s="242"/>
      <c r="D336" s="256"/>
      <c r="E336" s="242"/>
      <c r="F336" s="257"/>
      <c r="G336" s="242"/>
      <c r="H336" s="257"/>
      <c r="I336" s="242"/>
    </row>
    <row r="337" spans="1:9" ht="15" customHeight="1" x14ac:dyDescent="0.15">
      <c r="A337" s="242"/>
      <c r="B337" s="242"/>
      <c r="C337" s="242"/>
      <c r="D337" s="256"/>
      <c r="E337" s="242"/>
      <c r="F337" s="257"/>
      <c r="G337" s="242"/>
      <c r="H337" s="257"/>
      <c r="I337" s="242"/>
    </row>
    <row r="338" spans="1:9" ht="15" customHeight="1" x14ac:dyDescent="0.15">
      <c r="A338" s="242"/>
      <c r="B338" s="242"/>
      <c r="C338" s="242"/>
      <c r="D338" s="256"/>
      <c r="E338" s="242"/>
      <c r="F338" s="257"/>
      <c r="G338" s="242"/>
      <c r="H338" s="257"/>
      <c r="I338" s="242"/>
    </row>
    <row r="339" spans="1:9" ht="15" customHeight="1" x14ac:dyDescent="0.15">
      <c r="A339" s="242"/>
      <c r="B339" s="242"/>
      <c r="C339" s="242"/>
      <c r="D339" s="256"/>
      <c r="E339" s="242"/>
      <c r="F339" s="257"/>
      <c r="G339" s="242"/>
      <c r="H339" s="257"/>
      <c r="I339" s="242"/>
    </row>
    <row r="340" spans="1:9" ht="15" customHeight="1" x14ac:dyDescent="0.15">
      <c r="A340" s="242"/>
      <c r="B340" s="242"/>
      <c r="C340" s="242"/>
      <c r="D340" s="256"/>
      <c r="E340" s="242"/>
      <c r="F340" s="257"/>
      <c r="G340" s="242"/>
      <c r="H340" s="257"/>
      <c r="I340" s="242"/>
    </row>
    <row r="341" spans="1:9" ht="15" customHeight="1" x14ac:dyDescent="0.15">
      <c r="A341" s="242"/>
      <c r="B341" s="242"/>
      <c r="C341" s="242"/>
      <c r="D341" s="256"/>
      <c r="E341" s="242"/>
      <c r="F341" s="257"/>
      <c r="G341" s="242"/>
      <c r="H341" s="257"/>
      <c r="I341" s="242"/>
    </row>
    <row r="342" spans="1:9" ht="15" customHeight="1" x14ac:dyDescent="0.15">
      <c r="A342" s="242"/>
      <c r="B342" s="242"/>
      <c r="C342" s="242"/>
      <c r="D342" s="256"/>
      <c r="E342" s="242"/>
      <c r="F342" s="257"/>
      <c r="G342" s="242"/>
      <c r="H342" s="257"/>
      <c r="I342" s="242"/>
    </row>
    <row r="343" spans="1:9" ht="15" customHeight="1" x14ac:dyDescent="0.15">
      <c r="A343" s="242"/>
      <c r="B343" s="242"/>
      <c r="C343" s="242"/>
      <c r="D343" s="256"/>
      <c r="E343" s="242"/>
      <c r="F343" s="257"/>
      <c r="G343" s="242"/>
      <c r="H343" s="257"/>
      <c r="I343" s="242"/>
    </row>
    <row r="344" spans="1:9" ht="15" customHeight="1" x14ac:dyDescent="0.15">
      <c r="A344" s="242"/>
      <c r="B344" s="242"/>
      <c r="C344" s="242"/>
      <c r="D344" s="256"/>
      <c r="E344" s="242"/>
      <c r="F344" s="257"/>
      <c r="G344" s="242"/>
      <c r="H344" s="257"/>
      <c r="I344" s="242"/>
    </row>
    <row r="345" spans="1:9" ht="15" customHeight="1" x14ac:dyDescent="0.15">
      <c r="A345" s="242"/>
      <c r="B345" s="242"/>
      <c r="C345" s="242"/>
      <c r="D345" s="256"/>
      <c r="E345" s="242"/>
      <c r="F345" s="257"/>
      <c r="G345" s="242"/>
      <c r="H345" s="257"/>
      <c r="I345" s="242"/>
    </row>
    <row r="346" spans="1:9" ht="15" customHeight="1" x14ac:dyDescent="0.15">
      <c r="A346" s="242"/>
      <c r="B346" s="242"/>
      <c r="C346" s="242"/>
      <c r="D346" s="256"/>
      <c r="E346" s="242"/>
      <c r="F346" s="257"/>
      <c r="G346" s="242"/>
      <c r="H346" s="257"/>
      <c r="I346" s="242"/>
    </row>
    <row r="347" spans="1:9" ht="15" customHeight="1" x14ac:dyDescent="0.15">
      <c r="A347" s="242"/>
      <c r="B347" s="242"/>
      <c r="C347" s="242"/>
      <c r="D347" s="256"/>
      <c r="E347" s="242"/>
      <c r="F347" s="257"/>
      <c r="G347" s="242"/>
      <c r="H347" s="257"/>
      <c r="I347" s="242"/>
    </row>
    <row r="348" spans="1:9" ht="15" customHeight="1" x14ac:dyDescent="0.15">
      <c r="A348" s="242"/>
      <c r="B348" s="242"/>
      <c r="C348" s="242"/>
      <c r="D348" s="256"/>
      <c r="E348" s="242"/>
      <c r="F348" s="257"/>
      <c r="G348" s="242"/>
      <c r="H348" s="257"/>
      <c r="I348" s="242"/>
    </row>
    <row r="349" spans="1:9" ht="15" customHeight="1" x14ac:dyDescent="0.15">
      <c r="A349" s="242"/>
      <c r="B349" s="242"/>
      <c r="C349" s="242"/>
      <c r="D349" s="256"/>
      <c r="E349" s="242"/>
      <c r="F349" s="257"/>
      <c r="G349" s="242"/>
      <c r="H349" s="257"/>
      <c r="I349" s="242"/>
    </row>
    <row r="350" spans="1:9" ht="15" customHeight="1" x14ac:dyDescent="0.15">
      <c r="A350" s="242"/>
      <c r="B350" s="242"/>
      <c r="C350" s="242"/>
      <c r="D350" s="256"/>
      <c r="E350" s="242"/>
      <c r="F350" s="257"/>
      <c r="G350" s="242"/>
      <c r="H350" s="257"/>
      <c r="I350" s="242"/>
    </row>
    <row r="351" spans="1:9" ht="15" customHeight="1" x14ac:dyDescent="0.15">
      <c r="A351" s="242"/>
      <c r="B351" s="242"/>
      <c r="C351" s="242"/>
      <c r="D351" s="256"/>
      <c r="E351" s="242"/>
      <c r="F351" s="257"/>
      <c r="G351" s="242"/>
      <c r="H351" s="257"/>
      <c r="I351" s="242"/>
    </row>
    <row r="352" spans="1:9" ht="15" customHeight="1" x14ac:dyDescent="0.15">
      <c r="A352" s="242"/>
      <c r="B352" s="242"/>
      <c r="C352" s="242"/>
      <c r="D352" s="256"/>
      <c r="E352" s="242"/>
      <c r="F352" s="257"/>
      <c r="G352" s="242"/>
      <c r="H352" s="257"/>
      <c r="I352" s="242"/>
    </row>
    <row r="353" spans="1:9" ht="15" customHeight="1" x14ac:dyDescent="0.15">
      <c r="A353" s="242"/>
      <c r="B353" s="242"/>
      <c r="C353" s="242"/>
      <c r="D353" s="256"/>
      <c r="E353" s="242"/>
      <c r="F353" s="257"/>
      <c r="G353" s="242"/>
      <c r="H353" s="257"/>
      <c r="I353" s="242"/>
    </row>
    <row r="354" spans="1:9" ht="15" customHeight="1" x14ac:dyDescent="0.15">
      <c r="A354" s="242"/>
      <c r="B354" s="242"/>
      <c r="C354" s="242"/>
      <c r="D354" s="256"/>
      <c r="E354" s="242"/>
      <c r="F354" s="257"/>
      <c r="G354" s="242"/>
      <c r="H354" s="257"/>
      <c r="I354" s="242"/>
    </row>
    <row r="355" spans="1:9" ht="15" customHeight="1" x14ac:dyDescent="0.15">
      <c r="A355" s="242"/>
      <c r="B355" s="242"/>
      <c r="C355" s="242"/>
      <c r="D355" s="256"/>
      <c r="E355" s="242"/>
      <c r="F355" s="257"/>
      <c r="G355" s="242"/>
      <c r="H355" s="257"/>
      <c r="I355" s="242"/>
    </row>
    <row r="356" spans="1:9" ht="15" customHeight="1" x14ac:dyDescent="0.15">
      <c r="A356" s="242"/>
      <c r="B356" s="242"/>
      <c r="C356" s="242"/>
      <c r="D356" s="256"/>
      <c r="E356" s="242"/>
      <c r="F356" s="257"/>
      <c r="G356" s="242"/>
      <c r="H356" s="257"/>
      <c r="I356" s="242"/>
    </row>
    <row r="357" spans="1:9" ht="15" customHeight="1" x14ac:dyDescent="0.15">
      <c r="A357" s="242"/>
      <c r="B357" s="242"/>
      <c r="C357" s="242"/>
      <c r="D357" s="256"/>
      <c r="E357" s="242"/>
      <c r="F357" s="257"/>
      <c r="G357" s="242"/>
      <c r="H357" s="257"/>
      <c r="I357" s="242"/>
    </row>
    <row r="358" spans="1:9" ht="15" customHeight="1" x14ac:dyDescent="0.15">
      <c r="A358" s="242"/>
      <c r="B358" s="242"/>
      <c r="C358" s="242"/>
      <c r="D358" s="256"/>
      <c r="E358" s="242"/>
      <c r="F358" s="257"/>
      <c r="G358" s="242"/>
      <c r="H358" s="257"/>
      <c r="I358" s="242"/>
    </row>
    <row r="359" spans="1:9" ht="15" customHeight="1" x14ac:dyDescent="0.15">
      <c r="A359" s="242"/>
      <c r="B359" s="242"/>
      <c r="C359" s="242"/>
      <c r="D359" s="256"/>
      <c r="E359" s="242"/>
      <c r="F359" s="257"/>
      <c r="G359" s="242"/>
      <c r="H359" s="257"/>
      <c r="I359" s="242"/>
    </row>
    <row r="360" spans="1:9" ht="15" customHeight="1" x14ac:dyDescent="0.15">
      <c r="A360" s="242"/>
      <c r="B360" s="242"/>
      <c r="C360" s="242"/>
      <c r="D360" s="256"/>
      <c r="E360" s="242"/>
      <c r="F360" s="257"/>
      <c r="G360" s="242"/>
      <c r="H360" s="257"/>
      <c r="I360" s="242"/>
    </row>
    <row r="361" spans="1:9" ht="15" customHeight="1" x14ac:dyDescent="0.15">
      <c r="A361" s="242"/>
      <c r="B361" s="242"/>
      <c r="C361" s="242"/>
      <c r="D361" s="256"/>
      <c r="E361" s="242"/>
      <c r="F361" s="257"/>
      <c r="G361" s="242"/>
      <c r="H361" s="257"/>
      <c r="I361" s="242"/>
    </row>
    <row r="362" spans="1:9" ht="15" customHeight="1" x14ac:dyDescent="0.15">
      <c r="A362" s="242"/>
      <c r="B362" s="242"/>
      <c r="C362" s="242"/>
      <c r="D362" s="256"/>
      <c r="E362" s="242"/>
      <c r="F362" s="257"/>
      <c r="G362" s="242"/>
      <c r="H362" s="257"/>
      <c r="I362" s="242"/>
    </row>
    <row r="363" spans="1:9" ht="15" customHeight="1" x14ac:dyDescent="0.15">
      <c r="A363" s="242"/>
      <c r="B363" s="242"/>
      <c r="C363" s="242"/>
      <c r="D363" s="256"/>
      <c r="E363" s="242"/>
      <c r="F363" s="257"/>
      <c r="G363" s="242"/>
      <c r="H363" s="257"/>
      <c r="I363" s="242"/>
    </row>
    <row r="364" spans="1:9" ht="15" customHeight="1" x14ac:dyDescent="0.15">
      <c r="A364" s="242"/>
      <c r="B364" s="242"/>
      <c r="C364" s="242"/>
      <c r="D364" s="256"/>
      <c r="E364" s="242"/>
      <c r="F364" s="257"/>
      <c r="G364" s="242"/>
      <c r="H364" s="257"/>
      <c r="I364" s="242"/>
    </row>
    <row r="365" spans="1:9" ht="15" customHeight="1" x14ac:dyDescent="0.15">
      <c r="A365" s="242"/>
      <c r="B365" s="242"/>
      <c r="C365" s="242"/>
      <c r="D365" s="256"/>
      <c r="E365" s="242"/>
      <c r="F365" s="257"/>
      <c r="G365" s="242"/>
      <c r="H365" s="257"/>
      <c r="I365" s="242"/>
    </row>
    <row r="366" spans="1:9" ht="15" customHeight="1" x14ac:dyDescent="0.15">
      <c r="A366" s="242"/>
      <c r="B366" s="242"/>
      <c r="C366" s="242"/>
      <c r="D366" s="256"/>
      <c r="E366" s="242"/>
      <c r="F366" s="257"/>
      <c r="G366" s="242"/>
      <c r="H366" s="257"/>
      <c r="I366" s="242"/>
    </row>
    <row r="367" spans="1:9" ht="15" customHeight="1" x14ac:dyDescent="0.15">
      <c r="A367" s="242"/>
      <c r="B367" s="242"/>
      <c r="C367" s="242"/>
      <c r="D367" s="256"/>
      <c r="E367" s="242"/>
      <c r="F367" s="257"/>
      <c r="G367" s="242"/>
      <c r="H367" s="257"/>
      <c r="I367" s="242"/>
    </row>
    <row r="368" spans="1:9" ht="15" customHeight="1" x14ac:dyDescent="0.15">
      <c r="A368" s="242"/>
      <c r="B368" s="242"/>
      <c r="C368" s="242"/>
      <c r="D368" s="256"/>
      <c r="E368" s="242"/>
      <c r="F368" s="257"/>
      <c r="G368" s="242"/>
      <c r="H368" s="257"/>
      <c r="I368" s="242"/>
    </row>
    <row r="369" spans="1:9" ht="15" customHeight="1" x14ac:dyDescent="0.15">
      <c r="A369" s="242"/>
      <c r="B369" s="242"/>
      <c r="C369" s="242"/>
      <c r="D369" s="256"/>
      <c r="E369" s="242"/>
      <c r="F369" s="257"/>
      <c r="G369" s="242"/>
      <c r="H369" s="257"/>
      <c r="I369" s="242"/>
    </row>
    <row r="370" spans="1:9" ht="15" customHeight="1" x14ac:dyDescent="0.15">
      <c r="A370" s="242"/>
      <c r="B370" s="242"/>
      <c r="C370" s="242"/>
      <c r="D370" s="256"/>
      <c r="E370" s="242"/>
      <c r="F370" s="257"/>
      <c r="G370" s="242"/>
      <c r="H370" s="257"/>
      <c r="I370" s="242"/>
    </row>
    <row r="371" spans="1:9" ht="15" customHeight="1" x14ac:dyDescent="0.15">
      <c r="A371" s="242"/>
      <c r="B371" s="242"/>
      <c r="C371" s="242"/>
      <c r="D371" s="256"/>
      <c r="E371" s="242"/>
      <c r="F371" s="257"/>
      <c r="G371" s="242"/>
      <c r="H371" s="257"/>
      <c r="I371" s="242"/>
    </row>
    <row r="372" spans="1:9" ht="15" customHeight="1" x14ac:dyDescent="0.15">
      <c r="A372" s="242"/>
      <c r="B372" s="242"/>
      <c r="C372" s="242"/>
      <c r="D372" s="256"/>
      <c r="E372" s="242"/>
      <c r="F372" s="257"/>
      <c r="G372" s="242"/>
      <c r="H372" s="257"/>
      <c r="I372" s="242"/>
    </row>
    <row r="373" spans="1:9" ht="15" customHeight="1" x14ac:dyDescent="0.15">
      <c r="A373" s="242"/>
      <c r="B373" s="242"/>
      <c r="C373" s="242"/>
      <c r="D373" s="256"/>
      <c r="E373" s="242"/>
      <c r="F373" s="257"/>
      <c r="G373" s="242"/>
      <c r="H373" s="257"/>
      <c r="I373" s="242"/>
    </row>
    <row r="374" spans="1:9" ht="15" customHeight="1" x14ac:dyDescent="0.15">
      <c r="A374" s="242"/>
      <c r="B374" s="242"/>
      <c r="C374" s="242"/>
      <c r="D374" s="256"/>
      <c r="E374" s="242"/>
      <c r="F374" s="257"/>
      <c r="G374" s="242"/>
      <c r="H374" s="257"/>
      <c r="I374" s="242"/>
    </row>
    <row r="375" spans="1:9" ht="15" customHeight="1" x14ac:dyDescent="0.15">
      <c r="A375" s="242"/>
      <c r="B375" s="242"/>
      <c r="C375" s="242"/>
      <c r="D375" s="256"/>
      <c r="E375" s="242"/>
      <c r="F375" s="257"/>
      <c r="G375" s="242"/>
      <c r="H375" s="257"/>
      <c r="I375" s="242"/>
    </row>
    <row r="376" spans="1:9" ht="15" customHeight="1" x14ac:dyDescent="0.15">
      <c r="A376" s="242"/>
      <c r="B376" s="242"/>
      <c r="C376" s="242"/>
      <c r="D376" s="256"/>
      <c r="E376" s="242"/>
      <c r="F376" s="257"/>
      <c r="G376" s="242"/>
      <c r="H376" s="257"/>
      <c r="I376" s="242"/>
    </row>
    <row r="377" spans="1:9" ht="15" customHeight="1" x14ac:dyDescent="0.15">
      <c r="A377" s="242"/>
      <c r="B377" s="242"/>
      <c r="C377" s="242"/>
      <c r="D377" s="256"/>
      <c r="E377" s="242"/>
      <c r="F377" s="257"/>
      <c r="G377" s="242"/>
      <c r="H377" s="257"/>
      <c r="I377" s="242"/>
    </row>
    <row r="378" spans="1:9" ht="15" customHeight="1" x14ac:dyDescent="0.15">
      <c r="A378" s="242"/>
      <c r="B378" s="242"/>
      <c r="C378" s="242"/>
      <c r="D378" s="256"/>
      <c r="E378" s="242"/>
      <c r="F378" s="257"/>
      <c r="G378" s="242"/>
      <c r="H378" s="257"/>
      <c r="I378" s="242"/>
    </row>
    <row r="379" spans="1:9" ht="15" customHeight="1" x14ac:dyDescent="0.15">
      <c r="A379" s="242"/>
      <c r="B379" s="242"/>
      <c r="C379" s="242"/>
      <c r="D379" s="256"/>
      <c r="E379" s="242"/>
      <c r="F379" s="257"/>
      <c r="G379" s="242"/>
      <c r="H379" s="257"/>
      <c r="I379" s="242"/>
    </row>
    <row r="380" spans="1:9" ht="15" customHeight="1" x14ac:dyDescent="0.15">
      <c r="A380" s="242"/>
      <c r="B380" s="242"/>
      <c r="C380" s="242"/>
      <c r="D380" s="256"/>
      <c r="E380" s="242"/>
      <c r="F380" s="257"/>
      <c r="G380" s="242"/>
      <c r="H380" s="257"/>
      <c r="I380" s="242"/>
    </row>
    <row r="381" spans="1:9" ht="15" customHeight="1" x14ac:dyDescent="0.15">
      <c r="A381" s="242"/>
      <c r="B381" s="242"/>
      <c r="C381" s="242"/>
      <c r="D381" s="256"/>
      <c r="E381" s="242"/>
      <c r="F381" s="257"/>
      <c r="G381" s="242"/>
      <c r="H381" s="257"/>
      <c r="I381" s="242"/>
    </row>
    <row r="382" spans="1:9" ht="15" customHeight="1" x14ac:dyDescent="0.15">
      <c r="A382" s="242"/>
      <c r="B382" s="242"/>
      <c r="C382" s="242"/>
      <c r="D382" s="256"/>
      <c r="E382" s="242"/>
      <c r="F382" s="257"/>
      <c r="G382" s="242"/>
      <c r="H382" s="257"/>
      <c r="I382" s="242"/>
    </row>
    <row r="383" spans="1:9" ht="15" customHeight="1" x14ac:dyDescent="0.15">
      <c r="A383" s="242"/>
      <c r="B383" s="242"/>
      <c r="C383" s="242"/>
      <c r="D383" s="256"/>
      <c r="E383" s="242"/>
      <c r="F383" s="257"/>
      <c r="G383" s="242"/>
      <c r="H383" s="257"/>
      <c r="I383" s="242"/>
    </row>
    <row r="384" spans="1:9" ht="15" customHeight="1" x14ac:dyDescent="0.15">
      <c r="A384" s="242"/>
      <c r="B384" s="242"/>
      <c r="C384" s="242"/>
      <c r="D384" s="256"/>
      <c r="E384" s="242"/>
      <c r="F384" s="257"/>
      <c r="G384" s="242"/>
      <c r="H384" s="257"/>
      <c r="I384" s="242"/>
    </row>
    <row r="385" spans="1:9" ht="15" customHeight="1" x14ac:dyDescent="0.15">
      <c r="A385" s="242"/>
      <c r="B385" s="242"/>
      <c r="C385" s="242"/>
      <c r="D385" s="256"/>
      <c r="E385" s="242"/>
      <c r="F385" s="257"/>
      <c r="G385" s="242"/>
      <c r="H385" s="257"/>
      <c r="I385" s="242"/>
    </row>
    <row r="386" spans="1:9" ht="15" customHeight="1" x14ac:dyDescent="0.15">
      <c r="A386" s="242"/>
      <c r="B386" s="242"/>
      <c r="C386" s="242"/>
      <c r="D386" s="256"/>
      <c r="E386" s="242"/>
      <c r="F386" s="257"/>
      <c r="G386" s="242"/>
      <c r="H386" s="257"/>
      <c r="I386" s="242"/>
    </row>
    <row r="387" spans="1:9" ht="15" customHeight="1" x14ac:dyDescent="0.15">
      <c r="A387" s="242"/>
      <c r="B387" s="242"/>
      <c r="C387" s="242"/>
      <c r="D387" s="256"/>
      <c r="E387" s="242"/>
      <c r="F387" s="257"/>
      <c r="G387" s="242"/>
      <c r="H387" s="257"/>
      <c r="I387" s="242"/>
    </row>
    <row r="388" spans="1:9" ht="15" customHeight="1" x14ac:dyDescent="0.15">
      <c r="A388" s="242"/>
      <c r="B388" s="242"/>
      <c r="C388" s="242"/>
      <c r="D388" s="256"/>
      <c r="E388" s="242"/>
      <c r="F388" s="257"/>
      <c r="G388" s="242"/>
      <c r="H388" s="257"/>
      <c r="I388" s="242"/>
    </row>
    <row r="389" spans="1:9" ht="15" customHeight="1" x14ac:dyDescent="0.15">
      <c r="A389" s="242"/>
      <c r="B389" s="242"/>
      <c r="C389" s="242"/>
      <c r="D389" s="256"/>
      <c r="E389" s="242"/>
      <c r="F389" s="257"/>
      <c r="G389" s="242"/>
      <c r="H389" s="257"/>
      <c r="I389" s="242"/>
    </row>
    <row r="390" spans="1:9" ht="15" customHeight="1" x14ac:dyDescent="0.15">
      <c r="A390" s="242"/>
      <c r="B390" s="242"/>
      <c r="C390" s="242"/>
      <c r="D390" s="256"/>
      <c r="E390" s="242"/>
      <c r="F390" s="257"/>
      <c r="G390" s="242"/>
      <c r="H390" s="257"/>
      <c r="I390" s="242"/>
    </row>
    <row r="391" spans="1:9" ht="15" customHeight="1" x14ac:dyDescent="0.15">
      <c r="A391" s="242"/>
      <c r="B391" s="242"/>
      <c r="C391" s="242"/>
      <c r="D391" s="256"/>
      <c r="E391" s="242"/>
      <c r="F391" s="257"/>
      <c r="G391" s="242"/>
      <c r="H391" s="257"/>
      <c r="I391" s="242"/>
    </row>
    <row r="392" spans="1:9" ht="15" customHeight="1" x14ac:dyDescent="0.15">
      <c r="A392" s="242"/>
      <c r="B392" s="242"/>
      <c r="C392" s="242"/>
      <c r="D392" s="256"/>
      <c r="E392" s="242"/>
      <c r="F392" s="257"/>
      <c r="G392" s="242"/>
      <c r="H392" s="257"/>
      <c r="I392" s="242"/>
    </row>
    <row r="393" spans="1:9" ht="15" customHeight="1" x14ac:dyDescent="0.15">
      <c r="A393" s="242"/>
      <c r="B393" s="242"/>
      <c r="C393" s="242"/>
      <c r="D393" s="256"/>
      <c r="E393" s="242"/>
      <c r="F393" s="257"/>
      <c r="G393" s="242"/>
      <c r="H393" s="257"/>
      <c r="I393" s="242"/>
    </row>
    <row r="394" spans="1:9" ht="15" customHeight="1" x14ac:dyDescent="0.15">
      <c r="A394" s="242"/>
      <c r="B394" s="242"/>
      <c r="C394" s="242"/>
      <c r="D394" s="256"/>
      <c r="E394" s="242"/>
      <c r="F394" s="257"/>
      <c r="G394" s="242"/>
      <c r="H394" s="257"/>
      <c r="I394" s="242"/>
    </row>
    <row r="395" spans="1:9" ht="15" customHeight="1" x14ac:dyDescent="0.15">
      <c r="A395" s="242"/>
      <c r="B395" s="242"/>
      <c r="C395" s="242"/>
      <c r="D395" s="256"/>
      <c r="E395" s="242"/>
      <c r="F395" s="257"/>
      <c r="G395" s="242"/>
      <c r="H395" s="257"/>
      <c r="I395" s="242"/>
    </row>
    <row r="396" spans="1:9" ht="15" customHeight="1" x14ac:dyDescent="0.15">
      <c r="A396" s="242"/>
      <c r="B396" s="242"/>
      <c r="C396" s="242"/>
      <c r="D396" s="256"/>
      <c r="E396" s="242"/>
      <c r="F396" s="257"/>
      <c r="G396" s="242"/>
      <c r="H396" s="257"/>
      <c r="I396" s="242"/>
    </row>
    <row r="397" spans="1:9" ht="15" customHeight="1" x14ac:dyDescent="0.15">
      <c r="A397" s="242"/>
      <c r="B397" s="242"/>
      <c r="C397" s="242"/>
      <c r="D397" s="256"/>
      <c r="E397" s="242"/>
      <c r="F397" s="257"/>
      <c r="G397" s="242"/>
      <c r="H397" s="257"/>
      <c r="I397" s="242"/>
    </row>
    <row r="398" spans="1:9" ht="15" customHeight="1" x14ac:dyDescent="0.15">
      <c r="A398" s="242"/>
      <c r="B398" s="242"/>
      <c r="C398" s="242"/>
      <c r="D398" s="256"/>
      <c r="E398" s="242"/>
      <c r="F398" s="257"/>
      <c r="G398" s="242"/>
      <c r="H398" s="257"/>
      <c r="I398" s="242"/>
    </row>
    <row r="399" spans="1:9" ht="15" customHeight="1" x14ac:dyDescent="0.15">
      <c r="A399" s="242"/>
      <c r="B399" s="242"/>
      <c r="C399" s="242"/>
      <c r="D399" s="256"/>
      <c r="E399" s="242"/>
      <c r="F399" s="257"/>
      <c r="G399" s="242"/>
      <c r="H399" s="257"/>
      <c r="I399" s="242"/>
    </row>
    <row r="400" spans="1:9" ht="15" customHeight="1" x14ac:dyDescent="0.15">
      <c r="A400" s="242"/>
      <c r="B400" s="242"/>
      <c r="C400" s="242"/>
      <c r="D400" s="256"/>
      <c r="E400" s="242"/>
      <c r="F400" s="257"/>
      <c r="G400" s="242"/>
      <c r="H400" s="257"/>
      <c r="I400" s="242"/>
    </row>
    <row r="401" spans="1:9" ht="15" customHeight="1" x14ac:dyDescent="0.15">
      <c r="A401" s="242"/>
      <c r="B401" s="242"/>
      <c r="C401" s="242"/>
      <c r="D401" s="256"/>
      <c r="E401" s="242"/>
      <c r="F401" s="257"/>
      <c r="G401" s="242"/>
      <c r="H401" s="257"/>
      <c r="I401" s="242"/>
    </row>
    <row r="402" spans="1:9" ht="15" customHeight="1" x14ac:dyDescent="0.15">
      <c r="A402" s="242"/>
      <c r="B402" s="242"/>
      <c r="C402" s="242"/>
      <c r="D402" s="256"/>
      <c r="E402" s="242"/>
      <c r="F402" s="257"/>
      <c r="G402" s="242"/>
      <c r="H402" s="257"/>
      <c r="I402" s="242"/>
    </row>
    <row r="403" spans="1:9" ht="15" customHeight="1" x14ac:dyDescent="0.15">
      <c r="A403" s="242"/>
      <c r="B403" s="242"/>
      <c r="C403" s="242"/>
      <c r="D403" s="256"/>
      <c r="E403" s="242"/>
      <c r="F403" s="257"/>
      <c r="G403" s="242"/>
      <c r="H403" s="257"/>
      <c r="I403" s="242"/>
    </row>
    <row r="404" spans="1:9" ht="15" customHeight="1" x14ac:dyDescent="0.15">
      <c r="A404" s="242"/>
      <c r="B404" s="242"/>
      <c r="C404" s="242"/>
      <c r="D404" s="256"/>
      <c r="E404" s="242"/>
      <c r="F404" s="257"/>
      <c r="G404" s="242"/>
      <c r="H404" s="257"/>
      <c r="I404" s="242"/>
    </row>
    <row r="405" spans="1:9" ht="15" customHeight="1" x14ac:dyDescent="0.15">
      <c r="A405" s="242"/>
      <c r="B405" s="242"/>
      <c r="C405" s="242"/>
      <c r="D405" s="256"/>
      <c r="E405" s="242"/>
      <c r="F405" s="257"/>
      <c r="G405" s="242"/>
      <c r="H405" s="257"/>
      <c r="I405" s="242"/>
    </row>
    <row r="406" spans="1:9" ht="15" customHeight="1" x14ac:dyDescent="0.15">
      <c r="A406" s="242"/>
      <c r="B406" s="242"/>
      <c r="C406" s="242"/>
      <c r="D406" s="256"/>
      <c r="E406" s="242"/>
      <c r="F406" s="257"/>
      <c r="G406" s="242"/>
      <c r="H406" s="257"/>
      <c r="I406" s="242"/>
    </row>
    <row r="407" spans="1:9" ht="15" customHeight="1" x14ac:dyDescent="0.15">
      <c r="A407" s="242"/>
      <c r="B407" s="242"/>
      <c r="C407" s="242"/>
      <c r="D407" s="256"/>
      <c r="E407" s="242"/>
      <c r="F407" s="257"/>
      <c r="G407" s="242"/>
      <c r="H407" s="257"/>
      <c r="I407" s="242"/>
    </row>
    <row r="408" spans="1:9" ht="15" customHeight="1" x14ac:dyDescent="0.15">
      <c r="A408" s="242"/>
      <c r="B408" s="242"/>
      <c r="C408" s="242"/>
      <c r="D408" s="256"/>
      <c r="E408" s="242"/>
      <c r="F408" s="257"/>
      <c r="G408" s="242"/>
      <c r="H408" s="257"/>
      <c r="I408" s="242"/>
    </row>
    <row r="409" spans="1:9" ht="15" customHeight="1" x14ac:dyDescent="0.15">
      <c r="A409" s="242"/>
      <c r="B409" s="242"/>
      <c r="C409" s="242"/>
      <c r="D409" s="256"/>
      <c r="E409" s="242"/>
      <c r="F409" s="257"/>
      <c r="G409" s="242"/>
      <c r="H409" s="257"/>
      <c r="I409" s="242"/>
    </row>
    <row r="410" spans="1:9" ht="15" customHeight="1" x14ac:dyDescent="0.15">
      <c r="A410" s="242"/>
      <c r="B410" s="242"/>
      <c r="C410" s="242"/>
      <c r="D410" s="256"/>
      <c r="E410" s="242"/>
      <c r="F410" s="257"/>
      <c r="G410" s="242"/>
      <c r="H410" s="257"/>
      <c r="I410" s="242"/>
    </row>
    <row r="411" spans="1:9" ht="15" customHeight="1" x14ac:dyDescent="0.15">
      <c r="A411" s="242"/>
      <c r="B411" s="242"/>
      <c r="C411" s="242"/>
      <c r="D411" s="256"/>
      <c r="E411" s="242"/>
      <c r="F411" s="257"/>
      <c r="G411" s="242"/>
      <c r="H411" s="257"/>
      <c r="I411" s="242"/>
    </row>
    <row r="412" spans="1:9" ht="15" customHeight="1" x14ac:dyDescent="0.15">
      <c r="A412" s="242"/>
      <c r="B412" s="242"/>
      <c r="C412" s="242"/>
      <c r="D412" s="256"/>
      <c r="E412" s="242"/>
      <c r="F412" s="257"/>
      <c r="G412" s="242"/>
      <c r="H412" s="257"/>
      <c r="I412" s="242"/>
    </row>
    <row r="413" spans="1:9" ht="15" customHeight="1" x14ac:dyDescent="0.15">
      <c r="A413" s="242"/>
      <c r="B413" s="242"/>
      <c r="C413" s="242"/>
      <c r="D413" s="256"/>
      <c r="E413" s="242"/>
      <c r="F413" s="257"/>
      <c r="G413" s="242"/>
      <c r="H413" s="257"/>
      <c r="I413" s="242"/>
    </row>
    <row r="414" spans="1:9" ht="15" customHeight="1" x14ac:dyDescent="0.15">
      <c r="A414" s="242"/>
      <c r="B414" s="242"/>
      <c r="C414" s="242"/>
      <c r="D414" s="256"/>
      <c r="E414" s="242"/>
      <c r="F414" s="257"/>
      <c r="G414" s="242"/>
      <c r="H414" s="257"/>
      <c r="I414" s="242"/>
    </row>
    <row r="415" spans="1:9" ht="15" customHeight="1" x14ac:dyDescent="0.15">
      <c r="A415" s="242"/>
      <c r="B415" s="242"/>
      <c r="C415" s="242"/>
      <c r="D415" s="256"/>
      <c r="E415" s="242"/>
      <c r="F415" s="257"/>
      <c r="G415" s="242"/>
      <c r="H415" s="257"/>
      <c r="I415" s="242"/>
    </row>
    <row r="416" spans="1:9" ht="15" customHeight="1" x14ac:dyDescent="0.15">
      <c r="A416" s="242"/>
      <c r="B416" s="242"/>
      <c r="C416" s="242"/>
      <c r="D416" s="256"/>
      <c r="E416" s="242"/>
      <c r="F416" s="257"/>
      <c r="G416" s="242"/>
      <c r="H416" s="257"/>
      <c r="I416" s="242"/>
    </row>
    <row r="417" spans="1:9" ht="15" customHeight="1" x14ac:dyDescent="0.15">
      <c r="A417" s="242"/>
      <c r="B417" s="242"/>
      <c r="C417" s="242"/>
      <c r="D417" s="256"/>
      <c r="E417" s="242"/>
      <c r="F417" s="257"/>
      <c r="G417" s="242"/>
      <c r="H417" s="257"/>
      <c r="I417" s="242"/>
    </row>
    <row r="418" spans="1:9" ht="15" customHeight="1" x14ac:dyDescent="0.15">
      <c r="A418" s="242"/>
      <c r="B418" s="242"/>
      <c r="C418" s="242"/>
      <c r="D418" s="256"/>
      <c r="E418" s="242"/>
      <c r="F418" s="257"/>
      <c r="G418" s="242"/>
      <c r="H418" s="257"/>
      <c r="I418" s="242"/>
    </row>
    <row r="419" spans="1:9" ht="15" customHeight="1" x14ac:dyDescent="0.15">
      <c r="A419" s="242"/>
      <c r="B419" s="242"/>
      <c r="C419" s="242"/>
      <c r="D419" s="256"/>
      <c r="E419" s="242"/>
      <c r="F419" s="257"/>
      <c r="G419" s="242"/>
      <c r="H419" s="257"/>
      <c r="I419" s="242"/>
    </row>
    <row r="420" spans="1:9" ht="15" customHeight="1" x14ac:dyDescent="0.15">
      <c r="A420" s="242"/>
      <c r="B420" s="242"/>
      <c r="C420" s="242"/>
      <c r="D420" s="256"/>
      <c r="E420" s="242"/>
      <c r="F420" s="257"/>
      <c r="G420" s="242"/>
      <c r="H420" s="257"/>
      <c r="I420" s="242"/>
    </row>
    <row r="421" spans="1:9" ht="15" customHeight="1" x14ac:dyDescent="0.15">
      <c r="A421" s="242"/>
      <c r="B421" s="242"/>
      <c r="C421" s="242"/>
      <c r="D421" s="256"/>
      <c r="E421" s="242"/>
      <c r="F421" s="257"/>
      <c r="G421" s="242"/>
      <c r="H421" s="257"/>
      <c r="I421" s="242"/>
    </row>
    <row r="422" spans="1:9" ht="15" customHeight="1" x14ac:dyDescent="0.15">
      <c r="A422" s="242"/>
      <c r="B422" s="242"/>
      <c r="C422" s="242"/>
      <c r="D422" s="256"/>
      <c r="E422" s="242"/>
      <c r="F422" s="257"/>
      <c r="G422" s="242"/>
      <c r="H422" s="257"/>
      <c r="I422" s="242"/>
    </row>
    <row r="423" spans="1:9" ht="15" customHeight="1" x14ac:dyDescent="0.15">
      <c r="A423" s="242"/>
      <c r="B423" s="242"/>
      <c r="C423" s="242"/>
      <c r="D423" s="256"/>
      <c r="E423" s="242"/>
      <c r="F423" s="257"/>
      <c r="G423" s="242"/>
      <c r="H423" s="257"/>
      <c r="I423" s="242"/>
    </row>
    <row r="424" spans="1:9" ht="15" customHeight="1" x14ac:dyDescent="0.15">
      <c r="A424" s="242"/>
      <c r="B424" s="242"/>
      <c r="C424" s="242"/>
      <c r="D424" s="256"/>
      <c r="E424" s="242"/>
      <c r="F424" s="257"/>
      <c r="G424" s="242"/>
      <c r="H424" s="257"/>
      <c r="I424" s="242"/>
    </row>
    <row r="425" spans="1:9" ht="15" customHeight="1" x14ac:dyDescent="0.15">
      <c r="A425" s="242"/>
      <c r="B425" s="242"/>
      <c r="C425" s="242"/>
      <c r="D425" s="256"/>
      <c r="E425" s="242"/>
      <c r="F425" s="257"/>
      <c r="G425" s="242"/>
      <c r="H425" s="257"/>
      <c r="I425" s="242"/>
    </row>
    <row r="426" spans="1:9" ht="15" customHeight="1" x14ac:dyDescent="0.15">
      <c r="A426" s="242"/>
      <c r="B426" s="242"/>
      <c r="C426" s="242"/>
      <c r="D426" s="256"/>
      <c r="E426" s="242"/>
      <c r="F426" s="257"/>
      <c r="G426" s="242"/>
      <c r="H426" s="257"/>
      <c r="I426" s="242"/>
    </row>
    <row r="427" spans="1:9" ht="15" customHeight="1" x14ac:dyDescent="0.15">
      <c r="A427" s="242"/>
      <c r="B427" s="242"/>
      <c r="C427" s="242"/>
      <c r="D427" s="256"/>
      <c r="E427" s="242"/>
      <c r="F427" s="257"/>
      <c r="G427" s="242"/>
      <c r="H427" s="257"/>
      <c r="I427" s="242"/>
    </row>
    <row r="428" spans="1:9" ht="15" customHeight="1" x14ac:dyDescent="0.15">
      <c r="A428" s="242"/>
      <c r="B428" s="242"/>
      <c r="C428" s="242"/>
      <c r="D428" s="256"/>
      <c r="E428" s="242"/>
      <c r="F428" s="257"/>
      <c r="G428" s="242"/>
      <c r="H428" s="257"/>
      <c r="I428" s="242"/>
    </row>
    <row r="429" spans="1:9" ht="15" customHeight="1" x14ac:dyDescent="0.15">
      <c r="A429" s="242"/>
      <c r="B429" s="242"/>
      <c r="C429" s="242"/>
      <c r="D429" s="256"/>
      <c r="E429" s="242"/>
      <c r="F429" s="257"/>
      <c r="G429" s="242"/>
      <c r="H429" s="257"/>
      <c r="I429" s="242"/>
    </row>
    <row r="430" spans="1:9" ht="15" customHeight="1" x14ac:dyDescent="0.15">
      <c r="A430" s="242"/>
      <c r="B430" s="242"/>
      <c r="C430" s="242"/>
      <c r="D430" s="256"/>
      <c r="E430" s="242"/>
      <c r="F430" s="257"/>
      <c r="G430" s="242"/>
      <c r="H430" s="257"/>
      <c r="I430" s="242"/>
    </row>
    <row r="431" spans="1:9" ht="15" customHeight="1" x14ac:dyDescent="0.15">
      <c r="A431" s="242"/>
      <c r="B431" s="242"/>
      <c r="C431" s="242"/>
      <c r="D431" s="256"/>
      <c r="E431" s="242"/>
      <c r="F431" s="257"/>
      <c r="G431" s="242"/>
      <c r="H431" s="257"/>
      <c r="I431" s="242"/>
    </row>
    <row r="432" spans="1:9" ht="15" customHeight="1" x14ac:dyDescent="0.15">
      <c r="A432" s="242"/>
      <c r="B432" s="242"/>
      <c r="C432" s="242"/>
      <c r="D432" s="256"/>
      <c r="E432" s="242"/>
      <c r="F432" s="257"/>
      <c r="G432" s="242"/>
      <c r="H432" s="257"/>
      <c r="I432" s="242"/>
    </row>
    <row r="433" spans="1:9" ht="15" customHeight="1" x14ac:dyDescent="0.15">
      <c r="A433" s="242"/>
      <c r="B433" s="242"/>
      <c r="C433" s="242"/>
      <c r="D433" s="256"/>
      <c r="E433" s="242"/>
      <c r="F433" s="257"/>
      <c r="G433" s="242"/>
      <c r="H433" s="257"/>
      <c r="I433" s="242"/>
    </row>
    <row r="434" spans="1:9" ht="15" customHeight="1" x14ac:dyDescent="0.15">
      <c r="A434" s="242"/>
      <c r="B434" s="242"/>
      <c r="C434" s="242"/>
      <c r="D434" s="256"/>
      <c r="E434" s="242"/>
      <c r="F434" s="257"/>
      <c r="G434" s="242"/>
      <c r="H434" s="257"/>
      <c r="I434" s="242"/>
    </row>
    <row r="435" spans="1:9" ht="15" customHeight="1" x14ac:dyDescent="0.15">
      <c r="A435" s="242"/>
      <c r="B435" s="242"/>
      <c r="C435" s="242"/>
      <c r="D435" s="256"/>
      <c r="E435" s="242"/>
      <c r="F435" s="257"/>
      <c r="G435" s="242"/>
      <c r="H435" s="257"/>
      <c r="I435" s="242"/>
    </row>
    <row r="436" spans="1:9" ht="15" customHeight="1" x14ac:dyDescent="0.15">
      <c r="A436" s="242"/>
      <c r="B436" s="242"/>
      <c r="C436" s="242"/>
      <c r="D436" s="256"/>
      <c r="E436" s="242"/>
      <c r="F436" s="257"/>
      <c r="G436" s="242"/>
      <c r="H436" s="257"/>
      <c r="I436" s="242"/>
    </row>
    <row r="437" spans="1:9" ht="15" customHeight="1" x14ac:dyDescent="0.15">
      <c r="A437" s="242"/>
      <c r="B437" s="242"/>
      <c r="C437" s="242"/>
      <c r="D437" s="256"/>
      <c r="E437" s="242"/>
      <c r="F437" s="257"/>
      <c r="G437" s="242"/>
      <c r="H437" s="257"/>
      <c r="I437" s="242"/>
    </row>
    <row r="438" spans="1:9" ht="15" customHeight="1" x14ac:dyDescent="0.15">
      <c r="A438" s="242"/>
      <c r="B438" s="242"/>
      <c r="C438" s="242"/>
      <c r="D438" s="256"/>
      <c r="E438" s="242"/>
      <c r="F438" s="257"/>
      <c r="G438" s="242"/>
      <c r="H438" s="257"/>
      <c r="I438" s="242"/>
    </row>
    <row r="439" spans="1:9" ht="15" customHeight="1" x14ac:dyDescent="0.15">
      <c r="A439" s="242"/>
      <c r="B439" s="242"/>
      <c r="C439" s="242"/>
      <c r="D439" s="256"/>
      <c r="E439" s="242"/>
      <c r="F439" s="257"/>
      <c r="G439" s="242"/>
      <c r="H439" s="257"/>
      <c r="I439" s="242"/>
    </row>
    <row r="440" spans="1:9" ht="15" customHeight="1" x14ac:dyDescent="0.15">
      <c r="A440" s="242"/>
      <c r="B440" s="242"/>
      <c r="C440" s="242"/>
      <c r="D440" s="256"/>
      <c r="E440" s="242"/>
      <c r="F440" s="257"/>
      <c r="G440" s="242"/>
      <c r="H440" s="257"/>
      <c r="I440" s="242"/>
    </row>
    <row r="441" spans="1:9" ht="15" customHeight="1" x14ac:dyDescent="0.15">
      <c r="A441" s="242"/>
      <c r="B441" s="242"/>
      <c r="C441" s="242"/>
      <c r="D441" s="256"/>
      <c r="E441" s="242"/>
      <c r="F441" s="257"/>
      <c r="G441" s="242"/>
      <c r="H441" s="257"/>
      <c r="I441" s="242"/>
    </row>
    <row r="442" spans="1:9" ht="15" customHeight="1" x14ac:dyDescent="0.15">
      <c r="A442" s="242"/>
      <c r="B442" s="242"/>
      <c r="C442" s="242"/>
      <c r="D442" s="256"/>
      <c r="E442" s="242"/>
      <c r="F442" s="257"/>
      <c r="G442" s="242"/>
      <c r="H442" s="257"/>
      <c r="I442" s="242"/>
    </row>
    <row r="443" spans="1:9" ht="15" customHeight="1" x14ac:dyDescent="0.15">
      <c r="A443" s="242"/>
      <c r="B443" s="242"/>
      <c r="C443" s="242"/>
      <c r="D443" s="256"/>
      <c r="E443" s="242"/>
      <c r="F443" s="257"/>
      <c r="G443" s="242"/>
      <c r="H443" s="257"/>
      <c r="I443" s="242"/>
    </row>
    <row r="444" spans="1:9" ht="15" customHeight="1" x14ac:dyDescent="0.15">
      <c r="A444" s="242"/>
      <c r="B444" s="242"/>
      <c r="C444" s="242"/>
      <c r="D444" s="256"/>
      <c r="E444" s="242"/>
      <c r="F444" s="257"/>
      <c r="G444" s="242"/>
      <c r="H444" s="257"/>
      <c r="I444" s="242"/>
    </row>
    <row r="445" spans="1:9" ht="15" customHeight="1" x14ac:dyDescent="0.15">
      <c r="A445" s="242"/>
      <c r="B445" s="242"/>
      <c r="C445" s="242"/>
      <c r="D445" s="256"/>
      <c r="E445" s="242"/>
      <c r="F445" s="257"/>
      <c r="G445" s="242"/>
      <c r="H445" s="257"/>
      <c r="I445" s="242"/>
    </row>
    <row r="446" spans="1:9" ht="15" customHeight="1" x14ac:dyDescent="0.15">
      <c r="A446" s="242"/>
      <c r="B446" s="242"/>
      <c r="C446" s="242"/>
      <c r="D446" s="256"/>
      <c r="E446" s="242"/>
      <c r="F446" s="257"/>
      <c r="G446" s="242"/>
      <c r="H446" s="257"/>
      <c r="I446" s="242"/>
    </row>
    <row r="447" spans="1:9" ht="15" customHeight="1" x14ac:dyDescent="0.15">
      <c r="A447" s="242"/>
      <c r="B447" s="242"/>
      <c r="C447" s="242"/>
      <c r="D447" s="256"/>
      <c r="E447" s="242"/>
      <c r="F447" s="257"/>
      <c r="G447" s="242"/>
      <c r="H447" s="257"/>
      <c r="I447" s="242"/>
    </row>
    <row r="448" spans="1:9" ht="15" customHeight="1" x14ac:dyDescent="0.15">
      <c r="A448" s="242"/>
      <c r="B448" s="242"/>
      <c r="C448" s="242"/>
      <c r="D448" s="256"/>
      <c r="E448" s="242"/>
      <c r="F448" s="257"/>
      <c r="G448" s="242"/>
      <c r="H448" s="257"/>
      <c r="I448" s="242"/>
    </row>
    <row r="449" spans="1:9" ht="15" customHeight="1" x14ac:dyDescent="0.15">
      <c r="A449" s="242"/>
      <c r="B449" s="242"/>
      <c r="C449" s="242"/>
      <c r="D449" s="256"/>
      <c r="E449" s="242"/>
      <c r="F449" s="257"/>
      <c r="G449" s="242"/>
      <c r="H449" s="257"/>
      <c r="I449" s="242"/>
    </row>
    <row r="450" spans="1:9" ht="15" customHeight="1" x14ac:dyDescent="0.15">
      <c r="A450" s="242"/>
      <c r="B450" s="242"/>
      <c r="C450" s="242"/>
      <c r="D450" s="256"/>
      <c r="E450" s="242"/>
      <c r="F450" s="257"/>
      <c r="G450" s="242"/>
      <c r="H450" s="257"/>
      <c r="I450" s="242"/>
    </row>
    <row r="451" spans="1:9" ht="15" customHeight="1" x14ac:dyDescent="0.15">
      <c r="A451" s="242"/>
      <c r="B451" s="242"/>
      <c r="C451" s="242"/>
      <c r="D451" s="256"/>
      <c r="E451" s="242"/>
      <c r="F451" s="257"/>
      <c r="G451" s="242"/>
      <c r="H451" s="257"/>
      <c r="I451" s="242"/>
    </row>
    <row r="452" spans="1:9" ht="15" customHeight="1" x14ac:dyDescent="0.15">
      <c r="A452" s="242"/>
      <c r="B452" s="242"/>
      <c r="C452" s="242"/>
      <c r="D452" s="256"/>
      <c r="E452" s="242"/>
      <c r="F452" s="257"/>
      <c r="G452" s="242"/>
      <c r="H452" s="257"/>
      <c r="I452" s="242"/>
    </row>
    <row r="453" spans="1:9" ht="15" customHeight="1" x14ac:dyDescent="0.15">
      <c r="A453" s="242"/>
      <c r="B453" s="242"/>
      <c r="C453" s="242"/>
      <c r="D453" s="256"/>
      <c r="E453" s="242"/>
      <c r="F453" s="257"/>
      <c r="G453" s="242"/>
      <c r="H453" s="257"/>
      <c r="I453" s="242"/>
    </row>
    <row r="454" spans="1:9" ht="15" customHeight="1" x14ac:dyDescent="0.15">
      <c r="A454" s="242"/>
      <c r="B454" s="242"/>
      <c r="C454" s="242"/>
      <c r="D454" s="256"/>
      <c r="E454" s="242"/>
      <c r="F454" s="257"/>
      <c r="G454" s="242"/>
      <c r="H454" s="257"/>
      <c r="I454" s="242"/>
    </row>
    <row r="455" spans="1:9" ht="15" customHeight="1" x14ac:dyDescent="0.15">
      <c r="A455" s="242"/>
      <c r="B455" s="242"/>
      <c r="C455" s="242"/>
      <c r="D455" s="256"/>
      <c r="E455" s="242"/>
      <c r="F455" s="257"/>
      <c r="G455" s="242"/>
      <c r="H455" s="257"/>
      <c r="I455" s="242"/>
    </row>
    <row r="456" spans="1:9" ht="15" customHeight="1" x14ac:dyDescent="0.15">
      <c r="A456" s="242"/>
      <c r="B456" s="242"/>
      <c r="C456" s="242"/>
      <c r="D456" s="256"/>
      <c r="E456" s="242"/>
      <c r="F456" s="257"/>
      <c r="G456" s="242"/>
      <c r="H456" s="257"/>
      <c r="I456" s="242"/>
    </row>
    <row r="457" spans="1:9" ht="15" customHeight="1" x14ac:dyDescent="0.15">
      <c r="A457" s="242"/>
      <c r="B457" s="242"/>
      <c r="C457" s="242"/>
      <c r="D457" s="256"/>
      <c r="E457" s="242"/>
      <c r="F457" s="257"/>
      <c r="G457" s="242"/>
      <c r="H457" s="257"/>
      <c r="I457" s="242"/>
    </row>
    <row r="458" spans="1:9" ht="15" customHeight="1" x14ac:dyDescent="0.15">
      <c r="A458" s="242"/>
      <c r="B458" s="242"/>
      <c r="C458" s="242"/>
      <c r="D458" s="256"/>
      <c r="E458" s="242"/>
      <c r="F458" s="257"/>
      <c r="G458" s="242"/>
      <c r="H458" s="257"/>
      <c r="I458" s="242"/>
    </row>
    <row r="459" spans="1:9" ht="15" customHeight="1" x14ac:dyDescent="0.15">
      <c r="A459" s="242"/>
      <c r="B459" s="242"/>
      <c r="C459" s="242"/>
      <c r="D459" s="256"/>
      <c r="E459" s="242"/>
      <c r="F459" s="257"/>
      <c r="G459" s="242"/>
      <c r="H459" s="257"/>
      <c r="I459" s="242"/>
    </row>
    <row r="460" spans="1:9" ht="15" customHeight="1" x14ac:dyDescent="0.15">
      <c r="A460" s="242"/>
      <c r="B460" s="242"/>
      <c r="C460" s="242"/>
      <c r="D460" s="256"/>
      <c r="E460" s="242"/>
      <c r="F460" s="257"/>
      <c r="G460" s="242"/>
      <c r="H460" s="257"/>
      <c r="I460" s="242"/>
    </row>
    <row r="461" spans="1:9" ht="15" customHeight="1" x14ac:dyDescent="0.15">
      <c r="A461" s="242"/>
      <c r="B461" s="242"/>
      <c r="C461" s="242"/>
      <c r="D461" s="256"/>
      <c r="E461" s="242"/>
      <c r="F461" s="257"/>
      <c r="G461" s="242"/>
      <c r="H461" s="257"/>
      <c r="I461" s="242"/>
    </row>
    <row r="462" spans="1:9" ht="15" customHeight="1" x14ac:dyDescent="0.15">
      <c r="A462" s="242"/>
      <c r="B462" s="242"/>
      <c r="C462" s="242"/>
      <c r="D462" s="256"/>
      <c r="E462" s="242"/>
      <c r="F462" s="257"/>
      <c r="G462" s="242"/>
      <c r="H462" s="257"/>
      <c r="I462" s="242"/>
    </row>
    <row r="463" spans="1:9" ht="15" customHeight="1" x14ac:dyDescent="0.15">
      <c r="A463" s="242"/>
      <c r="B463" s="242"/>
      <c r="C463" s="242"/>
      <c r="D463" s="256"/>
      <c r="E463" s="242"/>
      <c r="F463" s="257"/>
      <c r="G463" s="242"/>
      <c r="H463" s="257"/>
      <c r="I463" s="242"/>
    </row>
    <row r="464" spans="1:9" ht="15" customHeight="1" x14ac:dyDescent="0.15">
      <c r="A464" s="242"/>
      <c r="B464" s="242"/>
      <c r="C464" s="242"/>
      <c r="D464" s="256"/>
      <c r="E464" s="242"/>
      <c r="F464" s="257"/>
      <c r="G464" s="242"/>
      <c r="H464" s="257"/>
      <c r="I464" s="242"/>
    </row>
    <row r="465" spans="1:9" ht="15" customHeight="1" x14ac:dyDescent="0.15">
      <c r="A465" s="242"/>
      <c r="B465" s="242"/>
      <c r="C465" s="242"/>
      <c r="D465" s="256"/>
      <c r="E465" s="242"/>
      <c r="F465" s="257"/>
      <c r="G465" s="242"/>
      <c r="H465" s="257"/>
      <c r="I465" s="242"/>
    </row>
    <row r="466" spans="1:9" ht="15" customHeight="1" x14ac:dyDescent="0.15">
      <c r="A466" s="242"/>
      <c r="B466" s="242"/>
      <c r="C466" s="242"/>
      <c r="D466" s="256"/>
      <c r="E466" s="242"/>
      <c r="F466" s="257"/>
      <c r="G466" s="242"/>
      <c r="H466" s="257"/>
      <c r="I466" s="242"/>
    </row>
    <row r="467" spans="1:9" ht="15" customHeight="1" x14ac:dyDescent="0.15">
      <c r="A467" s="242"/>
      <c r="B467" s="242"/>
      <c r="C467" s="242"/>
      <c r="D467" s="256"/>
      <c r="E467" s="242"/>
      <c r="F467" s="257"/>
      <c r="G467" s="242"/>
      <c r="H467" s="257"/>
      <c r="I467" s="242"/>
    </row>
    <row r="468" spans="1:9" ht="15" customHeight="1" x14ac:dyDescent="0.15">
      <c r="A468" s="242"/>
      <c r="B468" s="242"/>
      <c r="C468" s="242"/>
      <c r="D468" s="256"/>
      <c r="E468" s="242"/>
      <c r="F468" s="257"/>
      <c r="G468" s="242"/>
      <c r="H468" s="257"/>
      <c r="I468" s="242"/>
    </row>
    <row r="469" spans="1:9" ht="15" customHeight="1" x14ac:dyDescent="0.15">
      <c r="A469" s="242"/>
      <c r="B469" s="242"/>
      <c r="C469" s="242"/>
      <c r="D469" s="256"/>
      <c r="E469" s="242"/>
      <c r="F469" s="257"/>
      <c r="G469" s="242"/>
      <c r="H469" s="257"/>
      <c r="I469" s="242"/>
    </row>
    <row r="470" spans="1:9" ht="15" customHeight="1" x14ac:dyDescent="0.15">
      <c r="A470" s="242"/>
      <c r="B470" s="242"/>
      <c r="C470" s="242"/>
      <c r="D470" s="256"/>
      <c r="E470" s="242"/>
      <c r="F470" s="257"/>
      <c r="G470" s="242"/>
      <c r="H470" s="257"/>
      <c r="I470" s="242"/>
    </row>
    <row r="471" spans="1:9" ht="15" customHeight="1" x14ac:dyDescent="0.15">
      <c r="A471" s="242"/>
      <c r="B471" s="242"/>
      <c r="C471" s="242"/>
      <c r="D471" s="256"/>
      <c r="E471" s="242"/>
      <c r="F471" s="257"/>
      <c r="G471" s="242"/>
      <c r="H471" s="257"/>
      <c r="I471" s="242"/>
    </row>
    <row r="472" spans="1:9" ht="15" customHeight="1" x14ac:dyDescent="0.15">
      <c r="A472" s="242"/>
      <c r="B472" s="242"/>
      <c r="C472" s="242"/>
      <c r="D472" s="256"/>
      <c r="E472" s="242"/>
      <c r="F472" s="257"/>
      <c r="G472" s="242"/>
      <c r="H472" s="257"/>
      <c r="I472" s="242"/>
    </row>
    <row r="473" spans="1:9" ht="15" customHeight="1" x14ac:dyDescent="0.15">
      <c r="A473" s="242"/>
      <c r="B473" s="242"/>
      <c r="C473" s="242"/>
      <c r="D473" s="256"/>
      <c r="E473" s="242"/>
      <c r="F473" s="257"/>
      <c r="G473" s="242"/>
      <c r="H473" s="257"/>
      <c r="I473" s="242"/>
    </row>
    <row r="474" spans="1:9" ht="15" customHeight="1" x14ac:dyDescent="0.15">
      <c r="A474" s="242"/>
      <c r="B474" s="242"/>
      <c r="C474" s="242"/>
      <c r="D474" s="256"/>
      <c r="E474" s="242"/>
      <c r="F474" s="257"/>
      <c r="G474" s="242"/>
      <c r="H474" s="257"/>
      <c r="I474" s="242"/>
    </row>
    <row r="475" spans="1:9" ht="15" customHeight="1" x14ac:dyDescent="0.15">
      <c r="A475" s="242"/>
      <c r="B475" s="242"/>
      <c r="C475" s="242"/>
      <c r="D475" s="256"/>
      <c r="E475" s="242"/>
      <c r="F475" s="257"/>
      <c r="G475" s="242"/>
      <c r="H475" s="257"/>
      <c r="I475" s="242"/>
    </row>
    <row r="476" spans="1:9" ht="15" customHeight="1" x14ac:dyDescent="0.15">
      <c r="A476" s="242"/>
      <c r="B476" s="242"/>
      <c r="C476" s="242"/>
      <c r="D476" s="256"/>
      <c r="E476" s="242"/>
      <c r="F476" s="257"/>
      <c r="G476" s="242"/>
      <c r="H476" s="257"/>
      <c r="I476" s="242"/>
    </row>
    <row r="477" spans="1:9" ht="15" customHeight="1" x14ac:dyDescent="0.15">
      <c r="A477" s="242"/>
      <c r="B477" s="242"/>
      <c r="C477" s="242"/>
      <c r="D477" s="256"/>
      <c r="E477" s="242"/>
      <c r="F477" s="257"/>
      <c r="G477" s="242"/>
      <c r="H477" s="257"/>
      <c r="I477" s="242"/>
    </row>
    <row r="478" spans="1:9" ht="15" customHeight="1" x14ac:dyDescent="0.15">
      <c r="A478" s="242"/>
      <c r="B478" s="242"/>
      <c r="C478" s="242"/>
      <c r="D478" s="256"/>
      <c r="E478" s="242"/>
      <c r="F478" s="257"/>
      <c r="G478" s="242"/>
      <c r="H478" s="257"/>
      <c r="I478" s="242"/>
    </row>
    <row r="479" spans="1:9" ht="15" customHeight="1" x14ac:dyDescent="0.15">
      <c r="A479" s="242"/>
      <c r="B479" s="242"/>
      <c r="C479" s="242"/>
      <c r="D479" s="256"/>
      <c r="E479" s="242"/>
      <c r="F479" s="257"/>
      <c r="G479" s="242"/>
      <c r="H479" s="257"/>
      <c r="I479" s="242"/>
    </row>
    <row r="480" spans="1:9" ht="15" customHeight="1" x14ac:dyDescent="0.15">
      <c r="A480" s="242"/>
      <c r="B480" s="242"/>
      <c r="C480" s="242"/>
      <c r="D480" s="256"/>
      <c r="E480" s="242"/>
      <c r="F480" s="257"/>
      <c r="G480" s="242"/>
      <c r="H480" s="257"/>
      <c r="I480" s="242"/>
    </row>
    <row r="481" spans="1:9" ht="15" customHeight="1" x14ac:dyDescent="0.15">
      <c r="A481" s="242"/>
      <c r="B481" s="242"/>
      <c r="C481" s="242"/>
      <c r="D481" s="256"/>
      <c r="E481" s="242"/>
      <c r="F481" s="257"/>
      <c r="G481" s="242"/>
      <c r="H481" s="257"/>
      <c r="I481" s="242"/>
    </row>
    <row r="482" spans="1:9" ht="15" customHeight="1" x14ac:dyDescent="0.15">
      <c r="A482" s="242"/>
      <c r="B482" s="242"/>
      <c r="C482" s="242"/>
      <c r="D482" s="256"/>
      <c r="E482" s="242"/>
      <c r="F482" s="257"/>
      <c r="G482" s="242"/>
      <c r="H482" s="257"/>
      <c r="I482" s="242"/>
    </row>
    <row r="483" spans="1:9" ht="15" customHeight="1" x14ac:dyDescent="0.15">
      <c r="A483" s="242"/>
      <c r="B483" s="242"/>
      <c r="C483" s="242"/>
      <c r="D483" s="256"/>
      <c r="E483" s="242"/>
      <c r="F483" s="257"/>
      <c r="G483" s="242"/>
      <c r="H483" s="257"/>
      <c r="I483" s="242"/>
    </row>
    <row r="484" spans="1:9" ht="15" customHeight="1" x14ac:dyDescent="0.15">
      <c r="A484" s="242"/>
      <c r="B484" s="242"/>
      <c r="C484" s="242"/>
      <c r="D484" s="256"/>
      <c r="E484" s="242"/>
      <c r="F484" s="257"/>
      <c r="G484" s="242"/>
      <c r="H484" s="257"/>
      <c r="I484" s="242"/>
    </row>
    <row r="485" spans="1:9" ht="15" customHeight="1" x14ac:dyDescent="0.15">
      <c r="A485" s="242"/>
      <c r="B485" s="242"/>
      <c r="C485" s="242"/>
      <c r="D485" s="256"/>
      <c r="E485" s="242"/>
      <c r="F485" s="257"/>
      <c r="G485" s="242"/>
      <c r="H485" s="257"/>
      <c r="I485" s="242"/>
    </row>
    <row r="486" spans="1:9" ht="15" customHeight="1" x14ac:dyDescent="0.15">
      <c r="A486" s="242"/>
      <c r="B486" s="242"/>
      <c r="C486" s="242"/>
      <c r="D486" s="256"/>
      <c r="E486" s="242"/>
      <c r="F486" s="257"/>
      <c r="G486" s="242"/>
      <c r="H486" s="257"/>
      <c r="I486" s="242"/>
    </row>
    <row r="487" spans="1:9" ht="15" customHeight="1" x14ac:dyDescent="0.15">
      <c r="A487" s="242"/>
      <c r="B487" s="242"/>
      <c r="C487" s="242"/>
      <c r="D487" s="256"/>
      <c r="E487" s="242"/>
      <c r="F487" s="257"/>
      <c r="G487" s="242"/>
      <c r="H487" s="257"/>
      <c r="I487" s="242"/>
    </row>
    <row r="488" spans="1:9" ht="15" customHeight="1" x14ac:dyDescent="0.15">
      <c r="A488" s="242"/>
      <c r="B488" s="242"/>
      <c r="C488" s="242"/>
      <c r="D488" s="256"/>
      <c r="E488" s="242"/>
      <c r="F488" s="257"/>
      <c r="G488" s="242"/>
      <c r="H488" s="257"/>
      <c r="I488" s="242"/>
    </row>
    <row r="489" spans="1:9" ht="15" customHeight="1" x14ac:dyDescent="0.15">
      <c r="A489" s="242"/>
      <c r="B489" s="242"/>
      <c r="C489" s="242"/>
      <c r="D489" s="256"/>
      <c r="E489" s="242"/>
      <c r="F489" s="257"/>
      <c r="G489" s="242"/>
      <c r="H489" s="257"/>
      <c r="I489" s="242"/>
    </row>
    <row r="490" spans="1:9" ht="15" customHeight="1" x14ac:dyDescent="0.15">
      <c r="A490" s="242"/>
      <c r="B490" s="242"/>
      <c r="C490" s="242"/>
      <c r="D490" s="256"/>
      <c r="E490" s="242"/>
      <c r="F490" s="257"/>
      <c r="G490" s="242"/>
      <c r="H490" s="257"/>
      <c r="I490" s="242"/>
    </row>
    <row r="491" spans="1:9" ht="15" customHeight="1" x14ac:dyDescent="0.15">
      <c r="A491" s="242"/>
      <c r="B491" s="242"/>
      <c r="C491" s="242"/>
      <c r="D491" s="256"/>
      <c r="E491" s="242"/>
      <c r="F491" s="257"/>
      <c r="G491" s="242"/>
      <c r="H491" s="257"/>
      <c r="I491" s="242"/>
    </row>
    <row r="492" spans="1:9" ht="15" customHeight="1" x14ac:dyDescent="0.15">
      <c r="A492" s="242"/>
      <c r="B492" s="242"/>
      <c r="C492" s="242"/>
      <c r="D492" s="256"/>
      <c r="E492" s="242"/>
      <c r="F492" s="257"/>
      <c r="G492" s="242"/>
      <c r="H492" s="257"/>
      <c r="I492" s="242"/>
    </row>
    <row r="493" spans="1:9" ht="15" customHeight="1" x14ac:dyDescent="0.15">
      <c r="A493" s="242"/>
      <c r="B493" s="242"/>
      <c r="C493" s="242"/>
      <c r="D493" s="256"/>
      <c r="E493" s="242"/>
      <c r="F493" s="257"/>
      <c r="G493" s="242"/>
      <c r="H493" s="257"/>
      <c r="I493" s="242"/>
    </row>
    <row r="494" spans="1:9" ht="15" customHeight="1" x14ac:dyDescent="0.15">
      <c r="A494" s="242"/>
      <c r="B494" s="242"/>
      <c r="C494" s="242"/>
      <c r="D494" s="256"/>
      <c r="E494" s="242"/>
      <c r="F494" s="257"/>
      <c r="G494" s="242"/>
      <c r="H494" s="257"/>
      <c r="I494" s="242"/>
    </row>
    <row r="495" spans="1:9" ht="15" customHeight="1" x14ac:dyDescent="0.15">
      <c r="A495" s="242"/>
      <c r="B495" s="242"/>
      <c r="C495" s="242"/>
      <c r="D495" s="256"/>
      <c r="E495" s="242"/>
      <c r="F495" s="257"/>
      <c r="G495" s="242"/>
      <c r="H495" s="257"/>
      <c r="I495" s="242"/>
    </row>
    <row r="496" spans="1:9" ht="15" customHeight="1" x14ac:dyDescent="0.15">
      <c r="A496" s="242"/>
      <c r="B496" s="242"/>
      <c r="C496" s="242"/>
      <c r="D496" s="256"/>
      <c r="E496" s="242"/>
      <c r="F496" s="257"/>
      <c r="G496" s="242"/>
      <c r="H496" s="257"/>
      <c r="I496" s="242"/>
    </row>
    <row r="497" spans="1:9" ht="15" customHeight="1" x14ac:dyDescent="0.15">
      <c r="A497" s="242"/>
      <c r="B497" s="242"/>
      <c r="C497" s="242"/>
      <c r="D497" s="256"/>
      <c r="E497" s="242"/>
      <c r="F497" s="257"/>
      <c r="G497" s="242"/>
      <c r="H497" s="257"/>
      <c r="I497" s="242"/>
    </row>
    <row r="498" spans="1:9" ht="15" customHeight="1" x14ac:dyDescent="0.15">
      <c r="A498" s="242"/>
      <c r="B498" s="242"/>
      <c r="C498" s="242"/>
      <c r="D498" s="256"/>
      <c r="E498" s="242"/>
      <c r="F498" s="257"/>
      <c r="G498" s="242"/>
      <c r="H498" s="257"/>
      <c r="I498" s="242"/>
    </row>
    <row r="499" spans="1:9" ht="15" customHeight="1" x14ac:dyDescent="0.15">
      <c r="A499" s="242"/>
      <c r="B499" s="242"/>
      <c r="C499" s="242"/>
      <c r="D499" s="256"/>
      <c r="E499" s="242"/>
      <c r="F499" s="257"/>
      <c r="G499" s="242"/>
      <c r="H499" s="257"/>
      <c r="I499" s="242"/>
    </row>
    <row r="500" spans="1:9" ht="15" customHeight="1" x14ac:dyDescent="0.15">
      <c r="A500" s="242"/>
      <c r="B500" s="242"/>
      <c r="C500" s="242"/>
      <c r="D500" s="256"/>
      <c r="E500" s="242"/>
      <c r="F500" s="257"/>
      <c r="G500" s="242"/>
      <c r="H500" s="257"/>
      <c r="I500" s="242"/>
    </row>
    <row r="501" spans="1:9" ht="15" customHeight="1" x14ac:dyDescent="0.15">
      <c r="A501" s="242"/>
      <c r="B501" s="242"/>
      <c r="C501" s="242"/>
      <c r="D501" s="256"/>
      <c r="E501" s="242"/>
      <c r="F501" s="257"/>
      <c r="G501" s="242"/>
      <c r="H501" s="257"/>
      <c r="I501" s="242"/>
    </row>
    <row r="502" spans="1:9" ht="15" customHeight="1" x14ac:dyDescent="0.15">
      <c r="A502" s="242"/>
      <c r="B502" s="242"/>
      <c r="C502" s="242"/>
      <c r="D502" s="256"/>
      <c r="E502" s="242"/>
      <c r="F502" s="257"/>
      <c r="G502" s="242"/>
      <c r="H502" s="257"/>
      <c r="I502" s="242"/>
    </row>
    <row r="503" spans="1:9" ht="15" customHeight="1" x14ac:dyDescent="0.15">
      <c r="A503" s="242"/>
      <c r="B503" s="242"/>
      <c r="C503" s="242"/>
      <c r="D503" s="256"/>
      <c r="E503" s="242"/>
      <c r="F503" s="257"/>
      <c r="G503" s="242"/>
      <c r="H503" s="257"/>
      <c r="I503" s="242"/>
    </row>
    <row r="504" spans="1:9" ht="15" customHeight="1" x14ac:dyDescent="0.15">
      <c r="A504" s="242"/>
      <c r="B504" s="242"/>
      <c r="C504" s="242"/>
      <c r="D504" s="256"/>
      <c r="E504" s="242"/>
      <c r="F504" s="257"/>
      <c r="G504" s="242"/>
      <c r="H504" s="257"/>
      <c r="I504" s="242"/>
    </row>
    <row r="505" spans="1:9" ht="15" customHeight="1" x14ac:dyDescent="0.15">
      <c r="A505" s="242"/>
      <c r="B505" s="242"/>
      <c r="C505" s="242"/>
      <c r="D505" s="256"/>
      <c r="E505" s="242"/>
      <c r="F505" s="257"/>
      <c r="G505" s="242"/>
      <c r="H505" s="257"/>
      <c r="I505" s="242"/>
    </row>
    <row r="506" spans="1:9" ht="15" customHeight="1" x14ac:dyDescent="0.15">
      <c r="A506" s="242"/>
      <c r="B506" s="242"/>
      <c r="C506" s="242"/>
      <c r="D506" s="256"/>
      <c r="E506" s="242"/>
      <c r="F506" s="257"/>
      <c r="G506" s="242"/>
      <c r="H506" s="257"/>
      <c r="I506" s="242"/>
    </row>
    <row r="507" spans="1:9" ht="15" customHeight="1" x14ac:dyDescent="0.15">
      <c r="A507" s="242"/>
      <c r="B507" s="242"/>
      <c r="C507" s="242"/>
      <c r="D507" s="256"/>
      <c r="E507" s="242"/>
      <c r="F507" s="257"/>
      <c r="G507" s="242"/>
      <c r="H507" s="257"/>
      <c r="I507" s="242"/>
    </row>
    <row r="508" spans="1:9" ht="15" customHeight="1" x14ac:dyDescent="0.15">
      <c r="A508" s="242"/>
      <c r="B508" s="242"/>
      <c r="C508" s="242"/>
      <c r="D508" s="256"/>
      <c r="E508" s="242"/>
      <c r="F508" s="257"/>
      <c r="G508" s="242"/>
      <c r="H508" s="257"/>
      <c r="I508" s="242"/>
    </row>
    <row r="509" spans="1:9" ht="15" customHeight="1" x14ac:dyDescent="0.15">
      <c r="A509" s="242"/>
      <c r="B509" s="242"/>
      <c r="C509" s="242"/>
      <c r="D509" s="256"/>
      <c r="E509" s="242"/>
      <c r="F509" s="257"/>
      <c r="G509" s="242"/>
      <c r="H509" s="257"/>
      <c r="I509" s="242"/>
    </row>
    <row r="510" spans="1:9" ht="15" customHeight="1" x14ac:dyDescent="0.15">
      <c r="A510" s="242"/>
      <c r="B510" s="242"/>
      <c r="C510" s="242"/>
      <c r="D510" s="256"/>
      <c r="E510" s="242"/>
      <c r="F510" s="257"/>
      <c r="G510" s="242"/>
      <c r="H510" s="257"/>
      <c r="I510" s="242"/>
    </row>
    <row r="511" spans="1:9" ht="15" customHeight="1" x14ac:dyDescent="0.15">
      <c r="A511" s="242"/>
      <c r="B511" s="242"/>
      <c r="C511" s="242"/>
      <c r="D511" s="256"/>
      <c r="E511" s="242"/>
      <c r="F511" s="257"/>
      <c r="G511" s="242"/>
      <c r="H511" s="257"/>
      <c r="I511" s="242"/>
    </row>
    <row r="512" spans="1:9" ht="15" customHeight="1" x14ac:dyDescent="0.15">
      <c r="A512" s="242"/>
      <c r="B512" s="242"/>
      <c r="C512" s="242"/>
      <c r="D512" s="256"/>
      <c r="E512" s="242"/>
      <c r="F512" s="257"/>
      <c r="G512" s="242"/>
      <c r="H512" s="257"/>
      <c r="I512" s="242"/>
    </row>
    <row r="513" spans="1:9" ht="15" customHeight="1" x14ac:dyDescent="0.15">
      <c r="A513" s="242"/>
      <c r="B513" s="242"/>
      <c r="C513" s="242"/>
      <c r="D513" s="256"/>
      <c r="E513" s="242"/>
      <c r="F513" s="257"/>
      <c r="G513" s="242"/>
      <c r="H513" s="257"/>
      <c r="I513" s="242"/>
    </row>
    <row r="514" spans="1:9" ht="15" customHeight="1" x14ac:dyDescent="0.15">
      <c r="A514" s="242"/>
      <c r="B514" s="242"/>
      <c r="C514" s="242"/>
      <c r="D514" s="256"/>
      <c r="E514" s="242"/>
      <c r="F514" s="257"/>
      <c r="G514" s="242"/>
      <c r="H514" s="257"/>
      <c r="I514" s="242"/>
    </row>
    <row r="515" spans="1:9" ht="15" customHeight="1" x14ac:dyDescent="0.15">
      <c r="A515" s="242"/>
      <c r="B515" s="242"/>
      <c r="C515" s="242"/>
      <c r="D515" s="256"/>
      <c r="E515" s="242"/>
      <c r="F515" s="257"/>
      <c r="G515" s="242"/>
      <c r="H515" s="257"/>
      <c r="I515" s="242"/>
    </row>
    <row r="516" spans="1:9" ht="15" customHeight="1" x14ac:dyDescent="0.15">
      <c r="A516" s="242"/>
      <c r="B516" s="242"/>
      <c r="C516" s="242"/>
      <c r="D516" s="256"/>
      <c r="E516" s="242"/>
      <c r="F516" s="257"/>
      <c r="G516" s="242"/>
      <c r="H516" s="257"/>
      <c r="I516" s="242"/>
    </row>
    <row r="517" spans="1:9" ht="15" customHeight="1" x14ac:dyDescent="0.15">
      <c r="A517" s="242"/>
      <c r="B517" s="242"/>
      <c r="C517" s="242"/>
      <c r="D517" s="256"/>
      <c r="E517" s="242"/>
      <c r="F517" s="257"/>
      <c r="G517" s="242"/>
      <c r="H517" s="257"/>
      <c r="I517" s="242"/>
    </row>
    <row r="518" spans="1:9" ht="15" customHeight="1" x14ac:dyDescent="0.15">
      <c r="A518" s="242"/>
      <c r="B518" s="242"/>
      <c r="C518" s="242"/>
      <c r="D518" s="256"/>
      <c r="E518" s="242"/>
      <c r="F518" s="257"/>
      <c r="G518" s="242"/>
      <c r="H518" s="257"/>
      <c r="I518" s="242"/>
    </row>
    <row r="519" spans="1:9" ht="15" customHeight="1" x14ac:dyDescent="0.15">
      <c r="A519" s="242"/>
      <c r="B519" s="242"/>
      <c r="C519" s="242"/>
      <c r="D519" s="256"/>
      <c r="E519" s="242"/>
      <c r="F519" s="257"/>
      <c r="G519" s="242"/>
      <c r="H519" s="257"/>
      <c r="I519" s="242"/>
    </row>
    <row r="520" spans="1:9" ht="15" customHeight="1" x14ac:dyDescent="0.15">
      <c r="A520" s="242"/>
      <c r="B520" s="242"/>
      <c r="C520" s="242"/>
      <c r="D520" s="256"/>
      <c r="E520" s="242"/>
      <c r="F520" s="257"/>
      <c r="G520" s="242"/>
      <c r="H520" s="257"/>
      <c r="I520" s="242"/>
    </row>
    <row r="521" spans="1:9" ht="15" customHeight="1" x14ac:dyDescent="0.15">
      <c r="A521" s="242"/>
      <c r="B521" s="242"/>
      <c r="C521" s="242"/>
      <c r="D521" s="256"/>
      <c r="E521" s="242"/>
      <c r="F521" s="257"/>
      <c r="G521" s="242"/>
      <c r="H521" s="257"/>
      <c r="I521" s="242"/>
    </row>
    <row r="522" spans="1:9" ht="15" customHeight="1" x14ac:dyDescent="0.15">
      <c r="A522" s="242"/>
      <c r="B522" s="242"/>
      <c r="C522" s="242"/>
      <c r="D522" s="256"/>
      <c r="E522" s="242"/>
      <c r="F522" s="257"/>
      <c r="G522" s="242"/>
      <c r="H522" s="257"/>
      <c r="I522" s="242"/>
    </row>
    <row r="523" spans="1:9" ht="15" customHeight="1" x14ac:dyDescent="0.15">
      <c r="A523" s="242"/>
      <c r="B523" s="242"/>
      <c r="C523" s="242"/>
      <c r="D523" s="256"/>
      <c r="E523" s="242"/>
      <c r="F523" s="257"/>
      <c r="G523" s="242"/>
      <c r="H523" s="257"/>
      <c r="I523" s="242"/>
    </row>
    <row r="524" spans="1:9" ht="15" customHeight="1" x14ac:dyDescent="0.15">
      <c r="A524" s="242"/>
      <c r="B524" s="242"/>
      <c r="C524" s="242"/>
      <c r="D524" s="256"/>
      <c r="E524" s="242"/>
      <c r="F524" s="257"/>
      <c r="G524" s="242"/>
      <c r="H524" s="257"/>
      <c r="I524" s="242"/>
    </row>
    <row r="525" spans="1:9" ht="15" customHeight="1" x14ac:dyDescent="0.15">
      <c r="A525" s="242"/>
      <c r="B525" s="242"/>
      <c r="C525" s="242"/>
      <c r="D525" s="256"/>
      <c r="E525" s="242"/>
      <c r="F525" s="257"/>
      <c r="G525" s="242"/>
      <c r="H525" s="257"/>
      <c r="I525" s="242"/>
    </row>
    <row r="526" spans="1:9" ht="15" customHeight="1" x14ac:dyDescent="0.15">
      <c r="A526" s="242"/>
      <c r="B526" s="242"/>
      <c r="C526" s="242"/>
      <c r="D526" s="256"/>
      <c r="E526" s="242"/>
      <c r="F526" s="257"/>
      <c r="G526" s="242"/>
      <c r="H526" s="257"/>
      <c r="I526" s="242"/>
    </row>
    <row r="527" spans="1:9" ht="15" customHeight="1" x14ac:dyDescent="0.15">
      <c r="A527" s="242"/>
      <c r="B527" s="242"/>
      <c r="C527" s="242"/>
      <c r="D527" s="256"/>
      <c r="E527" s="242"/>
      <c r="F527" s="257"/>
      <c r="G527" s="242"/>
      <c r="H527" s="257"/>
      <c r="I527" s="242"/>
    </row>
    <row r="528" spans="1:9" ht="15" customHeight="1" x14ac:dyDescent="0.15">
      <c r="A528" s="242"/>
      <c r="B528" s="242"/>
      <c r="C528" s="242"/>
      <c r="D528" s="256"/>
      <c r="E528" s="242"/>
      <c r="F528" s="257"/>
      <c r="G528" s="242"/>
      <c r="H528" s="257"/>
      <c r="I528" s="242"/>
    </row>
    <row r="529" spans="1:9" ht="15" customHeight="1" x14ac:dyDescent="0.15">
      <c r="A529" s="242"/>
      <c r="B529" s="242"/>
      <c r="C529" s="242"/>
      <c r="D529" s="256"/>
      <c r="E529" s="242"/>
      <c r="F529" s="257"/>
      <c r="G529" s="242"/>
      <c r="H529" s="257"/>
      <c r="I529" s="242"/>
    </row>
    <row r="530" spans="1:9" ht="15" customHeight="1" x14ac:dyDescent="0.15">
      <c r="A530" s="242"/>
      <c r="B530" s="242"/>
      <c r="C530" s="242"/>
      <c r="D530" s="256"/>
      <c r="E530" s="242"/>
      <c r="F530" s="257"/>
      <c r="G530" s="242"/>
      <c r="H530" s="257"/>
      <c r="I530" s="242"/>
    </row>
    <row r="531" spans="1:9" ht="15" customHeight="1" x14ac:dyDescent="0.15">
      <c r="A531" s="242"/>
      <c r="B531" s="242"/>
      <c r="C531" s="242"/>
      <c r="D531" s="256"/>
      <c r="E531" s="242"/>
      <c r="F531" s="257"/>
      <c r="G531" s="242"/>
      <c r="H531" s="257"/>
      <c r="I531" s="242"/>
    </row>
    <row r="532" spans="1:9" ht="15" customHeight="1" x14ac:dyDescent="0.15">
      <c r="A532" s="242"/>
      <c r="B532" s="242"/>
      <c r="C532" s="242"/>
      <c r="D532" s="256"/>
      <c r="E532" s="242"/>
      <c r="F532" s="257"/>
      <c r="G532" s="242"/>
      <c r="H532" s="257"/>
      <c r="I532" s="242"/>
    </row>
    <row r="533" spans="1:9" ht="15" customHeight="1" x14ac:dyDescent="0.15">
      <c r="A533" s="242"/>
      <c r="B533" s="242"/>
      <c r="C533" s="242"/>
      <c r="D533" s="256"/>
      <c r="E533" s="242"/>
      <c r="F533" s="257"/>
      <c r="G533" s="242"/>
      <c r="H533" s="257"/>
      <c r="I533" s="242"/>
    </row>
    <row r="534" spans="1:9" ht="15" customHeight="1" x14ac:dyDescent="0.15">
      <c r="A534" s="242"/>
      <c r="B534" s="242"/>
      <c r="C534" s="242"/>
      <c r="D534" s="256"/>
      <c r="E534" s="242"/>
      <c r="F534" s="257"/>
      <c r="G534" s="242"/>
      <c r="H534" s="257"/>
      <c r="I534" s="242"/>
    </row>
    <row r="535" spans="1:9" ht="15" customHeight="1" x14ac:dyDescent="0.15">
      <c r="A535" s="242"/>
      <c r="B535" s="242"/>
      <c r="C535" s="242"/>
      <c r="D535" s="256"/>
      <c r="E535" s="242"/>
      <c r="F535" s="257"/>
      <c r="G535" s="242"/>
      <c r="H535" s="257"/>
      <c r="I535" s="242"/>
    </row>
    <row r="536" spans="1:9" ht="15" customHeight="1" x14ac:dyDescent="0.15">
      <c r="A536" s="242"/>
      <c r="B536" s="242"/>
      <c r="C536" s="242"/>
      <c r="D536" s="256"/>
      <c r="E536" s="242"/>
      <c r="F536" s="257"/>
      <c r="G536" s="242"/>
      <c r="H536" s="257"/>
      <c r="I536" s="242"/>
    </row>
    <row r="537" spans="1:9" ht="15" customHeight="1" x14ac:dyDescent="0.15">
      <c r="A537" s="242"/>
      <c r="B537" s="242"/>
      <c r="C537" s="242"/>
      <c r="D537" s="256"/>
      <c r="E537" s="242"/>
      <c r="F537" s="257"/>
      <c r="G537" s="242"/>
      <c r="H537" s="257"/>
      <c r="I537" s="242"/>
    </row>
    <row r="538" spans="1:9" ht="15" customHeight="1" x14ac:dyDescent="0.15">
      <c r="A538" s="242"/>
      <c r="B538" s="242"/>
      <c r="C538" s="242"/>
      <c r="D538" s="256"/>
      <c r="E538" s="242"/>
      <c r="F538" s="257"/>
      <c r="G538" s="242"/>
      <c r="H538" s="257"/>
      <c r="I538" s="242"/>
    </row>
    <row r="539" spans="1:9" ht="15" customHeight="1" x14ac:dyDescent="0.15">
      <c r="A539" s="242"/>
      <c r="B539" s="242"/>
      <c r="C539" s="242"/>
      <c r="D539" s="256"/>
      <c r="E539" s="242"/>
      <c r="F539" s="257"/>
      <c r="G539" s="242"/>
      <c r="H539" s="257"/>
      <c r="I539" s="242"/>
    </row>
    <row r="540" spans="1:9" ht="15" customHeight="1" x14ac:dyDescent="0.15">
      <c r="A540" s="242"/>
      <c r="B540" s="242"/>
      <c r="C540" s="242"/>
      <c r="D540" s="256"/>
      <c r="E540" s="242"/>
      <c r="F540" s="257"/>
      <c r="G540" s="242"/>
      <c r="H540" s="257"/>
      <c r="I540" s="242"/>
    </row>
    <row r="541" spans="1:9" ht="15" customHeight="1" x14ac:dyDescent="0.15">
      <c r="A541" s="242"/>
      <c r="B541" s="242"/>
      <c r="C541" s="242"/>
      <c r="D541" s="256"/>
      <c r="E541" s="242"/>
      <c r="F541" s="257"/>
      <c r="G541" s="242"/>
      <c r="H541" s="257"/>
      <c r="I541" s="242"/>
    </row>
    <row r="542" spans="1:9" ht="15" customHeight="1" x14ac:dyDescent="0.15">
      <c r="A542" s="242"/>
      <c r="B542" s="242"/>
      <c r="C542" s="242"/>
      <c r="D542" s="256"/>
      <c r="E542" s="242"/>
      <c r="F542" s="257"/>
      <c r="G542" s="242"/>
      <c r="H542" s="257"/>
      <c r="I542" s="242"/>
    </row>
    <row r="543" spans="1:9" ht="15" customHeight="1" x14ac:dyDescent="0.15">
      <c r="A543" s="242"/>
      <c r="B543" s="242"/>
      <c r="C543" s="242"/>
      <c r="D543" s="256"/>
      <c r="E543" s="242"/>
      <c r="F543" s="257"/>
      <c r="G543" s="242"/>
      <c r="H543" s="257"/>
      <c r="I543" s="242"/>
    </row>
    <row r="544" spans="1:9" ht="15" customHeight="1" x14ac:dyDescent="0.15">
      <c r="A544" s="242"/>
      <c r="B544" s="242"/>
      <c r="C544" s="242"/>
      <c r="D544" s="256"/>
      <c r="E544" s="242"/>
      <c r="F544" s="257"/>
      <c r="G544" s="242"/>
      <c r="H544" s="257"/>
      <c r="I544" s="242"/>
    </row>
    <row r="545" spans="1:9" ht="15" customHeight="1" x14ac:dyDescent="0.15">
      <c r="A545" s="242"/>
      <c r="B545" s="242"/>
      <c r="C545" s="242"/>
      <c r="D545" s="256"/>
      <c r="E545" s="242"/>
      <c r="F545" s="257"/>
      <c r="G545" s="242"/>
      <c r="H545" s="257"/>
      <c r="I545" s="242"/>
    </row>
    <row r="546" spans="1:9" ht="15" customHeight="1" x14ac:dyDescent="0.15">
      <c r="A546" s="242"/>
      <c r="B546" s="242"/>
      <c r="C546" s="242"/>
      <c r="D546" s="256"/>
      <c r="E546" s="242"/>
      <c r="F546" s="257"/>
      <c r="G546" s="242"/>
      <c r="H546" s="257"/>
      <c r="I546" s="242"/>
    </row>
    <row r="547" spans="1:9" ht="15" customHeight="1" x14ac:dyDescent="0.15">
      <c r="A547" s="242"/>
      <c r="B547" s="242"/>
      <c r="C547" s="242"/>
      <c r="D547" s="256"/>
      <c r="E547" s="242"/>
      <c r="F547" s="257"/>
      <c r="G547" s="242"/>
      <c r="H547" s="257"/>
      <c r="I547" s="242"/>
    </row>
    <row r="548" spans="1:9" ht="15" customHeight="1" x14ac:dyDescent="0.15">
      <c r="A548" s="242"/>
      <c r="B548" s="242"/>
      <c r="C548" s="242"/>
      <c r="D548" s="256"/>
      <c r="E548" s="242"/>
      <c r="F548" s="257"/>
      <c r="G548" s="242"/>
      <c r="H548" s="257"/>
      <c r="I548" s="242"/>
    </row>
    <row r="549" spans="1:9" ht="15" customHeight="1" x14ac:dyDescent="0.15">
      <c r="A549" s="242"/>
      <c r="B549" s="242"/>
      <c r="C549" s="242"/>
      <c r="D549" s="256"/>
      <c r="E549" s="242"/>
      <c r="F549" s="257"/>
      <c r="G549" s="242"/>
      <c r="H549" s="257"/>
      <c r="I549" s="242"/>
    </row>
    <row r="550" spans="1:9" ht="15" customHeight="1" x14ac:dyDescent="0.15">
      <c r="A550" s="242"/>
      <c r="B550" s="242"/>
      <c r="C550" s="242"/>
      <c r="D550" s="256"/>
      <c r="E550" s="242"/>
      <c r="F550" s="257"/>
      <c r="G550" s="242"/>
      <c r="H550" s="257"/>
      <c r="I550" s="242"/>
    </row>
    <row r="551" spans="1:9" ht="15" customHeight="1" x14ac:dyDescent="0.15">
      <c r="A551" s="242"/>
      <c r="B551" s="242"/>
      <c r="C551" s="242"/>
      <c r="D551" s="256"/>
      <c r="E551" s="242"/>
      <c r="F551" s="257"/>
      <c r="G551" s="242"/>
      <c r="H551" s="257"/>
      <c r="I551" s="242"/>
    </row>
    <row r="552" spans="1:9" ht="15" customHeight="1" x14ac:dyDescent="0.15">
      <c r="A552" s="242"/>
      <c r="B552" s="242"/>
      <c r="C552" s="242"/>
      <c r="D552" s="256"/>
      <c r="E552" s="242"/>
      <c r="F552" s="257"/>
      <c r="G552" s="242"/>
      <c r="H552" s="257"/>
      <c r="I552" s="242"/>
    </row>
    <row r="553" spans="1:9" ht="15" customHeight="1" x14ac:dyDescent="0.15">
      <c r="A553" s="242"/>
      <c r="B553" s="242"/>
      <c r="C553" s="242"/>
      <c r="D553" s="256"/>
      <c r="E553" s="242"/>
      <c r="F553" s="257"/>
      <c r="G553" s="242"/>
      <c r="H553" s="257"/>
      <c r="I553" s="242"/>
    </row>
    <row r="554" spans="1:9" ht="15" customHeight="1" x14ac:dyDescent="0.15">
      <c r="A554" s="242"/>
      <c r="B554" s="242"/>
      <c r="C554" s="242"/>
      <c r="D554" s="256"/>
      <c r="E554" s="242"/>
      <c r="F554" s="257"/>
      <c r="G554" s="242"/>
      <c r="H554" s="257"/>
      <c r="I554" s="242"/>
    </row>
    <row r="555" spans="1:9" ht="15" customHeight="1" x14ac:dyDescent="0.15">
      <c r="A555" s="242"/>
      <c r="B555" s="242"/>
      <c r="C555" s="242"/>
      <c r="D555" s="256"/>
      <c r="E555" s="242"/>
      <c r="F555" s="257"/>
      <c r="G555" s="242"/>
      <c r="H555" s="257"/>
      <c r="I555" s="242"/>
    </row>
    <row r="556" spans="1:9" ht="15" customHeight="1" x14ac:dyDescent="0.15">
      <c r="A556" s="242"/>
      <c r="B556" s="242"/>
      <c r="C556" s="242"/>
      <c r="D556" s="256"/>
      <c r="E556" s="242"/>
      <c r="F556" s="257"/>
      <c r="G556" s="242"/>
      <c r="H556" s="257"/>
      <c r="I556" s="242"/>
    </row>
    <row r="557" spans="1:9" ht="15" customHeight="1" x14ac:dyDescent="0.15">
      <c r="A557" s="242"/>
      <c r="B557" s="242"/>
      <c r="C557" s="242"/>
      <c r="D557" s="256"/>
      <c r="E557" s="242"/>
      <c r="F557" s="257"/>
      <c r="G557" s="242"/>
      <c r="H557" s="257"/>
      <c r="I557" s="242"/>
    </row>
    <row r="558" spans="1:9" ht="15" customHeight="1" x14ac:dyDescent="0.15">
      <c r="A558" s="242"/>
      <c r="B558" s="242"/>
      <c r="C558" s="242"/>
      <c r="D558" s="256"/>
      <c r="E558" s="242"/>
      <c r="F558" s="257"/>
      <c r="G558" s="242"/>
      <c r="H558" s="257"/>
      <c r="I558" s="242"/>
    </row>
    <row r="559" spans="1:9" ht="15" customHeight="1" x14ac:dyDescent="0.15">
      <c r="A559" s="242"/>
      <c r="B559" s="242"/>
      <c r="C559" s="242"/>
      <c r="D559" s="256"/>
      <c r="E559" s="242"/>
      <c r="F559" s="257"/>
      <c r="G559" s="242"/>
      <c r="H559" s="257"/>
      <c r="I559" s="242"/>
    </row>
    <row r="560" spans="1:9" ht="15" customHeight="1" x14ac:dyDescent="0.15">
      <c r="A560" s="242"/>
      <c r="B560" s="242"/>
      <c r="C560" s="242"/>
      <c r="D560" s="256"/>
      <c r="E560" s="242"/>
      <c r="F560" s="257"/>
      <c r="G560" s="242"/>
      <c r="H560" s="257"/>
      <c r="I560" s="242"/>
    </row>
    <row r="561" spans="1:9" ht="15" customHeight="1" x14ac:dyDescent="0.15">
      <c r="A561" s="242"/>
      <c r="B561" s="242"/>
      <c r="C561" s="242"/>
      <c r="D561" s="256"/>
      <c r="E561" s="242"/>
      <c r="F561" s="257"/>
      <c r="G561" s="242"/>
      <c r="H561" s="257"/>
      <c r="I561" s="242"/>
    </row>
    <row r="562" spans="1:9" ht="15" customHeight="1" x14ac:dyDescent="0.15">
      <c r="A562" s="242"/>
      <c r="B562" s="242"/>
      <c r="C562" s="242"/>
      <c r="D562" s="256"/>
      <c r="E562" s="242"/>
      <c r="F562" s="257"/>
      <c r="G562" s="242"/>
      <c r="H562" s="257"/>
      <c r="I562" s="242"/>
    </row>
    <row r="563" spans="1:9" ht="15" customHeight="1" x14ac:dyDescent="0.15">
      <c r="A563" s="242"/>
      <c r="B563" s="242"/>
      <c r="C563" s="242"/>
      <c r="D563" s="256"/>
      <c r="E563" s="242"/>
      <c r="F563" s="257"/>
      <c r="G563" s="242"/>
      <c r="H563" s="257"/>
      <c r="I563" s="242"/>
    </row>
    <row r="564" spans="1:9" ht="15" customHeight="1" x14ac:dyDescent="0.15">
      <c r="A564" s="242"/>
      <c r="B564" s="242"/>
      <c r="C564" s="242"/>
      <c r="D564" s="256"/>
      <c r="E564" s="242"/>
      <c r="F564" s="257"/>
      <c r="G564" s="242"/>
      <c r="H564" s="257"/>
      <c r="I564" s="242"/>
    </row>
    <row r="565" spans="1:9" ht="15" customHeight="1" x14ac:dyDescent="0.15">
      <c r="A565" s="242"/>
      <c r="B565" s="242"/>
      <c r="C565" s="242"/>
      <c r="D565" s="256"/>
      <c r="E565" s="242"/>
      <c r="F565" s="257"/>
      <c r="G565" s="242"/>
      <c r="H565" s="257"/>
      <c r="I565" s="242"/>
    </row>
    <row r="566" spans="1:9" ht="15" customHeight="1" x14ac:dyDescent="0.15">
      <c r="A566" s="242"/>
      <c r="B566" s="242"/>
      <c r="C566" s="242"/>
      <c r="D566" s="256"/>
      <c r="E566" s="242"/>
      <c r="F566" s="257"/>
      <c r="G566" s="242"/>
      <c r="H566" s="257"/>
      <c r="I566" s="242"/>
    </row>
    <row r="567" spans="1:9" ht="15" customHeight="1" x14ac:dyDescent="0.15">
      <c r="A567" s="242"/>
      <c r="B567" s="242"/>
      <c r="C567" s="242"/>
      <c r="D567" s="256"/>
      <c r="E567" s="242"/>
      <c r="F567" s="257"/>
      <c r="G567" s="242"/>
      <c r="H567" s="257"/>
      <c r="I567" s="242"/>
    </row>
    <row r="568" spans="1:9" ht="15" customHeight="1" x14ac:dyDescent="0.15">
      <c r="A568" s="242"/>
      <c r="B568" s="242"/>
      <c r="C568" s="242"/>
      <c r="D568" s="256"/>
      <c r="E568" s="242"/>
      <c r="F568" s="257"/>
      <c r="G568" s="242"/>
      <c r="H568" s="257"/>
      <c r="I568" s="242"/>
    </row>
    <row r="569" spans="1:9" ht="15" customHeight="1" x14ac:dyDescent="0.15">
      <c r="A569" s="242"/>
      <c r="B569" s="242"/>
      <c r="C569" s="242"/>
      <c r="D569" s="256"/>
      <c r="E569" s="242"/>
      <c r="F569" s="257"/>
      <c r="G569" s="242"/>
      <c r="H569" s="257"/>
      <c r="I569" s="242"/>
    </row>
    <row r="570" spans="1:9" ht="15" customHeight="1" x14ac:dyDescent="0.15">
      <c r="A570" s="242"/>
      <c r="B570" s="242"/>
      <c r="C570" s="242"/>
      <c r="D570" s="256"/>
      <c r="E570" s="242"/>
      <c r="F570" s="257"/>
      <c r="G570" s="242"/>
      <c r="H570" s="257"/>
      <c r="I570" s="242"/>
    </row>
    <row r="571" spans="1:9" ht="15" customHeight="1" x14ac:dyDescent="0.15">
      <c r="A571" s="242"/>
      <c r="B571" s="242"/>
      <c r="C571" s="242"/>
      <c r="D571" s="256"/>
      <c r="E571" s="242"/>
      <c r="F571" s="257"/>
      <c r="G571" s="242"/>
      <c r="H571" s="257"/>
      <c r="I571" s="242"/>
    </row>
    <row r="572" spans="1:9" ht="15" customHeight="1" x14ac:dyDescent="0.15">
      <c r="A572" s="242"/>
      <c r="B572" s="242"/>
      <c r="C572" s="242"/>
      <c r="D572" s="256"/>
      <c r="E572" s="242"/>
      <c r="F572" s="257"/>
      <c r="G572" s="242"/>
      <c r="H572" s="257"/>
      <c r="I572" s="242"/>
    </row>
    <row r="573" spans="1:9" ht="15" customHeight="1" x14ac:dyDescent="0.15">
      <c r="A573" s="242"/>
      <c r="B573" s="242"/>
      <c r="C573" s="242"/>
      <c r="D573" s="256"/>
      <c r="E573" s="242"/>
      <c r="F573" s="257"/>
      <c r="G573" s="242"/>
      <c r="H573" s="257"/>
      <c r="I573" s="242"/>
    </row>
    <row r="574" spans="1:9" ht="15" customHeight="1" x14ac:dyDescent="0.15">
      <c r="A574" s="242"/>
      <c r="B574" s="242"/>
      <c r="C574" s="242"/>
      <c r="D574" s="256"/>
      <c r="E574" s="242"/>
      <c r="F574" s="257"/>
      <c r="G574" s="242"/>
      <c r="H574" s="257"/>
      <c r="I574" s="242"/>
    </row>
    <row r="575" spans="1:9" ht="15" customHeight="1" x14ac:dyDescent="0.15">
      <c r="A575" s="242"/>
      <c r="B575" s="242"/>
      <c r="C575" s="242"/>
      <c r="D575" s="256"/>
      <c r="E575" s="242"/>
      <c r="F575" s="257"/>
      <c r="G575" s="242"/>
      <c r="H575" s="257"/>
      <c r="I575" s="242"/>
    </row>
    <row r="576" spans="1:9" ht="15" customHeight="1" x14ac:dyDescent="0.15">
      <c r="A576" s="242"/>
      <c r="B576" s="242"/>
      <c r="C576" s="242"/>
      <c r="D576" s="256"/>
      <c r="E576" s="242"/>
      <c r="F576" s="257"/>
      <c r="G576" s="242"/>
      <c r="H576" s="257"/>
      <c r="I576" s="242"/>
    </row>
    <row r="577" spans="1:9" ht="15" customHeight="1" x14ac:dyDescent="0.15">
      <c r="A577" s="242"/>
      <c r="B577" s="242"/>
      <c r="C577" s="242"/>
      <c r="D577" s="256"/>
      <c r="E577" s="242"/>
      <c r="F577" s="257"/>
      <c r="G577" s="242"/>
      <c r="H577" s="257"/>
      <c r="I577" s="242"/>
    </row>
    <row r="578" spans="1:9" ht="15" customHeight="1" x14ac:dyDescent="0.15">
      <c r="A578" s="242"/>
      <c r="B578" s="242"/>
      <c r="C578" s="242"/>
      <c r="D578" s="256"/>
      <c r="E578" s="242"/>
      <c r="F578" s="257"/>
      <c r="G578" s="242"/>
      <c r="H578" s="257"/>
      <c r="I578" s="242"/>
    </row>
    <row r="579" spans="1:9" ht="15" customHeight="1" x14ac:dyDescent="0.15">
      <c r="A579" s="242"/>
      <c r="B579" s="242"/>
      <c r="C579" s="242"/>
      <c r="D579" s="256"/>
      <c r="E579" s="242"/>
      <c r="F579" s="257"/>
      <c r="G579" s="242"/>
      <c r="H579" s="257"/>
      <c r="I579" s="242"/>
    </row>
    <row r="580" spans="1:9" ht="15" customHeight="1" x14ac:dyDescent="0.15">
      <c r="A580" s="242"/>
      <c r="B580" s="242"/>
      <c r="C580" s="242"/>
      <c r="D580" s="256"/>
      <c r="E580" s="242"/>
      <c r="F580" s="257"/>
      <c r="G580" s="242"/>
      <c r="H580" s="257"/>
      <c r="I580" s="242"/>
    </row>
    <row r="581" spans="1:9" ht="15" customHeight="1" x14ac:dyDescent="0.15">
      <c r="A581" s="242"/>
      <c r="B581" s="242"/>
      <c r="C581" s="242"/>
      <c r="D581" s="256"/>
      <c r="E581" s="242"/>
      <c r="F581" s="257"/>
      <c r="G581" s="242"/>
      <c r="H581" s="257"/>
      <c r="I581" s="242"/>
    </row>
    <row r="582" spans="1:9" ht="15" customHeight="1" x14ac:dyDescent="0.15">
      <c r="A582" s="242"/>
      <c r="B582" s="242"/>
      <c r="C582" s="242"/>
      <c r="D582" s="256"/>
      <c r="E582" s="242"/>
      <c r="F582" s="257"/>
      <c r="G582" s="242"/>
      <c r="H582" s="257"/>
      <c r="I582" s="242"/>
    </row>
    <row r="583" spans="1:9" ht="15" customHeight="1" x14ac:dyDescent="0.15">
      <c r="A583" s="242"/>
      <c r="B583" s="242"/>
      <c r="C583" s="242"/>
      <c r="D583" s="256"/>
      <c r="E583" s="242"/>
      <c r="F583" s="257"/>
      <c r="G583" s="242"/>
      <c r="H583" s="257"/>
      <c r="I583" s="242"/>
    </row>
    <row r="584" spans="1:9" ht="15" customHeight="1" x14ac:dyDescent="0.15">
      <c r="A584" s="242"/>
      <c r="B584" s="242"/>
      <c r="C584" s="242"/>
      <c r="D584" s="256"/>
      <c r="E584" s="242"/>
      <c r="F584" s="257"/>
      <c r="G584" s="242"/>
      <c r="H584" s="257"/>
      <c r="I584" s="242"/>
    </row>
    <row r="585" spans="1:9" ht="15" customHeight="1" x14ac:dyDescent="0.15">
      <c r="A585" s="242"/>
      <c r="B585" s="242"/>
      <c r="C585" s="242"/>
      <c r="D585" s="256"/>
      <c r="E585" s="242"/>
      <c r="F585" s="257"/>
      <c r="G585" s="242"/>
      <c r="H585" s="257"/>
      <c r="I585" s="242"/>
    </row>
    <row r="586" spans="1:9" ht="15" customHeight="1" x14ac:dyDescent="0.15">
      <c r="A586" s="242"/>
      <c r="B586" s="242"/>
      <c r="C586" s="242"/>
      <c r="D586" s="256"/>
      <c r="E586" s="242"/>
      <c r="F586" s="257"/>
      <c r="G586" s="242"/>
      <c r="H586" s="257"/>
      <c r="I586" s="242"/>
    </row>
    <row r="587" spans="1:9" ht="15" customHeight="1" x14ac:dyDescent="0.15">
      <c r="A587" s="242"/>
      <c r="B587" s="242"/>
      <c r="C587" s="242"/>
      <c r="D587" s="256"/>
      <c r="E587" s="242"/>
      <c r="F587" s="257"/>
      <c r="G587" s="242"/>
      <c r="H587" s="257"/>
      <c r="I587" s="242"/>
    </row>
    <row r="588" spans="1:9" ht="15" customHeight="1" x14ac:dyDescent="0.15">
      <c r="A588" s="242"/>
      <c r="B588" s="242"/>
      <c r="C588" s="242"/>
      <c r="D588" s="256"/>
      <c r="E588" s="242"/>
      <c r="F588" s="257"/>
      <c r="G588" s="242"/>
      <c r="H588" s="257"/>
      <c r="I588" s="242"/>
    </row>
    <row r="589" spans="1:9" ht="15" customHeight="1" x14ac:dyDescent="0.15">
      <c r="A589" s="242"/>
      <c r="B589" s="242"/>
      <c r="C589" s="242"/>
      <c r="D589" s="256"/>
      <c r="E589" s="242"/>
      <c r="F589" s="257"/>
      <c r="G589" s="242"/>
      <c r="H589" s="257"/>
      <c r="I589" s="242"/>
    </row>
    <row r="590" spans="1:9" ht="15" customHeight="1" x14ac:dyDescent="0.15">
      <c r="A590" s="242"/>
      <c r="B590" s="242"/>
      <c r="C590" s="242"/>
      <c r="D590" s="256"/>
      <c r="E590" s="242"/>
      <c r="F590" s="257"/>
      <c r="G590" s="242"/>
      <c r="H590" s="257"/>
      <c r="I590" s="242"/>
    </row>
    <row r="591" spans="1:9" ht="15" customHeight="1" x14ac:dyDescent="0.15">
      <c r="A591" s="242"/>
      <c r="B591" s="242"/>
      <c r="C591" s="242"/>
      <c r="D591" s="256"/>
      <c r="E591" s="242"/>
      <c r="F591" s="257"/>
      <c r="G591" s="242"/>
      <c r="H591" s="257"/>
      <c r="I591" s="242"/>
    </row>
    <row r="592" spans="1:9" ht="15" customHeight="1" x14ac:dyDescent="0.15">
      <c r="A592" s="242"/>
      <c r="B592" s="242"/>
      <c r="C592" s="242"/>
      <c r="D592" s="256"/>
      <c r="E592" s="242"/>
      <c r="F592" s="257"/>
      <c r="G592" s="242"/>
      <c r="H592" s="257"/>
      <c r="I592" s="242"/>
    </row>
    <row r="593" spans="1:9" ht="15" customHeight="1" x14ac:dyDescent="0.15">
      <c r="A593" s="242"/>
      <c r="B593" s="242"/>
      <c r="C593" s="242"/>
      <c r="D593" s="256"/>
      <c r="E593" s="242"/>
      <c r="F593" s="257"/>
      <c r="G593" s="242"/>
      <c r="H593" s="257"/>
      <c r="I593" s="242"/>
    </row>
    <row r="594" spans="1:9" ht="15" customHeight="1" x14ac:dyDescent="0.15">
      <c r="A594" s="242"/>
      <c r="B594" s="242"/>
      <c r="C594" s="242"/>
      <c r="D594" s="256"/>
      <c r="E594" s="242"/>
      <c r="F594" s="257"/>
      <c r="G594" s="242"/>
      <c r="H594" s="257"/>
      <c r="I594" s="242"/>
    </row>
    <row r="595" spans="1:9" ht="15" customHeight="1" x14ac:dyDescent="0.15">
      <c r="A595" s="242"/>
      <c r="B595" s="242"/>
      <c r="C595" s="242"/>
      <c r="D595" s="256"/>
      <c r="E595" s="242"/>
      <c r="F595" s="257"/>
      <c r="G595" s="242"/>
      <c r="H595" s="257"/>
      <c r="I595" s="242"/>
    </row>
    <row r="596" spans="1:9" ht="15" customHeight="1" x14ac:dyDescent="0.15">
      <c r="A596" s="242"/>
      <c r="B596" s="242"/>
      <c r="C596" s="242"/>
      <c r="D596" s="256"/>
      <c r="E596" s="242"/>
      <c r="F596" s="257"/>
      <c r="G596" s="242"/>
      <c r="H596" s="257"/>
      <c r="I596" s="242"/>
    </row>
    <row r="597" spans="1:9" ht="15" customHeight="1" x14ac:dyDescent="0.15">
      <c r="A597" s="242"/>
      <c r="B597" s="242"/>
      <c r="C597" s="242"/>
      <c r="D597" s="256"/>
      <c r="E597" s="242"/>
      <c r="F597" s="257"/>
      <c r="G597" s="242"/>
      <c r="H597" s="257"/>
      <c r="I597" s="242"/>
    </row>
    <row r="598" spans="1:9" ht="15" customHeight="1" x14ac:dyDescent="0.15">
      <c r="A598" s="242"/>
      <c r="B598" s="242"/>
      <c r="C598" s="242"/>
      <c r="D598" s="256"/>
      <c r="E598" s="242"/>
      <c r="F598" s="257"/>
      <c r="G598" s="242"/>
      <c r="H598" s="257"/>
      <c r="I598" s="242"/>
    </row>
    <row r="599" spans="1:9" ht="15" customHeight="1" x14ac:dyDescent="0.15">
      <c r="A599" s="242"/>
      <c r="B599" s="242"/>
      <c r="C599" s="242"/>
      <c r="D599" s="256"/>
      <c r="E599" s="242"/>
      <c r="F599" s="257"/>
      <c r="G599" s="242"/>
      <c r="H599" s="257"/>
      <c r="I599" s="242"/>
    </row>
    <row r="600" spans="1:9" ht="15" customHeight="1" x14ac:dyDescent="0.15">
      <c r="A600" s="242"/>
      <c r="B600" s="242"/>
      <c r="C600" s="242"/>
      <c r="D600" s="256"/>
      <c r="E600" s="242"/>
      <c r="F600" s="257"/>
      <c r="G600" s="242"/>
      <c r="H600" s="257"/>
      <c r="I600" s="242"/>
    </row>
    <row r="601" spans="1:9" ht="15" customHeight="1" x14ac:dyDescent="0.15">
      <c r="A601" s="242"/>
      <c r="B601" s="242"/>
      <c r="C601" s="242"/>
      <c r="D601" s="256"/>
      <c r="E601" s="242"/>
      <c r="F601" s="257"/>
      <c r="G601" s="242"/>
      <c r="H601" s="257"/>
      <c r="I601" s="242"/>
    </row>
    <row r="602" spans="1:9" ht="15" customHeight="1" x14ac:dyDescent="0.15">
      <c r="A602" s="242"/>
      <c r="B602" s="242"/>
      <c r="C602" s="242"/>
      <c r="D602" s="256"/>
      <c r="E602" s="242"/>
      <c r="F602" s="257"/>
      <c r="G602" s="242"/>
      <c r="H602" s="257"/>
      <c r="I602" s="242"/>
    </row>
    <row r="603" spans="1:9" ht="15" customHeight="1" x14ac:dyDescent="0.15">
      <c r="A603" s="242"/>
      <c r="B603" s="242"/>
      <c r="C603" s="242"/>
      <c r="D603" s="256"/>
      <c r="E603" s="242"/>
      <c r="F603" s="257"/>
      <c r="G603" s="242"/>
      <c r="H603" s="257"/>
      <c r="I603" s="242"/>
    </row>
    <row r="604" spans="1:9" ht="15" customHeight="1" x14ac:dyDescent="0.15">
      <c r="A604" s="242"/>
      <c r="B604" s="242"/>
      <c r="C604" s="242"/>
      <c r="D604" s="256"/>
      <c r="E604" s="242"/>
      <c r="F604" s="257"/>
      <c r="G604" s="242"/>
      <c r="H604" s="257"/>
      <c r="I604" s="242"/>
    </row>
    <row r="605" spans="1:9" ht="15" customHeight="1" x14ac:dyDescent="0.15">
      <c r="A605" s="242"/>
      <c r="B605" s="242"/>
      <c r="C605" s="242"/>
      <c r="D605" s="256"/>
      <c r="E605" s="242"/>
      <c r="F605" s="257"/>
      <c r="G605" s="242"/>
      <c r="H605" s="257"/>
      <c r="I605" s="242"/>
    </row>
    <row r="606" spans="1:9" ht="15" customHeight="1" x14ac:dyDescent="0.15">
      <c r="A606" s="242"/>
      <c r="B606" s="242"/>
      <c r="C606" s="242"/>
      <c r="D606" s="256"/>
      <c r="E606" s="242"/>
      <c r="F606" s="257"/>
      <c r="G606" s="242"/>
      <c r="H606" s="257"/>
      <c r="I606" s="242"/>
    </row>
    <row r="607" spans="1:9" ht="15" customHeight="1" x14ac:dyDescent="0.15">
      <c r="A607" s="242"/>
      <c r="B607" s="242"/>
      <c r="C607" s="242"/>
      <c r="D607" s="256"/>
      <c r="E607" s="242"/>
      <c r="F607" s="257"/>
      <c r="G607" s="242"/>
      <c r="H607" s="257"/>
      <c r="I607" s="242"/>
    </row>
    <row r="608" spans="1:9" ht="15" customHeight="1" x14ac:dyDescent="0.15">
      <c r="A608" s="242"/>
      <c r="B608" s="242"/>
      <c r="C608" s="242"/>
      <c r="D608" s="256"/>
      <c r="E608" s="242"/>
      <c r="F608" s="257"/>
      <c r="G608" s="242"/>
      <c r="H608" s="257"/>
      <c r="I608" s="242"/>
    </row>
    <row r="609" spans="1:9" ht="15" customHeight="1" x14ac:dyDescent="0.15">
      <c r="A609" s="242"/>
      <c r="B609" s="242"/>
      <c r="C609" s="242"/>
      <c r="D609" s="256"/>
      <c r="E609" s="242"/>
      <c r="F609" s="257"/>
      <c r="G609" s="242"/>
      <c r="H609" s="257"/>
      <c r="I609" s="242"/>
    </row>
    <row r="610" spans="1:9" ht="15" customHeight="1" x14ac:dyDescent="0.15">
      <c r="A610" s="242"/>
      <c r="B610" s="242"/>
      <c r="C610" s="242"/>
      <c r="D610" s="256"/>
      <c r="E610" s="242"/>
      <c r="F610" s="257"/>
      <c r="G610" s="242"/>
      <c r="H610" s="257"/>
      <c r="I610" s="242"/>
    </row>
    <row r="611" spans="1:9" ht="15" customHeight="1" x14ac:dyDescent="0.15">
      <c r="A611" s="242"/>
      <c r="B611" s="242"/>
      <c r="C611" s="242"/>
      <c r="D611" s="256"/>
      <c r="E611" s="242"/>
      <c r="F611" s="257"/>
      <c r="G611" s="242"/>
      <c r="H611" s="257"/>
      <c r="I611" s="242"/>
    </row>
    <row r="612" spans="1:9" ht="15" customHeight="1" x14ac:dyDescent="0.15">
      <c r="A612" s="242"/>
      <c r="B612" s="242"/>
      <c r="C612" s="242"/>
      <c r="D612" s="256"/>
      <c r="E612" s="242"/>
      <c r="F612" s="257"/>
      <c r="G612" s="242"/>
      <c r="H612" s="257"/>
      <c r="I612" s="242"/>
    </row>
    <row r="613" spans="1:9" ht="15" customHeight="1" x14ac:dyDescent="0.15">
      <c r="A613" s="242"/>
      <c r="B613" s="242"/>
      <c r="C613" s="242"/>
      <c r="D613" s="256"/>
      <c r="E613" s="242"/>
      <c r="F613" s="257"/>
      <c r="G613" s="242"/>
      <c r="H613" s="257"/>
      <c r="I613" s="242"/>
    </row>
    <row r="614" spans="1:9" ht="15" customHeight="1" x14ac:dyDescent="0.15">
      <c r="A614" s="242"/>
      <c r="B614" s="242"/>
      <c r="C614" s="242"/>
      <c r="D614" s="256"/>
      <c r="E614" s="242"/>
      <c r="F614" s="257"/>
      <c r="G614" s="242"/>
      <c r="H614" s="257"/>
      <c r="I614" s="242"/>
    </row>
    <row r="615" spans="1:9" ht="15" customHeight="1" x14ac:dyDescent="0.15">
      <c r="A615" s="242"/>
      <c r="B615" s="242"/>
      <c r="C615" s="242"/>
      <c r="D615" s="256"/>
      <c r="E615" s="242"/>
      <c r="F615" s="257"/>
      <c r="G615" s="242"/>
      <c r="H615" s="257"/>
      <c r="I615" s="242"/>
    </row>
    <row r="616" spans="1:9" ht="15" customHeight="1" x14ac:dyDescent="0.15">
      <c r="A616" s="242"/>
      <c r="B616" s="242"/>
      <c r="C616" s="242"/>
      <c r="D616" s="256"/>
      <c r="E616" s="242"/>
      <c r="F616" s="257"/>
      <c r="G616" s="242"/>
      <c r="H616" s="257"/>
      <c r="I616" s="242"/>
    </row>
    <row r="617" spans="1:9" ht="15" customHeight="1" x14ac:dyDescent="0.15">
      <c r="A617" s="242"/>
      <c r="B617" s="242"/>
      <c r="C617" s="242"/>
      <c r="D617" s="256"/>
      <c r="E617" s="242"/>
      <c r="F617" s="257"/>
      <c r="G617" s="242"/>
      <c r="H617" s="257"/>
      <c r="I617" s="242"/>
    </row>
    <row r="618" spans="1:9" ht="15" customHeight="1" x14ac:dyDescent="0.15">
      <c r="A618" s="242"/>
      <c r="B618" s="242"/>
      <c r="C618" s="242"/>
      <c r="D618" s="256"/>
      <c r="E618" s="242"/>
      <c r="F618" s="257"/>
      <c r="G618" s="242"/>
      <c r="H618" s="257"/>
      <c r="I618" s="242"/>
    </row>
    <row r="619" spans="1:9" ht="15" customHeight="1" x14ac:dyDescent="0.15">
      <c r="A619" s="242"/>
      <c r="B619" s="242"/>
      <c r="C619" s="242"/>
      <c r="D619" s="256"/>
      <c r="E619" s="242"/>
      <c r="F619" s="257"/>
      <c r="G619" s="242"/>
      <c r="H619" s="257"/>
      <c r="I619" s="242"/>
    </row>
    <row r="620" spans="1:9" ht="15" customHeight="1" x14ac:dyDescent="0.15">
      <c r="A620" s="242"/>
      <c r="B620" s="242"/>
      <c r="C620" s="242"/>
      <c r="D620" s="256"/>
      <c r="E620" s="242"/>
      <c r="F620" s="257"/>
      <c r="G620" s="242"/>
      <c r="H620" s="257"/>
      <c r="I620" s="242"/>
    </row>
    <row r="621" spans="1:9" ht="15" customHeight="1" x14ac:dyDescent="0.15">
      <c r="A621" s="242"/>
      <c r="B621" s="242"/>
      <c r="C621" s="242"/>
      <c r="D621" s="256"/>
      <c r="E621" s="242"/>
      <c r="F621" s="257"/>
      <c r="G621" s="242"/>
      <c r="H621" s="257"/>
      <c r="I621" s="242"/>
    </row>
    <row r="622" spans="1:9" ht="15" customHeight="1" x14ac:dyDescent="0.15">
      <c r="A622" s="242"/>
      <c r="B622" s="242"/>
      <c r="C622" s="242"/>
      <c r="D622" s="256"/>
      <c r="E622" s="242"/>
      <c r="F622" s="257"/>
      <c r="G622" s="242"/>
      <c r="H622" s="257"/>
      <c r="I622" s="242"/>
    </row>
    <row r="623" spans="1:9" ht="15" customHeight="1" x14ac:dyDescent="0.15">
      <c r="A623" s="242"/>
      <c r="B623" s="242"/>
      <c r="C623" s="242"/>
      <c r="D623" s="256"/>
      <c r="E623" s="242"/>
      <c r="F623" s="257"/>
      <c r="G623" s="242"/>
      <c r="H623" s="257"/>
      <c r="I623" s="242"/>
    </row>
    <row r="624" spans="1:9" ht="15" customHeight="1" x14ac:dyDescent="0.15">
      <c r="A624" s="242"/>
      <c r="B624" s="242"/>
      <c r="C624" s="242"/>
      <c r="D624" s="256"/>
      <c r="E624" s="242"/>
      <c r="F624" s="257"/>
      <c r="G624" s="242"/>
      <c r="H624" s="257"/>
      <c r="I624" s="242"/>
    </row>
    <row r="625" spans="1:9" ht="15" customHeight="1" x14ac:dyDescent="0.15">
      <c r="A625" s="242"/>
      <c r="B625" s="242"/>
      <c r="C625" s="242"/>
      <c r="D625" s="256"/>
      <c r="E625" s="242"/>
      <c r="F625" s="257"/>
      <c r="G625" s="242"/>
      <c r="H625" s="257"/>
      <c r="I625" s="242"/>
    </row>
    <row r="626" spans="1:9" ht="15" customHeight="1" x14ac:dyDescent="0.15">
      <c r="A626" s="242"/>
      <c r="B626" s="242"/>
      <c r="C626" s="242"/>
      <c r="D626" s="256"/>
      <c r="E626" s="242"/>
      <c r="F626" s="257"/>
      <c r="G626" s="242"/>
      <c r="H626" s="257"/>
      <c r="I626" s="242"/>
    </row>
    <row r="627" spans="1:9" ht="15" customHeight="1" x14ac:dyDescent="0.15">
      <c r="A627" s="242"/>
      <c r="B627" s="242"/>
      <c r="C627" s="242"/>
      <c r="D627" s="256"/>
      <c r="E627" s="242"/>
      <c r="F627" s="257"/>
      <c r="G627" s="242"/>
      <c r="H627" s="257"/>
      <c r="I627" s="242"/>
    </row>
    <row r="628" spans="1:9" ht="15" customHeight="1" x14ac:dyDescent="0.15">
      <c r="A628" s="242"/>
      <c r="B628" s="242"/>
      <c r="C628" s="242"/>
      <c r="D628" s="256"/>
      <c r="E628" s="242"/>
      <c r="F628" s="257"/>
      <c r="G628" s="242"/>
      <c r="H628" s="257"/>
      <c r="I628" s="242"/>
    </row>
    <row r="629" spans="1:9" ht="15" customHeight="1" x14ac:dyDescent="0.15">
      <c r="A629" s="242"/>
      <c r="B629" s="242"/>
      <c r="C629" s="242"/>
      <c r="D629" s="256"/>
      <c r="E629" s="242"/>
      <c r="F629" s="257"/>
      <c r="G629" s="242"/>
      <c r="H629" s="257"/>
      <c r="I629" s="242"/>
    </row>
    <row r="630" spans="1:9" ht="15" customHeight="1" x14ac:dyDescent="0.15">
      <c r="A630" s="242"/>
      <c r="B630" s="242"/>
      <c r="C630" s="242"/>
      <c r="D630" s="256"/>
      <c r="E630" s="242"/>
      <c r="F630" s="257"/>
      <c r="G630" s="242"/>
      <c r="H630" s="257"/>
      <c r="I630" s="242"/>
    </row>
    <row r="631" spans="1:9" ht="15" customHeight="1" x14ac:dyDescent="0.15">
      <c r="A631" s="242"/>
      <c r="B631" s="242"/>
      <c r="C631" s="242"/>
      <c r="D631" s="256"/>
      <c r="E631" s="242"/>
      <c r="F631" s="257"/>
      <c r="G631" s="242"/>
      <c r="H631" s="257"/>
      <c r="I631" s="242"/>
    </row>
    <row r="632" spans="1:9" ht="15" customHeight="1" x14ac:dyDescent="0.15">
      <c r="A632" s="242"/>
      <c r="B632" s="242"/>
      <c r="C632" s="242"/>
      <c r="D632" s="256"/>
      <c r="E632" s="242"/>
      <c r="F632" s="257"/>
      <c r="G632" s="242"/>
      <c r="H632" s="257"/>
      <c r="I632" s="242"/>
    </row>
    <row r="633" spans="1:9" ht="15" customHeight="1" x14ac:dyDescent="0.15">
      <c r="A633" s="242"/>
      <c r="B633" s="242"/>
      <c r="C633" s="242"/>
      <c r="D633" s="256"/>
      <c r="E633" s="242"/>
      <c r="F633" s="257"/>
      <c r="G633" s="242"/>
      <c r="H633" s="257"/>
      <c r="I633" s="242"/>
    </row>
    <row r="634" spans="1:9" ht="15" customHeight="1" x14ac:dyDescent="0.15">
      <c r="A634" s="242"/>
      <c r="B634" s="242"/>
      <c r="C634" s="242"/>
      <c r="D634" s="256"/>
      <c r="E634" s="242"/>
      <c r="F634" s="257"/>
      <c r="G634" s="242"/>
      <c r="H634" s="257"/>
      <c r="I634" s="242"/>
    </row>
    <row r="635" spans="1:9" ht="15" customHeight="1" x14ac:dyDescent="0.15">
      <c r="A635" s="242"/>
      <c r="B635" s="242"/>
      <c r="C635" s="242"/>
      <c r="D635" s="256"/>
      <c r="E635" s="242"/>
      <c r="F635" s="257"/>
      <c r="G635" s="242"/>
      <c r="H635" s="257"/>
      <c r="I635" s="242"/>
    </row>
    <row r="636" spans="1:9" ht="15" customHeight="1" x14ac:dyDescent="0.15">
      <c r="A636" s="242"/>
      <c r="B636" s="242"/>
      <c r="C636" s="242"/>
      <c r="D636" s="256"/>
      <c r="E636" s="242"/>
      <c r="F636" s="257"/>
      <c r="G636" s="242"/>
      <c r="H636" s="257"/>
      <c r="I636" s="242"/>
    </row>
    <row r="637" spans="1:9" ht="15" customHeight="1" x14ac:dyDescent="0.15">
      <c r="A637" s="242"/>
      <c r="B637" s="242"/>
      <c r="C637" s="242"/>
      <c r="D637" s="256"/>
      <c r="E637" s="242"/>
      <c r="F637" s="257"/>
      <c r="G637" s="242"/>
      <c r="H637" s="257"/>
      <c r="I637" s="242"/>
    </row>
    <row r="638" spans="1:9" ht="15" customHeight="1" x14ac:dyDescent="0.15">
      <c r="A638" s="242"/>
      <c r="B638" s="242"/>
      <c r="C638" s="242"/>
      <c r="D638" s="256"/>
      <c r="E638" s="242"/>
      <c r="F638" s="257"/>
      <c r="G638" s="242"/>
      <c r="H638" s="257"/>
      <c r="I638" s="242"/>
    </row>
    <row r="639" spans="1:9" ht="15" customHeight="1" x14ac:dyDescent="0.15">
      <c r="A639" s="242"/>
      <c r="B639" s="242"/>
      <c r="C639" s="242"/>
      <c r="D639" s="256"/>
      <c r="E639" s="242"/>
      <c r="F639" s="257"/>
      <c r="G639" s="242"/>
      <c r="H639" s="257"/>
      <c r="I639" s="242"/>
    </row>
    <row r="640" spans="1:9" ht="15" customHeight="1" x14ac:dyDescent="0.15">
      <c r="A640" s="242"/>
      <c r="B640" s="242"/>
      <c r="C640" s="242"/>
      <c r="D640" s="256"/>
      <c r="E640" s="242"/>
      <c r="F640" s="257"/>
      <c r="G640" s="242"/>
      <c r="H640" s="257"/>
      <c r="I640" s="242"/>
    </row>
    <row r="641" spans="1:9" ht="15" customHeight="1" x14ac:dyDescent="0.15">
      <c r="A641" s="242"/>
      <c r="B641" s="242"/>
      <c r="C641" s="242"/>
      <c r="D641" s="256"/>
      <c r="E641" s="242"/>
      <c r="F641" s="257"/>
      <c r="G641" s="242"/>
      <c r="H641" s="257"/>
      <c r="I641" s="242"/>
    </row>
    <row r="642" spans="1:9" ht="15" customHeight="1" x14ac:dyDescent="0.15">
      <c r="A642" s="242"/>
      <c r="B642" s="242"/>
      <c r="C642" s="242"/>
      <c r="D642" s="256"/>
      <c r="E642" s="242"/>
      <c r="F642" s="257"/>
      <c r="G642" s="242"/>
      <c r="H642" s="257"/>
      <c r="I642" s="242"/>
    </row>
    <row r="643" spans="1:9" ht="15" customHeight="1" x14ac:dyDescent="0.15">
      <c r="A643" s="242"/>
      <c r="B643" s="242"/>
      <c r="C643" s="242"/>
      <c r="D643" s="256"/>
      <c r="E643" s="242"/>
      <c r="F643" s="257"/>
      <c r="G643" s="242"/>
      <c r="H643" s="257"/>
      <c r="I643" s="242"/>
    </row>
    <row r="644" spans="1:9" ht="15" customHeight="1" x14ac:dyDescent="0.15">
      <c r="A644" s="242"/>
      <c r="B644" s="242"/>
      <c r="C644" s="242"/>
      <c r="D644" s="256"/>
      <c r="E644" s="242"/>
      <c r="F644" s="257"/>
      <c r="G644" s="242"/>
      <c r="H644" s="257"/>
      <c r="I644" s="242"/>
    </row>
    <row r="645" spans="1:9" ht="15" customHeight="1" x14ac:dyDescent="0.15">
      <c r="A645" s="242"/>
      <c r="B645" s="242"/>
      <c r="C645" s="242"/>
      <c r="D645" s="256"/>
      <c r="E645" s="242"/>
      <c r="F645" s="257"/>
      <c r="G645" s="242"/>
      <c r="H645" s="257"/>
      <c r="I645" s="242"/>
    </row>
    <row r="646" spans="1:9" ht="15" customHeight="1" x14ac:dyDescent="0.15">
      <c r="A646" s="242"/>
      <c r="B646" s="242"/>
      <c r="C646" s="242"/>
      <c r="D646" s="256"/>
      <c r="E646" s="242"/>
      <c r="F646" s="257"/>
      <c r="G646" s="242"/>
      <c r="H646" s="257"/>
      <c r="I646" s="242"/>
    </row>
    <row r="647" spans="1:9" ht="15" customHeight="1" x14ac:dyDescent="0.15">
      <c r="A647" s="242"/>
      <c r="B647" s="242"/>
      <c r="C647" s="242"/>
      <c r="D647" s="256"/>
      <c r="E647" s="242"/>
      <c r="F647" s="257"/>
      <c r="G647" s="242"/>
      <c r="H647" s="257"/>
      <c r="I647" s="242"/>
    </row>
    <row r="648" spans="1:9" ht="15" customHeight="1" x14ac:dyDescent="0.15">
      <c r="A648" s="242"/>
      <c r="B648" s="242"/>
      <c r="C648" s="242"/>
      <c r="D648" s="256"/>
      <c r="E648" s="242"/>
      <c r="F648" s="257"/>
      <c r="G648" s="242"/>
      <c r="H648" s="257"/>
      <c r="I648" s="242"/>
    </row>
    <row r="649" spans="1:9" ht="15" customHeight="1" x14ac:dyDescent="0.15">
      <c r="A649" s="242"/>
      <c r="B649" s="242"/>
      <c r="C649" s="242"/>
      <c r="D649" s="256"/>
      <c r="E649" s="242"/>
      <c r="F649" s="257"/>
      <c r="G649" s="242"/>
      <c r="H649" s="257"/>
      <c r="I649" s="242"/>
    </row>
    <row r="650" spans="1:9" ht="15" customHeight="1" x14ac:dyDescent="0.15">
      <c r="A650" s="242"/>
      <c r="B650" s="242"/>
      <c r="C650" s="242"/>
      <c r="D650" s="256"/>
      <c r="E650" s="242"/>
      <c r="F650" s="257"/>
      <c r="G650" s="242"/>
      <c r="H650" s="257"/>
      <c r="I650" s="242"/>
    </row>
    <row r="651" spans="1:9" ht="15" customHeight="1" x14ac:dyDescent="0.15">
      <c r="A651" s="242"/>
      <c r="B651" s="242"/>
      <c r="C651" s="242"/>
      <c r="D651" s="256"/>
      <c r="E651" s="242"/>
      <c r="F651" s="257"/>
      <c r="G651" s="242"/>
      <c r="H651" s="257"/>
      <c r="I651" s="242"/>
    </row>
    <row r="652" spans="1:9" ht="15" customHeight="1" x14ac:dyDescent="0.15">
      <c r="A652" s="242"/>
      <c r="B652" s="242"/>
      <c r="C652" s="242"/>
      <c r="D652" s="256"/>
      <c r="E652" s="242"/>
      <c r="F652" s="257"/>
      <c r="G652" s="242"/>
      <c r="H652" s="257"/>
      <c r="I652" s="242"/>
    </row>
    <row r="653" spans="1:9" ht="15" customHeight="1" x14ac:dyDescent="0.15">
      <c r="A653" s="242"/>
      <c r="B653" s="242"/>
      <c r="C653" s="242"/>
      <c r="D653" s="256"/>
      <c r="E653" s="242"/>
      <c r="F653" s="257"/>
      <c r="G653" s="242"/>
      <c r="H653" s="257"/>
      <c r="I653" s="242"/>
    </row>
    <row r="654" spans="1:9" ht="15" customHeight="1" x14ac:dyDescent="0.15">
      <c r="A654" s="242"/>
      <c r="B654" s="242"/>
      <c r="C654" s="242"/>
      <c r="D654" s="256"/>
      <c r="E654" s="242"/>
      <c r="F654" s="257"/>
      <c r="G654" s="242"/>
      <c r="H654" s="257"/>
      <c r="I654" s="242"/>
    </row>
    <row r="655" spans="1:9" ht="15" customHeight="1" x14ac:dyDescent="0.15">
      <c r="A655" s="242"/>
      <c r="B655" s="242"/>
      <c r="C655" s="242"/>
      <c r="D655" s="256"/>
      <c r="E655" s="242"/>
      <c r="F655" s="257"/>
      <c r="G655" s="242"/>
      <c r="H655" s="257"/>
      <c r="I655" s="242"/>
    </row>
    <row r="656" spans="1:9" ht="15" customHeight="1" x14ac:dyDescent="0.15">
      <c r="A656" s="242"/>
      <c r="B656" s="242"/>
      <c r="C656" s="242"/>
      <c r="D656" s="256"/>
      <c r="E656" s="242"/>
      <c r="F656" s="257"/>
      <c r="G656" s="242"/>
      <c r="H656" s="257"/>
      <c r="I656" s="242"/>
    </row>
    <row r="657" spans="1:9" ht="15" customHeight="1" x14ac:dyDescent="0.15">
      <c r="A657" s="242"/>
      <c r="B657" s="242"/>
      <c r="C657" s="242"/>
      <c r="D657" s="256"/>
      <c r="E657" s="242"/>
      <c r="F657" s="257"/>
      <c r="G657" s="242"/>
      <c r="H657" s="257"/>
      <c r="I657" s="242"/>
    </row>
    <row r="658" spans="1:9" ht="15" customHeight="1" x14ac:dyDescent="0.15">
      <c r="A658" s="242"/>
      <c r="B658" s="242"/>
      <c r="C658" s="242"/>
      <c r="D658" s="256"/>
      <c r="E658" s="242"/>
      <c r="F658" s="257"/>
      <c r="G658" s="242"/>
      <c r="H658" s="257"/>
      <c r="I658" s="242"/>
    </row>
    <row r="659" spans="1:9" ht="15" customHeight="1" x14ac:dyDescent="0.15">
      <c r="A659" s="242"/>
      <c r="B659" s="242"/>
      <c r="C659" s="242"/>
      <c r="D659" s="256"/>
      <c r="E659" s="242"/>
      <c r="F659" s="257"/>
      <c r="G659" s="242"/>
      <c r="H659" s="257"/>
      <c r="I659" s="242"/>
    </row>
    <row r="660" spans="1:9" ht="15" customHeight="1" x14ac:dyDescent="0.15">
      <c r="A660" s="242"/>
      <c r="B660" s="242"/>
      <c r="C660" s="242"/>
      <c r="D660" s="256"/>
      <c r="E660" s="242"/>
      <c r="F660" s="257"/>
      <c r="G660" s="242"/>
      <c r="H660" s="257"/>
      <c r="I660" s="242"/>
    </row>
    <row r="661" spans="1:9" ht="15" customHeight="1" x14ac:dyDescent="0.15">
      <c r="A661" s="242"/>
      <c r="B661" s="242"/>
      <c r="C661" s="242"/>
      <c r="D661" s="256"/>
      <c r="E661" s="242"/>
      <c r="F661" s="257"/>
      <c r="G661" s="242"/>
      <c r="H661" s="257"/>
      <c r="I661" s="242"/>
    </row>
    <row r="662" spans="1:9" ht="15" customHeight="1" x14ac:dyDescent="0.15">
      <c r="A662" s="242"/>
      <c r="B662" s="242"/>
      <c r="C662" s="242"/>
      <c r="D662" s="256"/>
      <c r="E662" s="242"/>
      <c r="F662" s="257"/>
      <c r="G662" s="242"/>
      <c r="H662" s="257"/>
      <c r="I662" s="242"/>
    </row>
    <row r="663" spans="1:9" ht="15" customHeight="1" x14ac:dyDescent="0.15">
      <c r="A663" s="242"/>
      <c r="B663" s="242"/>
      <c r="C663" s="242"/>
      <c r="D663" s="256"/>
      <c r="E663" s="242"/>
      <c r="F663" s="257"/>
      <c r="G663" s="242"/>
      <c r="H663" s="257"/>
      <c r="I663" s="242"/>
    </row>
    <row r="664" spans="1:9" ht="15" customHeight="1" x14ac:dyDescent="0.15">
      <c r="A664" s="242"/>
      <c r="B664" s="242"/>
      <c r="C664" s="242"/>
      <c r="D664" s="256"/>
      <c r="E664" s="242"/>
      <c r="F664" s="257"/>
      <c r="G664" s="242"/>
      <c r="H664" s="257"/>
      <c r="I664" s="242"/>
    </row>
    <row r="665" spans="1:9" ht="15" customHeight="1" x14ac:dyDescent="0.15">
      <c r="A665" s="242"/>
      <c r="B665" s="242"/>
      <c r="C665" s="242"/>
      <c r="D665" s="256"/>
      <c r="E665" s="242"/>
      <c r="F665" s="257"/>
      <c r="G665" s="242"/>
      <c r="H665" s="257"/>
      <c r="I665" s="242"/>
    </row>
    <row r="666" spans="1:9" ht="15" customHeight="1" x14ac:dyDescent="0.15">
      <c r="A666" s="242"/>
      <c r="B666" s="242"/>
      <c r="C666" s="242"/>
      <c r="D666" s="256"/>
      <c r="E666" s="242"/>
      <c r="F666" s="257"/>
      <c r="G666" s="242"/>
      <c r="H666" s="257"/>
      <c r="I666" s="242"/>
    </row>
    <row r="667" spans="1:9" ht="15" customHeight="1" x14ac:dyDescent="0.15">
      <c r="A667" s="242"/>
      <c r="B667" s="242"/>
      <c r="C667" s="242"/>
      <c r="D667" s="256"/>
      <c r="E667" s="242"/>
      <c r="F667" s="257"/>
      <c r="G667" s="242"/>
      <c r="H667" s="257"/>
      <c r="I667" s="242"/>
    </row>
    <row r="668" spans="1:9" ht="15" customHeight="1" x14ac:dyDescent="0.15">
      <c r="A668" s="242"/>
      <c r="B668" s="242"/>
      <c r="C668" s="242"/>
      <c r="D668" s="256"/>
      <c r="E668" s="242"/>
      <c r="F668" s="257"/>
      <c r="G668" s="242"/>
      <c r="H668" s="257"/>
      <c r="I668" s="242"/>
    </row>
    <row r="669" spans="1:9" ht="15" customHeight="1" x14ac:dyDescent="0.15">
      <c r="A669" s="242"/>
      <c r="B669" s="242"/>
      <c r="C669" s="242"/>
      <c r="D669" s="256"/>
      <c r="E669" s="242"/>
      <c r="F669" s="257"/>
      <c r="G669" s="242"/>
      <c r="H669" s="257"/>
      <c r="I669" s="242"/>
    </row>
    <row r="670" spans="1:9" ht="15" customHeight="1" x14ac:dyDescent="0.15">
      <c r="A670" s="242"/>
      <c r="B670" s="242"/>
      <c r="C670" s="242"/>
      <c r="D670" s="256"/>
      <c r="E670" s="242"/>
      <c r="F670" s="257"/>
      <c r="G670" s="242"/>
      <c r="H670" s="257"/>
      <c r="I670" s="242"/>
    </row>
    <row r="671" spans="1:9" ht="15" customHeight="1" x14ac:dyDescent="0.15">
      <c r="A671" s="242"/>
      <c r="B671" s="242"/>
      <c r="C671" s="242"/>
      <c r="D671" s="256"/>
      <c r="E671" s="242"/>
      <c r="F671" s="257"/>
      <c r="G671" s="242"/>
      <c r="H671" s="257"/>
      <c r="I671" s="242"/>
    </row>
    <row r="672" spans="1:9" ht="15" customHeight="1" x14ac:dyDescent="0.15">
      <c r="A672" s="242"/>
      <c r="B672" s="242"/>
      <c r="C672" s="242"/>
      <c r="D672" s="256"/>
      <c r="E672" s="242"/>
      <c r="F672" s="257"/>
      <c r="G672" s="242"/>
      <c r="H672" s="257"/>
      <c r="I672" s="242"/>
    </row>
    <row r="673" spans="1:9" ht="15" customHeight="1" x14ac:dyDescent="0.15">
      <c r="A673" s="242"/>
      <c r="B673" s="242"/>
      <c r="C673" s="242"/>
      <c r="D673" s="256"/>
      <c r="E673" s="242"/>
      <c r="F673" s="257"/>
      <c r="G673" s="242"/>
      <c r="H673" s="257"/>
      <c r="I673" s="242"/>
    </row>
    <row r="674" spans="1:9" ht="15" customHeight="1" x14ac:dyDescent="0.15">
      <c r="A674" s="242"/>
      <c r="B674" s="242"/>
      <c r="C674" s="242"/>
      <c r="D674" s="256"/>
      <c r="E674" s="242"/>
      <c r="F674" s="257"/>
      <c r="G674" s="242"/>
      <c r="H674" s="257"/>
      <c r="I674" s="242"/>
    </row>
    <row r="675" spans="1:9" ht="15" customHeight="1" x14ac:dyDescent="0.15">
      <c r="A675" s="242"/>
      <c r="B675" s="242"/>
      <c r="C675" s="242"/>
      <c r="D675" s="256"/>
      <c r="E675" s="242"/>
      <c r="F675" s="257"/>
      <c r="G675" s="242"/>
      <c r="H675" s="257"/>
      <c r="I675" s="242"/>
    </row>
    <row r="676" spans="1:9" ht="15" customHeight="1" x14ac:dyDescent="0.15">
      <c r="A676" s="242"/>
      <c r="B676" s="242"/>
      <c r="C676" s="242"/>
      <c r="D676" s="256"/>
      <c r="E676" s="242"/>
      <c r="F676" s="257"/>
      <c r="G676" s="242"/>
      <c r="H676" s="257"/>
      <c r="I676" s="242"/>
    </row>
    <row r="677" spans="1:9" ht="15" customHeight="1" x14ac:dyDescent="0.15">
      <c r="A677" s="242"/>
      <c r="B677" s="242"/>
      <c r="C677" s="242"/>
      <c r="D677" s="256"/>
      <c r="E677" s="242"/>
      <c r="F677" s="257"/>
      <c r="G677" s="242"/>
      <c r="H677" s="257"/>
      <c r="I677" s="242"/>
    </row>
    <row r="678" spans="1:9" ht="15" customHeight="1" x14ac:dyDescent="0.15">
      <c r="A678" s="242"/>
      <c r="B678" s="242"/>
      <c r="C678" s="242"/>
      <c r="D678" s="256"/>
      <c r="E678" s="242"/>
      <c r="F678" s="257"/>
      <c r="G678" s="242"/>
      <c r="H678" s="257"/>
      <c r="I678" s="242"/>
    </row>
    <row r="679" spans="1:9" ht="15" customHeight="1" x14ac:dyDescent="0.15">
      <c r="A679" s="242"/>
      <c r="B679" s="242"/>
      <c r="C679" s="242"/>
      <c r="D679" s="256"/>
      <c r="E679" s="242"/>
      <c r="F679" s="257"/>
      <c r="G679" s="242"/>
      <c r="H679" s="257"/>
      <c r="I679" s="242"/>
    </row>
    <row r="680" spans="1:9" ht="15" customHeight="1" x14ac:dyDescent="0.15">
      <c r="A680" s="242"/>
      <c r="B680" s="242"/>
      <c r="C680" s="242"/>
      <c r="D680" s="256"/>
      <c r="E680" s="242"/>
      <c r="F680" s="257"/>
      <c r="G680" s="242"/>
      <c r="H680" s="257"/>
      <c r="I680" s="242"/>
    </row>
    <row r="681" spans="1:9" ht="15" customHeight="1" x14ac:dyDescent="0.15">
      <c r="A681" s="242"/>
      <c r="B681" s="242"/>
      <c r="C681" s="242"/>
      <c r="D681" s="256"/>
      <c r="E681" s="242"/>
      <c r="F681" s="257"/>
      <c r="G681" s="242"/>
      <c r="H681" s="257"/>
      <c r="I681" s="242"/>
    </row>
    <row r="682" spans="1:9" ht="15" customHeight="1" x14ac:dyDescent="0.15">
      <c r="A682" s="242"/>
      <c r="B682" s="242"/>
      <c r="C682" s="242"/>
      <c r="D682" s="256"/>
      <c r="E682" s="242"/>
      <c r="F682" s="257"/>
      <c r="G682" s="242"/>
      <c r="H682" s="257"/>
      <c r="I682" s="242"/>
    </row>
    <row r="683" spans="1:9" ht="15" customHeight="1" x14ac:dyDescent="0.15">
      <c r="A683" s="242"/>
      <c r="B683" s="242"/>
      <c r="C683" s="242"/>
      <c r="D683" s="256"/>
      <c r="E683" s="242"/>
      <c r="F683" s="257"/>
      <c r="G683" s="242"/>
      <c r="H683" s="257"/>
      <c r="I683" s="242"/>
    </row>
    <row r="684" spans="1:9" ht="15" customHeight="1" x14ac:dyDescent="0.15">
      <c r="A684" s="242"/>
      <c r="B684" s="242"/>
      <c r="C684" s="242"/>
      <c r="D684" s="256"/>
      <c r="E684" s="242"/>
      <c r="F684" s="257"/>
      <c r="G684" s="242"/>
      <c r="H684" s="257"/>
      <c r="I684" s="242"/>
    </row>
    <row r="685" spans="1:9" ht="15" customHeight="1" x14ac:dyDescent="0.15">
      <c r="A685" s="242"/>
      <c r="B685" s="242"/>
      <c r="C685" s="242"/>
      <c r="D685" s="256"/>
      <c r="E685" s="242"/>
      <c r="F685" s="257"/>
      <c r="G685" s="242"/>
      <c r="H685" s="257"/>
      <c r="I685" s="242"/>
    </row>
    <row r="686" spans="1:9" ht="15" customHeight="1" x14ac:dyDescent="0.15">
      <c r="A686" s="242"/>
      <c r="B686" s="242"/>
      <c r="C686" s="242"/>
      <c r="D686" s="256"/>
      <c r="E686" s="242"/>
      <c r="F686" s="257"/>
      <c r="G686" s="242"/>
      <c r="H686" s="257"/>
      <c r="I686" s="242"/>
    </row>
    <row r="687" spans="1:9" ht="15" customHeight="1" x14ac:dyDescent="0.15">
      <c r="A687" s="242"/>
      <c r="B687" s="242"/>
      <c r="C687" s="242"/>
      <c r="D687" s="256"/>
      <c r="E687" s="242"/>
      <c r="F687" s="257"/>
      <c r="G687" s="242"/>
      <c r="H687" s="257"/>
      <c r="I687" s="242"/>
    </row>
    <row r="688" spans="1:9" ht="15" customHeight="1" x14ac:dyDescent="0.15">
      <c r="A688" s="242"/>
      <c r="B688" s="242"/>
      <c r="C688" s="242"/>
      <c r="D688" s="256"/>
      <c r="E688" s="242"/>
      <c r="F688" s="257"/>
      <c r="G688" s="242"/>
      <c r="H688" s="257"/>
      <c r="I688" s="242"/>
    </row>
    <row r="689" spans="1:9" ht="15" customHeight="1" x14ac:dyDescent="0.15">
      <c r="A689" s="242"/>
      <c r="B689" s="242"/>
      <c r="C689" s="242"/>
      <c r="D689" s="256"/>
      <c r="E689" s="242"/>
      <c r="F689" s="257"/>
      <c r="G689" s="242"/>
      <c r="H689" s="257"/>
      <c r="I689" s="242"/>
    </row>
    <row r="690" spans="1:9" ht="15" customHeight="1" x14ac:dyDescent="0.15">
      <c r="A690" s="242"/>
      <c r="B690" s="242"/>
      <c r="C690" s="242"/>
      <c r="D690" s="256"/>
      <c r="E690" s="242"/>
      <c r="F690" s="257"/>
      <c r="G690" s="242"/>
      <c r="H690" s="257"/>
      <c r="I690" s="242"/>
    </row>
    <row r="691" spans="1:9" ht="15" customHeight="1" x14ac:dyDescent="0.15">
      <c r="A691" s="242"/>
      <c r="B691" s="242"/>
      <c r="C691" s="242"/>
      <c r="D691" s="256"/>
      <c r="E691" s="242"/>
      <c r="F691" s="257"/>
      <c r="G691" s="242"/>
      <c r="H691" s="257"/>
      <c r="I691" s="242"/>
    </row>
    <row r="692" spans="1:9" ht="15" customHeight="1" x14ac:dyDescent="0.15">
      <c r="A692" s="242"/>
      <c r="B692" s="242"/>
      <c r="C692" s="242"/>
      <c r="D692" s="256"/>
      <c r="E692" s="242"/>
      <c r="F692" s="257"/>
      <c r="G692" s="242"/>
      <c r="H692" s="257"/>
      <c r="I692" s="242"/>
    </row>
    <row r="693" spans="1:9" ht="15" customHeight="1" x14ac:dyDescent="0.15">
      <c r="A693" s="242"/>
      <c r="B693" s="242"/>
      <c r="C693" s="242"/>
      <c r="D693" s="256"/>
      <c r="E693" s="242"/>
      <c r="F693" s="257"/>
      <c r="G693" s="242"/>
      <c r="H693" s="257"/>
      <c r="I693" s="242"/>
    </row>
    <row r="694" spans="1:9" ht="15" customHeight="1" x14ac:dyDescent="0.15">
      <c r="A694" s="242"/>
      <c r="B694" s="242"/>
      <c r="C694" s="242"/>
      <c r="D694" s="256"/>
      <c r="E694" s="242"/>
      <c r="F694" s="257"/>
      <c r="G694" s="242"/>
      <c r="H694" s="257"/>
      <c r="I694" s="242"/>
    </row>
    <row r="695" spans="1:9" ht="15" customHeight="1" x14ac:dyDescent="0.15">
      <c r="A695" s="242"/>
      <c r="B695" s="242"/>
      <c r="C695" s="242"/>
      <c r="D695" s="256"/>
      <c r="E695" s="242"/>
      <c r="F695" s="257"/>
      <c r="G695" s="242"/>
      <c r="H695" s="257"/>
      <c r="I695" s="242"/>
    </row>
    <row r="696" spans="1:9" ht="15" customHeight="1" x14ac:dyDescent="0.15">
      <c r="A696" s="242"/>
      <c r="B696" s="242"/>
      <c r="C696" s="242"/>
      <c r="D696" s="256"/>
      <c r="E696" s="242"/>
      <c r="F696" s="257"/>
      <c r="G696" s="242"/>
      <c r="H696" s="257"/>
      <c r="I696" s="242"/>
    </row>
    <row r="697" spans="1:9" ht="15" customHeight="1" x14ac:dyDescent="0.15">
      <c r="A697" s="242"/>
      <c r="B697" s="242"/>
      <c r="C697" s="242"/>
      <c r="D697" s="256"/>
      <c r="E697" s="242"/>
      <c r="F697" s="257"/>
      <c r="G697" s="242"/>
      <c r="H697" s="257"/>
      <c r="I697" s="242"/>
    </row>
    <row r="698" spans="1:9" ht="15" customHeight="1" x14ac:dyDescent="0.15">
      <c r="A698" s="242"/>
      <c r="B698" s="242"/>
      <c r="C698" s="242"/>
      <c r="D698" s="256"/>
      <c r="E698" s="242"/>
      <c r="F698" s="257"/>
      <c r="G698" s="242"/>
      <c r="H698" s="257"/>
      <c r="I698" s="242"/>
    </row>
    <row r="699" spans="1:9" ht="15" customHeight="1" x14ac:dyDescent="0.15">
      <c r="A699" s="242"/>
      <c r="B699" s="242"/>
      <c r="C699" s="242"/>
      <c r="D699" s="256"/>
      <c r="E699" s="242"/>
      <c r="F699" s="257"/>
      <c r="G699" s="242"/>
      <c r="H699" s="257"/>
      <c r="I699" s="242"/>
    </row>
    <row r="700" spans="1:9" ht="15" customHeight="1" x14ac:dyDescent="0.15">
      <c r="A700" s="242"/>
      <c r="B700" s="242"/>
      <c r="C700" s="242"/>
      <c r="D700" s="256"/>
      <c r="E700" s="242"/>
      <c r="F700" s="257"/>
      <c r="G700" s="242"/>
      <c r="H700" s="257"/>
      <c r="I700" s="242"/>
    </row>
    <row r="701" spans="1:9" ht="15" customHeight="1" x14ac:dyDescent="0.15">
      <c r="A701" s="242"/>
      <c r="B701" s="242"/>
      <c r="C701" s="242"/>
      <c r="D701" s="256"/>
      <c r="E701" s="242"/>
      <c r="F701" s="257"/>
      <c r="G701" s="242"/>
      <c r="H701" s="257"/>
      <c r="I701" s="242"/>
    </row>
    <row r="702" spans="1:9" ht="15" customHeight="1" x14ac:dyDescent="0.15">
      <c r="A702" s="242"/>
      <c r="B702" s="242"/>
      <c r="C702" s="242"/>
      <c r="D702" s="256"/>
      <c r="E702" s="242"/>
      <c r="F702" s="257"/>
      <c r="G702" s="242"/>
      <c r="H702" s="257"/>
      <c r="I702" s="242"/>
    </row>
    <row r="703" spans="1:9" ht="15" customHeight="1" x14ac:dyDescent="0.15">
      <c r="A703" s="242"/>
      <c r="B703" s="242"/>
      <c r="C703" s="242"/>
      <c r="D703" s="256"/>
      <c r="E703" s="242"/>
      <c r="F703" s="257"/>
      <c r="G703" s="242"/>
      <c r="H703" s="257"/>
      <c r="I703" s="242"/>
    </row>
    <row r="704" spans="1:9" ht="15" customHeight="1" x14ac:dyDescent="0.15">
      <c r="A704" s="242"/>
      <c r="B704" s="242"/>
      <c r="C704" s="242"/>
      <c r="D704" s="256"/>
      <c r="E704" s="242"/>
      <c r="F704" s="257"/>
      <c r="G704" s="242"/>
      <c r="H704" s="257"/>
      <c r="I704" s="242"/>
    </row>
    <row r="705" spans="1:9" ht="15" customHeight="1" x14ac:dyDescent="0.15">
      <c r="A705" s="242"/>
      <c r="B705" s="242"/>
      <c r="C705" s="242"/>
      <c r="D705" s="256"/>
      <c r="E705" s="242"/>
      <c r="F705" s="257"/>
      <c r="G705" s="242"/>
      <c r="H705" s="257"/>
      <c r="I705" s="242"/>
    </row>
    <row r="706" spans="1:9" ht="15" customHeight="1" x14ac:dyDescent="0.15">
      <c r="A706" s="242"/>
      <c r="B706" s="242"/>
      <c r="C706" s="242"/>
      <c r="D706" s="256"/>
      <c r="E706" s="242"/>
      <c r="F706" s="257"/>
      <c r="G706" s="242"/>
      <c r="H706" s="257"/>
      <c r="I706" s="242"/>
    </row>
    <row r="707" spans="1:9" ht="15" customHeight="1" x14ac:dyDescent="0.15">
      <c r="A707" s="242"/>
      <c r="B707" s="242"/>
      <c r="C707" s="242"/>
      <c r="D707" s="256"/>
      <c r="E707" s="242"/>
      <c r="F707" s="257"/>
      <c r="G707" s="242"/>
      <c r="H707" s="257"/>
      <c r="I707" s="242"/>
    </row>
    <row r="708" spans="1:9" ht="15" customHeight="1" x14ac:dyDescent="0.15">
      <c r="A708" s="242"/>
      <c r="B708" s="242"/>
      <c r="C708" s="242"/>
      <c r="D708" s="256"/>
      <c r="E708" s="242"/>
      <c r="F708" s="257"/>
      <c r="G708" s="242"/>
      <c r="H708" s="257"/>
      <c r="I708" s="242"/>
    </row>
    <row r="709" spans="1:9" ht="15" customHeight="1" x14ac:dyDescent="0.15">
      <c r="A709" s="242"/>
      <c r="B709" s="242"/>
      <c r="C709" s="242"/>
      <c r="D709" s="256"/>
      <c r="E709" s="242"/>
      <c r="F709" s="257"/>
      <c r="G709" s="242"/>
      <c r="H709" s="257"/>
      <c r="I709" s="242"/>
    </row>
    <row r="710" spans="1:9" ht="15" customHeight="1" x14ac:dyDescent="0.15">
      <c r="A710" s="242"/>
      <c r="B710" s="242"/>
      <c r="C710" s="242"/>
      <c r="D710" s="256"/>
      <c r="E710" s="242"/>
      <c r="F710" s="257"/>
      <c r="G710" s="242"/>
      <c r="H710" s="257"/>
      <c r="I710" s="242"/>
    </row>
    <row r="711" spans="1:9" ht="15" customHeight="1" x14ac:dyDescent="0.15">
      <c r="A711" s="242"/>
      <c r="B711" s="242"/>
      <c r="C711" s="242"/>
      <c r="D711" s="256"/>
      <c r="E711" s="242"/>
      <c r="F711" s="257"/>
      <c r="G711" s="242"/>
      <c r="H711" s="257"/>
      <c r="I711" s="242"/>
    </row>
    <row r="712" spans="1:9" ht="15" customHeight="1" x14ac:dyDescent="0.15">
      <c r="A712" s="242"/>
      <c r="B712" s="242"/>
      <c r="C712" s="242"/>
      <c r="D712" s="256"/>
      <c r="E712" s="242"/>
      <c r="F712" s="257"/>
      <c r="G712" s="242"/>
      <c r="H712" s="257"/>
      <c r="I712" s="242"/>
    </row>
    <row r="713" spans="1:9" ht="15" customHeight="1" x14ac:dyDescent="0.15">
      <c r="A713" s="242"/>
      <c r="B713" s="242"/>
      <c r="C713" s="242"/>
      <c r="D713" s="256"/>
      <c r="E713" s="242"/>
      <c r="F713" s="257"/>
      <c r="G713" s="242"/>
      <c r="H713" s="257"/>
      <c r="I713" s="242"/>
    </row>
    <row r="714" spans="1:9" ht="15" customHeight="1" x14ac:dyDescent="0.15">
      <c r="A714" s="242"/>
      <c r="B714" s="242"/>
      <c r="C714" s="242"/>
      <c r="D714" s="256"/>
      <c r="E714" s="242"/>
      <c r="F714" s="257"/>
      <c r="G714" s="242"/>
      <c r="H714" s="257"/>
      <c r="I714" s="242"/>
    </row>
    <row r="715" spans="1:9" ht="15" customHeight="1" x14ac:dyDescent="0.15">
      <c r="A715" s="242"/>
      <c r="B715" s="242"/>
      <c r="C715" s="242"/>
      <c r="D715" s="256"/>
      <c r="E715" s="242"/>
      <c r="F715" s="257"/>
      <c r="G715" s="242"/>
      <c r="H715" s="257"/>
      <c r="I715" s="242"/>
    </row>
    <row r="716" spans="1:9" ht="15" customHeight="1" x14ac:dyDescent="0.15">
      <c r="A716" s="242"/>
      <c r="B716" s="242"/>
      <c r="C716" s="242"/>
      <c r="D716" s="256"/>
      <c r="E716" s="242"/>
      <c r="F716" s="257"/>
      <c r="G716" s="242"/>
      <c r="H716" s="257"/>
      <c r="I716" s="242"/>
    </row>
    <row r="717" spans="1:9" ht="15" customHeight="1" x14ac:dyDescent="0.15">
      <c r="A717" s="242"/>
      <c r="B717" s="242"/>
      <c r="C717" s="242"/>
      <c r="D717" s="256"/>
      <c r="E717" s="242"/>
      <c r="F717" s="257"/>
      <c r="G717" s="242"/>
      <c r="H717" s="257"/>
      <c r="I717" s="242"/>
    </row>
    <row r="718" spans="1:9" ht="15" customHeight="1" x14ac:dyDescent="0.15">
      <c r="A718" s="242"/>
      <c r="B718" s="242"/>
      <c r="C718" s="242"/>
      <c r="D718" s="256"/>
      <c r="E718" s="242"/>
      <c r="F718" s="257"/>
      <c r="G718" s="242"/>
      <c r="H718" s="257"/>
      <c r="I718" s="242"/>
    </row>
    <row r="719" spans="1:9" ht="15" customHeight="1" x14ac:dyDescent="0.15">
      <c r="A719" s="242"/>
      <c r="B719" s="242"/>
      <c r="C719" s="242"/>
      <c r="D719" s="256"/>
      <c r="E719" s="242"/>
      <c r="F719" s="257"/>
      <c r="G719" s="242"/>
      <c r="H719" s="257"/>
      <c r="I719" s="242"/>
    </row>
    <row r="720" spans="1:9" ht="15" customHeight="1" x14ac:dyDescent="0.15">
      <c r="A720" s="242"/>
      <c r="B720" s="242"/>
      <c r="C720" s="242"/>
      <c r="D720" s="256"/>
      <c r="E720" s="242"/>
      <c r="F720" s="257"/>
      <c r="G720" s="242"/>
      <c r="H720" s="257"/>
      <c r="I720" s="242"/>
    </row>
    <row r="721" spans="1:9" ht="15" customHeight="1" x14ac:dyDescent="0.15">
      <c r="A721" s="242"/>
      <c r="B721" s="242"/>
      <c r="C721" s="242"/>
      <c r="D721" s="256"/>
      <c r="E721" s="242"/>
      <c r="F721" s="257"/>
      <c r="G721" s="242"/>
      <c r="H721" s="257"/>
      <c r="I721" s="242"/>
    </row>
    <row r="722" spans="1:9" ht="15" customHeight="1" x14ac:dyDescent="0.15">
      <c r="A722" s="242"/>
      <c r="B722" s="242"/>
      <c r="C722" s="242"/>
      <c r="D722" s="256"/>
      <c r="E722" s="242"/>
      <c r="F722" s="257"/>
      <c r="G722" s="242"/>
      <c r="H722" s="257"/>
      <c r="I722" s="242"/>
    </row>
    <row r="723" spans="1:9" ht="15" customHeight="1" x14ac:dyDescent="0.15">
      <c r="A723" s="242"/>
      <c r="B723" s="242"/>
      <c r="C723" s="242"/>
      <c r="D723" s="256"/>
      <c r="E723" s="242"/>
      <c r="F723" s="257"/>
      <c r="G723" s="242"/>
      <c r="H723" s="257"/>
      <c r="I723" s="242"/>
    </row>
    <row r="724" spans="1:9" ht="15" customHeight="1" x14ac:dyDescent="0.15">
      <c r="A724" s="242"/>
      <c r="B724" s="242"/>
      <c r="C724" s="242"/>
      <c r="D724" s="256"/>
      <c r="E724" s="242"/>
      <c r="F724" s="257"/>
      <c r="G724" s="242"/>
      <c r="H724" s="257"/>
      <c r="I724" s="242"/>
    </row>
    <row r="725" spans="1:9" ht="15" customHeight="1" x14ac:dyDescent="0.15">
      <c r="A725" s="242"/>
      <c r="B725" s="242"/>
      <c r="C725" s="242"/>
      <c r="D725" s="256"/>
      <c r="E725" s="242"/>
      <c r="F725" s="257"/>
      <c r="G725" s="242"/>
      <c r="H725" s="257"/>
      <c r="I725" s="242"/>
    </row>
    <row r="726" spans="1:9" ht="15" customHeight="1" x14ac:dyDescent="0.15">
      <c r="A726" s="242"/>
      <c r="B726" s="242"/>
      <c r="C726" s="242"/>
      <c r="D726" s="256"/>
      <c r="E726" s="242"/>
      <c r="F726" s="257"/>
      <c r="G726" s="242"/>
      <c r="H726" s="257"/>
      <c r="I726" s="242"/>
    </row>
    <row r="727" spans="1:9" ht="15" customHeight="1" x14ac:dyDescent="0.15">
      <c r="A727" s="242"/>
      <c r="B727" s="242"/>
      <c r="C727" s="242"/>
      <c r="D727" s="256"/>
      <c r="E727" s="242"/>
      <c r="F727" s="257"/>
      <c r="G727" s="242"/>
      <c r="H727" s="257"/>
      <c r="I727" s="242"/>
    </row>
    <row r="728" spans="1:9" ht="15" customHeight="1" x14ac:dyDescent="0.15">
      <c r="A728" s="242"/>
      <c r="B728" s="242"/>
      <c r="C728" s="242"/>
      <c r="D728" s="256"/>
      <c r="E728" s="242"/>
      <c r="F728" s="257"/>
      <c r="G728" s="242"/>
      <c r="H728" s="257"/>
      <c r="I728" s="242"/>
    </row>
    <row r="729" spans="1:9" ht="15" customHeight="1" x14ac:dyDescent="0.15">
      <c r="A729" s="242"/>
      <c r="B729" s="242"/>
      <c r="C729" s="242"/>
      <c r="D729" s="256"/>
      <c r="E729" s="242"/>
      <c r="F729" s="257"/>
      <c r="G729" s="242"/>
      <c r="H729" s="257"/>
      <c r="I729" s="242"/>
    </row>
    <row r="730" spans="1:9" ht="15" customHeight="1" x14ac:dyDescent="0.15">
      <c r="A730" s="242"/>
      <c r="B730" s="242"/>
      <c r="C730" s="242"/>
      <c r="D730" s="256"/>
      <c r="E730" s="242"/>
      <c r="F730" s="257"/>
      <c r="G730" s="242"/>
      <c r="H730" s="257"/>
      <c r="I730" s="242"/>
    </row>
    <row r="731" spans="1:9" ht="15" customHeight="1" x14ac:dyDescent="0.15">
      <c r="A731" s="242"/>
      <c r="B731" s="242"/>
      <c r="C731" s="242"/>
      <c r="D731" s="256"/>
      <c r="E731" s="242"/>
      <c r="F731" s="257"/>
      <c r="G731" s="242"/>
      <c r="H731" s="257"/>
      <c r="I731" s="242"/>
    </row>
    <row r="732" spans="1:9" ht="15" customHeight="1" x14ac:dyDescent="0.15">
      <c r="A732" s="242"/>
      <c r="B732" s="242"/>
      <c r="C732" s="242"/>
      <c r="D732" s="256"/>
      <c r="E732" s="242"/>
      <c r="F732" s="257"/>
      <c r="G732" s="242"/>
      <c r="H732" s="257"/>
      <c r="I732" s="242"/>
    </row>
    <row r="733" spans="1:9" ht="15" customHeight="1" x14ac:dyDescent="0.15">
      <c r="A733" s="242"/>
      <c r="B733" s="242"/>
      <c r="C733" s="242"/>
      <c r="D733" s="256"/>
      <c r="E733" s="242"/>
      <c r="F733" s="257"/>
      <c r="G733" s="242"/>
      <c r="H733" s="257"/>
      <c r="I733" s="242"/>
    </row>
    <row r="734" spans="1:9" ht="15" customHeight="1" x14ac:dyDescent="0.15">
      <c r="A734" s="242"/>
      <c r="B734" s="242"/>
      <c r="C734" s="242"/>
      <c r="D734" s="256"/>
      <c r="E734" s="242"/>
      <c r="F734" s="257"/>
      <c r="G734" s="242"/>
      <c r="H734" s="257"/>
      <c r="I734" s="242"/>
    </row>
    <row r="735" spans="1:9" ht="15" customHeight="1" x14ac:dyDescent="0.15">
      <c r="A735" s="242"/>
      <c r="B735" s="242"/>
      <c r="C735" s="242"/>
      <c r="D735" s="256"/>
      <c r="E735" s="242"/>
      <c r="F735" s="257"/>
      <c r="G735" s="242"/>
      <c r="H735" s="257"/>
      <c r="I735" s="242"/>
    </row>
    <row r="736" spans="1:9" ht="15" customHeight="1" x14ac:dyDescent="0.15">
      <c r="A736" s="242"/>
      <c r="B736" s="242"/>
      <c r="C736" s="242"/>
      <c r="D736" s="256"/>
      <c r="E736" s="242"/>
      <c r="F736" s="257"/>
      <c r="G736" s="242"/>
      <c r="H736" s="257"/>
      <c r="I736" s="242"/>
    </row>
    <row r="737" spans="1:9" ht="15" customHeight="1" x14ac:dyDescent="0.15">
      <c r="A737" s="242"/>
      <c r="B737" s="242"/>
      <c r="C737" s="242"/>
      <c r="D737" s="256"/>
      <c r="E737" s="242"/>
      <c r="F737" s="257"/>
      <c r="G737" s="242"/>
      <c r="H737" s="257"/>
      <c r="I737" s="242"/>
    </row>
    <row r="738" spans="1:9" ht="15" customHeight="1" x14ac:dyDescent="0.15">
      <c r="A738" s="242"/>
      <c r="B738" s="242"/>
      <c r="C738" s="242"/>
      <c r="D738" s="256"/>
      <c r="E738" s="242"/>
      <c r="F738" s="257"/>
      <c r="G738" s="242"/>
      <c r="H738" s="257"/>
      <c r="I738" s="242"/>
    </row>
    <row r="739" spans="1:9" ht="15" customHeight="1" x14ac:dyDescent="0.15">
      <c r="A739" s="242"/>
      <c r="B739" s="242"/>
      <c r="C739" s="242"/>
      <c r="D739" s="256"/>
      <c r="E739" s="242"/>
      <c r="F739" s="257"/>
      <c r="G739" s="242"/>
      <c r="H739" s="257"/>
      <c r="I739" s="242"/>
    </row>
    <row r="740" spans="1:9" ht="15" customHeight="1" x14ac:dyDescent="0.15">
      <c r="A740" s="242"/>
      <c r="B740" s="242"/>
      <c r="C740" s="242"/>
      <c r="D740" s="256"/>
      <c r="E740" s="242"/>
      <c r="F740" s="257"/>
      <c r="G740" s="242"/>
      <c r="H740" s="257"/>
      <c r="I740" s="242"/>
    </row>
    <row r="741" spans="1:9" ht="15" customHeight="1" x14ac:dyDescent="0.15">
      <c r="A741" s="242"/>
      <c r="B741" s="242"/>
      <c r="C741" s="242"/>
      <c r="D741" s="256"/>
      <c r="E741" s="242"/>
      <c r="F741" s="257"/>
      <c r="G741" s="242"/>
      <c r="H741" s="257"/>
      <c r="I741" s="242"/>
    </row>
    <row r="742" spans="1:9" ht="15" customHeight="1" x14ac:dyDescent="0.15">
      <c r="A742" s="242"/>
      <c r="B742" s="242"/>
      <c r="C742" s="242"/>
      <c r="D742" s="256"/>
      <c r="E742" s="242"/>
      <c r="F742" s="257"/>
      <c r="G742" s="242"/>
      <c r="H742" s="257"/>
      <c r="I742" s="242"/>
    </row>
    <row r="743" spans="1:9" ht="15" customHeight="1" x14ac:dyDescent="0.15">
      <c r="A743" s="242"/>
      <c r="B743" s="242"/>
      <c r="C743" s="242"/>
      <c r="D743" s="256"/>
      <c r="E743" s="242"/>
      <c r="F743" s="257"/>
      <c r="G743" s="242"/>
      <c r="H743" s="257"/>
      <c r="I743" s="242"/>
    </row>
    <row r="744" spans="1:9" ht="15" customHeight="1" x14ac:dyDescent="0.15">
      <c r="A744" s="242"/>
      <c r="B744" s="242"/>
      <c r="C744" s="242"/>
      <c r="D744" s="256"/>
      <c r="E744" s="242"/>
      <c r="F744" s="257"/>
      <c r="G744" s="242"/>
      <c r="H744" s="257"/>
      <c r="I744" s="242"/>
    </row>
    <row r="745" spans="1:9" ht="15" customHeight="1" x14ac:dyDescent="0.15">
      <c r="A745" s="242"/>
      <c r="B745" s="242"/>
      <c r="C745" s="242"/>
      <c r="D745" s="256"/>
      <c r="E745" s="242"/>
      <c r="F745" s="257"/>
      <c r="G745" s="242"/>
      <c r="H745" s="257"/>
      <c r="I745" s="242"/>
    </row>
    <row r="746" spans="1:9" ht="15" customHeight="1" x14ac:dyDescent="0.15">
      <c r="A746" s="242"/>
      <c r="B746" s="242"/>
      <c r="C746" s="242"/>
      <c r="D746" s="256"/>
      <c r="E746" s="242"/>
      <c r="F746" s="257"/>
      <c r="G746" s="242"/>
      <c r="H746" s="257"/>
      <c r="I746" s="242"/>
    </row>
    <row r="747" spans="1:9" ht="15" customHeight="1" x14ac:dyDescent="0.15">
      <c r="A747" s="242"/>
      <c r="B747" s="242"/>
      <c r="C747" s="242"/>
      <c r="D747" s="256"/>
      <c r="E747" s="242"/>
      <c r="F747" s="257"/>
      <c r="G747" s="242"/>
      <c r="H747" s="257"/>
      <c r="I747" s="242"/>
    </row>
    <row r="748" spans="1:9" ht="15" customHeight="1" x14ac:dyDescent="0.15">
      <c r="A748" s="242"/>
      <c r="B748" s="242"/>
      <c r="C748" s="242"/>
      <c r="D748" s="256"/>
      <c r="E748" s="242"/>
      <c r="F748" s="257"/>
      <c r="G748" s="242"/>
      <c r="H748" s="257"/>
      <c r="I748" s="242"/>
    </row>
    <row r="749" spans="1:9" ht="15" customHeight="1" x14ac:dyDescent="0.15">
      <c r="A749" s="242"/>
      <c r="B749" s="242"/>
      <c r="C749" s="242"/>
      <c r="D749" s="256"/>
      <c r="E749" s="242"/>
      <c r="F749" s="257"/>
      <c r="G749" s="242"/>
      <c r="H749" s="257"/>
      <c r="I749" s="242"/>
    </row>
    <row r="750" spans="1:9" ht="15" customHeight="1" x14ac:dyDescent="0.15">
      <c r="A750" s="242"/>
      <c r="B750" s="242"/>
      <c r="C750" s="242"/>
      <c r="D750" s="256"/>
      <c r="E750" s="242"/>
      <c r="F750" s="257"/>
      <c r="G750" s="242"/>
      <c r="H750" s="257"/>
      <c r="I750" s="242"/>
    </row>
    <row r="751" spans="1:9" ht="15" customHeight="1" x14ac:dyDescent="0.15">
      <c r="A751" s="242"/>
      <c r="B751" s="242"/>
      <c r="C751" s="242"/>
      <c r="D751" s="256"/>
      <c r="E751" s="242"/>
      <c r="F751" s="257"/>
      <c r="G751" s="242"/>
      <c r="H751" s="257"/>
      <c r="I751" s="242"/>
    </row>
    <row r="752" spans="1:9" ht="15" customHeight="1" x14ac:dyDescent="0.15">
      <c r="A752" s="242"/>
      <c r="B752" s="242"/>
      <c r="C752" s="242"/>
      <c r="D752" s="256"/>
      <c r="E752" s="242"/>
      <c r="F752" s="257"/>
      <c r="G752" s="242"/>
      <c r="H752" s="257"/>
      <c r="I752" s="242"/>
    </row>
    <row r="753" spans="1:9" ht="15" customHeight="1" x14ac:dyDescent="0.15">
      <c r="A753" s="242"/>
      <c r="B753" s="242"/>
      <c r="C753" s="242"/>
      <c r="D753" s="256"/>
      <c r="E753" s="242"/>
      <c r="F753" s="257"/>
      <c r="G753" s="242"/>
      <c r="H753" s="257"/>
      <c r="I753" s="242"/>
    </row>
    <row r="754" spans="1:9" ht="15" customHeight="1" x14ac:dyDescent="0.15">
      <c r="A754" s="242"/>
      <c r="B754" s="242"/>
      <c r="C754" s="242"/>
      <c r="D754" s="256"/>
      <c r="E754" s="242"/>
      <c r="F754" s="257"/>
      <c r="G754" s="242"/>
      <c r="H754" s="257"/>
      <c r="I754" s="242"/>
    </row>
    <row r="755" spans="1:9" ht="15" customHeight="1" x14ac:dyDescent="0.15">
      <c r="A755" s="242"/>
      <c r="B755" s="242"/>
      <c r="C755" s="242"/>
      <c r="D755" s="256"/>
      <c r="E755" s="242"/>
      <c r="F755" s="257"/>
      <c r="G755" s="242"/>
      <c r="H755" s="257"/>
      <c r="I755" s="242"/>
    </row>
    <row r="756" spans="1:9" ht="15" customHeight="1" x14ac:dyDescent="0.15">
      <c r="A756" s="242"/>
      <c r="B756" s="242"/>
      <c r="C756" s="242"/>
      <c r="D756" s="256"/>
      <c r="E756" s="242"/>
      <c r="F756" s="257"/>
      <c r="G756" s="242"/>
      <c r="H756" s="257"/>
      <c r="I756" s="242"/>
    </row>
    <row r="757" spans="1:9" ht="15" customHeight="1" x14ac:dyDescent="0.15">
      <c r="A757" s="242"/>
      <c r="B757" s="242"/>
      <c r="C757" s="242"/>
      <c r="D757" s="256"/>
      <c r="E757" s="242"/>
      <c r="F757" s="257"/>
      <c r="G757" s="242"/>
      <c r="H757" s="257"/>
      <c r="I757" s="242"/>
    </row>
    <row r="758" spans="1:9" ht="15" customHeight="1" x14ac:dyDescent="0.15">
      <c r="A758" s="242"/>
      <c r="B758" s="242"/>
      <c r="C758" s="242"/>
      <c r="D758" s="256"/>
      <c r="E758" s="242"/>
      <c r="F758" s="257"/>
      <c r="G758" s="242"/>
      <c r="H758" s="257"/>
      <c r="I758" s="242"/>
    </row>
    <row r="759" spans="1:9" ht="15" customHeight="1" x14ac:dyDescent="0.15">
      <c r="A759" s="242"/>
      <c r="B759" s="242"/>
      <c r="C759" s="242"/>
      <c r="D759" s="256"/>
      <c r="E759" s="242"/>
      <c r="F759" s="257"/>
      <c r="G759" s="242"/>
      <c r="H759" s="257"/>
      <c r="I759" s="242"/>
    </row>
    <row r="760" spans="1:9" ht="15" customHeight="1" x14ac:dyDescent="0.15">
      <c r="A760" s="242"/>
      <c r="B760" s="242"/>
      <c r="C760" s="242"/>
      <c r="D760" s="256"/>
      <c r="E760" s="242"/>
      <c r="F760" s="257"/>
      <c r="G760" s="242"/>
      <c r="H760" s="257"/>
      <c r="I760" s="242"/>
    </row>
    <row r="761" spans="1:9" ht="15" customHeight="1" x14ac:dyDescent="0.15">
      <c r="A761" s="242"/>
      <c r="B761" s="242"/>
      <c r="C761" s="242"/>
      <c r="D761" s="256"/>
      <c r="E761" s="242"/>
      <c r="F761" s="257"/>
      <c r="G761" s="242"/>
      <c r="H761" s="257"/>
      <c r="I761" s="242"/>
    </row>
    <row r="762" spans="1:9" ht="15" customHeight="1" x14ac:dyDescent="0.15">
      <c r="A762" s="242"/>
      <c r="B762" s="242"/>
      <c r="C762" s="242"/>
      <c r="D762" s="256"/>
      <c r="E762" s="242"/>
      <c r="F762" s="257"/>
      <c r="G762" s="242"/>
      <c r="H762" s="257"/>
      <c r="I762" s="242"/>
    </row>
    <row r="763" spans="1:9" ht="15" customHeight="1" x14ac:dyDescent="0.15">
      <c r="A763" s="242"/>
      <c r="B763" s="242"/>
      <c r="C763" s="242"/>
      <c r="D763" s="256"/>
      <c r="E763" s="242"/>
      <c r="F763" s="257"/>
      <c r="G763" s="242"/>
      <c r="H763" s="257"/>
      <c r="I763" s="242"/>
    </row>
    <row r="764" spans="1:9" ht="15" customHeight="1" x14ac:dyDescent="0.15">
      <c r="A764" s="242"/>
      <c r="B764" s="242"/>
      <c r="C764" s="242"/>
      <c r="D764" s="256"/>
      <c r="E764" s="242"/>
      <c r="F764" s="257"/>
      <c r="G764" s="242"/>
      <c r="H764" s="257"/>
      <c r="I764" s="242"/>
    </row>
    <row r="765" spans="1:9" ht="15" customHeight="1" x14ac:dyDescent="0.15">
      <c r="A765" s="242"/>
      <c r="B765" s="242"/>
      <c r="C765" s="242"/>
      <c r="D765" s="256"/>
      <c r="E765" s="242"/>
      <c r="F765" s="257"/>
      <c r="G765" s="242"/>
      <c r="H765" s="257"/>
      <c r="I765" s="242"/>
    </row>
    <row r="766" spans="1:9" ht="15" customHeight="1" x14ac:dyDescent="0.15">
      <c r="A766" s="242"/>
      <c r="B766" s="242"/>
      <c r="C766" s="242"/>
      <c r="D766" s="256"/>
      <c r="E766" s="242"/>
      <c r="F766" s="257"/>
      <c r="G766" s="242"/>
      <c r="H766" s="257"/>
      <c r="I766" s="242"/>
    </row>
    <row r="767" spans="1:9" ht="15" customHeight="1" x14ac:dyDescent="0.15">
      <c r="A767" s="242"/>
      <c r="B767" s="242"/>
      <c r="C767" s="242"/>
      <c r="D767" s="256"/>
      <c r="E767" s="242"/>
      <c r="F767" s="257"/>
      <c r="G767" s="242"/>
      <c r="H767" s="257"/>
      <c r="I767" s="242"/>
    </row>
    <row r="768" spans="1:9" ht="15" customHeight="1" x14ac:dyDescent="0.15">
      <c r="A768" s="242"/>
      <c r="B768" s="242"/>
      <c r="C768" s="242"/>
      <c r="D768" s="256"/>
      <c r="E768" s="242"/>
      <c r="F768" s="257"/>
      <c r="G768" s="242"/>
      <c r="H768" s="257"/>
      <c r="I768" s="242"/>
    </row>
    <row r="769" spans="1:9" ht="15" customHeight="1" x14ac:dyDescent="0.15">
      <c r="A769" s="242"/>
      <c r="B769" s="242"/>
      <c r="C769" s="242"/>
      <c r="D769" s="256"/>
      <c r="E769" s="242"/>
      <c r="F769" s="257"/>
      <c r="G769" s="242"/>
      <c r="H769" s="257"/>
      <c r="I769" s="242"/>
    </row>
    <row r="770" spans="1:9" ht="15" customHeight="1" x14ac:dyDescent="0.15">
      <c r="A770" s="242"/>
      <c r="B770" s="242"/>
      <c r="C770" s="242"/>
      <c r="D770" s="256"/>
      <c r="E770" s="242"/>
      <c r="F770" s="257"/>
      <c r="G770" s="242"/>
      <c r="H770" s="257"/>
      <c r="I770" s="242"/>
    </row>
    <row r="771" spans="1:9" ht="15" customHeight="1" x14ac:dyDescent="0.15">
      <c r="A771" s="242"/>
      <c r="B771" s="242"/>
      <c r="C771" s="242"/>
      <c r="D771" s="256"/>
      <c r="E771" s="242"/>
      <c r="F771" s="257"/>
      <c r="G771" s="242"/>
      <c r="H771" s="257"/>
      <c r="I771" s="242"/>
    </row>
    <row r="772" spans="1:9" ht="15" customHeight="1" x14ac:dyDescent="0.15">
      <c r="A772" s="242"/>
      <c r="B772" s="242"/>
      <c r="C772" s="242"/>
      <c r="D772" s="256"/>
      <c r="E772" s="242"/>
      <c r="F772" s="257"/>
      <c r="G772" s="242"/>
      <c r="H772" s="257"/>
      <c r="I772" s="242"/>
    </row>
    <row r="773" spans="1:9" ht="15" customHeight="1" x14ac:dyDescent="0.15">
      <c r="A773" s="242"/>
      <c r="B773" s="242"/>
      <c r="C773" s="242"/>
      <c r="D773" s="256"/>
      <c r="E773" s="242"/>
      <c r="F773" s="257"/>
      <c r="G773" s="242"/>
      <c r="H773" s="257"/>
      <c r="I773" s="242"/>
    </row>
    <row r="774" spans="1:9" ht="15" customHeight="1" x14ac:dyDescent="0.15">
      <c r="A774" s="242"/>
      <c r="B774" s="242"/>
      <c r="C774" s="242"/>
      <c r="D774" s="256"/>
      <c r="E774" s="242"/>
      <c r="F774" s="257"/>
      <c r="G774" s="242"/>
      <c r="H774" s="257"/>
      <c r="I774" s="242"/>
    </row>
    <row r="775" spans="1:9" ht="15" customHeight="1" x14ac:dyDescent="0.15">
      <c r="A775" s="242"/>
      <c r="B775" s="242"/>
      <c r="C775" s="242"/>
      <c r="D775" s="256"/>
      <c r="E775" s="242"/>
      <c r="F775" s="257"/>
      <c r="G775" s="242"/>
      <c r="H775" s="257"/>
      <c r="I775" s="242"/>
    </row>
    <row r="776" spans="1:9" ht="15" customHeight="1" x14ac:dyDescent="0.15">
      <c r="A776" s="242"/>
      <c r="B776" s="242"/>
      <c r="C776" s="242"/>
      <c r="D776" s="256"/>
      <c r="E776" s="242"/>
      <c r="F776" s="257"/>
      <c r="G776" s="242"/>
      <c r="H776" s="257"/>
      <c r="I776" s="242"/>
    </row>
    <row r="777" spans="1:9" ht="15" customHeight="1" x14ac:dyDescent="0.15">
      <c r="A777" s="242"/>
      <c r="B777" s="242"/>
      <c r="C777" s="242"/>
      <c r="D777" s="256"/>
      <c r="E777" s="242"/>
      <c r="F777" s="257"/>
      <c r="G777" s="242"/>
      <c r="H777" s="257"/>
      <c r="I777" s="242"/>
    </row>
    <row r="778" spans="1:9" ht="15" customHeight="1" x14ac:dyDescent="0.15">
      <c r="A778" s="242"/>
      <c r="B778" s="242"/>
      <c r="C778" s="242"/>
      <c r="D778" s="256"/>
      <c r="E778" s="242"/>
      <c r="F778" s="257"/>
      <c r="G778" s="242"/>
      <c r="H778" s="257"/>
      <c r="I778" s="242"/>
    </row>
    <row r="779" spans="1:9" ht="15" customHeight="1" x14ac:dyDescent="0.15">
      <c r="A779" s="242"/>
      <c r="B779" s="242"/>
      <c r="C779" s="242"/>
      <c r="D779" s="256"/>
      <c r="E779" s="242"/>
      <c r="F779" s="257"/>
      <c r="G779" s="242"/>
      <c r="H779" s="257"/>
      <c r="I779" s="242"/>
    </row>
    <row r="780" spans="1:9" ht="15" customHeight="1" x14ac:dyDescent="0.15">
      <c r="A780" s="242"/>
      <c r="B780" s="242"/>
      <c r="C780" s="242"/>
      <c r="D780" s="256"/>
      <c r="E780" s="242"/>
      <c r="F780" s="257"/>
      <c r="G780" s="242"/>
      <c r="H780" s="257"/>
      <c r="I780" s="242"/>
    </row>
    <row r="781" spans="1:9" ht="15" customHeight="1" x14ac:dyDescent="0.15">
      <c r="A781" s="242"/>
      <c r="B781" s="242"/>
      <c r="C781" s="242"/>
      <c r="D781" s="256"/>
      <c r="E781" s="242"/>
      <c r="F781" s="257"/>
      <c r="G781" s="242"/>
      <c r="H781" s="257"/>
      <c r="I781" s="242"/>
    </row>
    <row r="782" spans="1:9" ht="15" customHeight="1" x14ac:dyDescent="0.15">
      <c r="A782" s="242"/>
      <c r="B782" s="242"/>
      <c r="C782" s="242"/>
      <c r="D782" s="256"/>
      <c r="E782" s="242"/>
      <c r="F782" s="257"/>
      <c r="G782" s="242"/>
      <c r="H782" s="257"/>
      <c r="I782" s="242"/>
    </row>
    <row r="783" spans="1:9" ht="15" customHeight="1" x14ac:dyDescent="0.15">
      <c r="A783" s="242"/>
      <c r="B783" s="242"/>
      <c r="C783" s="242"/>
      <c r="D783" s="256"/>
      <c r="E783" s="242"/>
      <c r="F783" s="257"/>
      <c r="G783" s="242"/>
      <c r="H783" s="257"/>
      <c r="I783" s="242"/>
    </row>
    <row r="784" spans="1:9" ht="15" customHeight="1" x14ac:dyDescent="0.15">
      <c r="A784" s="242"/>
      <c r="B784" s="242"/>
      <c r="C784" s="242"/>
      <c r="D784" s="256"/>
      <c r="E784" s="242"/>
      <c r="F784" s="257"/>
      <c r="G784" s="242"/>
      <c r="H784" s="257"/>
      <c r="I784" s="242"/>
    </row>
    <row r="785" spans="1:9" ht="15" customHeight="1" x14ac:dyDescent="0.15">
      <c r="A785" s="242"/>
      <c r="B785" s="242"/>
      <c r="C785" s="242"/>
      <c r="D785" s="256"/>
      <c r="E785" s="242"/>
      <c r="F785" s="257"/>
      <c r="G785" s="242"/>
      <c r="H785" s="257"/>
      <c r="I785" s="242"/>
    </row>
    <row r="786" spans="1:9" ht="15" customHeight="1" x14ac:dyDescent="0.15">
      <c r="A786" s="242"/>
      <c r="B786" s="242"/>
      <c r="C786" s="242"/>
      <c r="D786" s="256"/>
      <c r="E786" s="242"/>
      <c r="F786" s="257"/>
      <c r="G786" s="242"/>
      <c r="H786" s="257"/>
      <c r="I786" s="242"/>
    </row>
    <row r="787" spans="1:9" ht="15" customHeight="1" x14ac:dyDescent="0.15">
      <c r="A787" s="242"/>
      <c r="B787" s="242"/>
      <c r="C787" s="242"/>
      <c r="D787" s="256"/>
      <c r="E787" s="242"/>
      <c r="F787" s="257"/>
      <c r="G787" s="242"/>
      <c r="H787" s="257"/>
      <c r="I787" s="242"/>
    </row>
    <row r="788" spans="1:9" ht="15" customHeight="1" x14ac:dyDescent="0.15">
      <c r="A788" s="242"/>
      <c r="B788" s="242"/>
      <c r="C788" s="242"/>
      <c r="D788" s="256"/>
      <c r="E788" s="242"/>
      <c r="F788" s="257"/>
      <c r="G788" s="242"/>
      <c r="H788" s="257"/>
      <c r="I788" s="242"/>
    </row>
    <row r="789" spans="1:9" ht="15" customHeight="1" x14ac:dyDescent="0.15">
      <c r="A789" s="242"/>
      <c r="B789" s="242"/>
      <c r="C789" s="242"/>
      <c r="D789" s="256"/>
      <c r="E789" s="242"/>
      <c r="F789" s="257"/>
      <c r="G789" s="242"/>
      <c r="H789" s="257"/>
      <c r="I789" s="242"/>
    </row>
    <row r="790" spans="1:9" ht="15" customHeight="1" x14ac:dyDescent="0.15">
      <c r="A790" s="242"/>
      <c r="B790" s="242"/>
      <c r="C790" s="242"/>
      <c r="D790" s="256"/>
      <c r="E790" s="242"/>
      <c r="F790" s="257"/>
      <c r="G790" s="242"/>
      <c r="H790" s="257"/>
      <c r="I790" s="242"/>
    </row>
    <row r="791" spans="1:9" ht="15" customHeight="1" x14ac:dyDescent="0.15">
      <c r="A791" s="242"/>
      <c r="B791" s="242"/>
      <c r="C791" s="242"/>
      <c r="D791" s="256"/>
      <c r="E791" s="242"/>
      <c r="F791" s="257"/>
      <c r="G791" s="242"/>
      <c r="H791" s="257"/>
      <c r="I791" s="242"/>
    </row>
    <row r="792" spans="1:9" ht="15" customHeight="1" x14ac:dyDescent="0.15">
      <c r="A792" s="242"/>
      <c r="B792" s="242"/>
      <c r="C792" s="242"/>
      <c r="D792" s="256"/>
      <c r="E792" s="242"/>
      <c r="F792" s="257"/>
      <c r="G792" s="242"/>
      <c r="H792" s="257"/>
      <c r="I792" s="242"/>
    </row>
    <row r="793" spans="1:9" ht="15" customHeight="1" x14ac:dyDescent="0.15">
      <c r="A793" s="242"/>
      <c r="B793" s="242"/>
      <c r="C793" s="242"/>
      <c r="D793" s="256"/>
      <c r="E793" s="242"/>
      <c r="F793" s="257"/>
      <c r="G793" s="242"/>
      <c r="H793" s="257"/>
      <c r="I793" s="242"/>
    </row>
    <row r="794" spans="1:9" ht="15" customHeight="1" x14ac:dyDescent="0.15">
      <c r="A794" s="242"/>
      <c r="B794" s="242"/>
      <c r="C794" s="242"/>
      <c r="D794" s="256"/>
      <c r="E794" s="242"/>
      <c r="F794" s="257"/>
      <c r="G794" s="242"/>
      <c r="H794" s="257"/>
      <c r="I794" s="242"/>
    </row>
    <row r="795" spans="1:9" ht="15" customHeight="1" x14ac:dyDescent="0.15">
      <c r="A795" s="242"/>
      <c r="B795" s="242"/>
      <c r="C795" s="242"/>
      <c r="D795" s="256"/>
      <c r="E795" s="242"/>
      <c r="F795" s="257"/>
      <c r="G795" s="242"/>
      <c r="H795" s="257"/>
      <c r="I795" s="242"/>
    </row>
    <row r="796" spans="1:9" ht="15" customHeight="1" x14ac:dyDescent="0.15">
      <c r="A796" s="242"/>
      <c r="B796" s="242"/>
      <c r="C796" s="242"/>
      <c r="D796" s="256"/>
      <c r="E796" s="242"/>
      <c r="F796" s="257"/>
      <c r="G796" s="242"/>
      <c r="H796" s="257"/>
      <c r="I796" s="242"/>
    </row>
    <row r="797" spans="1:9" ht="15" customHeight="1" x14ac:dyDescent="0.15">
      <c r="A797" s="242"/>
      <c r="B797" s="242"/>
      <c r="C797" s="242"/>
      <c r="D797" s="256"/>
      <c r="E797" s="242"/>
      <c r="F797" s="257"/>
      <c r="G797" s="242"/>
      <c r="H797" s="257"/>
      <c r="I797" s="242"/>
    </row>
    <row r="798" spans="1:9" ht="15" customHeight="1" x14ac:dyDescent="0.15">
      <c r="A798" s="242"/>
      <c r="B798" s="242"/>
      <c r="C798" s="242"/>
      <c r="D798" s="256"/>
      <c r="E798" s="242"/>
      <c r="F798" s="257"/>
      <c r="G798" s="242"/>
      <c r="H798" s="257"/>
      <c r="I798" s="242"/>
    </row>
    <row r="799" spans="1:9" ht="15" customHeight="1" x14ac:dyDescent="0.15">
      <c r="A799" s="242"/>
      <c r="B799" s="242"/>
      <c r="C799" s="242"/>
      <c r="D799" s="256"/>
      <c r="E799" s="242"/>
      <c r="F799" s="257"/>
      <c r="G799" s="242"/>
      <c r="H799" s="257"/>
      <c r="I799" s="242"/>
    </row>
    <row r="800" spans="1:9" ht="15" customHeight="1" x14ac:dyDescent="0.15">
      <c r="A800" s="242"/>
      <c r="B800" s="242"/>
      <c r="C800" s="242"/>
      <c r="D800" s="256"/>
      <c r="E800" s="242"/>
      <c r="F800" s="257"/>
      <c r="G800" s="242"/>
      <c r="H800" s="257"/>
      <c r="I800" s="242"/>
    </row>
    <row r="801" spans="1:9" ht="15" customHeight="1" x14ac:dyDescent="0.15">
      <c r="A801" s="242"/>
      <c r="B801" s="242"/>
      <c r="C801" s="242"/>
      <c r="D801" s="256"/>
      <c r="E801" s="242"/>
      <c r="F801" s="257"/>
      <c r="G801" s="242"/>
      <c r="H801" s="257"/>
      <c r="I801" s="242"/>
    </row>
    <row r="802" spans="1:9" ht="15" customHeight="1" x14ac:dyDescent="0.15">
      <c r="A802" s="242"/>
      <c r="B802" s="242"/>
      <c r="C802" s="242"/>
      <c r="D802" s="256"/>
      <c r="E802" s="242"/>
      <c r="F802" s="257"/>
      <c r="G802" s="242"/>
      <c r="H802" s="257"/>
      <c r="I802" s="242"/>
    </row>
    <row r="803" spans="1:9" ht="15" customHeight="1" x14ac:dyDescent="0.15">
      <c r="A803" s="242"/>
      <c r="B803" s="242"/>
      <c r="C803" s="242"/>
      <c r="D803" s="256"/>
      <c r="E803" s="242"/>
      <c r="F803" s="257"/>
      <c r="G803" s="242"/>
      <c r="H803" s="257"/>
      <c r="I803" s="242"/>
    </row>
    <row r="804" spans="1:9" ht="15" customHeight="1" x14ac:dyDescent="0.15">
      <c r="A804" s="242"/>
      <c r="B804" s="242"/>
      <c r="C804" s="242"/>
      <c r="D804" s="256"/>
      <c r="E804" s="242"/>
      <c r="F804" s="257"/>
      <c r="G804" s="242"/>
      <c r="H804" s="257"/>
      <c r="I804" s="242"/>
    </row>
    <row r="805" spans="1:9" ht="15" customHeight="1" x14ac:dyDescent="0.15">
      <c r="A805" s="242"/>
      <c r="B805" s="242"/>
      <c r="C805" s="242"/>
      <c r="D805" s="256"/>
      <c r="E805" s="242"/>
      <c r="F805" s="257"/>
      <c r="G805" s="242"/>
      <c r="H805" s="257"/>
      <c r="I805" s="242"/>
    </row>
    <row r="806" spans="1:9" ht="15" customHeight="1" x14ac:dyDescent="0.15">
      <c r="A806" s="242"/>
      <c r="B806" s="242"/>
      <c r="C806" s="242"/>
      <c r="D806" s="256"/>
      <c r="E806" s="242"/>
      <c r="F806" s="257"/>
      <c r="G806" s="242"/>
      <c r="H806" s="257"/>
      <c r="I806" s="242"/>
    </row>
    <row r="807" spans="1:9" ht="15" customHeight="1" x14ac:dyDescent="0.15">
      <c r="A807" s="242"/>
      <c r="B807" s="242"/>
      <c r="C807" s="242"/>
      <c r="D807" s="256"/>
      <c r="E807" s="242"/>
      <c r="F807" s="257"/>
      <c r="G807" s="242"/>
      <c r="H807" s="257"/>
      <c r="I807" s="242"/>
    </row>
    <row r="808" spans="1:9" ht="15" customHeight="1" x14ac:dyDescent="0.15">
      <c r="A808" s="242"/>
      <c r="B808" s="242"/>
      <c r="C808" s="242"/>
      <c r="D808" s="256"/>
      <c r="E808" s="242"/>
      <c r="F808" s="257"/>
      <c r="G808" s="242"/>
      <c r="H808" s="257"/>
      <c r="I808" s="242"/>
    </row>
    <row r="809" spans="1:9" ht="15" customHeight="1" x14ac:dyDescent="0.15">
      <c r="A809" s="242"/>
      <c r="B809" s="242"/>
      <c r="C809" s="242"/>
      <c r="D809" s="256"/>
      <c r="E809" s="242"/>
      <c r="F809" s="257"/>
      <c r="G809" s="242"/>
      <c r="H809" s="257"/>
      <c r="I809" s="242"/>
    </row>
    <row r="810" spans="1:9" ht="15" customHeight="1" x14ac:dyDescent="0.15">
      <c r="A810" s="242"/>
      <c r="B810" s="242"/>
      <c r="C810" s="242"/>
      <c r="D810" s="256"/>
      <c r="E810" s="242"/>
      <c r="F810" s="257"/>
      <c r="G810" s="242"/>
      <c r="H810" s="257"/>
      <c r="I810" s="242"/>
    </row>
    <row r="811" spans="1:9" ht="15" customHeight="1" x14ac:dyDescent="0.15">
      <c r="A811" s="242"/>
      <c r="B811" s="242"/>
      <c r="C811" s="242"/>
      <c r="D811" s="256"/>
      <c r="E811" s="242"/>
      <c r="F811" s="257"/>
      <c r="G811" s="242"/>
      <c r="H811" s="257"/>
      <c r="I811" s="242"/>
    </row>
    <row r="812" spans="1:9" ht="15" customHeight="1" x14ac:dyDescent="0.15">
      <c r="A812" s="242"/>
      <c r="B812" s="242"/>
      <c r="C812" s="242"/>
      <c r="D812" s="256"/>
      <c r="E812" s="242"/>
      <c r="F812" s="257"/>
      <c r="G812" s="242"/>
      <c r="H812" s="257"/>
      <c r="I812" s="242"/>
    </row>
    <row r="813" spans="1:9" ht="15" customHeight="1" x14ac:dyDescent="0.15">
      <c r="A813" s="242"/>
      <c r="B813" s="242"/>
      <c r="C813" s="242"/>
      <c r="D813" s="256"/>
      <c r="E813" s="242"/>
      <c r="F813" s="257"/>
      <c r="G813" s="242"/>
      <c r="H813" s="257"/>
      <c r="I813" s="242"/>
    </row>
    <row r="814" spans="1:9" ht="15" customHeight="1" x14ac:dyDescent="0.15">
      <c r="A814" s="242"/>
      <c r="B814" s="242"/>
      <c r="C814" s="242"/>
      <c r="D814" s="256"/>
      <c r="E814" s="242"/>
      <c r="F814" s="257"/>
      <c r="G814" s="242"/>
      <c r="H814" s="257"/>
      <c r="I814" s="242"/>
    </row>
    <row r="815" spans="1:9" ht="15" customHeight="1" x14ac:dyDescent="0.15">
      <c r="A815" s="242"/>
      <c r="B815" s="242"/>
      <c r="C815" s="242"/>
      <c r="D815" s="256"/>
      <c r="E815" s="242"/>
      <c r="F815" s="257"/>
      <c r="G815" s="242"/>
      <c r="H815" s="257"/>
      <c r="I815" s="242"/>
    </row>
    <row r="816" spans="1:9" ht="15" customHeight="1" x14ac:dyDescent="0.15">
      <c r="A816" s="242"/>
      <c r="B816" s="242"/>
      <c r="C816" s="242"/>
      <c r="D816" s="256"/>
      <c r="E816" s="242"/>
      <c r="F816" s="257"/>
      <c r="G816" s="242"/>
      <c r="H816" s="257"/>
      <c r="I816" s="242"/>
    </row>
    <row r="817" spans="1:9" ht="15" customHeight="1" x14ac:dyDescent="0.15">
      <c r="A817" s="242"/>
      <c r="B817" s="242"/>
      <c r="C817" s="242"/>
      <c r="D817" s="256"/>
      <c r="E817" s="242"/>
      <c r="F817" s="257"/>
      <c r="G817" s="242"/>
      <c r="H817" s="257"/>
      <c r="I817" s="242"/>
    </row>
    <row r="818" spans="1:9" ht="15" customHeight="1" x14ac:dyDescent="0.15">
      <c r="A818" s="242"/>
      <c r="B818" s="242"/>
      <c r="C818" s="242"/>
      <c r="D818" s="256"/>
      <c r="E818" s="242"/>
      <c r="F818" s="257"/>
      <c r="G818" s="242"/>
      <c r="H818" s="257"/>
      <c r="I818" s="242"/>
    </row>
    <row r="819" spans="1:9" ht="15" customHeight="1" x14ac:dyDescent="0.15">
      <c r="A819" s="242"/>
      <c r="B819" s="242"/>
      <c r="C819" s="242"/>
      <c r="D819" s="256"/>
      <c r="E819" s="242"/>
      <c r="F819" s="257"/>
      <c r="G819" s="242"/>
      <c r="H819" s="257"/>
      <c r="I819" s="242"/>
    </row>
    <row r="820" spans="1:9" ht="15" customHeight="1" x14ac:dyDescent="0.15">
      <c r="A820" s="242"/>
      <c r="B820" s="242"/>
      <c r="C820" s="242"/>
      <c r="D820" s="256"/>
      <c r="E820" s="242"/>
      <c r="F820" s="257"/>
      <c r="G820" s="242"/>
      <c r="H820" s="257"/>
      <c r="I820" s="242"/>
    </row>
    <row r="821" spans="1:9" ht="15" customHeight="1" x14ac:dyDescent="0.15">
      <c r="A821" s="242"/>
      <c r="B821" s="242"/>
      <c r="C821" s="242"/>
      <c r="D821" s="256"/>
      <c r="E821" s="242"/>
      <c r="F821" s="257"/>
      <c r="G821" s="242"/>
      <c r="H821" s="257"/>
      <c r="I821" s="242"/>
    </row>
    <row r="822" spans="1:9" ht="15" customHeight="1" x14ac:dyDescent="0.15">
      <c r="A822" s="242"/>
      <c r="B822" s="242"/>
      <c r="C822" s="242"/>
      <c r="D822" s="256"/>
      <c r="E822" s="242"/>
      <c r="F822" s="257"/>
      <c r="G822" s="242"/>
      <c r="H822" s="257"/>
      <c r="I822" s="242"/>
    </row>
    <row r="823" spans="1:9" ht="15" customHeight="1" x14ac:dyDescent="0.15">
      <c r="A823" s="242"/>
      <c r="B823" s="242"/>
      <c r="C823" s="242"/>
      <c r="D823" s="256"/>
      <c r="E823" s="242"/>
      <c r="F823" s="257"/>
      <c r="G823" s="242"/>
      <c r="H823" s="257"/>
      <c r="I823" s="242"/>
    </row>
    <row r="824" spans="1:9" ht="15" customHeight="1" x14ac:dyDescent="0.15">
      <c r="A824" s="242"/>
      <c r="B824" s="242"/>
      <c r="C824" s="242"/>
      <c r="D824" s="256"/>
      <c r="E824" s="242"/>
      <c r="F824" s="257"/>
      <c r="G824" s="242"/>
      <c r="H824" s="257"/>
      <c r="I824" s="242"/>
    </row>
    <row r="825" spans="1:9" ht="15" customHeight="1" x14ac:dyDescent="0.15">
      <c r="A825" s="242"/>
      <c r="B825" s="242"/>
      <c r="C825" s="242"/>
      <c r="D825" s="256"/>
      <c r="E825" s="242"/>
      <c r="F825" s="257"/>
      <c r="G825" s="242"/>
      <c r="H825" s="257"/>
      <c r="I825" s="242"/>
    </row>
    <row r="826" spans="1:9" ht="15" customHeight="1" x14ac:dyDescent="0.15">
      <c r="A826" s="242"/>
      <c r="B826" s="242"/>
      <c r="C826" s="242"/>
      <c r="D826" s="256"/>
      <c r="E826" s="242"/>
      <c r="F826" s="257"/>
      <c r="G826" s="242"/>
      <c r="H826" s="257"/>
      <c r="I826" s="242"/>
    </row>
    <row r="827" spans="1:9" ht="15" customHeight="1" x14ac:dyDescent="0.15">
      <c r="A827" s="242"/>
      <c r="B827" s="242"/>
      <c r="C827" s="242"/>
      <c r="D827" s="256"/>
      <c r="E827" s="242"/>
      <c r="F827" s="257"/>
      <c r="G827" s="242"/>
      <c r="H827" s="257"/>
      <c r="I827" s="242"/>
    </row>
    <row r="828" spans="1:9" ht="15" customHeight="1" x14ac:dyDescent="0.15">
      <c r="A828" s="242"/>
      <c r="B828" s="242"/>
      <c r="C828" s="242"/>
      <c r="D828" s="256"/>
      <c r="E828" s="242"/>
      <c r="F828" s="257"/>
      <c r="G828" s="242"/>
      <c r="H828" s="257"/>
      <c r="I828" s="242"/>
    </row>
    <row r="829" spans="1:9" ht="15" customHeight="1" x14ac:dyDescent="0.15">
      <c r="A829" s="242"/>
      <c r="B829" s="242"/>
      <c r="C829" s="242"/>
      <c r="D829" s="256"/>
      <c r="E829" s="242"/>
      <c r="F829" s="257"/>
      <c r="G829" s="242"/>
      <c r="H829" s="257"/>
      <c r="I829" s="242"/>
    </row>
    <row r="830" spans="1:9" ht="15" customHeight="1" x14ac:dyDescent="0.15">
      <c r="A830" s="242"/>
      <c r="B830" s="242"/>
      <c r="C830" s="242"/>
      <c r="D830" s="256"/>
      <c r="E830" s="242"/>
      <c r="F830" s="257"/>
      <c r="G830" s="242"/>
      <c r="H830" s="257"/>
      <c r="I830" s="242"/>
    </row>
    <row r="831" spans="1:9" ht="15" customHeight="1" x14ac:dyDescent="0.15">
      <c r="A831" s="242"/>
      <c r="B831" s="242"/>
      <c r="C831" s="242"/>
      <c r="D831" s="256"/>
      <c r="E831" s="242"/>
      <c r="F831" s="257"/>
      <c r="G831" s="242"/>
      <c r="H831" s="257"/>
      <c r="I831" s="242"/>
    </row>
    <row r="832" spans="1:9" ht="15" customHeight="1" x14ac:dyDescent="0.15">
      <c r="A832" s="242"/>
      <c r="B832" s="242"/>
      <c r="C832" s="242"/>
      <c r="D832" s="256"/>
      <c r="E832" s="242"/>
      <c r="F832" s="257"/>
      <c r="G832" s="242"/>
      <c r="H832" s="257"/>
      <c r="I832" s="242"/>
    </row>
    <row r="833" spans="1:9" ht="15" customHeight="1" x14ac:dyDescent="0.15">
      <c r="A833" s="242"/>
      <c r="B833" s="242"/>
      <c r="C833" s="242"/>
      <c r="D833" s="256"/>
      <c r="E833" s="242"/>
      <c r="F833" s="257"/>
      <c r="G833" s="242"/>
      <c r="H833" s="257"/>
      <c r="I833" s="242"/>
    </row>
    <row r="834" spans="1:9" ht="15" customHeight="1" x14ac:dyDescent="0.15">
      <c r="A834" s="242"/>
      <c r="B834" s="242"/>
      <c r="C834" s="242"/>
      <c r="D834" s="256"/>
      <c r="E834" s="242"/>
      <c r="F834" s="257"/>
      <c r="G834" s="242"/>
      <c r="H834" s="257"/>
      <c r="I834" s="242"/>
    </row>
    <row r="835" spans="1:9" ht="15" customHeight="1" x14ac:dyDescent="0.15">
      <c r="A835" s="242"/>
      <c r="B835" s="242"/>
      <c r="C835" s="242"/>
      <c r="D835" s="256"/>
      <c r="E835" s="242"/>
      <c r="F835" s="257"/>
      <c r="G835" s="242"/>
      <c r="H835" s="257"/>
      <c r="I835" s="242"/>
    </row>
    <row r="836" spans="1:9" ht="15" customHeight="1" x14ac:dyDescent="0.15">
      <c r="A836" s="242"/>
      <c r="B836" s="242"/>
      <c r="C836" s="242"/>
      <c r="D836" s="256"/>
      <c r="E836" s="242"/>
      <c r="F836" s="257"/>
      <c r="G836" s="242"/>
      <c r="H836" s="257"/>
      <c r="I836" s="242"/>
    </row>
    <row r="837" spans="1:9" ht="15" customHeight="1" x14ac:dyDescent="0.15">
      <c r="A837" s="242"/>
      <c r="B837" s="242"/>
      <c r="C837" s="242"/>
      <c r="D837" s="256"/>
      <c r="E837" s="242"/>
      <c r="F837" s="257"/>
      <c r="G837" s="242"/>
      <c r="H837" s="257"/>
      <c r="I837" s="242"/>
    </row>
    <row r="838" spans="1:9" ht="15" customHeight="1" x14ac:dyDescent="0.15">
      <c r="A838" s="242"/>
      <c r="B838" s="242"/>
      <c r="C838" s="242"/>
      <c r="D838" s="256"/>
      <c r="E838" s="242"/>
      <c r="F838" s="257"/>
      <c r="G838" s="242"/>
      <c r="H838" s="257"/>
      <c r="I838" s="242"/>
    </row>
    <row r="839" spans="1:9" ht="15" customHeight="1" x14ac:dyDescent="0.15">
      <c r="A839" s="242"/>
      <c r="B839" s="242"/>
      <c r="C839" s="242"/>
      <c r="D839" s="256"/>
      <c r="E839" s="242"/>
      <c r="F839" s="257"/>
      <c r="G839" s="242"/>
      <c r="H839" s="257"/>
      <c r="I839" s="242"/>
    </row>
    <row r="840" spans="1:9" ht="15" customHeight="1" x14ac:dyDescent="0.15">
      <c r="A840" s="242"/>
      <c r="B840" s="242"/>
      <c r="C840" s="242"/>
      <c r="D840" s="256"/>
      <c r="E840" s="242"/>
      <c r="F840" s="257"/>
      <c r="G840" s="242"/>
      <c r="H840" s="257"/>
      <c r="I840" s="242"/>
    </row>
    <row r="841" spans="1:9" ht="15" customHeight="1" x14ac:dyDescent="0.15">
      <c r="A841" s="242"/>
      <c r="B841" s="242"/>
      <c r="C841" s="242"/>
      <c r="D841" s="256"/>
      <c r="E841" s="242"/>
      <c r="F841" s="257"/>
      <c r="G841" s="242"/>
      <c r="H841" s="257"/>
      <c r="I841" s="242"/>
    </row>
    <row r="842" spans="1:9" ht="15" customHeight="1" x14ac:dyDescent="0.15">
      <c r="A842" s="242"/>
      <c r="B842" s="242"/>
      <c r="C842" s="242"/>
      <c r="D842" s="256"/>
      <c r="E842" s="242"/>
      <c r="F842" s="257"/>
      <c r="G842" s="242"/>
      <c r="H842" s="257"/>
      <c r="I842" s="242"/>
    </row>
    <row r="843" spans="1:9" ht="15" customHeight="1" x14ac:dyDescent="0.15">
      <c r="A843" s="242"/>
      <c r="B843" s="242"/>
      <c r="C843" s="242"/>
      <c r="D843" s="256"/>
      <c r="E843" s="242"/>
      <c r="F843" s="257"/>
      <c r="G843" s="242"/>
      <c r="H843" s="257"/>
      <c r="I843" s="242"/>
    </row>
    <row r="844" spans="1:9" ht="15" customHeight="1" x14ac:dyDescent="0.15">
      <c r="A844" s="242"/>
      <c r="B844" s="242"/>
      <c r="C844" s="242"/>
      <c r="D844" s="256"/>
      <c r="E844" s="242"/>
      <c r="F844" s="257"/>
      <c r="G844" s="242"/>
      <c r="H844" s="257"/>
      <c r="I844" s="242"/>
    </row>
    <row r="845" spans="1:9" ht="15" customHeight="1" x14ac:dyDescent="0.15">
      <c r="A845" s="242"/>
      <c r="B845" s="242"/>
      <c r="C845" s="242"/>
      <c r="D845" s="256"/>
      <c r="E845" s="242"/>
      <c r="F845" s="257"/>
      <c r="G845" s="242"/>
      <c r="H845" s="257"/>
      <c r="I845" s="242"/>
    </row>
    <row r="846" spans="1:9" ht="15" customHeight="1" x14ac:dyDescent="0.15">
      <c r="A846" s="242"/>
      <c r="B846" s="242"/>
      <c r="C846" s="242"/>
      <c r="D846" s="256"/>
      <c r="E846" s="242"/>
      <c r="F846" s="257"/>
      <c r="G846" s="242"/>
      <c r="H846" s="257"/>
      <c r="I846" s="242"/>
    </row>
    <row r="847" spans="1:9" ht="15" customHeight="1" x14ac:dyDescent="0.15">
      <c r="A847" s="242"/>
      <c r="B847" s="242"/>
      <c r="C847" s="242"/>
      <c r="D847" s="256"/>
      <c r="E847" s="242"/>
      <c r="F847" s="257"/>
      <c r="G847" s="242"/>
      <c r="H847" s="257"/>
      <c r="I847" s="242"/>
    </row>
    <row r="848" spans="1:9" ht="15" customHeight="1" x14ac:dyDescent="0.15">
      <c r="A848" s="242"/>
      <c r="B848" s="242"/>
      <c r="C848" s="242"/>
      <c r="D848" s="256"/>
      <c r="E848" s="242"/>
      <c r="F848" s="257"/>
      <c r="G848" s="242"/>
      <c r="H848" s="257"/>
      <c r="I848" s="242"/>
    </row>
    <row r="849" spans="1:9" ht="15" customHeight="1" x14ac:dyDescent="0.15">
      <c r="A849" s="242"/>
      <c r="B849" s="242"/>
      <c r="C849" s="242"/>
      <c r="D849" s="256"/>
      <c r="E849" s="242"/>
      <c r="F849" s="257"/>
      <c r="G849" s="242"/>
      <c r="H849" s="257"/>
      <c r="I849" s="242"/>
    </row>
    <row r="850" spans="1:9" ht="15" customHeight="1" x14ac:dyDescent="0.15">
      <c r="A850" s="242"/>
      <c r="B850" s="242"/>
      <c r="C850" s="242"/>
      <c r="D850" s="256"/>
      <c r="E850" s="242"/>
      <c r="F850" s="257"/>
      <c r="G850" s="242"/>
      <c r="H850" s="257"/>
      <c r="I850" s="242"/>
    </row>
    <row r="851" spans="1:9" ht="15" customHeight="1" x14ac:dyDescent="0.15">
      <c r="A851" s="242"/>
      <c r="B851" s="242"/>
      <c r="C851" s="242"/>
      <c r="D851" s="256"/>
      <c r="E851" s="242"/>
      <c r="F851" s="257"/>
      <c r="G851" s="242"/>
      <c r="H851" s="257"/>
      <c r="I851" s="242"/>
    </row>
    <row r="852" spans="1:9" ht="15" customHeight="1" x14ac:dyDescent="0.15">
      <c r="A852" s="242"/>
      <c r="B852" s="242"/>
      <c r="C852" s="242"/>
      <c r="D852" s="256"/>
      <c r="E852" s="242"/>
      <c r="F852" s="257"/>
      <c r="G852" s="242"/>
      <c r="H852" s="257"/>
      <c r="I852" s="242"/>
    </row>
    <row r="853" spans="1:9" ht="15" customHeight="1" x14ac:dyDescent="0.15">
      <c r="A853" s="242"/>
      <c r="B853" s="242"/>
      <c r="C853" s="242"/>
      <c r="D853" s="256"/>
      <c r="E853" s="242"/>
      <c r="F853" s="257"/>
      <c r="G853" s="242"/>
      <c r="H853" s="257"/>
      <c r="I853" s="242"/>
    </row>
    <row r="854" spans="1:9" ht="15" customHeight="1" x14ac:dyDescent="0.15">
      <c r="A854" s="242"/>
      <c r="B854" s="242"/>
      <c r="C854" s="242"/>
      <c r="D854" s="256"/>
      <c r="E854" s="242"/>
      <c r="F854" s="257"/>
      <c r="G854" s="242"/>
      <c r="H854" s="257"/>
      <c r="I854" s="242"/>
    </row>
    <row r="855" spans="1:9" ht="15" customHeight="1" x14ac:dyDescent="0.15">
      <c r="A855" s="242"/>
      <c r="B855" s="242"/>
      <c r="C855" s="242"/>
      <c r="D855" s="256"/>
      <c r="E855" s="242"/>
      <c r="F855" s="257"/>
      <c r="G855" s="242"/>
      <c r="H855" s="257"/>
      <c r="I855" s="242"/>
    </row>
    <row r="856" spans="1:9" ht="15" customHeight="1" x14ac:dyDescent="0.15">
      <c r="A856" s="242"/>
      <c r="B856" s="242"/>
      <c r="C856" s="242"/>
      <c r="D856" s="256"/>
      <c r="E856" s="242"/>
      <c r="F856" s="257"/>
      <c r="G856" s="242"/>
      <c r="H856" s="257"/>
      <c r="I856" s="242"/>
    </row>
    <row r="857" spans="1:9" ht="15" customHeight="1" x14ac:dyDescent="0.15">
      <c r="A857" s="242"/>
      <c r="B857" s="242"/>
      <c r="C857" s="242"/>
      <c r="D857" s="256"/>
      <c r="E857" s="242"/>
      <c r="F857" s="257"/>
      <c r="G857" s="242"/>
      <c r="H857" s="257"/>
      <c r="I857" s="242"/>
    </row>
    <row r="858" spans="1:9" ht="15" customHeight="1" x14ac:dyDescent="0.15">
      <c r="A858" s="242"/>
      <c r="B858" s="242"/>
      <c r="C858" s="242"/>
      <c r="D858" s="256"/>
      <c r="E858" s="242"/>
      <c r="F858" s="257"/>
      <c r="G858" s="242"/>
      <c r="H858" s="257"/>
      <c r="I858" s="242"/>
    </row>
    <row r="859" spans="1:9" ht="15" customHeight="1" x14ac:dyDescent="0.15">
      <c r="A859" s="242"/>
      <c r="B859" s="242"/>
      <c r="C859" s="242"/>
      <c r="D859" s="256"/>
      <c r="E859" s="242"/>
      <c r="F859" s="257"/>
      <c r="G859" s="242"/>
      <c r="H859" s="257"/>
      <c r="I859" s="242"/>
    </row>
    <row r="860" spans="1:9" ht="15" customHeight="1" x14ac:dyDescent="0.15">
      <c r="A860" s="242"/>
      <c r="B860" s="242"/>
      <c r="C860" s="242"/>
      <c r="D860" s="256"/>
      <c r="E860" s="242"/>
      <c r="F860" s="257"/>
      <c r="G860" s="242"/>
      <c r="H860" s="257"/>
      <c r="I860" s="242"/>
    </row>
    <row r="861" spans="1:9" ht="15" customHeight="1" x14ac:dyDescent="0.15">
      <c r="A861" s="242"/>
      <c r="B861" s="242"/>
      <c r="C861" s="242"/>
      <c r="D861" s="256"/>
      <c r="E861" s="242"/>
      <c r="F861" s="257"/>
      <c r="G861" s="242"/>
      <c r="H861" s="257"/>
      <c r="I861" s="242"/>
    </row>
    <row r="862" spans="1:9" ht="15" customHeight="1" x14ac:dyDescent="0.15">
      <c r="A862" s="242"/>
      <c r="B862" s="242"/>
      <c r="C862" s="242"/>
      <c r="D862" s="256"/>
      <c r="E862" s="242"/>
      <c r="F862" s="257"/>
      <c r="G862" s="242"/>
      <c r="H862" s="257"/>
      <c r="I862" s="242"/>
    </row>
    <row r="863" spans="1:9" ht="15" customHeight="1" x14ac:dyDescent="0.15">
      <c r="A863" s="242"/>
      <c r="B863" s="242"/>
      <c r="C863" s="242"/>
      <c r="D863" s="256"/>
      <c r="E863" s="242"/>
      <c r="F863" s="257"/>
      <c r="G863" s="242"/>
      <c r="H863" s="257"/>
      <c r="I863" s="242"/>
    </row>
    <row r="864" spans="1:9" ht="15" customHeight="1" x14ac:dyDescent="0.15">
      <c r="A864" s="242"/>
      <c r="B864" s="242"/>
      <c r="C864" s="242"/>
      <c r="D864" s="256"/>
      <c r="E864" s="242"/>
      <c r="F864" s="257"/>
      <c r="G864" s="242"/>
      <c r="H864" s="257"/>
      <c r="I864" s="242"/>
    </row>
    <row r="865" spans="1:9" ht="15" customHeight="1" x14ac:dyDescent="0.15">
      <c r="A865" s="242"/>
      <c r="B865" s="242"/>
      <c r="C865" s="242"/>
      <c r="D865" s="256"/>
      <c r="E865" s="242"/>
      <c r="F865" s="257"/>
      <c r="G865" s="242"/>
      <c r="H865" s="257"/>
      <c r="I865" s="242"/>
    </row>
    <row r="866" spans="1:9" ht="15" customHeight="1" x14ac:dyDescent="0.15">
      <c r="A866" s="242"/>
      <c r="B866" s="242"/>
      <c r="C866" s="242"/>
      <c r="D866" s="256"/>
      <c r="E866" s="242"/>
      <c r="F866" s="257"/>
      <c r="G866" s="242"/>
      <c r="H866" s="257"/>
      <c r="I866" s="242"/>
    </row>
    <row r="867" spans="1:9" ht="15" customHeight="1" x14ac:dyDescent="0.15">
      <c r="A867" s="242"/>
      <c r="B867" s="242"/>
      <c r="C867" s="242"/>
      <c r="D867" s="256"/>
      <c r="E867" s="242"/>
      <c r="F867" s="257"/>
      <c r="G867" s="242"/>
      <c r="H867" s="257"/>
      <c r="I867" s="242"/>
    </row>
    <row r="868" spans="1:9" ht="15" customHeight="1" x14ac:dyDescent="0.15">
      <c r="A868" s="242"/>
      <c r="B868" s="242"/>
      <c r="C868" s="242"/>
      <c r="D868" s="256"/>
      <c r="E868" s="242"/>
      <c r="F868" s="257"/>
      <c r="G868" s="242"/>
      <c r="H868" s="257"/>
      <c r="I868" s="242"/>
    </row>
    <row r="869" spans="1:9" ht="15" customHeight="1" x14ac:dyDescent="0.15">
      <c r="A869" s="242"/>
      <c r="B869" s="242"/>
      <c r="C869" s="242"/>
      <c r="D869" s="256"/>
      <c r="E869" s="242"/>
      <c r="F869" s="257"/>
      <c r="G869" s="242"/>
      <c r="H869" s="257"/>
      <c r="I869" s="242"/>
    </row>
    <row r="870" spans="1:9" ht="15" customHeight="1" x14ac:dyDescent="0.15">
      <c r="A870" s="242"/>
      <c r="B870" s="242"/>
      <c r="C870" s="242"/>
      <c r="D870" s="256"/>
      <c r="E870" s="242"/>
      <c r="F870" s="257"/>
      <c r="G870" s="242"/>
      <c r="H870" s="257"/>
      <c r="I870" s="242"/>
    </row>
    <row r="871" spans="1:9" ht="15" customHeight="1" x14ac:dyDescent="0.15">
      <c r="A871" s="242"/>
      <c r="B871" s="242"/>
      <c r="C871" s="242"/>
      <c r="D871" s="256"/>
      <c r="E871" s="242"/>
      <c r="F871" s="257"/>
      <c r="G871" s="242"/>
      <c r="H871" s="257"/>
      <c r="I871" s="242"/>
    </row>
    <row r="872" spans="1:9" ht="15" customHeight="1" x14ac:dyDescent="0.15">
      <c r="A872" s="242"/>
      <c r="B872" s="242"/>
      <c r="C872" s="242"/>
      <c r="D872" s="256"/>
      <c r="E872" s="242"/>
      <c r="F872" s="257"/>
      <c r="G872" s="242"/>
      <c r="H872" s="257"/>
      <c r="I872" s="242"/>
    </row>
    <row r="873" spans="1:9" ht="15" customHeight="1" x14ac:dyDescent="0.15">
      <c r="A873" s="242"/>
      <c r="B873" s="242"/>
      <c r="C873" s="242"/>
      <c r="D873" s="256"/>
      <c r="E873" s="242"/>
      <c r="F873" s="257"/>
      <c r="G873" s="242"/>
      <c r="H873" s="257"/>
      <c r="I873" s="242"/>
    </row>
    <row r="874" spans="1:9" ht="15" customHeight="1" x14ac:dyDescent="0.15">
      <c r="A874" s="242"/>
      <c r="B874" s="242"/>
      <c r="C874" s="242"/>
      <c r="D874" s="256"/>
      <c r="E874" s="242"/>
      <c r="F874" s="257"/>
      <c r="G874" s="242"/>
      <c r="H874" s="257"/>
      <c r="I874" s="242"/>
    </row>
    <row r="875" spans="1:9" ht="15" customHeight="1" x14ac:dyDescent="0.15">
      <c r="A875" s="242"/>
      <c r="B875" s="242"/>
      <c r="C875" s="242"/>
      <c r="D875" s="256"/>
      <c r="E875" s="242"/>
      <c r="F875" s="257"/>
      <c r="G875" s="242"/>
      <c r="H875" s="257"/>
      <c r="I875" s="242"/>
    </row>
    <row r="876" spans="1:9" ht="15" customHeight="1" x14ac:dyDescent="0.15">
      <c r="A876" s="242"/>
      <c r="B876" s="242"/>
      <c r="C876" s="242"/>
      <c r="D876" s="256"/>
      <c r="E876" s="242"/>
      <c r="F876" s="257"/>
      <c r="G876" s="242"/>
      <c r="H876" s="257"/>
      <c r="I876" s="242"/>
    </row>
    <row r="877" spans="1:9" ht="15" customHeight="1" x14ac:dyDescent="0.15">
      <c r="A877" s="242"/>
      <c r="B877" s="242"/>
      <c r="C877" s="242"/>
      <c r="D877" s="256"/>
      <c r="E877" s="242"/>
      <c r="F877" s="257"/>
      <c r="G877" s="242"/>
      <c r="H877" s="257"/>
      <c r="I877" s="242"/>
    </row>
    <row r="878" spans="1:9" ht="15" customHeight="1" x14ac:dyDescent="0.15">
      <c r="A878" s="242"/>
      <c r="B878" s="242"/>
      <c r="C878" s="242"/>
      <c r="D878" s="256"/>
      <c r="E878" s="242"/>
      <c r="F878" s="257"/>
      <c r="G878" s="242"/>
      <c r="H878" s="257"/>
      <c r="I878" s="242"/>
    </row>
    <row r="879" spans="1:9" ht="15" customHeight="1" x14ac:dyDescent="0.15">
      <c r="A879" s="242"/>
      <c r="B879" s="242"/>
      <c r="C879" s="242"/>
      <c r="D879" s="256"/>
      <c r="E879" s="242"/>
      <c r="F879" s="257"/>
      <c r="G879" s="242"/>
      <c r="H879" s="257"/>
      <c r="I879" s="242"/>
    </row>
    <row r="880" spans="1:9" ht="15" customHeight="1" x14ac:dyDescent="0.15">
      <c r="A880" s="242"/>
      <c r="B880" s="242"/>
      <c r="C880" s="242"/>
      <c r="D880" s="256"/>
      <c r="E880" s="242"/>
      <c r="F880" s="257"/>
      <c r="G880" s="242"/>
      <c r="H880" s="257"/>
      <c r="I880" s="242"/>
    </row>
    <row r="881" spans="1:9" ht="15" customHeight="1" x14ac:dyDescent="0.15">
      <c r="A881" s="242"/>
      <c r="B881" s="242"/>
      <c r="C881" s="242"/>
      <c r="D881" s="256"/>
      <c r="E881" s="242"/>
      <c r="F881" s="257"/>
      <c r="G881" s="242"/>
      <c r="H881" s="257"/>
      <c r="I881" s="242"/>
    </row>
    <row r="882" spans="1:9" ht="15" customHeight="1" x14ac:dyDescent="0.15">
      <c r="A882" s="242"/>
      <c r="B882" s="242"/>
      <c r="C882" s="242"/>
      <c r="D882" s="256"/>
      <c r="E882" s="242"/>
      <c r="F882" s="257"/>
      <c r="G882" s="242"/>
      <c r="H882" s="257"/>
      <c r="I882" s="242"/>
    </row>
    <row r="883" spans="1:9" ht="15" customHeight="1" x14ac:dyDescent="0.15">
      <c r="A883" s="242"/>
      <c r="B883" s="242"/>
      <c r="C883" s="242"/>
      <c r="D883" s="256"/>
      <c r="E883" s="242"/>
      <c r="F883" s="257"/>
      <c r="G883" s="242"/>
      <c r="H883" s="257"/>
      <c r="I883" s="242"/>
    </row>
    <row r="884" spans="1:9" ht="15" customHeight="1" x14ac:dyDescent="0.15">
      <c r="A884" s="242"/>
      <c r="B884" s="242"/>
      <c r="C884" s="242"/>
      <c r="D884" s="256"/>
      <c r="E884" s="242"/>
      <c r="F884" s="257"/>
      <c r="G884" s="242"/>
      <c r="H884" s="257"/>
      <c r="I884" s="242"/>
    </row>
    <row r="885" spans="1:9" ht="15" customHeight="1" x14ac:dyDescent="0.15">
      <c r="A885" s="242"/>
      <c r="B885" s="242"/>
      <c r="C885" s="242"/>
      <c r="D885" s="256"/>
      <c r="E885" s="242"/>
      <c r="F885" s="257"/>
      <c r="G885" s="242"/>
      <c r="H885" s="257"/>
      <c r="I885" s="242"/>
    </row>
    <row r="886" spans="1:9" ht="15" customHeight="1" x14ac:dyDescent="0.15">
      <c r="A886" s="242"/>
      <c r="B886" s="242"/>
      <c r="C886" s="242"/>
      <c r="D886" s="256"/>
      <c r="E886" s="242"/>
      <c r="F886" s="257"/>
      <c r="G886" s="242"/>
      <c r="H886" s="257"/>
      <c r="I886" s="242"/>
    </row>
    <row r="887" spans="1:9" ht="15" customHeight="1" x14ac:dyDescent="0.15">
      <c r="A887" s="242"/>
      <c r="B887" s="242"/>
      <c r="C887" s="242"/>
      <c r="D887" s="256"/>
      <c r="E887" s="242"/>
      <c r="F887" s="257"/>
      <c r="G887" s="242"/>
      <c r="H887" s="257"/>
      <c r="I887" s="242"/>
    </row>
    <row r="888" spans="1:9" ht="15" customHeight="1" x14ac:dyDescent="0.15">
      <c r="A888" s="242"/>
      <c r="B888" s="242"/>
      <c r="C888" s="242"/>
      <c r="D888" s="256"/>
      <c r="E888" s="242"/>
      <c r="F888" s="257"/>
      <c r="G888" s="242"/>
      <c r="H888" s="257"/>
      <c r="I888" s="242"/>
    </row>
    <row r="889" spans="1:9" ht="15" customHeight="1" x14ac:dyDescent="0.15">
      <c r="A889" s="242"/>
      <c r="B889" s="242"/>
      <c r="C889" s="242"/>
      <c r="D889" s="256"/>
      <c r="E889" s="242"/>
      <c r="F889" s="257"/>
      <c r="G889" s="242"/>
      <c r="H889" s="257"/>
      <c r="I889" s="242"/>
    </row>
    <row r="890" spans="1:9" ht="15" customHeight="1" x14ac:dyDescent="0.15">
      <c r="A890" s="242"/>
      <c r="B890" s="242"/>
      <c r="C890" s="242"/>
      <c r="D890" s="256"/>
      <c r="E890" s="242"/>
      <c r="F890" s="257"/>
      <c r="G890" s="242"/>
      <c r="H890" s="257"/>
      <c r="I890" s="242"/>
    </row>
    <row r="891" spans="1:9" ht="15" customHeight="1" x14ac:dyDescent="0.15">
      <c r="A891" s="242"/>
      <c r="B891" s="242"/>
      <c r="C891" s="242"/>
      <c r="D891" s="256"/>
      <c r="E891" s="242"/>
      <c r="F891" s="257"/>
      <c r="G891" s="242"/>
      <c r="H891" s="257"/>
      <c r="I891" s="242"/>
    </row>
    <row r="892" spans="1:9" ht="15" customHeight="1" x14ac:dyDescent="0.15">
      <c r="A892" s="242"/>
      <c r="B892" s="242"/>
      <c r="C892" s="242"/>
      <c r="D892" s="256"/>
      <c r="E892" s="242"/>
      <c r="F892" s="257"/>
      <c r="G892" s="242"/>
      <c r="H892" s="257"/>
      <c r="I892" s="242"/>
    </row>
    <row r="893" spans="1:9" ht="15" customHeight="1" x14ac:dyDescent="0.15">
      <c r="A893" s="242"/>
      <c r="B893" s="242"/>
      <c r="C893" s="242"/>
      <c r="D893" s="256"/>
      <c r="E893" s="242"/>
      <c r="F893" s="257"/>
      <c r="G893" s="242"/>
      <c r="H893" s="257"/>
      <c r="I893" s="242"/>
    </row>
    <row r="894" spans="1:9" ht="15" customHeight="1" x14ac:dyDescent="0.15">
      <c r="A894" s="242"/>
      <c r="B894" s="242"/>
      <c r="C894" s="242"/>
      <c r="D894" s="256"/>
      <c r="E894" s="242"/>
      <c r="F894" s="257"/>
      <c r="G894" s="242"/>
      <c r="H894" s="257"/>
      <c r="I894" s="242"/>
    </row>
    <row r="895" spans="1:9" ht="15" customHeight="1" x14ac:dyDescent="0.15">
      <c r="A895" s="242"/>
      <c r="B895" s="242"/>
      <c r="C895" s="242"/>
      <c r="D895" s="256"/>
      <c r="E895" s="242"/>
      <c r="F895" s="257"/>
      <c r="G895" s="242"/>
      <c r="H895" s="257"/>
      <c r="I895" s="242"/>
    </row>
    <row r="896" spans="1:9" ht="15" customHeight="1" x14ac:dyDescent="0.15">
      <c r="A896" s="242"/>
      <c r="B896" s="242"/>
      <c r="C896" s="242"/>
      <c r="D896" s="256"/>
      <c r="E896" s="242"/>
      <c r="F896" s="257"/>
      <c r="G896" s="242"/>
      <c r="H896" s="257"/>
      <c r="I896" s="242"/>
    </row>
    <row r="897" spans="1:9" ht="15" customHeight="1" x14ac:dyDescent="0.15">
      <c r="A897" s="242"/>
      <c r="B897" s="242"/>
      <c r="C897" s="242"/>
      <c r="D897" s="256"/>
      <c r="E897" s="242"/>
      <c r="F897" s="257"/>
      <c r="G897" s="242"/>
      <c r="H897" s="257"/>
      <c r="I897" s="242"/>
    </row>
    <row r="898" spans="1:9" ht="15" customHeight="1" x14ac:dyDescent="0.15">
      <c r="A898" s="242"/>
      <c r="B898" s="242"/>
      <c r="C898" s="242"/>
      <c r="D898" s="256"/>
      <c r="E898" s="242"/>
      <c r="F898" s="257"/>
      <c r="G898" s="242"/>
      <c r="H898" s="257"/>
      <c r="I898" s="242"/>
    </row>
    <row r="899" spans="1:9" ht="15" customHeight="1" x14ac:dyDescent="0.15">
      <c r="A899" s="242"/>
      <c r="B899" s="242"/>
      <c r="C899" s="242"/>
      <c r="D899" s="256"/>
      <c r="E899" s="242"/>
      <c r="F899" s="257"/>
      <c r="G899" s="242"/>
      <c r="H899" s="257"/>
      <c r="I899" s="242"/>
    </row>
    <row r="900" spans="1:9" ht="15" customHeight="1" x14ac:dyDescent="0.15">
      <c r="A900" s="242"/>
      <c r="B900" s="242"/>
      <c r="C900" s="242"/>
      <c r="D900" s="256"/>
      <c r="E900" s="242"/>
      <c r="F900" s="257"/>
      <c r="G900" s="242"/>
      <c r="H900" s="257"/>
      <c r="I900" s="242"/>
    </row>
    <row r="901" spans="1:9" ht="15" customHeight="1" x14ac:dyDescent="0.15">
      <c r="A901" s="242"/>
      <c r="B901" s="242"/>
      <c r="C901" s="242"/>
      <c r="D901" s="256"/>
      <c r="E901" s="242"/>
      <c r="F901" s="257"/>
      <c r="G901" s="242"/>
      <c r="H901" s="257"/>
      <c r="I901" s="242"/>
    </row>
    <row r="902" spans="1:9" ht="15" customHeight="1" x14ac:dyDescent="0.15">
      <c r="A902" s="242"/>
      <c r="B902" s="242"/>
      <c r="C902" s="242"/>
      <c r="D902" s="256"/>
      <c r="E902" s="242"/>
      <c r="F902" s="257"/>
      <c r="G902" s="242"/>
      <c r="H902" s="257"/>
      <c r="I902" s="242"/>
    </row>
    <row r="903" spans="1:9" ht="15" customHeight="1" x14ac:dyDescent="0.15">
      <c r="A903" s="242"/>
      <c r="B903" s="242"/>
      <c r="C903" s="242"/>
      <c r="D903" s="256"/>
      <c r="E903" s="242"/>
      <c r="F903" s="257"/>
      <c r="G903" s="242"/>
      <c r="H903" s="257"/>
      <c r="I903" s="242"/>
    </row>
    <row r="904" spans="1:9" ht="15" customHeight="1" x14ac:dyDescent="0.15">
      <c r="A904" s="242"/>
      <c r="B904" s="242"/>
      <c r="C904" s="242"/>
      <c r="D904" s="256"/>
      <c r="E904" s="242"/>
      <c r="F904" s="257"/>
      <c r="G904" s="242"/>
      <c r="H904" s="257"/>
      <c r="I904" s="242"/>
    </row>
    <row r="905" spans="1:9" ht="15" customHeight="1" x14ac:dyDescent="0.15">
      <c r="A905" s="242"/>
      <c r="B905" s="242"/>
      <c r="C905" s="242"/>
      <c r="D905" s="256"/>
      <c r="E905" s="242"/>
      <c r="F905" s="257"/>
      <c r="G905" s="242"/>
      <c r="H905" s="257"/>
      <c r="I905" s="242"/>
    </row>
    <row r="906" spans="1:9" ht="15" customHeight="1" x14ac:dyDescent="0.15">
      <c r="A906" s="242"/>
      <c r="B906" s="242"/>
      <c r="C906" s="242"/>
      <c r="D906" s="256"/>
      <c r="E906" s="242"/>
      <c r="F906" s="257"/>
      <c r="G906" s="242"/>
      <c r="H906" s="257"/>
      <c r="I906" s="242"/>
    </row>
    <row r="907" spans="1:9" ht="15" customHeight="1" x14ac:dyDescent="0.15">
      <c r="A907" s="242"/>
      <c r="B907" s="242"/>
      <c r="C907" s="242"/>
      <c r="D907" s="256"/>
      <c r="E907" s="242"/>
      <c r="F907" s="257"/>
      <c r="G907" s="242"/>
      <c r="H907" s="257"/>
      <c r="I907" s="242"/>
    </row>
    <row r="908" spans="1:9" ht="15" customHeight="1" x14ac:dyDescent="0.15">
      <c r="A908" s="242"/>
      <c r="B908" s="242"/>
      <c r="C908" s="242"/>
      <c r="D908" s="256"/>
      <c r="E908" s="242"/>
      <c r="F908" s="257"/>
      <c r="G908" s="242"/>
      <c r="H908" s="257"/>
      <c r="I908" s="242"/>
    </row>
    <row r="909" spans="1:9" ht="15" customHeight="1" x14ac:dyDescent="0.15">
      <c r="A909" s="242"/>
      <c r="B909" s="242"/>
      <c r="C909" s="242"/>
      <c r="D909" s="256"/>
      <c r="E909" s="242"/>
      <c r="F909" s="257"/>
      <c r="G909" s="242"/>
      <c r="H909" s="257"/>
      <c r="I909" s="242"/>
    </row>
    <row r="910" spans="1:9" ht="15" customHeight="1" x14ac:dyDescent="0.15">
      <c r="A910" s="242"/>
      <c r="B910" s="242"/>
      <c r="C910" s="242"/>
      <c r="D910" s="256"/>
      <c r="E910" s="242"/>
      <c r="F910" s="257"/>
      <c r="G910" s="242"/>
      <c r="H910" s="257"/>
      <c r="I910" s="242"/>
    </row>
    <row r="911" spans="1:9" ht="15" customHeight="1" x14ac:dyDescent="0.15">
      <c r="A911" s="242"/>
      <c r="B911" s="242"/>
      <c r="C911" s="242"/>
      <c r="D911" s="256"/>
      <c r="E911" s="242"/>
      <c r="F911" s="257"/>
      <c r="G911" s="242"/>
      <c r="H911" s="257"/>
      <c r="I911" s="242"/>
    </row>
    <row r="912" spans="1:9" ht="15" customHeight="1" x14ac:dyDescent="0.15">
      <c r="A912" s="242"/>
      <c r="B912" s="242"/>
      <c r="C912" s="242"/>
      <c r="D912" s="256"/>
      <c r="E912" s="242"/>
      <c r="F912" s="257"/>
      <c r="G912" s="242"/>
      <c r="H912" s="257"/>
      <c r="I912" s="242"/>
    </row>
    <row r="913" spans="1:9" ht="15" customHeight="1" x14ac:dyDescent="0.15">
      <c r="A913" s="242"/>
      <c r="B913" s="242"/>
      <c r="C913" s="242"/>
      <c r="D913" s="256"/>
      <c r="E913" s="242"/>
      <c r="F913" s="257"/>
      <c r="G913" s="242"/>
      <c r="H913" s="257"/>
      <c r="I913" s="242"/>
    </row>
    <row r="914" spans="1:9" ht="15" customHeight="1" x14ac:dyDescent="0.15">
      <c r="A914" s="242"/>
      <c r="B914" s="242"/>
      <c r="C914" s="242"/>
      <c r="D914" s="256"/>
      <c r="E914" s="242"/>
      <c r="F914" s="257"/>
      <c r="G914" s="242"/>
      <c r="H914" s="257"/>
      <c r="I914" s="242"/>
    </row>
    <row r="915" spans="1:9" ht="15" customHeight="1" x14ac:dyDescent="0.15">
      <c r="A915" s="242"/>
      <c r="B915" s="242"/>
      <c r="C915" s="242"/>
      <c r="D915" s="256"/>
      <c r="E915" s="242"/>
      <c r="F915" s="257"/>
      <c r="G915" s="242"/>
      <c r="H915" s="257"/>
      <c r="I915" s="242"/>
    </row>
    <row r="916" spans="1:9" ht="15" customHeight="1" x14ac:dyDescent="0.15">
      <c r="A916" s="242"/>
      <c r="B916" s="242"/>
      <c r="C916" s="242"/>
      <c r="D916" s="256"/>
      <c r="E916" s="242"/>
      <c r="F916" s="257"/>
      <c r="G916" s="242"/>
      <c r="H916" s="257"/>
      <c r="I916" s="242"/>
    </row>
    <row r="917" spans="1:9" ht="15" customHeight="1" x14ac:dyDescent="0.15">
      <c r="A917" s="242"/>
      <c r="B917" s="242"/>
      <c r="C917" s="242"/>
      <c r="D917" s="256"/>
      <c r="E917" s="242"/>
      <c r="F917" s="257"/>
      <c r="G917" s="242"/>
      <c r="H917" s="257"/>
      <c r="I917" s="242"/>
    </row>
    <row r="918" spans="1:9" ht="15" customHeight="1" x14ac:dyDescent="0.15">
      <c r="A918" s="242"/>
      <c r="B918" s="242"/>
      <c r="C918" s="242"/>
      <c r="D918" s="256"/>
      <c r="E918" s="242"/>
      <c r="F918" s="257"/>
      <c r="G918" s="242"/>
      <c r="H918" s="257"/>
      <c r="I918" s="242"/>
    </row>
    <row r="919" spans="1:9" ht="15" customHeight="1" x14ac:dyDescent="0.15">
      <c r="A919" s="242"/>
      <c r="B919" s="242"/>
      <c r="C919" s="242"/>
      <c r="D919" s="256"/>
      <c r="E919" s="242"/>
      <c r="F919" s="257"/>
      <c r="G919" s="242"/>
      <c r="H919" s="257"/>
      <c r="I919" s="242"/>
    </row>
    <row r="920" spans="1:9" ht="15" customHeight="1" x14ac:dyDescent="0.15">
      <c r="A920" s="242"/>
      <c r="B920" s="242"/>
      <c r="C920" s="242"/>
      <c r="D920" s="256"/>
      <c r="E920" s="242"/>
      <c r="F920" s="257"/>
      <c r="G920" s="242"/>
      <c r="H920" s="257"/>
      <c r="I920" s="242"/>
    </row>
    <row r="921" spans="1:9" ht="15" customHeight="1" x14ac:dyDescent="0.15">
      <c r="A921" s="242"/>
      <c r="B921" s="242"/>
      <c r="C921" s="242"/>
      <c r="D921" s="256"/>
      <c r="E921" s="242"/>
      <c r="F921" s="257"/>
      <c r="G921" s="242"/>
      <c r="H921" s="257"/>
      <c r="I921" s="242"/>
    </row>
    <row r="922" spans="1:9" ht="15" customHeight="1" x14ac:dyDescent="0.15">
      <c r="A922" s="242"/>
      <c r="B922" s="242"/>
      <c r="C922" s="242"/>
      <c r="D922" s="256"/>
      <c r="E922" s="242"/>
      <c r="F922" s="257"/>
      <c r="G922" s="242"/>
      <c r="H922" s="257"/>
      <c r="I922" s="242"/>
    </row>
    <row r="923" spans="1:9" ht="15" customHeight="1" x14ac:dyDescent="0.15">
      <c r="A923" s="242"/>
      <c r="B923" s="242"/>
      <c r="C923" s="242"/>
      <c r="D923" s="256"/>
      <c r="E923" s="242"/>
      <c r="F923" s="257"/>
      <c r="G923" s="242"/>
      <c r="H923" s="257"/>
      <c r="I923" s="242"/>
    </row>
    <row r="924" spans="1:9" ht="15" customHeight="1" x14ac:dyDescent="0.15">
      <c r="A924" s="242"/>
      <c r="B924" s="242"/>
      <c r="C924" s="242"/>
      <c r="D924" s="256"/>
      <c r="E924" s="242"/>
      <c r="F924" s="257"/>
      <c r="G924" s="242"/>
      <c r="H924" s="257"/>
      <c r="I924" s="242"/>
    </row>
    <row r="925" spans="1:9" ht="15" customHeight="1" x14ac:dyDescent="0.15">
      <c r="A925" s="242"/>
      <c r="B925" s="242"/>
      <c r="C925" s="242"/>
      <c r="D925" s="256"/>
      <c r="E925" s="242"/>
      <c r="F925" s="257"/>
      <c r="G925" s="242"/>
      <c r="H925" s="257"/>
      <c r="I925" s="242"/>
    </row>
    <row r="926" spans="1:9" ht="15" customHeight="1" x14ac:dyDescent="0.15">
      <c r="A926" s="242"/>
      <c r="B926" s="242"/>
      <c r="C926" s="242"/>
      <c r="D926" s="256"/>
      <c r="E926" s="242"/>
      <c r="F926" s="257"/>
      <c r="G926" s="242"/>
      <c r="H926" s="257"/>
      <c r="I926" s="242"/>
    </row>
    <row r="927" spans="1:9" ht="15" customHeight="1" x14ac:dyDescent="0.15">
      <c r="A927" s="242"/>
      <c r="B927" s="242"/>
      <c r="C927" s="242"/>
      <c r="D927" s="256"/>
      <c r="E927" s="242"/>
      <c r="F927" s="257"/>
      <c r="G927" s="242"/>
      <c r="H927" s="257"/>
      <c r="I927" s="242"/>
    </row>
    <row r="928" spans="1:9" ht="15" customHeight="1" x14ac:dyDescent="0.15">
      <c r="A928" s="242"/>
      <c r="B928" s="242"/>
      <c r="C928" s="242"/>
      <c r="D928" s="256"/>
      <c r="E928" s="242"/>
      <c r="F928" s="257"/>
      <c r="G928" s="242"/>
      <c r="H928" s="257"/>
      <c r="I928" s="242"/>
    </row>
    <row r="929" spans="1:9" ht="15" customHeight="1" x14ac:dyDescent="0.15">
      <c r="A929" s="242"/>
      <c r="B929" s="242"/>
      <c r="C929" s="242"/>
      <c r="D929" s="256"/>
      <c r="E929" s="242"/>
      <c r="F929" s="257"/>
      <c r="G929" s="242"/>
      <c r="H929" s="257"/>
      <c r="I929" s="242"/>
    </row>
    <row r="930" spans="1:9" ht="15" customHeight="1" x14ac:dyDescent="0.15">
      <c r="A930" s="242"/>
      <c r="B930" s="242"/>
      <c r="C930" s="242"/>
      <c r="D930" s="256"/>
      <c r="E930" s="242"/>
      <c r="F930" s="257"/>
      <c r="G930" s="242"/>
      <c r="H930" s="257"/>
      <c r="I930" s="242"/>
    </row>
    <row r="931" spans="1:9" ht="15" customHeight="1" x14ac:dyDescent="0.15">
      <c r="A931" s="242"/>
      <c r="B931" s="242"/>
      <c r="C931" s="242"/>
      <c r="D931" s="256"/>
      <c r="E931" s="242"/>
      <c r="F931" s="257"/>
      <c r="G931" s="242"/>
      <c r="H931" s="257"/>
      <c r="I931" s="242"/>
    </row>
    <row r="932" spans="1:9" ht="15" customHeight="1" x14ac:dyDescent="0.15">
      <c r="A932" s="242"/>
      <c r="B932" s="242"/>
      <c r="C932" s="242"/>
      <c r="D932" s="256"/>
      <c r="E932" s="242"/>
      <c r="F932" s="257"/>
      <c r="G932" s="242"/>
      <c r="H932" s="257"/>
      <c r="I932" s="242"/>
    </row>
    <row r="933" spans="1:9" ht="15" customHeight="1" x14ac:dyDescent="0.15">
      <c r="A933" s="242"/>
      <c r="B933" s="242"/>
      <c r="C933" s="242"/>
      <c r="D933" s="256"/>
      <c r="E933" s="242"/>
      <c r="F933" s="257"/>
      <c r="G933" s="242"/>
      <c r="H933" s="257"/>
      <c r="I933" s="242"/>
    </row>
    <row r="934" spans="1:9" ht="15" customHeight="1" x14ac:dyDescent="0.15">
      <c r="A934" s="242"/>
      <c r="B934" s="242"/>
      <c r="C934" s="242"/>
      <c r="D934" s="256"/>
      <c r="E934" s="242"/>
      <c r="F934" s="257"/>
      <c r="G934" s="242"/>
      <c r="H934" s="257"/>
      <c r="I934" s="242"/>
    </row>
    <row r="935" spans="1:9" ht="15" customHeight="1" x14ac:dyDescent="0.15">
      <c r="A935" s="242"/>
      <c r="B935" s="242"/>
      <c r="C935" s="242"/>
      <c r="D935" s="256"/>
      <c r="E935" s="242"/>
      <c r="F935" s="257"/>
      <c r="G935" s="242"/>
      <c r="H935" s="257"/>
      <c r="I935" s="242"/>
    </row>
    <row r="936" spans="1:9" ht="15" customHeight="1" x14ac:dyDescent="0.15">
      <c r="A936" s="242"/>
      <c r="B936" s="242"/>
      <c r="C936" s="242"/>
      <c r="D936" s="256"/>
      <c r="E936" s="242"/>
      <c r="F936" s="257"/>
      <c r="G936" s="242"/>
      <c r="H936" s="257"/>
      <c r="I936" s="242"/>
    </row>
    <row r="937" spans="1:9" ht="15" customHeight="1" x14ac:dyDescent="0.15">
      <c r="A937" s="242"/>
      <c r="B937" s="242"/>
      <c r="C937" s="242"/>
      <c r="D937" s="256"/>
      <c r="E937" s="242"/>
      <c r="F937" s="257"/>
      <c r="G937" s="242"/>
      <c r="H937" s="257"/>
      <c r="I937" s="242"/>
    </row>
    <row r="938" spans="1:9" ht="15" customHeight="1" x14ac:dyDescent="0.15">
      <c r="A938" s="242"/>
      <c r="B938" s="242"/>
      <c r="C938" s="242"/>
      <c r="D938" s="256"/>
      <c r="E938" s="242"/>
      <c r="F938" s="257"/>
      <c r="G938" s="242"/>
      <c r="H938" s="257"/>
      <c r="I938" s="242"/>
    </row>
    <row r="939" spans="1:9" ht="15" customHeight="1" x14ac:dyDescent="0.15">
      <c r="A939" s="242"/>
      <c r="B939" s="242"/>
      <c r="C939" s="242"/>
      <c r="D939" s="256"/>
      <c r="E939" s="242"/>
      <c r="F939" s="257"/>
      <c r="G939" s="242"/>
      <c r="H939" s="257"/>
      <c r="I939" s="242"/>
    </row>
    <row r="940" spans="1:9" ht="15" customHeight="1" x14ac:dyDescent="0.15">
      <c r="A940" s="242"/>
      <c r="B940" s="242"/>
      <c r="C940" s="242"/>
      <c r="D940" s="256"/>
      <c r="E940" s="242"/>
      <c r="F940" s="257"/>
      <c r="G940" s="242"/>
      <c r="H940" s="257"/>
      <c r="I940" s="242"/>
    </row>
    <row r="941" spans="1:9" ht="15" customHeight="1" x14ac:dyDescent="0.15">
      <c r="A941" s="242"/>
      <c r="B941" s="242"/>
      <c r="C941" s="242"/>
      <c r="D941" s="256"/>
      <c r="E941" s="242"/>
      <c r="F941" s="257"/>
      <c r="G941" s="242"/>
      <c r="H941" s="257"/>
      <c r="I941" s="242"/>
    </row>
    <row r="942" spans="1:9" ht="15" customHeight="1" x14ac:dyDescent="0.15">
      <c r="A942" s="242"/>
      <c r="B942" s="242"/>
      <c r="C942" s="242"/>
      <c r="D942" s="256"/>
      <c r="E942" s="242"/>
      <c r="F942" s="257"/>
      <c r="G942" s="242"/>
      <c r="H942" s="257"/>
      <c r="I942" s="242"/>
    </row>
    <row r="943" spans="1:9" ht="15" customHeight="1" x14ac:dyDescent="0.15">
      <c r="A943" s="242"/>
      <c r="B943" s="242"/>
      <c r="C943" s="242"/>
      <c r="D943" s="256"/>
      <c r="E943" s="242"/>
      <c r="F943" s="257"/>
      <c r="G943" s="242"/>
      <c r="H943" s="257"/>
      <c r="I943" s="242"/>
    </row>
    <row r="944" spans="1:9" ht="15" customHeight="1" x14ac:dyDescent="0.15">
      <c r="A944" s="242"/>
      <c r="B944" s="242"/>
      <c r="C944" s="242"/>
      <c r="D944" s="256"/>
      <c r="E944" s="242"/>
      <c r="F944" s="257"/>
      <c r="G944" s="242"/>
      <c r="H944" s="257"/>
      <c r="I944" s="242"/>
    </row>
    <row r="945" spans="1:9" ht="15" customHeight="1" x14ac:dyDescent="0.15">
      <c r="A945" s="242"/>
      <c r="B945" s="242"/>
      <c r="C945" s="242"/>
      <c r="D945" s="256"/>
      <c r="E945" s="242"/>
      <c r="F945" s="257"/>
      <c r="G945" s="242"/>
      <c r="H945" s="257"/>
      <c r="I945" s="242"/>
    </row>
    <row r="946" spans="1:9" ht="15" customHeight="1" x14ac:dyDescent="0.15">
      <c r="A946" s="242"/>
      <c r="B946" s="242"/>
      <c r="C946" s="242"/>
      <c r="D946" s="256"/>
      <c r="E946" s="242"/>
      <c r="F946" s="257"/>
      <c r="G946" s="242"/>
      <c r="H946" s="257"/>
      <c r="I946" s="242"/>
    </row>
    <row r="947" spans="1:9" ht="15" customHeight="1" x14ac:dyDescent="0.15">
      <c r="A947" s="242"/>
      <c r="B947" s="242"/>
      <c r="C947" s="242"/>
      <c r="D947" s="256"/>
      <c r="E947" s="242"/>
      <c r="F947" s="257"/>
      <c r="G947" s="242"/>
      <c r="H947" s="257"/>
      <c r="I947" s="242"/>
    </row>
    <row r="948" spans="1:9" ht="15" customHeight="1" x14ac:dyDescent="0.15">
      <c r="A948" s="242"/>
      <c r="B948" s="242"/>
      <c r="C948" s="242"/>
      <c r="D948" s="256"/>
      <c r="E948" s="242"/>
      <c r="F948" s="257"/>
      <c r="G948" s="242"/>
      <c r="H948" s="257"/>
      <c r="I948" s="242"/>
    </row>
    <row r="949" spans="1:9" ht="15" customHeight="1" x14ac:dyDescent="0.15">
      <c r="A949" s="242"/>
      <c r="B949" s="242"/>
      <c r="C949" s="242"/>
      <c r="D949" s="256"/>
      <c r="E949" s="242"/>
      <c r="F949" s="257"/>
      <c r="G949" s="242"/>
      <c r="H949" s="257"/>
      <c r="I949" s="242"/>
    </row>
    <row r="950" spans="1:9" ht="15" customHeight="1" x14ac:dyDescent="0.15">
      <c r="A950" s="242"/>
      <c r="B950" s="242"/>
      <c r="C950" s="242"/>
      <c r="D950" s="256"/>
      <c r="E950" s="242"/>
      <c r="F950" s="257"/>
      <c r="G950" s="242"/>
      <c r="H950" s="257"/>
      <c r="I950" s="242"/>
    </row>
    <row r="951" spans="1:9" ht="15" customHeight="1" x14ac:dyDescent="0.15">
      <c r="A951" s="242"/>
      <c r="B951" s="242"/>
      <c r="C951" s="242"/>
      <c r="D951" s="256"/>
      <c r="E951" s="242"/>
      <c r="F951" s="257"/>
      <c r="G951" s="242"/>
      <c r="H951" s="257"/>
      <c r="I951" s="242"/>
    </row>
    <row r="952" spans="1:9" ht="15" customHeight="1" x14ac:dyDescent="0.15">
      <c r="A952" s="242"/>
      <c r="B952" s="242"/>
      <c r="C952" s="242"/>
      <c r="D952" s="256"/>
      <c r="E952" s="242"/>
      <c r="F952" s="257"/>
      <c r="G952" s="242"/>
      <c r="H952" s="257"/>
      <c r="I952" s="242"/>
    </row>
    <row r="953" spans="1:9" ht="15" customHeight="1" x14ac:dyDescent="0.15">
      <c r="A953" s="242"/>
      <c r="B953" s="242"/>
      <c r="C953" s="242"/>
      <c r="D953" s="256"/>
      <c r="E953" s="242"/>
      <c r="F953" s="257"/>
      <c r="G953" s="242"/>
      <c r="H953" s="257"/>
      <c r="I953" s="242"/>
    </row>
    <row r="954" spans="1:9" ht="15" customHeight="1" x14ac:dyDescent="0.15">
      <c r="A954" s="242"/>
      <c r="B954" s="242"/>
      <c r="C954" s="242"/>
      <c r="D954" s="256"/>
      <c r="E954" s="242"/>
      <c r="F954" s="257"/>
      <c r="G954" s="242"/>
      <c r="H954" s="257"/>
      <c r="I954" s="242"/>
    </row>
    <row r="955" spans="1:9" ht="15" customHeight="1" x14ac:dyDescent="0.15">
      <c r="A955" s="242"/>
      <c r="B955" s="242"/>
      <c r="C955" s="242"/>
      <c r="D955" s="256"/>
      <c r="E955" s="242"/>
      <c r="F955" s="257"/>
      <c r="G955" s="242"/>
      <c r="H955" s="257"/>
      <c r="I955" s="242"/>
    </row>
    <row r="956" spans="1:9" ht="15" customHeight="1" x14ac:dyDescent="0.15">
      <c r="A956" s="242"/>
      <c r="B956" s="242"/>
      <c r="C956" s="242"/>
      <c r="D956" s="256"/>
      <c r="E956" s="242"/>
      <c r="F956" s="257"/>
      <c r="G956" s="242"/>
      <c r="H956" s="257"/>
      <c r="I956" s="242"/>
    </row>
    <row r="957" spans="1:9" ht="15" customHeight="1" x14ac:dyDescent="0.15">
      <c r="A957" s="242"/>
      <c r="B957" s="242"/>
      <c r="C957" s="242"/>
      <c r="D957" s="256"/>
      <c r="E957" s="242"/>
      <c r="F957" s="257"/>
      <c r="G957" s="242"/>
      <c r="H957" s="257"/>
      <c r="I957" s="242"/>
    </row>
    <row r="958" spans="1:9" ht="15" customHeight="1" x14ac:dyDescent="0.15">
      <c r="A958" s="242"/>
      <c r="B958" s="242"/>
      <c r="C958" s="242"/>
      <c r="D958" s="256"/>
      <c r="E958" s="242"/>
      <c r="F958" s="257"/>
      <c r="G958" s="242"/>
      <c r="H958" s="257"/>
      <c r="I958" s="242"/>
    </row>
    <row r="959" spans="1:9" ht="15" customHeight="1" x14ac:dyDescent="0.15">
      <c r="A959" s="242"/>
      <c r="B959" s="242"/>
      <c r="C959" s="242"/>
      <c r="D959" s="256"/>
      <c r="E959" s="242"/>
      <c r="F959" s="257"/>
      <c r="G959" s="242"/>
      <c r="H959" s="257"/>
      <c r="I959" s="242"/>
    </row>
    <row r="960" spans="1:9" ht="15" customHeight="1" x14ac:dyDescent="0.15">
      <c r="A960" s="242"/>
      <c r="B960" s="242"/>
      <c r="C960" s="242"/>
      <c r="D960" s="256"/>
      <c r="E960" s="242"/>
      <c r="F960" s="257"/>
      <c r="G960" s="242"/>
      <c r="H960" s="257"/>
      <c r="I960" s="242"/>
    </row>
    <row r="961" spans="1:9" ht="15" customHeight="1" x14ac:dyDescent="0.15">
      <c r="A961" s="242"/>
      <c r="B961" s="242"/>
      <c r="C961" s="242"/>
      <c r="D961" s="256"/>
      <c r="E961" s="242"/>
      <c r="F961" s="257"/>
      <c r="G961" s="242"/>
      <c r="H961" s="257"/>
      <c r="I961" s="242"/>
    </row>
    <row r="962" spans="1:9" ht="15" customHeight="1" x14ac:dyDescent="0.15">
      <c r="A962" s="242"/>
      <c r="B962" s="242"/>
      <c r="C962" s="242"/>
      <c r="D962" s="256"/>
      <c r="E962" s="242"/>
      <c r="F962" s="257"/>
      <c r="G962" s="242"/>
      <c r="H962" s="257"/>
      <c r="I962" s="242"/>
    </row>
    <row r="963" spans="1:9" ht="15" customHeight="1" x14ac:dyDescent="0.15">
      <c r="A963" s="242"/>
      <c r="B963" s="242"/>
      <c r="C963" s="242"/>
      <c r="D963" s="256"/>
      <c r="E963" s="242"/>
      <c r="F963" s="257"/>
      <c r="G963" s="242"/>
      <c r="H963" s="257"/>
      <c r="I963" s="242"/>
    </row>
    <row r="964" spans="1:9" ht="15" customHeight="1" x14ac:dyDescent="0.15">
      <c r="A964" s="242"/>
      <c r="B964" s="242"/>
      <c r="C964" s="242"/>
      <c r="D964" s="256"/>
      <c r="E964" s="242"/>
      <c r="F964" s="257"/>
      <c r="G964" s="242"/>
      <c r="H964" s="257"/>
      <c r="I964" s="242"/>
    </row>
    <row r="965" spans="1:9" ht="15" customHeight="1" x14ac:dyDescent="0.15">
      <c r="A965" s="242"/>
      <c r="B965" s="242"/>
      <c r="C965" s="242"/>
      <c r="D965" s="256"/>
      <c r="E965" s="242"/>
      <c r="F965" s="257"/>
      <c r="G965" s="242"/>
      <c r="H965" s="257"/>
      <c r="I965" s="242"/>
    </row>
    <row r="966" spans="1:9" ht="15" customHeight="1" x14ac:dyDescent="0.15">
      <c r="A966" s="242"/>
      <c r="B966" s="242"/>
      <c r="C966" s="242"/>
      <c r="D966" s="256"/>
      <c r="E966" s="242"/>
      <c r="F966" s="257"/>
      <c r="G966" s="242"/>
      <c r="H966" s="257"/>
      <c r="I966" s="242"/>
    </row>
    <row r="967" spans="1:9" ht="15" customHeight="1" x14ac:dyDescent="0.15">
      <c r="A967" s="242"/>
      <c r="B967" s="242"/>
      <c r="C967" s="242"/>
      <c r="D967" s="256"/>
      <c r="E967" s="242"/>
      <c r="F967" s="257"/>
      <c r="G967" s="242"/>
      <c r="H967" s="257"/>
      <c r="I967" s="242"/>
    </row>
    <row r="968" spans="1:9" ht="15" customHeight="1" x14ac:dyDescent="0.15">
      <c r="A968" s="242"/>
      <c r="B968" s="242"/>
      <c r="C968" s="242"/>
      <c r="D968" s="256"/>
      <c r="E968" s="242"/>
      <c r="F968" s="257"/>
      <c r="G968" s="242"/>
      <c r="H968" s="257"/>
      <c r="I968" s="242"/>
    </row>
    <row r="969" spans="1:9" ht="15" customHeight="1" x14ac:dyDescent="0.15">
      <c r="A969" s="242"/>
      <c r="B969" s="242"/>
      <c r="C969" s="242"/>
      <c r="D969" s="256"/>
      <c r="E969" s="242"/>
      <c r="F969" s="257"/>
      <c r="G969" s="242"/>
      <c r="H969" s="257"/>
      <c r="I969" s="242"/>
    </row>
    <row r="970" spans="1:9" ht="15" customHeight="1" x14ac:dyDescent="0.15">
      <c r="A970" s="242"/>
      <c r="B970" s="242"/>
      <c r="C970" s="242"/>
      <c r="D970" s="256"/>
      <c r="E970" s="242"/>
      <c r="F970" s="257"/>
      <c r="G970" s="242"/>
      <c r="H970" s="257"/>
      <c r="I970" s="242"/>
    </row>
    <row r="971" spans="1:9" ht="15" customHeight="1" x14ac:dyDescent="0.15">
      <c r="A971" s="242"/>
      <c r="B971" s="242"/>
      <c r="C971" s="242"/>
      <c r="D971" s="256"/>
      <c r="E971" s="242"/>
      <c r="F971" s="257"/>
      <c r="G971" s="242"/>
      <c r="H971" s="257"/>
      <c r="I971" s="242"/>
    </row>
    <row r="972" spans="1:9" ht="15" customHeight="1" x14ac:dyDescent="0.15">
      <c r="A972" s="242"/>
      <c r="B972" s="242"/>
      <c r="C972" s="242"/>
      <c r="D972" s="256"/>
      <c r="E972" s="242"/>
      <c r="F972" s="257"/>
      <c r="G972" s="242"/>
      <c r="H972" s="257"/>
      <c r="I972" s="242"/>
    </row>
    <row r="973" spans="1:9" ht="15" customHeight="1" x14ac:dyDescent="0.15">
      <c r="A973" s="242"/>
      <c r="B973" s="242"/>
      <c r="C973" s="242"/>
      <c r="D973" s="256"/>
      <c r="E973" s="242"/>
      <c r="F973" s="257"/>
      <c r="G973" s="242"/>
      <c r="H973" s="257"/>
      <c r="I973" s="242"/>
    </row>
    <row r="974" spans="1:9" ht="15" customHeight="1" x14ac:dyDescent="0.15">
      <c r="A974" s="242"/>
      <c r="B974" s="242"/>
      <c r="C974" s="242"/>
      <c r="D974" s="256"/>
      <c r="E974" s="242"/>
      <c r="F974" s="257"/>
      <c r="G974" s="242"/>
      <c r="H974" s="257"/>
      <c r="I974" s="242"/>
    </row>
    <row r="975" spans="1:9" ht="15" customHeight="1" x14ac:dyDescent="0.15">
      <c r="A975" s="242"/>
      <c r="B975" s="242"/>
      <c r="C975" s="242"/>
      <c r="D975" s="256"/>
      <c r="E975" s="242"/>
      <c r="F975" s="257"/>
      <c r="G975" s="242"/>
      <c r="H975" s="257"/>
      <c r="I975" s="242"/>
    </row>
    <row r="976" spans="1:9" ht="15" customHeight="1" x14ac:dyDescent="0.15">
      <c r="A976" s="242"/>
      <c r="B976" s="242"/>
      <c r="C976" s="242"/>
      <c r="D976" s="256"/>
      <c r="E976" s="242"/>
      <c r="F976" s="257"/>
      <c r="G976" s="242"/>
      <c r="H976" s="257"/>
      <c r="I976" s="242"/>
    </row>
    <row r="977" spans="1:9" ht="15" customHeight="1" x14ac:dyDescent="0.15">
      <c r="A977" s="242"/>
      <c r="B977" s="242"/>
      <c r="C977" s="242"/>
      <c r="D977" s="256"/>
      <c r="E977" s="242"/>
      <c r="F977" s="257"/>
      <c r="G977" s="242"/>
      <c r="H977" s="257"/>
      <c r="I977" s="242"/>
    </row>
    <row r="978" spans="1:9" ht="15" customHeight="1" x14ac:dyDescent="0.15">
      <c r="A978" s="242"/>
      <c r="B978" s="242"/>
      <c r="C978" s="242"/>
      <c r="D978" s="256"/>
      <c r="E978" s="242"/>
      <c r="F978" s="257"/>
      <c r="G978" s="242"/>
      <c r="H978" s="257"/>
      <c r="I978" s="242"/>
    </row>
    <row r="979" spans="1:9" ht="15" customHeight="1" x14ac:dyDescent="0.15">
      <c r="A979" s="242"/>
      <c r="B979" s="242"/>
      <c r="C979" s="242"/>
      <c r="D979" s="256"/>
      <c r="E979" s="242"/>
      <c r="F979" s="257"/>
      <c r="G979" s="242"/>
      <c r="H979" s="257"/>
      <c r="I979" s="242"/>
    </row>
    <row r="980" spans="1:9" ht="15" customHeight="1" x14ac:dyDescent="0.15">
      <c r="A980" s="242"/>
      <c r="B980" s="242"/>
      <c r="C980" s="242"/>
      <c r="D980" s="256"/>
      <c r="E980" s="242"/>
      <c r="F980" s="257"/>
      <c r="G980" s="242"/>
      <c r="H980" s="257"/>
      <c r="I980" s="242"/>
    </row>
    <row r="981" spans="1:9" ht="15" customHeight="1" x14ac:dyDescent="0.15">
      <c r="A981" s="242"/>
      <c r="B981" s="242"/>
      <c r="C981" s="242"/>
      <c r="D981" s="256"/>
      <c r="E981" s="242"/>
      <c r="F981" s="257"/>
      <c r="G981" s="242"/>
      <c r="H981" s="257"/>
      <c r="I981" s="242"/>
    </row>
    <row r="982" spans="1:9" ht="15" customHeight="1" x14ac:dyDescent="0.15">
      <c r="A982" s="242"/>
      <c r="B982" s="242"/>
      <c r="C982" s="242"/>
      <c r="D982" s="256"/>
      <c r="E982" s="242"/>
      <c r="F982" s="257"/>
      <c r="G982" s="242"/>
      <c r="H982" s="257"/>
      <c r="I982" s="242"/>
    </row>
    <row r="983" spans="1:9" ht="15" customHeight="1" x14ac:dyDescent="0.15">
      <c r="A983" s="242"/>
      <c r="B983" s="242"/>
      <c r="C983" s="242"/>
      <c r="D983" s="256"/>
      <c r="E983" s="242"/>
      <c r="F983" s="257"/>
      <c r="G983" s="242"/>
      <c r="H983" s="257"/>
      <c r="I983" s="242"/>
    </row>
    <row r="984" spans="1:9" ht="15" customHeight="1" x14ac:dyDescent="0.15">
      <c r="A984" s="242"/>
      <c r="B984" s="242"/>
      <c r="C984" s="242"/>
      <c r="D984" s="256"/>
      <c r="E984" s="242"/>
      <c r="F984" s="257"/>
      <c r="G984" s="242"/>
      <c r="H984" s="257"/>
      <c r="I984" s="242"/>
    </row>
    <row r="985" spans="1:9" ht="15" customHeight="1" x14ac:dyDescent="0.15">
      <c r="A985" s="242"/>
      <c r="B985" s="242"/>
      <c r="C985" s="242"/>
      <c r="D985" s="256"/>
      <c r="E985" s="242"/>
      <c r="F985" s="257"/>
      <c r="G985" s="242"/>
      <c r="H985" s="257"/>
      <c r="I985" s="242"/>
    </row>
    <row r="986" spans="1:9" ht="15" customHeight="1" x14ac:dyDescent="0.15">
      <c r="A986" s="242"/>
      <c r="B986" s="242"/>
      <c r="C986" s="242"/>
      <c r="D986" s="256"/>
      <c r="E986" s="242"/>
      <c r="F986" s="257"/>
      <c r="G986" s="242"/>
      <c r="H986" s="257"/>
      <c r="I986" s="242"/>
    </row>
    <row r="987" spans="1:9" ht="15" customHeight="1" x14ac:dyDescent="0.15">
      <c r="A987" s="242"/>
      <c r="B987" s="242"/>
      <c r="C987" s="242"/>
      <c r="D987" s="256"/>
      <c r="E987" s="242"/>
      <c r="F987" s="257"/>
      <c r="G987" s="242"/>
      <c r="H987" s="257"/>
      <c r="I987" s="242"/>
    </row>
    <row r="988" spans="1:9" ht="15" customHeight="1" x14ac:dyDescent="0.15">
      <c r="A988" s="242"/>
      <c r="B988" s="242"/>
      <c r="C988" s="242"/>
      <c r="D988" s="256"/>
      <c r="E988" s="242"/>
      <c r="F988" s="257"/>
      <c r="G988" s="242"/>
      <c r="H988" s="257"/>
      <c r="I988" s="242"/>
    </row>
    <row r="989" spans="1:9" ht="15" customHeight="1" x14ac:dyDescent="0.15">
      <c r="A989" s="242"/>
      <c r="B989" s="242"/>
      <c r="C989" s="242"/>
      <c r="D989" s="256"/>
      <c r="E989" s="242"/>
      <c r="F989" s="257"/>
      <c r="G989" s="242"/>
      <c r="H989" s="257"/>
      <c r="I989" s="242"/>
    </row>
    <row r="990" spans="1:9" ht="15" customHeight="1" x14ac:dyDescent="0.15">
      <c r="A990" s="242"/>
      <c r="B990" s="242"/>
      <c r="C990" s="242"/>
      <c r="D990" s="256"/>
      <c r="E990" s="242"/>
      <c r="F990" s="257"/>
      <c r="G990" s="242"/>
      <c r="H990" s="257"/>
      <c r="I990" s="242"/>
    </row>
    <row r="991" spans="1:9" ht="15" customHeight="1" x14ac:dyDescent="0.15">
      <c r="A991" s="242"/>
      <c r="B991" s="242"/>
      <c r="C991" s="242"/>
      <c r="D991" s="256"/>
      <c r="E991" s="242"/>
      <c r="F991" s="257"/>
      <c r="G991" s="242"/>
      <c r="H991" s="257"/>
      <c r="I991" s="242"/>
    </row>
    <row r="992" spans="1:9" ht="15" customHeight="1" x14ac:dyDescent="0.15">
      <c r="A992" s="242"/>
      <c r="B992" s="242"/>
      <c r="C992" s="242"/>
      <c r="D992" s="256"/>
      <c r="E992" s="242"/>
      <c r="F992" s="257"/>
      <c r="G992" s="242"/>
      <c r="H992" s="257"/>
      <c r="I992" s="242"/>
    </row>
    <row r="993" spans="1:9" ht="15" customHeight="1" x14ac:dyDescent="0.15">
      <c r="A993" s="242"/>
      <c r="B993" s="242"/>
      <c r="C993" s="242"/>
      <c r="D993" s="256"/>
      <c r="E993" s="242"/>
      <c r="F993" s="257"/>
      <c r="G993" s="242"/>
      <c r="H993" s="257"/>
      <c r="I993" s="242"/>
    </row>
    <row r="994" spans="1:9" ht="15" customHeight="1" x14ac:dyDescent="0.15">
      <c r="A994" s="242"/>
      <c r="B994" s="242"/>
      <c r="C994" s="242"/>
      <c r="D994" s="256"/>
      <c r="E994" s="242"/>
      <c r="F994" s="257"/>
      <c r="G994" s="242"/>
      <c r="H994" s="257"/>
      <c r="I994" s="242"/>
    </row>
    <row r="995" spans="1:9" ht="15" customHeight="1" x14ac:dyDescent="0.15">
      <c r="A995" s="242"/>
      <c r="B995" s="242"/>
      <c r="C995" s="242"/>
      <c r="D995" s="256"/>
      <c r="E995" s="242"/>
      <c r="F995" s="257"/>
      <c r="G995" s="242"/>
      <c r="H995" s="257"/>
      <c r="I995" s="242"/>
    </row>
    <row r="996" spans="1:9" ht="15" customHeight="1" x14ac:dyDescent="0.15">
      <c r="A996" s="242"/>
      <c r="B996" s="242"/>
      <c r="C996" s="242"/>
      <c r="D996" s="256"/>
      <c r="E996" s="242"/>
      <c r="F996" s="257"/>
      <c r="G996" s="242"/>
      <c r="H996" s="257"/>
      <c r="I996" s="242"/>
    </row>
    <row r="997" spans="1:9" ht="15" customHeight="1" x14ac:dyDescent="0.15">
      <c r="A997" s="242"/>
      <c r="B997" s="242"/>
      <c r="C997" s="242"/>
      <c r="D997" s="256"/>
      <c r="E997" s="242"/>
      <c r="F997" s="257"/>
      <c r="G997" s="242"/>
      <c r="H997" s="257"/>
      <c r="I997" s="242"/>
    </row>
    <row r="998" spans="1:9" ht="15" customHeight="1" x14ac:dyDescent="0.15">
      <c r="A998" s="242"/>
      <c r="B998" s="242"/>
      <c r="C998" s="242"/>
      <c r="D998" s="256"/>
      <c r="E998" s="242"/>
      <c r="F998" s="257"/>
      <c r="G998" s="242"/>
      <c r="H998" s="257"/>
      <c r="I998" s="242"/>
    </row>
    <row r="999" spans="1:9" ht="15" customHeight="1" x14ac:dyDescent="0.15">
      <c r="A999" s="242"/>
      <c r="B999" s="242"/>
      <c r="C999" s="242"/>
      <c r="D999" s="256"/>
      <c r="E999" s="242"/>
      <c r="F999" s="257"/>
      <c r="G999" s="242"/>
      <c r="H999" s="257"/>
      <c r="I999" s="242"/>
    </row>
    <row r="1000" spans="1:9" ht="15" customHeight="1" x14ac:dyDescent="0.15">
      <c r="A1000" s="242"/>
      <c r="B1000" s="242"/>
      <c r="C1000" s="242"/>
      <c r="D1000" s="256"/>
      <c r="E1000" s="242"/>
      <c r="F1000" s="257"/>
      <c r="G1000" s="242"/>
      <c r="H1000" s="257"/>
      <c r="I1000" s="242"/>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COUNTIF($N$4:$N$200,"ADD TO PRICES")</f>
      </c>
      <c r="P1" s="243" t="inlineStr">
        <is>
          <t>Stale:</t>
        </is>
      </c>
      <c r="Q1">
        <f>COUNTIF($Q$4:$Q$200,"NOT HELD - review")</f>
      </c>
    </row>
    <row r="2" spans="1:17" ht="15" customHeight="1" x14ac:dyDescent="0.15">
      <c r="A2" s="258" t="s">
        <v>425</v>
      </c>
      <c r="B2" s="259" t="s">
        <v>399</v>
      </c>
      <c r="C2" s="259" t="s">
        <v>400</v>
      </c>
      <c r="D2" s="259" t="s">
        <v>401</v>
      </c>
      <c r="E2" s="260">
        <v>111.61</v>
      </c>
      <c r="F2" s="261">
        <f>IF($D2="SGD",1,IF($D2="USD",Settings!$B$22,IF($D2="HKD",Settings!$B$23,1)))</f>
        <v>1</v>
      </c>
      <c r="G2" s="259" t="s">
        <v>426</v>
      </c>
      <c r="H2" t="s">
        <v>427</v>
      </c>
      <c r="J2" s="243" t="inlineStr">
        <is>
          <t>Held now -&gt; in Prices?</t>
        </is>
      </c>
      <c r="P2" s="243" t="inlineStr">
        <is>
          <t>Prices rows -&gt; still held?</t>
        </is>
      </c>
    </row>
    <row r="3" spans="1:17" ht="15" customHeight="1" x14ac:dyDescent="0.15">
      <c r="A3" s="258" t="s">
        <v>428</v>
      </c>
      <c r="B3" s="259" t="s">
        <v>409</v>
      </c>
      <c r="C3" s="259" t="s">
        <v>410</v>
      </c>
      <c r="D3" s="259" t="s">
        <v>407</v>
      </c>
      <c r="E3" s="260">
        <v>102509.66</v>
      </c>
      <c r="F3" s="261">
        <f>IF($D3="SGD",1,IF($D3="USD",Settings!$B$22,IF($D3="HKD",Settings!$B$23,1)))</f>
        <v>1.2928081084924601</v>
      </c>
      <c r="G3" s="259" t="s">
        <v>426</v>
      </c>
      <c r="H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259" t="s">
        <v>411</v>
      </c>
      <c r="C4" s="259" t="s">
        <v>412</v>
      </c>
      <c r="D4" s="259" t="s">
        <v>413</v>
      </c>
      <c r="E4" s="260">
        <v>488.2</v>
      </c>
      <c r="F4" s="261">
        <f>IF($D4="SGD",1,IF($D4="USD",Settings!$B$22,IF($D4="HKD",Settings!$B$23,1)))</f>
        <v>0.16489949375855401</v>
      </c>
      <c r="G4" s="259" t="s">
        <v>426</v>
      </c>
      <c r="H4"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259" t="s">
        <v>403</v>
      </c>
      <c r="C5" s="259" t="s">
        <v>416</v>
      </c>
      <c r="D5" s="259" t="s">
        <v>401</v>
      </c>
      <c r="E5" s="260">
        <v>2.74</v>
      </c>
      <c r="F5" s="261">
        <f>IF($D5="SGD",1,IF($D5="USD",Settings!$B$22,IF($D5="HKD",Settings!$B$23,1)))</f>
        <v>1</v>
      </c>
      <c r="G5" s="259" t="s">
        <v>426</v>
      </c>
      <c r="H5"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259" t="s">
        <v>403</v>
      </c>
      <c r="C6" s="259" t="s">
        <v>408</v>
      </c>
      <c r="D6" s="259" t="s">
        <v>401</v>
      </c>
      <c r="E6" s="260">
        <v>2.04</v>
      </c>
      <c r="F6" s="261">
        <f>IF($D6="SGD",1,IF($D6="USD",Settings!$B$22,IF($D6="HKD",Settings!$B$23,1)))</f>
        <v>1</v>
      </c>
      <c r="G6" s="259" t="s">
        <v>426</v>
      </c>
      <c r="H6"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259" t="s">
        <v>403</v>
      </c>
      <c r="C7" s="259" t="s">
        <v>419</v>
      </c>
      <c r="D7" s="259" t="s">
        <v>401</v>
      </c>
      <c r="E7" s="260">
        <v>0.81499999999999995</v>
      </c>
      <c r="F7" s="261">
        <f>IF($D7="SGD",1,IF($D7="USD",Settings!$B$22,IF($D7="HKD",Settings!$B$23,1)))</f>
        <v>1</v>
      </c>
      <c r="G7" s="259" t="s">
        <v>426</v>
      </c>
      <c r="H7"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259" t="s">
        <v>403</v>
      </c>
      <c r="C8" s="259" t="s">
        <v>404</v>
      </c>
      <c r="D8" s="259" t="s">
        <v>401</v>
      </c>
      <c r="E8" s="260">
        <v>3.82</v>
      </c>
      <c r="F8" s="261">
        <f>IF($D8="SGD",1,IF($D8="USD",Settings!$B$22,IF($D8="HKD",Settings!$B$23,1)))</f>
        <v>1</v>
      </c>
      <c r="G8" s="259" t="s">
        <v>426</v>
      </c>
      <c r="H8"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259" t="s">
        <v>405</v>
      </c>
      <c r="C9" s="259" t="s">
        <v>406</v>
      </c>
      <c r="D9" s="259" t="s">
        <v>407</v>
      </c>
      <c r="E9" s="260">
        <v>200</v>
      </c>
      <c r="F9" s="261">
        <f>IF($D9="SGD",1,IF($D9="USD",Settings!$B$22,IF($D9="HKD",Settings!$B$23,1)))</f>
        <v>1.2928081084924601</v>
      </c>
      <c r="G9" s="259" t="s">
        <v>426</v>
      </c>
      <c r="H9"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259" t="s">
        <v>405</v>
      </c>
      <c r="C10" s="259" t="s">
        <v>415</v>
      </c>
      <c r="D10" s="259" t="s">
        <v>407</v>
      </c>
      <c r="E10" s="260">
        <v>420</v>
      </c>
      <c r="F10" s="261">
        <f>IF($D10="SGD",1,IF($D10="USD",Settings!$B$22,IF($D10="HKD",Settings!$B$23,1)))</f>
        <v>1.2928081084924601</v>
      </c>
      <c r="G10" s="259" t="s">
        <v>426</v>
      </c>
      <c r="H10"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259"/>
      <c r="C11" s="259"/>
      <c r="D11" s="259"/>
      <c r="E11" s="260"/>
      <c r="F11" s="261"/>
      <c r="G11" s="259"/>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259"/>
      <c r="C12" s="259"/>
      <c r="D12" s="259"/>
      <c r="E12" s="260"/>
      <c r="F12" s="261"/>
      <c r="G12" s="259"/>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259"/>
      <c r="C13" s="259"/>
      <c r="D13" s="259"/>
      <c r="E13" s="260"/>
      <c r="F13" s="261"/>
      <c r="G13" s="259"/>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259"/>
      <c r="C14" s="259"/>
      <c r="D14" s="259"/>
      <c r="E14" s="260"/>
      <c r="F14" s="261"/>
      <c r="G14" s="259"/>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259"/>
      <c r="C15" s="259"/>
      <c r="D15" s="259"/>
      <c r="E15" s="260"/>
      <c r="F15" s="261"/>
      <c r="G15" s="259"/>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259"/>
      <c r="C16" s="259"/>
      <c r="D16" s="259"/>
      <c r="E16" s="260"/>
      <c r="F16" s="261"/>
      <c r="G16" s="259"/>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259"/>
      <c r="C17" s="259"/>
      <c r="D17" s="259"/>
      <c r="E17" s="260"/>
      <c r="F17" s="261"/>
      <c r="G17" s="259"/>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259"/>
      <c r="C18" s="259"/>
      <c r="D18" s="259"/>
      <c r="E18" s="260"/>
      <c r="F18" s="261"/>
      <c r="G18" s="259"/>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259"/>
      <c r="C19" s="259"/>
      <c r="D19" s="259"/>
      <c r="E19" s="260"/>
      <c r="F19" s="261"/>
      <c r="G19" s="259"/>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259"/>
      <c r="C20" s="259"/>
      <c r="D20" s="259"/>
      <c r="E20" s="260"/>
      <c r="F20" s="261"/>
      <c r="G20" s="259"/>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259"/>
      <c r="C21" s="259"/>
      <c r="D21" s="259"/>
      <c r="E21" s="260"/>
      <c r="F21" s="261"/>
      <c r="G21" s="259"/>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259"/>
      <c r="C22" s="259"/>
      <c r="D22" s="259"/>
      <c r="E22" s="260"/>
      <c r="F22" s="261"/>
      <c r="G22" s="259"/>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259"/>
      <c r="C23" s="259"/>
      <c r="D23" s="259"/>
      <c r="E23" s="260"/>
      <c r="F23" s="261"/>
      <c r="G23" s="259"/>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259"/>
      <c r="C24" s="259"/>
      <c r="D24" s="259"/>
      <c r="E24" s="260"/>
      <c r="F24" s="261"/>
      <c r="G24" s="259"/>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259"/>
      <c r="C25" s="259"/>
      <c r="D25" s="259"/>
      <c r="E25" s="260"/>
      <c r="F25" s="261"/>
      <c r="G25" s="259"/>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259"/>
      <c r="C26" s="259"/>
      <c r="D26" s="259"/>
      <c r="E26" s="260"/>
      <c r="F26" s="261"/>
      <c r="G26" s="259"/>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259"/>
      <c r="C27" s="259"/>
      <c r="D27" s="259"/>
      <c r="E27" s="260"/>
      <c r="F27" s="261"/>
      <c r="G27" s="259"/>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259"/>
      <c r="C28" s="259"/>
      <c r="D28" s="259"/>
      <c r="E28" s="260"/>
      <c r="F28" s="261"/>
      <c r="G28" s="259"/>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259"/>
      <c r="C29" s="259"/>
      <c r="D29" s="259"/>
      <c r="E29" s="260"/>
      <c r="F29" s="261"/>
      <c r="G29" s="259"/>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259"/>
      <c r="C30" s="259"/>
      <c r="D30" s="259"/>
      <c r="E30" s="260"/>
      <c r="F30" s="261"/>
      <c r="G30" s="259"/>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7" ht="15" customHeight="1" x14ac:dyDescent="0.15">
      <c r="A31" s="258"/>
      <c r="B31" s="259"/>
      <c r="C31" s="259"/>
      <c r="D31" s="259"/>
      <c r="E31" s="260"/>
      <c r="F31" s="261"/>
      <c r="G31" s="259"/>
    </row>
    <row r="32" spans="1:7" ht="15" customHeight="1" x14ac:dyDescent="0.15">
      <c r="A32" s="258"/>
      <c r="B32" s="259"/>
      <c r="C32" s="259"/>
      <c r="D32" s="259"/>
      <c r="E32" s="260"/>
      <c r="F32" s="261"/>
      <c r="G32" s="259"/>
    </row>
    <row r="33" spans="1:7" ht="15" customHeight="1" x14ac:dyDescent="0.15">
      <c r="A33" s="258"/>
      <c r="B33" s="259"/>
      <c r="C33" s="259"/>
      <c r="D33" s="259"/>
      <c r="E33" s="260"/>
      <c r="F33" s="261"/>
      <c r="G33" s="259"/>
    </row>
    <row r="34" spans="1:7" ht="15" customHeight="1" x14ac:dyDescent="0.15">
      <c r="A34" s="258"/>
      <c r="B34" s="259"/>
      <c r="C34" s="259"/>
      <c r="D34" s="259"/>
      <c r="E34" s="260"/>
      <c r="F34" s="261"/>
      <c r="G34" s="259"/>
    </row>
    <row r="35" spans="1:7" ht="15" customHeight="1" x14ac:dyDescent="0.15">
      <c r="A35" s="258"/>
      <c r="B35" s="259"/>
      <c r="C35" s="259"/>
      <c r="D35" s="259"/>
      <c r="E35" s="260"/>
      <c r="F35" s="261"/>
      <c r="G35" s="259"/>
    </row>
    <row r="36" spans="1:7" ht="15" customHeight="1" x14ac:dyDescent="0.15">
      <c r="A36" s="258"/>
      <c r="B36" s="259"/>
      <c r="C36" s="259"/>
      <c r="D36" s="259"/>
      <c r="E36" s="260"/>
      <c r="F36" s="261"/>
      <c r="G36" s="259"/>
    </row>
    <row r="37" spans="1:7" ht="15" customHeight="1" x14ac:dyDescent="0.15">
      <c r="A37" s="258"/>
      <c r="B37" s="259"/>
      <c r="C37" s="259"/>
      <c r="D37" s="259"/>
      <c r="E37" s="260"/>
      <c r="F37" s="261"/>
      <c r="G37" s="259"/>
    </row>
    <row r="38" spans="1:7" ht="15" customHeight="1" x14ac:dyDescent="0.15">
      <c r="A38" s="258"/>
      <c r="B38" s="259"/>
      <c r="C38" s="259"/>
      <c r="D38" s="259"/>
      <c r="E38" s="260"/>
      <c r="F38" s="261"/>
      <c r="G38" s="259"/>
    </row>
    <row r="39" spans="1:7" ht="15" customHeight="1" x14ac:dyDescent="0.15">
      <c r="A39" s="258"/>
      <c r="B39" s="259"/>
      <c r="C39" s="259"/>
      <c r="D39" s="259"/>
      <c r="E39" s="260"/>
      <c r="F39" s="261"/>
      <c r="G39" s="259"/>
    </row>
    <row r="40" spans="1:7" ht="15" customHeight="1" x14ac:dyDescent="0.15">
      <c r="A40" s="258"/>
      <c r="B40" s="259"/>
      <c r="C40" s="259"/>
      <c r="D40" s="259"/>
      <c r="E40" s="260"/>
      <c r="F40" s="261"/>
      <c r="G40" s="259"/>
    </row>
    <row r="41" spans="1:7" ht="15" customHeight="1" x14ac:dyDescent="0.15">
      <c r="A41" s="258"/>
      <c r="B41" s="259"/>
      <c r="C41" s="259"/>
      <c r="D41" s="259"/>
      <c r="E41" s="260"/>
      <c r="F41" s="261"/>
      <c r="G41" s="259"/>
    </row>
    <row r="42" spans="1:7" ht="15" customHeight="1" x14ac:dyDescent="0.15">
      <c r="A42" s="258"/>
      <c r="B42" s="259"/>
      <c r="C42" s="259"/>
      <c r="D42" s="259"/>
      <c r="E42" s="260"/>
      <c r="F42" s="261"/>
      <c r="G42" s="259"/>
    </row>
    <row r="43" spans="1:7" ht="15" customHeight="1" x14ac:dyDescent="0.15">
      <c r="A43" s="258"/>
      <c r="B43" s="259"/>
      <c r="C43" s="259"/>
      <c r="D43" s="259"/>
      <c r="E43" s="260"/>
      <c r="F43" s="261"/>
      <c r="G43" s="259"/>
    </row>
    <row r="44" spans="1:7" ht="15" customHeight="1" x14ac:dyDescent="0.15">
      <c r="A44" s="258"/>
      <c r="B44" s="259"/>
      <c r="C44" s="259"/>
      <c r="D44" s="259"/>
      <c r="E44" s="260"/>
      <c r="F44" s="261"/>
      <c r="G44" s="259"/>
    </row>
    <row r="45" spans="1:7" ht="15" customHeight="1" x14ac:dyDescent="0.15">
      <c r="A45" s="258"/>
      <c r="B45" s="259"/>
      <c r="C45" s="259"/>
      <c r="D45" s="259"/>
      <c r="E45" s="260"/>
      <c r="F45" s="261"/>
      <c r="G45" s="259"/>
    </row>
    <row r="46" spans="1:7" ht="15" customHeight="1" x14ac:dyDescent="0.15">
      <c r="A46" s="258"/>
      <c r="B46" s="259"/>
      <c r="C46" s="259"/>
      <c r="D46" s="259"/>
      <c r="E46" s="260"/>
      <c r="F46" s="261"/>
      <c r="G46" s="259"/>
    </row>
    <row r="47" spans="1:7" ht="15" customHeight="1" x14ac:dyDescent="0.15">
      <c r="A47" s="258"/>
      <c r="B47" s="259"/>
      <c r="C47" s="259"/>
      <c r="D47" s="259"/>
      <c r="E47" s="260"/>
      <c r="F47" s="261"/>
      <c r="G47" s="259"/>
    </row>
    <row r="48" spans="1:7" ht="15" customHeight="1" x14ac:dyDescent="0.15">
      <c r="A48" s="258"/>
      <c r="B48" s="259"/>
      <c r="C48" s="259"/>
      <c r="D48" s="259"/>
      <c r="E48" s="260"/>
      <c r="F48" s="261"/>
      <c r="G48" s="259"/>
    </row>
    <row r="49" spans="1:7" ht="15" customHeight="1" x14ac:dyDescent="0.15">
      <c r="A49" s="258"/>
      <c r="B49" s="259"/>
      <c r="C49" s="259"/>
      <c r="D49" s="259"/>
      <c r="E49" s="260"/>
      <c r="F49" s="261"/>
      <c r="G49" s="259"/>
    </row>
    <row r="50" spans="1:7" ht="15" customHeight="1" x14ac:dyDescent="0.15">
      <c r="A50" s="258"/>
      <c r="B50" s="259"/>
      <c r="C50" s="259"/>
      <c r="D50" s="259"/>
      <c r="E50" s="260"/>
      <c r="F50" s="261"/>
      <c r="G50" s="259"/>
    </row>
    <row r="51" spans="1:7" ht="15" customHeight="1" x14ac:dyDescent="0.15">
      <c r="A51" s="258"/>
      <c r="B51" s="259"/>
      <c r="C51" s="259"/>
      <c r="D51" s="259"/>
      <c r="E51" s="260"/>
      <c r="F51" s="261"/>
      <c r="G51" s="259"/>
    </row>
    <row r="52" spans="1:7" ht="15" customHeight="1" x14ac:dyDescent="0.15">
      <c r="A52" s="258"/>
      <c r="B52" s="259"/>
      <c r="C52" s="259"/>
      <c r="D52" s="259"/>
      <c r="E52" s="260"/>
      <c r="F52" s="261"/>
      <c r="G52" s="259"/>
    </row>
    <row r="53" spans="1:7" ht="15" customHeight="1" x14ac:dyDescent="0.15">
      <c r="A53" s="258"/>
      <c r="B53" s="259"/>
      <c r="C53" s="259"/>
      <c r="D53" s="259"/>
      <c r="E53" s="260"/>
      <c r="F53" s="261"/>
      <c r="G53" s="259"/>
    </row>
    <row r="54" spans="1:7" ht="15" customHeight="1" x14ac:dyDescent="0.15">
      <c r="A54" s="258"/>
      <c r="B54" s="259"/>
      <c r="C54" s="259"/>
      <c r="D54" s="259"/>
      <c r="E54" s="260"/>
      <c r="F54" s="261"/>
      <c r="G54" s="259"/>
    </row>
    <row r="55" spans="1:7" ht="15" customHeight="1" x14ac:dyDescent="0.15">
      <c r="A55" s="258"/>
      <c r="B55" s="259"/>
      <c r="C55" s="259"/>
      <c r="D55" s="259"/>
      <c r="E55" s="260"/>
      <c r="F55" s="261"/>
      <c r="G55" s="259"/>
    </row>
    <row r="56" spans="1:7" ht="15" customHeight="1" x14ac:dyDescent="0.15">
      <c r="A56" s="258"/>
      <c r="B56" s="259"/>
      <c r="C56" s="259"/>
      <c r="D56" s="259"/>
      <c r="E56" s="260"/>
      <c r="F56" s="261"/>
      <c r="G56" s="259"/>
    </row>
    <row r="57" spans="1:7" ht="15" customHeight="1" x14ac:dyDescent="0.15">
      <c r="A57" s="258"/>
      <c r="B57" s="259"/>
      <c r="C57" s="259"/>
      <c r="D57" s="259"/>
      <c r="E57" s="260"/>
      <c r="F57" s="261"/>
      <c r="G57" s="259"/>
    </row>
    <row r="58" spans="1:7" ht="15" customHeight="1" x14ac:dyDescent="0.15">
      <c r="A58" s="258"/>
      <c r="B58" s="259"/>
      <c r="C58" s="259"/>
      <c r="D58" s="259"/>
      <c r="E58" s="260"/>
      <c r="F58" s="261"/>
      <c r="G58" s="259"/>
    </row>
    <row r="59" spans="1:7" ht="15" customHeight="1" x14ac:dyDescent="0.15">
      <c r="A59" s="258"/>
      <c r="B59" s="259"/>
      <c r="C59" s="259"/>
      <c r="D59" s="259"/>
      <c r="E59" s="260"/>
      <c r="F59" s="261"/>
      <c r="G59" s="259"/>
    </row>
    <row r="60" spans="1:7" ht="15" customHeight="1" x14ac:dyDescent="0.15">
      <c r="A60" s="258"/>
      <c r="B60" s="259"/>
      <c r="C60" s="259"/>
      <c r="D60" s="259"/>
      <c r="E60" s="260"/>
      <c r="F60" s="261"/>
      <c r="G60" s="259"/>
    </row>
    <row r="61" spans="1:7" ht="15" customHeight="1" x14ac:dyDescent="0.15">
      <c r="A61" s="258"/>
      <c r="B61" s="259"/>
      <c r="C61" s="259"/>
      <c r="D61" s="259"/>
      <c r="E61" s="260"/>
      <c r="F61" s="261"/>
      <c r="G61" s="259"/>
    </row>
    <row r="62" spans="1:7" ht="15" customHeight="1" x14ac:dyDescent="0.15">
      <c r="A62" s="258"/>
      <c r="B62" s="259"/>
      <c r="C62" s="259"/>
      <c r="D62" s="259"/>
      <c r="E62" s="260"/>
      <c r="F62" s="261"/>
      <c r="G62" s="259"/>
    </row>
    <row r="63" spans="1:7" ht="15" customHeight="1" x14ac:dyDescent="0.15">
      <c r="A63" s="258"/>
      <c r="B63" s="259"/>
      <c r="C63" s="259"/>
      <c r="D63" s="259"/>
      <c r="E63" s="260"/>
      <c r="F63" s="261"/>
      <c r="G63" s="259"/>
    </row>
    <row r="64" spans="1:7" ht="15" customHeight="1" x14ac:dyDescent="0.15">
      <c r="A64" s="258"/>
      <c r="B64" s="259"/>
      <c r="C64" s="259"/>
      <c r="D64" s="259"/>
      <c r="E64" s="260"/>
      <c r="F64" s="261"/>
      <c r="G64" s="259"/>
    </row>
    <row r="65" spans="1:7" ht="15" customHeight="1" x14ac:dyDescent="0.15">
      <c r="A65" s="258"/>
      <c r="B65" s="259"/>
      <c r="C65" s="259"/>
      <c r="D65" s="259"/>
      <c r="E65" s="260"/>
      <c r="F65" s="261"/>
      <c r="G65" s="259"/>
    </row>
    <row r="66" spans="1:7" ht="15" customHeight="1" x14ac:dyDescent="0.15">
      <c r="A66" s="258"/>
      <c r="B66" s="259"/>
      <c r="C66" s="259"/>
      <c r="D66" s="259"/>
      <c r="E66" s="260"/>
      <c r="F66" s="261"/>
      <c r="G66" s="259"/>
    </row>
    <row r="67" spans="1:7" ht="15" customHeight="1" x14ac:dyDescent="0.15">
      <c r="A67" s="258"/>
      <c r="B67" s="259"/>
      <c r="C67" s="259"/>
      <c r="D67" s="259"/>
      <c r="E67" s="260"/>
      <c r="F67" s="261"/>
      <c r="G67" s="259"/>
    </row>
    <row r="68" spans="1:7" ht="15" customHeight="1" x14ac:dyDescent="0.15">
      <c r="A68" s="258"/>
      <c r="B68" s="259"/>
      <c r="C68" s="259"/>
      <c r="D68" s="259"/>
      <c r="E68" s="260"/>
      <c r="F68" s="261"/>
      <c r="G68" s="259"/>
    </row>
    <row r="69" spans="1:7" ht="15" customHeight="1" x14ac:dyDescent="0.15">
      <c r="A69" s="258"/>
      <c r="B69" s="259"/>
      <c r="C69" s="259"/>
      <c r="D69" s="259"/>
      <c r="E69" s="260"/>
      <c r="F69" s="261"/>
      <c r="G69" s="259"/>
    </row>
    <row r="70" spans="1:7" ht="15" customHeight="1" x14ac:dyDescent="0.15">
      <c r="A70" s="258"/>
      <c r="B70" s="259"/>
      <c r="C70" s="259"/>
      <c r="D70" s="259"/>
      <c r="E70" s="260"/>
      <c r="F70" s="261"/>
      <c r="G70" s="259"/>
    </row>
    <row r="71" spans="1:7" ht="15" customHeight="1" x14ac:dyDescent="0.15">
      <c r="A71" s="258"/>
      <c r="B71" s="259"/>
      <c r="C71" s="259"/>
      <c r="D71" s="259"/>
      <c r="E71" s="260"/>
      <c r="F71" s="261"/>
      <c r="G71" s="259"/>
    </row>
    <row r="72" spans="1:7" ht="15" customHeight="1" x14ac:dyDescent="0.15">
      <c r="A72" s="258"/>
      <c r="B72" s="259"/>
      <c r="C72" s="259"/>
      <c r="D72" s="259"/>
      <c r="E72" s="260"/>
      <c r="F72" s="261"/>
      <c r="G72" s="259"/>
    </row>
    <row r="73" spans="1:7" ht="15" customHeight="1" x14ac:dyDescent="0.15">
      <c r="A73" s="258"/>
      <c r="B73" s="259"/>
      <c r="C73" s="259"/>
      <c r="D73" s="259"/>
      <c r="E73" s="260"/>
      <c r="F73" s="261"/>
      <c r="G73" s="259"/>
    </row>
    <row r="74" spans="1:7" ht="15" customHeight="1" x14ac:dyDescent="0.15">
      <c r="A74" s="258"/>
      <c r="B74" s="259"/>
      <c r="C74" s="259"/>
      <c r="D74" s="259"/>
      <c r="E74" s="260"/>
      <c r="F74" s="261"/>
      <c r="G74" s="259"/>
    </row>
    <row r="75" spans="1:7" ht="15" customHeight="1" x14ac:dyDescent="0.15">
      <c r="A75" s="258"/>
      <c r="B75" s="259"/>
      <c r="C75" s="259"/>
      <c r="D75" s="259"/>
      <c r="E75" s="260"/>
      <c r="F75" s="261"/>
      <c r="G75" s="259"/>
    </row>
    <row r="76" spans="1:7" ht="15" customHeight="1" x14ac:dyDescent="0.15">
      <c r="A76" s="258"/>
      <c r="B76" s="259"/>
      <c r="C76" s="259"/>
      <c r="D76" s="259"/>
      <c r="E76" s="260"/>
      <c r="F76" s="261"/>
      <c r="G76" s="259"/>
    </row>
    <row r="77" spans="1:7" ht="15" customHeight="1" x14ac:dyDescent="0.15">
      <c r="A77" s="258"/>
      <c r="B77" s="259"/>
      <c r="C77" s="259"/>
      <c r="D77" s="259"/>
      <c r="E77" s="260"/>
      <c r="F77" s="261"/>
      <c r="G77" s="259"/>
    </row>
    <row r="78" spans="1:7" ht="15" customHeight="1" x14ac:dyDescent="0.15">
      <c r="A78" s="258"/>
      <c r="B78" s="259"/>
      <c r="C78" s="259"/>
      <c r="D78" s="259"/>
      <c r="E78" s="260"/>
      <c r="F78" s="261"/>
      <c r="G78" s="259"/>
    </row>
    <row r="79" spans="1:7" ht="15" customHeight="1" x14ac:dyDescent="0.15">
      <c r="A79" s="258"/>
      <c r="B79" s="259"/>
      <c r="C79" s="259"/>
      <c r="D79" s="259"/>
      <c r="E79" s="260"/>
      <c r="F79" s="261"/>
      <c r="G79" s="259"/>
    </row>
    <row r="80" spans="1:7" ht="15" customHeight="1" x14ac:dyDescent="0.15">
      <c r="A80" s="258"/>
      <c r="B80" s="259"/>
      <c r="C80" s="259"/>
      <c r="D80" s="259"/>
      <c r="E80" s="260"/>
      <c r="F80" s="261"/>
      <c r="G80" s="259"/>
    </row>
    <row r="81" spans="1:7" ht="15" customHeight="1" x14ac:dyDescent="0.15">
      <c r="A81" s="258"/>
      <c r="B81" s="259"/>
      <c r="C81" s="259"/>
      <c r="D81" s="259"/>
      <c r="E81" s="260"/>
      <c r="F81" s="261"/>
      <c r="G81" s="259"/>
    </row>
    <row r="82" spans="1:7" ht="15" customHeight="1" x14ac:dyDescent="0.15">
      <c r="A82" s="258"/>
      <c r="B82" s="259"/>
      <c r="C82" s="259"/>
      <c r="D82" s="259"/>
      <c r="E82" s="260"/>
      <c r="F82" s="261"/>
      <c r="G82" s="259"/>
    </row>
    <row r="83" spans="1:7" ht="15" customHeight="1" x14ac:dyDescent="0.15">
      <c r="A83" s="258"/>
      <c r="B83" s="259"/>
      <c r="C83" s="259"/>
      <c r="D83" s="259"/>
      <c r="E83" s="260"/>
      <c r="F83" s="261"/>
      <c r="G83" s="259"/>
    </row>
    <row r="84" spans="1:7" ht="15" customHeight="1" x14ac:dyDescent="0.15">
      <c r="A84" s="258"/>
      <c r="B84" s="259"/>
      <c r="C84" s="259"/>
      <c r="D84" s="259"/>
      <c r="E84" s="260"/>
      <c r="F84" s="261"/>
      <c r="G84" s="259"/>
    </row>
    <row r="85" spans="1:7" ht="15" customHeight="1" x14ac:dyDescent="0.15">
      <c r="A85" s="258"/>
      <c r="B85" s="259"/>
      <c r="C85" s="259"/>
      <c r="D85" s="259"/>
      <c r="E85" s="260"/>
      <c r="F85" s="261"/>
      <c r="G85" s="259"/>
    </row>
    <row r="86" spans="1:7" ht="15" customHeight="1" x14ac:dyDescent="0.15">
      <c r="A86" s="258"/>
      <c r="B86" s="259"/>
      <c r="C86" s="259"/>
      <c r="D86" s="259"/>
      <c r="E86" s="260"/>
      <c r="F86" s="261"/>
      <c r="G86" s="259"/>
    </row>
    <row r="87" spans="1:7" ht="15" customHeight="1" x14ac:dyDescent="0.15">
      <c r="A87" s="258"/>
      <c r="B87" s="259"/>
      <c r="C87" s="259"/>
      <c r="D87" s="259"/>
      <c r="E87" s="260"/>
      <c r="F87" s="261"/>
      <c r="G87" s="259"/>
    </row>
    <row r="88" spans="1:7" ht="15" customHeight="1" x14ac:dyDescent="0.15">
      <c r="A88" s="258"/>
      <c r="B88" s="259"/>
      <c r="C88" s="259"/>
      <c r="D88" s="259"/>
      <c r="E88" s="260"/>
      <c r="F88" s="261"/>
      <c r="G88" s="259"/>
    </row>
    <row r="89" spans="1:7" ht="15" customHeight="1" x14ac:dyDescent="0.15">
      <c r="A89" s="258"/>
      <c r="B89" s="259"/>
      <c r="C89" s="259"/>
      <c r="D89" s="259"/>
      <c r="E89" s="260"/>
      <c r="F89" s="261"/>
      <c r="G89" s="259"/>
    </row>
    <row r="90" spans="1:7" ht="15" customHeight="1" x14ac:dyDescent="0.15">
      <c r="A90" s="258"/>
      <c r="B90" s="259"/>
      <c r="C90" s="259"/>
      <c r="D90" s="259"/>
      <c r="E90" s="260"/>
      <c r="F90" s="261"/>
      <c r="G90" s="259"/>
    </row>
    <row r="91" spans="1:7" ht="15" customHeight="1" x14ac:dyDescent="0.15">
      <c r="A91" s="258"/>
      <c r="B91" s="259"/>
      <c r="C91" s="259"/>
      <c r="D91" s="259"/>
      <c r="E91" s="260"/>
      <c r="F91" s="261"/>
      <c r="G91" s="259"/>
    </row>
    <row r="92" spans="1:7" ht="15" customHeight="1" x14ac:dyDescent="0.15">
      <c r="A92" s="258"/>
      <c r="B92" s="259"/>
      <c r="C92" s="259"/>
      <c r="D92" s="259"/>
      <c r="E92" s="260"/>
      <c r="F92" s="261"/>
      <c r="G92" s="259"/>
    </row>
    <row r="93" spans="1:7" ht="15" customHeight="1" x14ac:dyDescent="0.15">
      <c r="A93" s="258"/>
      <c r="B93" s="259"/>
      <c r="C93" s="259"/>
      <c r="D93" s="259"/>
      <c r="E93" s="260"/>
      <c r="F93" s="261"/>
      <c r="G93" s="259"/>
    </row>
    <row r="94" spans="1:7" ht="15" customHeight="1" x14ac:dyDescent="0.15">
      <c r="A94" s="258"/>
      <c r="B94" s="259"/>
      <c r="C94" s="259"/>
      <c r="D94" s="259"/>
      <c r="E94" s="260"/>
      <c r="F94" s="261"/>
      <c r="G94" s="259"/>
    </row>
    <row r="95" spans="1:7" ht="15" customHeight="1" x14ac:dyDescent="0.15">
      <c r="A95" s="258"/>
      <c r="B95" s="259"/>
      <c r="C95" s="259"/>
      <c r="D95" s="259"/>
      <c r="E95" s="260"/>
      <c r="F95" s="261"/>
      <c r="G95" s="259"/>
    </row>
    <row r="96" spans="1:7" ht="15" customHeight="1" x14ac:dyDescent="0.15">
      <c r="A96" s="258"/>
      <c r="B96" s="259"/>
      <c r="C96" s="259"/>
      <c r="D96" s="259"/>
      <c r="E96" s="260"/>
      <c r="F96" s="261"/>
      <c r="G96" s="259"/>
    </row>
    <row r="97" spans="1:7" ht="15" customHeight="1" x14ac:dyDescent="0.15">
      <c r="A97" s="258"/>
      <c r="B97" s="259"/>
      <c r="C97" s="259"/>
      <c r="D97" s="259"/>
      <c r="E97" s="260"/>
      <c r="F97" s="261"/>
      <c r="G97" s="259"/>
    </row>
    <row r="98" spans="1:7" ht="15" customHeight="1" x14ac:dyDescent="0.15">
      <c r="A98" s="258"/>
      <c r="B98" s="259"/>
      <c r="C98" s="259"/>
      <c r="D98" s="259"/>
      <c r="E98" s="260"/>
      <c r="F98" s="261"/>
      <c r="G98" s="259"/>
    </row>
    <row r="99" spans="1:7" ht="15" customHeight="1" x14ac:dyDescent="0.15">
      <c r="A99" s="258"/>
      <c r="B99" s="259"/>
      <c r="C99" s="259"/>
      <c r="D99" s="259"/>
      <c r="E99" s="260"/>
      <c r="F99" s="261"/>
      <c r="G99" s="259"/>
    </row>
    <row r="100" spans="1:7" ht="15" customHeight="1" x14ac:dyDescent="0.15">
      <c r="A100" s="258"/>
      <c r="B100" s="259"/>
      <c r="C100" s="259"/>
      <c r="D100" s="259"/>
      <c r="E100" s="260"/>
      <c r="F100" s="261"/>
      <c r="G100" s="259"/>
    </row>
    <row r="101" spans="1:7" ht="15" customHeight="1" x14ac:dyDescent="0.15">
      <c r="A101" s="258"/>
      <c r="B101" s="259"/>
      <c r="C101" s="259"/>
      <c r="D101" s="259"/>
      <c r="E101" s="260"/>
      <c r="F101" s="261"/>
      <c r="G101" s="259"/>
    </row>
    <row r="102" spans="1:7" ht="15" customHeight="1" x14ac:dyDescent="0.15">
      <c r="A102" s="258"/>
      <c r="B102" s="259"/>
      <c r="C102" s="259"/>
      <c r="D102" s="259"/>
      <c r="E102" s="260"/>
      <c r="F102" s="261"/>
      <c r="G102" s="259"/>
    </row>
    <row r="103" spans="1:7" ht="15" customHeight="1" x14ac:dyDescent="0.15">
      <c r="A103" s="258"/>
      <c r="B103" s="259"/>
      <c r="C103" s="259"/>
      <c r="D103" s="259"/>
      <c r="E103" s="260"/>
      <c r="F103" s="261"/>
      <c r="G103" s="259"/>
    </row>
    <row r="104" spans="1:7" ht="15" customHeight="1" x14ac:dyDescent="0.15">
      <c r="A104" s="258"/>
      <c r="B104" s="259"/>
      <c r="C104" s="259"/>
      <c r="D104" s="259"/>
      <c r="E104" s="260"/>
      <c r="F104" s="261"/>
      <c r="G104" s="259"/>
    </row>
    <row r="105" spans="1:7" ht="15" customHeight="1" x14ac:dyDescent="0.15">
      <c r="A105" s="258"/>
      <c r="B105" s="259"/>
      <c r="C105" s="259"/>
      <c r="D105" s="259"/>
      <c r="E105" s="260"/>
      <c r="F105" s="261"/>
      <c r="G105" s="259"/>
    </row>
    <row r="106" spans="1:7" ht="15" customHeight="1" x14ac:dyDescent="0.15">
      <c r="A106" s="258"/>
      <c r="B106" s="259"/>
      <c r="C106" s="259"/>
      <c r="D106" s="259"/>
      <c r="E106" s="260"/>
      <c r="F106" s="261"/>
      <c r="G106" s="259"/>
    </row>
    <row r="107" spans="1:7" ht="15" customHeight="1" x14ac:dyDescent="0.15">
      <c r="A107" s="258"/>
      <c r="B107" s="259"/>
      <c r="C107" s="259"/>
      <c r="D107" s="259"/>
      <c r="E107" s="260"/>
      <c r="F107" s="261"/>
      <c r="G107" s="259"/>
    </row>
    <row r="108" spans="1:7" ht="15" customHeight="1" x14ac:dyDescent="0.15">
      <c r="A108" s="258"/>
      <c r="B108" s="259"/>
      <c r="C108" s="259"/>
      <c r="D108" s="259"/>
      <c r="E108" s="260"/>
      <c r="F108" s="261"/>
      <c r="G108" s="259"/>
    </row>
    <row r="109" spans="1:7" ht="15" customHeight="1" x14ac:dyDescent="0.15">
      <c r="A109" s="258"/>
      <c r="B109" s="259"/>
      <c r="C109" s="259"/>
      <c r="D109" s="259"/>
      <c r="E109" s="260"/>
      <c r="F109" s="261"/>
      <c r="G109" s="259"/>
    </row>
    <row r="110" spans="1:7" ht="15" customHeight="1" x14ac:dyDescent="0.15">
      <c r="A110" s="258"/>
      <c r="B110" s="259"/>
      <c r="C110" s="259"/>
      <c r="D110" s="259"/>
      <c r="E110" s="260"/>
      <c r="F110" s="261"/>
      <c r="G110" s="259"/>
    </row>
    <row r="111" spans="1:7" ht="15" customHeight="1" x14ac:dyDescent="0.15">
      <c r="A111" s="258"/>
      <c r="B111" s="259"/>
      <c r="C111" s="259"/>
      <c r="D111" s="259"/>
      <c r="E111" s="260"/>
      <c r="F111" s="261"/>
      <c r="G111" s="259"/>
    </row>
    <row r="112" spans="1:7" ht="15" customHeight="1" x14ac:dyDescent="0.15">
      <c r="A112" s="258"/>
      <c r="B112" s="259"/>
      <c r="C112" s="259"/>
      <c r="D112" s="259"/>
      <c r="E112" s="260"/>
      <c r="F112" s="261"/>
      <c r="G112" s="259"/>
    </row>
    <row r="113" spans="1:7" ht="15" customHeight="1" x14ac:dyDescent="0.15">
      <c r="A113" s="258"/>
      <c r="B113" s="259"/>
      <c r="C113" s="259"/>
      <c r="D113" s="259"/>
      <c r="E113" s="260"/>
      <c r="F113" s="261"/>
      <c r="G113" s="259"/>
    </row>
    <row r="114" spans="1:7" ht="15" customHeight="1" x14ac:dyDescent="0.15">
      <c r="A114" s="258"/>
      <c r="B114" s="259"/>
      <c r="C114" s="259"/>
      <c r="D114" s="259"/>
      <c r="E114" s="260"/>
      <c r="F114" s="261"/>
      <c r="G114" s="259"/>
    </row>
    <row r="115" spans="1:7" ht="15" customHeight="1" x14ac:dyDescent="0.15">
      <c r="A115" s="258"/>
      <c r="B115" s="259"/>
      <c r="C115" s="259"/>
      <c r="D115" s="259"/>
      <c r="E115" s="260"/>
      <c r="F115" s="261"/>
      <c r="G115" s="259"/>
    </row>
    <row r="116" spans="1:7" ht="15" customHeight="1" x14ac:dyDescent="0.15">
      <c r="A116" s="258"/>
      <c r="B116" s="259"/>
      <c r="C116" s="259"/>
      <c r="D116" s="259"/>
      <c r="E116" s="260"/>
      <c r="F116" s="261"/>
      <c r="G116" s="259"/>
    </row>
    <row r="117" spans="1:7" ht="15" customHeight="1" x14ac:dyDescent="0.15"/>
    <row r="118" spans="1:7" ht="15" customHeight="1" x14ac:dyDescent="0.15"/>
    <row r="119" spans="1:7" ht="15" customHeight="1" x14ac:dyDescent="0.15"/>
    <row r="120" spans="1:7" ht="15" customHeight="1" x14ac:dyDescent="0.15"/>
    <row r="121" spans="1:7" ht="15" customHeight="1" x14ac:dyDescent="0.15"/>
    <row r="122" spans="1:7" ht="15" customHeight="1" x14ac:dyDescent="0.15"/>
    <row r="123" spans="1:7" ht="15" customHeight="1" x14ac:dyDescent="0.15"/>
    <row r="124" spans="1:7" ht="15" customHeight="1" x14ac:dyDescent="0.15"/>
    <row r="125" spans="1:7" ht="15" customHeight="1" x14ac:dyDescent="0.15"/>
    <row r="126" spans="1:7" ht="15" customHeight="1" x14ac:dyDescent="0.15"/>
    <row r="127" spans="1:7" ht="15" customHeight="1" x14ac:dyDescent="0.15"/>
    <row r="128" spans="1:7"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row r="198" ht="15" customHeight="1" x14ac:dyDescent="0.15"/>
    <row r="199" ht="15" customHeight="1" x14ac:dyDescent="0.15"/>
    <row r="200" ht="15" customHeight="1" x14ac:dyDescent="0.15"/>
    <row r="201" ht="15" customHeight="1" x14ac:dyDescent="0.15"/>
    <row r="202" ht="15" customHeight="1" x14ac:dyDescent="0.15"/>
    <row r="203" ht="15" customHeight="1" x14ac:dyDescent="0.15"/>
    <row r="204" ht="15" customHeight="1" x14ac:dyDescent="0.15"/>
    <row r="205" ht="15" customHeight="1" x14ac:dyDescent="0.15"/>
    <row r="206" ht="15" customHeight="1" x14ac:dyDescent="0.15"/>
    <row r="207" ht="15" customHeight="1" x14ac:dyDescent="0.15"/>
    <row r="208" ht="15" customHeight="1" x14ac:dyDescent="0.15"/>
    <row r="209" ht="15" customHeight="1" x14ac:dyDescent="0.15"/>
    <row r="210" ht="15" customHeight="1" x14ac:dyDescent="0.15"/>
    <row r="211" ht="15" customHeight="1" x14ac:dyDescent="0.15"/>
    <row r="212" ht="15" customHeight="1" x14ac:dyDescent="0.15"/>
    <row r="213" ht="15" customHeight="1" x14ac:dyDescent="0.15"/>
    <row r="214" ht="15" customHeight="1" x14ac:dyDescent="0.15"/>
    <row r="215" ht="15" customHeight="1" x14ac:dyDescent="0.15"/>
    <row r="216" ht="15" customHeight="1" x14ac:dyDescent="0.15"/>
    <row r="217" ht="15" customHeight="1" x14ac:dyDescent="0.15"/>
    <row r="218" ht="15" customHeight="1" x14ac:dyDescent="0.15"/>
    <row r="219" ht="15" customHeight="1" x14ac:dyDescent="0.15"/>
    <row r="220" ht="15" customHeight="1" x14ac:dyDescent="0.15"/>
    <row r="221" ht="15" customHeight="1" x14ac:dyDescent="0.15"/>
    <row r="222" ht="15" customHeight="1" x14ac:dyDescent="0.15"/>
    <row r="223" ht="15" customHeight="1" x14ac:dyDescent="0.15"/>
    <row r="224" ht="15" customHeight="1" x14ac:dyDescent="0.15"/>
    <row r="225" ht="15" customHeight="1" x14ac:dyDescent="0.15"/>
    <row r="226" ht="15" customHeight="1" x14ac:dyDescent="0.15"/>
    <row r="227" ht="15" customHeight="1" x14ac:dyDescent="0.15"/>
    <row r="228" ht="15" customHeight="1" x14ac:dyDescent="0.15"/>
    <row r="229" ht="15" customHeight="1" x14ac:dyDescent="0.15"/>
    <row r="230" ht="15" customHeight="1" x14ac:dyDescent="0.15"/>
    <row r="231" ht="15" customHeight="1" x14ac:dyDescent="0.15"/>
    <row r="232" ht="15" customHeight="1" x14ac:dyDescent="0.15"/>
    <row r="233" ht="15" customHeight="1" x14ac:dyDescent="0.15"/>
    <row r="234" ht="15" customHeight="1" x14ac:dyDescent="0.15"/>
    <row r="235" ht="15" customHeight="1" x14ac:dyDescent="0.15"/>
    <row r="236" ht="15" customHeight="1" x14ac:dyDescent="0.15"/>
    <row r="237" ht="15" customHeight="1" x14ac:dyDescent="0.15"/>
    <row r="238" ht="15" customHeight="1" x14ac:dyDescent="0.15"/>
    <row r="239" ht="15" customHeight="1" x14ac:dyDescent="0.15"/>
    <row r="240" ht="15" customHeight="1" x14ac:dyDescent="0.15"/>
    <row r="241" ht="15" customHeight="1" x14ac:dyDescent="0.15"/>
    <row r="242" ht="15" customHeight="1" x14ac:dyDescent="0.15"/>
    <row r="243" ht="15" customHeight="1" x14ac:dyDescent="0.15"/>
    <row r="244" ht="15" customHeight="1" x14ac:dyDescent="0.15"/>
    <row r="245" ht="15" customHeight="1" x14ac:dyDescent="0.15"/>
    <row r="246" ht="15" customHeight="1" x14ac:dyDescent="0.15"/>
    <row r="247" ht="15" customHeight="1" x14ac:dyDescent="0.15"/>
    <row r="248" ht="15" customHeight="1" x14ac:dyDescent="0.15"/>
    <row r="249" ht="15" customHeight="1" x14ac:dyDescent="0.15"/>
    <row r="250" ht="15" customHeight="1" x14ac:dyDescent="0.15"/>
    <row r="251" ht="15" customHeight="1" x14ac:dyDescent="0.15"/>
    <row r="252" ht="15" customHeight="1" x14ac:dyDescent="0.15"/>
    <row r="253" ht="15" customHeight="1" x14ac:dyDescent="0.15"/>
    <row r="254" ht="15" customHeight="1" x14ac:dyDescent="0.15"/>
    <row r="255" ht="15" customHeight="1" x14ac:dyDescent="0.15"/>
    <row r="256" ht="15" customHeight="1" x14ac:dyDescent="0.15"/>
    <row r="257" ht="15" customHeight="1" x14ac:dyDescent="0.15"/>
    <row r="258" ht="15" customHeight="1" x14ac:dyDescent="0.15"/>
    <row r="259" ht="15" customHeight="1" x14ac:dyDescent="0.15"/>
    <row r="260" ht="15" customHeight="1" x14ac:dyDescent="0.15"/>
    <row r="261" ht="15" customHeight="1" x14ac:dyDescent="0.15"/>
    <row r="262" ht="15" customHeight="1" x14ac:dyDescent="0.15"/>
    <row r="263" ht="15" customHeight="1" x14ac:dyDescent="0.15"/>
    <row r="264" ht="15" customHeight="1" x14ac:dyDescent="0.15"/>
    <row r="265" ht="15" customHeight="1" x14ac:dyDescent="0.15"/>
    <row r="266" ht="15" customHeight="1" x14ac:dyDescent="0.15"/>
    <row r="267" ht="15" customHeight="1" x14ac:dyDescent="0.15"/>
    <row r="268" ht="15" customHeight="1" x14ac:dyDescent="0.15"/>
    <row r="269" ht="15" customHeight="1" x14ac:dyDescent="0.15"/>
    <row r="270" ht="15" customHeight="1" x14ac:dyDescent="0.15"/>
    <row r="271" ht="15" customHeight="1" x14ac:dyDescent="0.15"/>
    <row r="272" ht="15" customHeight="1" x14ac:dyDescent="0.15"/>
    <row r="273" ht="15" customHeight="1" x14ac:dyDescent="0.15"/>
    <row r="274" ht="15" customHeight="1" x14ac:dyDescent="0.15"/>
    <row r="275" ht="15" customHeight="1" x14ac:dyDescent="0.15"/>
    <row r="276" ht="15" customHeight="1" x14ac:dyDescent="0.15"/>
    <row r="277" ht="15" customHeight="1" x14ac:dyDescent="0.15"/>
    <row r="278" ht="15" customHeight="1" x14ac:dyDescent="0.15"/>
    <row r="279" ht="15" customHeight="1" x14ac:dyDescent="0.15"/>
    <row r="280" ht="15" customHeight="1" x14ac:dyDescent="0.15"/>
    <row r="281" ht="15" customHeight="1" x14ac:dyDescent="0.15"/>
    <row r="282" ht="15" customHeight="1" x14ac:dyDescent="0.15"/>
    <row r="283" ht="15" customHeight="1" x14ac:dyDescent="0.15"/>
    <row r="284" ht="15" customHeight="1" x14ac:dyDescent="0.15"/>
    <row r="285" ht="15" customHeight="1" x14ac:dyDescent="0.15"/>
    <row r="286" ht="15" customHeight="1" x14ac:dyDescent="0.15"/>
    <row r="287" ht="15" customHeight="1" x14ac:dyDescent="0.15"/>
    <row r="288" ht="15" customHeight="1" x14ac:dyDescent="0.15"/>
    <row r="289" ht="15" customHeight="1" x14ac:dyDescent="0.15"/>
    <row r="290" ht="15" customHeight="1" x14ac:dyDescent="0.15"/>
    <row r="291" ht="15" customHeight="1" x14ac:dyDescent="0.15"/>
    <row r="292" ht="15" customHeight="1" x14ac:dyDescent="0.15"/>
    <row r="293" ht="15" customHeight="1" x14ac:dyDescent="0.15"/>
    <row r="294" ht="15" customHeight="1" x14ac:dyDescent="0.15"/>
    <row r="295" ht="15" customHeight="1" x14ac:dyDescent="0.15"/>
    <row r="296" ht="15" customHeight="1" x14ac:dyDescent="0.15"/>
    <row r="297" ht="15" customHeight="1" x14ac:dyDescent="0.15"/>
    <row r="298" ht="15" customHeight="1" x14ac:dyDescent="0.15"/>
    <row r="299" ht="15" customHeight="1" x14ac:dyDescent="0.15"/>
    <row r="300" ht="15" customHeight="1" x14ac:dyDescent="0.15"/>
    <row r="301" ht="15" customHeight="1" x14ac:dyDescent="0.15"/>
    <row r="302" ht="15" customHeight="1" x14ac:dyDescent="0.15"/>
    <row r="303" ht="15" customHeight="1" x14ac:dyDescent="0.15"/>
    <row r="304" ht="15" customHeight="1" x14ac:dyDescent="0.15"/>
    <row r="305" ht="15" customHeight="1" x14ac:dyDescent="0.15"/>
    <row r="306" ht="15" customHeight="1" x14ac:dyDescent="0.15"/>
    <row r="307" ht="15" customHeight="1" x14ac:dyDescent="0.15"/>
    <row r="308" ht="15" customHeight="1" x14ac:dyDescent="0.15"/>
    <row r="309" ht="15" customHeight="1" x14ac:dyDescent="0.15"/>
    <row r="310" ht="15" customHeight="1" x14ac:dyDescent="0.15"/>
    <row r="311" ht="15" customHeight="1" x14ac:dyDescent="0.15"/>
    <row r="312" ht="15" customHeight="1" x14ac:dyDescent="0.15"/>
    <row r="313" ht="15" customHeight="1" x14ac:dyDescent="0.15"/>
    <row r="314" ht="15" customHeight="1" x14ac:dyDescent="0.15"/>
    <row r="315" ht="15" customHeight="1" x14ac:dyDescent="0.15"/>
    <row r="316" ht="15" customHeight="1" x14ac:dyDescent="0.15"/>
    <row r="317" ht="15" customHeight="1" x14ac:dyDescent="0.15"/>
    <row r="318" ht="15" customHeight="1" x14ac:dyDescent="0.15"/>
    <row r="319" ht="15" customHeight="1" x14ac:dyDescent="0.15"/>
    <row r="320" ht="15" customHeight="1" x14ac:dyDescent="0.15"/>
    <row r="321" ht="15" customHeight="1" x14ac:dyDescent="0.15"/>
    <row r="322" ht="15" customHeight="1" x14ac:dyDescent="0.15"/>
    <row r="323" ht="15" customHeight="1" x14ac:dyDescent="0.15"/>
    <row r="324" ht="15" customHeight="1" x14ac:dyDescent="0.15"/>
    <row r="325" ht="15" customHeight="1" x14ac:dyDescent="0.15"/>
    <row r="326" ht="15" customHeight="1" x14ac:dyDescent="0.15"/>
    <row r="327" ht="15" customHeight="1" x14ac:dyDescent="0.15"/>
    <row r="328" ht="15" customHeight="1" x14ac:dyDescent="0.15"/>
    <row r="329" ht="15" customHeight="1" x14ac:dyDescent="0.15"/>
    <row r="330" ht="15" customHeight="1" x14ac:dyDescent="0.15"/>
    <row r="331" ht="15" customHeight="1" x14ac:dyDescent="0.15"/>
    <row r="332" ht="15" customHeight="1" x14ac:dyDescent="0.15"/>
    <row r="333" ht="15" customHeight="1" x14ac:dyDescent="0.15"/>
    <row r="334" ht="15" customHeight="1" x14ac:dyDescent="0.15"/>
    <row r="335" ht="15" customHeight="1" x14ac:dyDescent="0.15"/>
    <row r="336" ht="15" customHeight="1" x14ac:dyDescent="0.15"/>
    <row r="337" ht="15" customHeight="1" x14ac:dyDescent="0.15"/>
    <row r="338" ht="15" customHeight="1" x14ac:dyDescent="0.15"/>
    <row r="339" ht="15" customHeight="1" x14ac:dyDescent="0.15"/>
    <row r="340" ht="15" customHeight="1" x14ac:dyDescent="0.15"/>
    <row r="341" ht="15" customHeight="1" x14ac:dyDescent="0.15"/>
    <row r="342" ht="15" customHeight="1" x14ac:dyDescent="0.15"/>
    <row r="343" ht="15" customHeight="1" x14ac:dyDescent="0.15"/>
    <row r="344" ht="15" customHeight="1" x14ac:dyDescent="0.15"/>
    <row r="345" ht="15" customHeight="1" x14ac:dyDescent="0.15"/>
    <row r="346" ht="15" customHeight="1" x14ac:dyDescent="0.15"/>
    <row r="347" ht="15" customHeight="1" x14ac:dyDescent="0.15"/>
    <row r="348" ht="15" customHeight="1" x14ac:dyDescent="0.15"/>
    <row r="349" ht="15" customHeight="1" x14ac:dyDescent="0.15"/>
    <row r="350" ht="15" customHeight="1" x14ac:dyDescent="0.15"/>
    <row r="351" ht="15" customHeight="1" x14ac:dyDescent="0.15"/>
    <row r="352" ht="15" customHeight="1" x14ac:dyDescent="0.15"/>
    <row r="353" ht="15" customHeight="1" x14ac:dyDescent="0.15"/>
    <row r="354" ht="15" customHeight="1" x14ac:dyDescent="0.15"/>
    <row r="355" ht="15" customHeight="1" x14ac:dyDescent="0.15"/>
    <row r="356" ht="15" customHeight="1" x14ac:dyDescent="0.15"/>
    <row r="357" ht="15" customHeight="1" x14ac:dyDescent="0.15"/>
    <row r="358" ht="15" customHeight="1" x14ac:dyDescent="0.15"/>
    <row r="359" ht="15" customHeight="1" x14ac:dyDescent="0.15"/>
    <row r="360" ht="15" customHeight="1" x14ac:dyDescent="0.15"/>
    <row r="361" ht="15" customHeight="1" x14ac:dyDescent="0.15"/>
    <row r="362" ht="15" customHeight="1" x14ac:dyDescent="0.15"/>
    <row r="363" ht="15" customHeight="1" x14ac:dyDescent="0.15"/>
    <row r="364" ht="15" customHeight="1" x14ac:dyDescent="0.15"/>
    <row r="365" ht="15" customHeight="1" x14ac:dyDescent="0.15"/>
    <row r="366" ht="15" customHeight="1" x14ac:dyDescent="0.15"/>
    <row r="367" ht="15" customHeight="1" x14ac:dyDescent="0.15"/>
    <row r="368" ht="15" customHeight="1" x14ac:dyDescent="0.15"/>
    <row r="369" ht="15" customHeight="1" x14ac:dyDescent="0.15"/>
    <row r="370" ht="15" customHeight="1" x14ac:dyDescent="0.15"/>
    <row r="371" ht="15" customHeight="1" x14ac:dyDescent="0.15"/>
    <row r="372" ht="15" customHeight="1" x14ac:dyDescent="0.15"/>
    <row r="373" ht="15" customHeight="1" x14ac:dyDescent="0.15"/>
    <row r="374" ht="15" customHeight="1" x14ac:dyDescent="0.15"/>
    <row r="375" ht="15" customHeight="1" x14ac:dyDescent="0.15"/>
    <row r="376" ht="15" customHeight="1" x14ac:dyDescent="0.15"/>
    <row r="377" ht="15" customHeight="1" x14ac:dyDescent="0.15"/>
    <row r="378" ht="15" customHeight="1" x14ac:dyDescent="0.15"/>
    <row r="379" ht="15" customHeight="1" x14ac:dyDescent="0.15"/>
    <row r="380" ht="15" customHeight="1" x14ac:dyDescent="0.15"/>
    <row r="381" ht="15" customHeight="1" x14ac:dyDescent="0.15"/>
    <row r="382" ht="15" customHeight="1" x14ac:dyDescent="0.15"/>
    <row r="383" ht="15" customHeight="1" x14ac:dyDescent="0.15"/>
    <row r="384" ht="15" customHeight="1" x14ac:dyDescent="0.15"/>
    <row r="385" ht="15" customHeight="1" x14ac:dyDescent="0.15"/>
    <row r="386" ht="15" customHeight="1" x14ac:dyDescent="0.15"/>
    <row r="387" ht="15" customHeight="1" x14ac:dyDescent="0.15"/>
    <row r="388" ht="15" customHeight="1" x14ac:dyDescent="0.15"/>
    <row r="389" ht="15" customHeight="1" x14ac:dyDescent="0.15"/>
    <row r="390" ht="15" customHeight="1" x14ac:dyDescent="0.15"/>
    <row r="391" ht="15" customHeight="1" x14ac:dyDescent="0.15"/>
    <row r="392" ht="15" customHeight="1" x14ac:dyDescent="0.15"/>
    <row r="393" ht="15" customHeight="1" x14ac:dyDescent="0.15"/>
    <row r="394" ht="15" customHeight="1" x14ac:dyDescent="0.15"/>
    <row r="395" ht="15" customHeight="1" x14ac:dyDescent="0.15"/>
    <row r="396" ht="15" customHeight="1" x14ac:dyDescent="0.15"/>
    <row r="397" ht="15" customHeight="1" x14ac:dyDescent="0.15"/>
    <row r="398" ht="15" customHeight="1" x14ac:dyDescent="0.15"/>
    <row r="399" ht="15" customHeight="1" x14ac:dyDescent="0.15"/>
    <row r="400" ht="15" customHeight="1" x14ac:dyDescent="0.15"/>
    <row r="401" ht="15" customHeight="1" x14ac:dyDescent="0.15"/>
    <row r="402" ht="15" customHeight="1" x14ac:dyDescent="0.15"/>
    <row r="403" ht="15" customHeight="1" x14ac:dyDescent="0.15"/>
    <row r="404" ht="15" customHeight="1" x14ac:dyDescent="0.15"/>
    <row r="405" ht="15" customHeight="1" x14ac:dyDescent="0.15"/>
    <row r="406" ht="15" customHeight="1" x14ac:dyDescent="0.15"/>
    <row r="407" ht="15" customHeight="1" x14ac:dyDescent="0.15"/>
    <row r="408" ht="15" customHeight="1" x14ac:dyDescent="0.15"/>
    <row r="409" ht="15" customHeight="1" x14ac:dyDescent="0.15"/>
    <row r="410" ht="15" customHeight="1" x14ac:dyDescent="0.15"/>
    <row r="411" ht="15" customHeight="1" x14ac:dyDescent="0.15"/>
    <row r="412" ht="15" customHeight="1" x14ac:dyDescent="0.15"/>
    <row r="413" ht="15" customHeight="1" x14ac:dyDescent="0.15"/>
    <row r="414" ht="15" customHeight="1" x14ac:dyDescent="0.15"/>
    <row r="415" ht="15" customHeight="1" x14ac:dyDescent="0.15"/>
    <row r="416" ht="15" customHeight="1" x14ac:dyDescent="0.15"/>
    <row r="417" ht="15" customHeight="1" x14ac:dyDescent="0.15"/>
    <row r="418" ht="15" customHeight="1" x14ac:dyDescent="0.15"/>
    <row r="419" ht="15" customHeight="1" x14ac:dyDescent="0.15"/>
    <row r="420" ht="15" customHeight="1" x14ac:dyDescent="0.15"/>
    <row r="421" ht="15" customHeight="1" x14ac:dyDescent="0.15"/>
    <row r="422" ht="15" customHeight="1" x14ac:dyDescent="0.15"/>
    <row r="423" ht="15" customHeight="1" x14ac:dyDescent="0.15"/>
    <row r="424" ht="15" customHeight="1" x14ac:dyDescent="0.15"/>
    <row r="425" ht="15" customHeight="1" x14ac:dyDescent="0.15"/>
    <row r="426" ht="15" customHeight="1" x14ac:dyDescent="0.15"/>
    <row r="427" ht="15" customHeight="1" x14ac:dyDescent="0.15"/>
    <row r="428" ht="15" customHeight="1" x14ac:dyDescent="0.15"/>
    <row r="429" ht="15" customHeight="1" x14ac:dyDescent="0.15"/>
    <row r="430" ht="15" customHeight="1" x14ac:dyDescent="0.15"/>
    <row r="431" ht="15" customHeight="1" x14ac:dyDescent="0.15"/>
    <row r="432" ht="15" customHeight="1" x14ac:dyDescent="0.15"/>
    <row r="433" ht="15" customHeight="1" x14ac:dyDescent="0.15"/>
    <row r="434" ht="15" customHeight="1" x14ac:dyDescent="0.15"/>
    <row r="435" ht="15" customHeight="1" x14ac:dyDescent="0.15"/>
    <row r="436" ht="15" customHeight="1" x14ac:dyDescent="0.15"/>
    <row r="437" ht="15" customHeight="1" x14ac:dyDescent="0.15"/>
    <row r="438" ht="15" customHeight="1" x14ac:dyDescent="0.15"/>
    <row r="439" ht="15" customHeight="1" x14ac:dyDescent="0.15"/>
    <row r="440" ht="15" customHeight="1" x14ac:dyDescent="0.15"/>
    <row r="441" ht="15" customHeight="1" x14ac:dyDescent="0.15"/>
    <row r="442" ht="15" customHeight="1" x14ac:dyDescent="0.15"/>
    <row r="443" ht="15" customHeight="1" x14ac:dyDescent="0.15"/>
    <row r="444" ht="15" customHeight="1" x14ac:dyDescent="0.15"/>
    <row r="445" ht="15" customHeight="1" x14ac:dyDescent="0.15"/>
    <row r="446" ht="15" customHeight="1" x14ac:dyDescent="0.15"/>
    <row r="447" ht="15" customHeight="1" x14ac:dyDescent="0.15"/>
    <row r="448" ht="15" customHeight="1" x14ac:dyDescent="0.15"/>
    <row r="449" ht="15" customHeight="1" x14ac:dyDescent="0.15"/>
    <row r="450" ht="15" customHeight="1" x14ac:dyDescent="0.15"/>
    <row r="451" ht="15" customHeight="1" x14ac:dyDescent="0.15"/>
    <row r="452" ht="15" customHeight="1" x14ac:dyDescent="0.15"/>
    <row r="453" ht="15" customHeight="1" x14ac:dyDescent="0.15"/>
    <row r="454" ht="15" customHeight="1" x14ac:dyDescent="0.15"/>
    <row r="455" ht="15" customHeight="1" x14ac:dyDescent="0.15"/>
    <row r="456" ht="15" customHeight="1" x14ac:dyDescent="0.15"/>
    <row r="457" ht="15" customHeight="1" x14ac:dyDescent="0.15"/>
    <row r="458" ht="15" customHeight="1" x14ac:dyDescent="0.15"/>
    <row r="459" ht="15" customHeight="1" x14ac:dyDescent="0.15"/>
    <row r="460" ht="15" customHeight="1" x14ac:dyDescent="0.15"/>
    <row r="461" ht="15" customHeight="1" x14ac:dyDescent="0.15"/>
    <row r="462" ht="15" customHeight="1" x14ac:dyDescent="0.15"/>
    <row r="463" ht="15" customHeight="1" x14ac:dyDescent="0.15"/>
    <row r="464" ht="15" customHeight="1" x14ac:dyDescent="0.15"/>
    <row r="465" ht="15" customHeight="1" x14ac:dyDescent="0.15"/>
    <row r="466" ht="15" customHeight="1" x14ac:dyDescent="0.15"/>
    <row r="467" ht="15" customHeight="1" x14ac:dyDescent="0.15"/>
    <row r="468" ht="15" customHeight="1" x14ac:dyDescent="0.15"/>
    <row r="469" ht="15" customHeight="1" x14ac:dyDescent="0.15"/>
    <row r="470" ht="15" customHeight="1" x14ac:dyDescent="0.15"/>
    <row r="471" ht="15" customHeight="1" x14ac:dyDescent="0.15"/>
    <row r="472" ht="15" customHeight="1" x14ac:dyDescent="0.15"/>
    <row r="473" ht="15" customHeight="1" x14ac:dyDescent="0.15"/>
    <row r="474" ht="15" customHeight="1" x14ac:dyDescent="0.15"/>
    <row r="475" ht="15" customHeight="1" x14ac:dyDescent="0.15"/>
    <row r="476" ht="15" customHeight="1" x14ac:dyDescent="0.15"/>
    <row r="477" ht="15" customHeight="1" x14ac:dyDescent="0.15"/>
    <row r="478" ht="15" customHeight="1" x14ac:dyDescent="0.15"/>
    <row r="479" ht="15" customHeight="1" x14ac:dyDescent="0.15"/>
    <row r="480" ht="15" customHeight="1" x14ac:dyDescent="0.15"/>
    <row r="481" ht="15" customHeight="1" x14ac:dyDescent="0.15"/>
    <row r="482" ht="15" customHeight="1" x14ac:dyDescent="0.15"/>
    <row r="483" ht="15" customHeight="1" x14ac:dyDescent="0.15"/>
    <row r="484" ht="15" customHeight="1" x14ac:dyDescent="0.15"/>
    <row r="485" ht="15" customHeight="1" x14ac:dyDescent="0.15"/>
    <row r="486" ht="15" customHeight="1" x14ac:dyDescent="0.15"/>
    <row r="487" ht="15" customHeight="1" x14ac:dyDescent="0.15"/>
    <row r="488" ht="15" customHeight="1" x14ac:dyDescent="0.15"/>
    <row r="489" ht="15" customHeight="1" x14ac:dyDescent="0.15"/>
    <row r="490" ht="15" customHeight="1" x14ac:dyDescent="0.15"/>
    <row r="491" ht="15" customHeight="1" x14ac:dyDescent="0.15"/>
    <row r="492" ht="15" customHeight="1" x14ac:dyDescent="0.15"/>
    <row r="493" ht="15" customHeight="1" x14ac:dyDescent="0.15"/>
    <row r="494" ht="15" customHeight="1" x14ac:dyDescent="0.15"/>
    <row r="495" ht="15" customHeight="1" x14ac:dyDescent="0.15"/>
    <row r="496" ht="15" customHeight="1" x14ac:dyDescent="0.15"/>
    <row r="497" ht="15" customHeight="1" x14ac:dyDescent="0.15"/>
    <row r="498" ht="15" customHeight="1" x14ac:dyDescent="0.15"/>
    <row r="499" ht="15" customHeight="1" x14ac:dyDescent="0.15"/>
    <row r="500" ht="15" customHeight="1" x14ac:dyDescent="0.15"/>
    <row r="501" ht="15" customHeight="1" x14ac:dyDescent="0.15"/>
  </sheetData>
  <conditionalFormatting sqref="N4:N200">
    <cfRule type="cellIs" dxfId="15" priority="1" operator="equal">
      <formula>"ADD TO PRICES"</formula>
    </cfRule>
    <cfRule type="cellIs" dxfId="16" priority="2" operator="equal">
      <formula>"OK - in Prices"</formula>
    </cfRule>
  </conditionalFormatting>
  <conditionalFormatting sqref="Q4:Q200">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'Portfolio Analysis'!$B$4</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'Portfolio Analysis'!$B$4</f>
        <v>1090</v>
      </c>
      <c r="F5" s="284" t="s">
        <v>508</v>
      </c>
    </row>
    <row r="7" spans="1:6" ht="15" customHeight="1" x14ac:dyDescent="0.15">
      <c r="A7" s="33" t="s">
        <v>509</v>
      </c>
    </row>
    <row r="8" spans="1:6" ht="15" customHeight="1" x14ac:dyDescent="0.15">
      <c r="A8" s="285"/>
      <c r="B8" s="48"/>
      <c r="C8" s="30"/>
      <c r="D8" s="112"/>
      <c r="E8" s="30" t="str">
        <f>IF($A8="","",SUMIFS('Portfolio Analysis'!$G$10:$G$1009,'Portfolio Analysis'!$B$10:$B$1009,"&lt;="&amp;$A8))</f>
        <v/>
      </c>
    </row>
    <row r="9" spans="1:6" ht="15" customHeight="1" x14ac:dyDescent="0.15">
      <c r="A9" s="285"/>
      <c r="B9" s="48"/>
      <c r="C9" s="30" t="str">
        <f>IF(OR($A9="",NOT(ISNUMBER($A8))),"",-SUMIFS('Portfolio Analysis'!$F$10:$F$1009,'Portfolio Analysis'!$B$10:$B$1009,"&gt;"&amp;$A8,'Portfolio Analysis'!$B$10:$B$1009,"&lt;="&amp;$A9))</f>
        <v/>
      </c>
      <c r="D9" s="112" t="str">
        <f t="shared" ref="D9:D40" si="0">IF(OR($C9="",$B9="",$B8=""),"",IFERROR(($B9-$B8-$C9)/$B8,""))</f>
        <v/>
      </c>
      <c r="E9" s="30" t="str">
        <f>IF($A9="","",SUMIFS('Portfolio Analysis'!$G$10:$G$1009,'Portfolio Analysis'!$B$10:$B$1009,"&lt;="&amp;$A9))</f>
        <v/>
      </c>
    </row>
    <row r="10" spans="1:6" ht="15" customHeight="1" x14ac:dyDescent="0.15">
      <c r="A10" s="285"/>
      <c r="B10" s="48"/>
      <c r="C10" s="30" t="str">
        <f>IF(OR($A10="",NOT(ISNUMBER($A9))),"",-SUMIFS('Portfolio Analysis'!$F$10:$F$1009,'Portfolio Analysis'!$B$10:$B$1009,"&gt;"&amp;$A9,'Portfolio Analysis'!$B$10:$B$1009,"&lt;="&amp;$A10))</f>
        <v/>
      </c>
      <c r="D10" s="112" t="str">
        <f t="shared" si="0"/>
        <v/>
      </c>
      <c r="E10" s="30" t="str">
        <f>IF($A10="","",SUMIFS('Portfolio Analysis'!$G$10:$G$1009,'Portfolio Analysis'!$B$10:$B$1009,"&lt;="&amp;$A10))</f>
        <v/>
      </c>
    </row>
    <row r="11" spans="1:6" ht="15" customHeight="1" x14ac:dyDescent="0.15">
      <c r="A11" s="285"/>
      <c r="B11" s="48"/>
      <c r="C11" s="30" t="str">
        <f>IF(OR($A11="",NOT(ISNUMBER($A10))),"",-SUMIFS('Portfolio Analysis'!$F$10:$F$1009,'Portfolio Analysis'!$B$10:$B$1009,"&gt;"&amp;$A10,'Portfolio Analysis'!$B$10:$B$1009,"&lt;="&amp;$A11))</f>
        <v/>
      </c>
      <c r="D11" s="112" t="str">
        <f t="shared" si="0"/>
        <v/>
      </c>
      <c r="E11" s="30" t="str">
        <f>IF($A11="","",SUMIFS('Portfolio Analysis'!$G$10:$G$1009,'Portfolio Analysis'!$B$10:$B$1009,"&lt;="&amp;$A11))</f>
        <v/>
      </c>
    </row>
    <row r="12" spans="1:6" ht="15" customHeight="1" x14ac:dyDescent="0.15">
      <c r="A12" s="285"/>
      <c r="B12" s="48"/>
      <c r="C12" s="30" t="str">
        <f>IF(OR($A12="",NOT(ISNUMBER($A11))),"",-SUMIFS('Portfolio Analysis'!$F$10:$F$1009,'Portfolio Analysis'!$B$10:$B$1009,"&gt;"&amp;$A11,'Portfolio Analysis'!$B$10:$B$1009,"&lt;="&amp;$A12))</f>
        <v/>
      </c>
      <c r="D12" s="112" t="str">
        <f t="shared" si="0"/>
        <v/>
      </c>
      <c r="E12" s="30" t="str">
        <f>IF($A12="","",SUMIFS('Portfolio Analysis'!$G$10:$G$1009,'Portfolio Analysis'!$B$10:$B$1009,"&lt;="&amp;$A12))</f>
        <v/>
      </c>
    </row>
    <row r="13" spans="1:6" ht="15" customHeight="1" x14ac:dyDescent="0.15">
      <c r="A13" s="285"/>
      <c r="B13" s="48"/>
      <c r="C13" s="30" t="str">
        <f>IF(OR($A13="",NOT(ISNUMBER($A12))),"",-SUMIFS('Portfolio Analysis'!$F$10:$F$1009,'Portfolio Analysis'!$B$10:$B$1009,"&gt;"&amp;$A12,'Portfolio Analysis'!$B$10:$B$1009,"&lt;="&amp;$A13))</f>
        <v/>
      </c>
      <c r="D13" s="112" t="str">
        <f t="shared" si="0"/>
        <v/>
      </c>
      <c r="E13" s="30" t="str">
        <f>IF($A13="","",SUMIFS('Portfolio Analysis'!$G$10:$G$1009,'Portfolio Analysis'!$B$10:$B$1009,"&lt;="&amp;$A13))</f>
        <v/>
      </c>
    </row>
    <row r="14" spans="1:6" ht="15" customHeight="1" x14ac:dyDescent="0.15">
      <c r="A14" s="285"/>
      <c r="B14" s="48"/>
      <c r="C14" s="30" t="str">
        <f>IF(OR($A14="",NOT(ISNUMBER($A13))),"",-SUMIFS('Portfolio Analysis'!$F$10:$F$1009,'Portfolio Analysis'!$B$10:$B$1009,"&gt;"&amp;$A13,'Portfolio Analysis'!$B$10:$B$1009,"&lt;="&amp;$A14))</f>
        <v/>
      </c>
      <c r="D14" s="112" t="str">
        <f t="shared" si="0"/>
        <v/>
      </c>
      <c r="E14" s="30" t="str">
        <f>IF($A14="","",SUMIFS('Portfolio Analysis'!$G$10:$G$1009,'Portfolio Analysis'!$B$10:$B$1009,"&lt;="&amp;$A14))</f>
        <v/>
      </c>
    </row>
    <row r="15" spans="1:6" ht="15" customHeight="1" x14ac:dyDescent="0.15">
      <c r="A15" s="285"/>
      <c r="B15" s="48"/>
      <c r="C15" s="30" t="str">
        <f>IF(OR($A15="",NOT(ISNUMBER($A14))),"",-SUMIFS('Portfolio Analysis'!$F$10:$F$1009,'Portfolio Analysis'!$B$10:$B$1009,"&gt;"&amp;$A14,'Portfolio Analysis'!$B$10:$B$1009,"&lt;="&amp;$A15))</f>
        <v/>
      </c>
      <c r="D15" s="112" t="str">
        <f t="shared" si="0"/>
        <v/>
      </c>
      <c r="E15" s="30" t="str">
        <f>IF($A15="","",SUMIFS('Portfolio Analysis'!$G$10:$G$1009,'Portfolio Analysis'!$B$10:$B$1009,"&lt;="&amp;$A15))</f>
        <v/>
      </c>
    </row>
    <row r="16" spans="1:6" ht="15" customHeight="1" x14ac:dyDescent="0.15">
      <c r="A16" s="285"/>
      <c r="B16" s="48"/>
      <c r="C16" s="30" t="str">
        <f>IF(OR($A16="",NOT(ISNUMBER($A15))),"",-SUMIFS('Portfolio Analysis'!$F$10:$F$1009,'Portfolio Analysis'!$B$10:$B$1009,"&gt;"&amp;$A15,'Portfolio Analysis'!$B$10:$B$1009,"&lt;="&amp;$A16))</f>
        <v/>
      </c>
      <c r="D16" s="112" t="str">
        <f t="shared" si="0"/>
        <v/>
      </c>
      <c r="E16" s="30" t="str">
        <f>IF($A16="","",SUMIFS('Portfolio Analysis'!$G$10:$G$1009,'Portfolio Analysis'!$B$10:$B$1009,"&lt;="&amp;$A16))</f>
        <v/>
      </c>
    </row>
    <row r="17" spans="1:5" ht="15" customHeight="1" x14ac:dyDescent="0.15">
      <c r="A17" s="285"/>
      <c r="B17" s="48"/>
      <c r="C17" s="30" t="str">
        <f>IF(OR($A17="",NOT(ISNUMBER($A16))),"",-SUMIFS('Portfolio Analysis'!$F$10:$F$1009,'Portfolio Analysis'!$B$10:$B$1009,"&gt;"&amp;$A16,'Portfolio Analysis'!$B$10:$B$1009,"&lt;="&amp;$A17))</f>
        <v/>
      </c>
      <c r="D17" s="112" t="str">
        <f t="shared" si="0"/>
        <v/>
      </c>
      <c r="E17" s="30" t="str">
        <f>IF($A17="","",SUMIFS('Portfolio Analysis'!$G$10:$G$1009,'Portfolio Analysis'!$B$10:$B$1009,"&lt;="&amp;$A17))</f>
        <v/>
      </c>
    </row>
    <row r="18" spans="1:5" ht="15" customHeight="1" x14ac:dyDescent="0.15">
      <c r="A18" s="285"/>
      <c r="B18" s="48"/>
      <c r="C18" s="30" t="str">
        <f>IF(OR($A18="",NOT(ISNUMBER($A17))),"",-SUMIFS('Portfolio Analysis'!$F$10:$F$1009,'Portfolio Analysis'!$B$10:$B$1009,"&gt;"&amp;$A17,'Portfolio Analysis'!$B$10:$B$1009,"&lt;="&amp;$A18))</f>
        <v/>
      </c>
      <c r="D18" s="112" t="str">
        <f t="shared" si="0"/>
        <v/>
      </c>
      <c r="E18" s="30" t="str">
        <f>IF($A18="","",SUMIFS('Portfolio Analysis'!$G$10:$G$1009,'Portfolio Analysis'!$B$10:$B$1009,"&lt;="&amp;$A18))</f>
        <v/>
      </c>
    </row>
    <row r="19" spans="1:5" ht="15" customHeight="1" x14ac:dyDescent="0.15">
      <c r="A19" s="285"/>
      <c r="B19" s="48"/>
      <c r="C19" s="30" t="str">
        <f>IF(OR($A19="",NOT(ISNUMBER($A18))),"",-SUMIFS('Portfolio Analysis'!$F$10:$F$1009,'Portfolio Analysis'!$B$10:$B$1009,"&gt;"&amp;$A18,'Portfolio Analysis'!$B$10:$B$1009,"&lt;="&amp;$A19))</f>
        <v/>
      </c>
      <c r="D19" s="112" t="str">
        <f t="shared" si="0"/>
        <v/>
      </c>
      <c r="E19" s="30" t="str">
        <f>IF($A19="","",SUMIFS('Portfolio Analysis'!$G$10:$G$1009,'Portfolio Analysis'!$B$10:$B$1009,"&lt;="&amp;$A19))</f>
        <v/>
      </c>
    </row>
    <row r="20" spans="1:5" ht="15" customHeight="1" x14ac:dyDescent="0.15">
      <c r="A20" s="285"/>
      <c r="B20" s="48"/>
      <c r="C20" s="30" t="str">
        <f>IF(OR($A20="",NOT(ISNUMBER($A19))),"",-SUMIFS('Portfolio Analysis'!$F$10:$F$1009,'Portfolio Analysis'!$B$10:$B$1009,"&gt;"&amp;$A19,'Portfolio Analysis'!$B$10:$B$1009,"&lt;="&amp;$A20))</f>
        <v/>
      </c>
      <c r="D20" s="112" t="str">
        <f t="shared" si="0"/>
        <v/>
      </c>
      <c r="E20" s="30" t="str">
        <f>IF($A20="","",SUMIFS('Portfolio Analysis'!$G$10:$G$1009,'Portfolio Analysis'!$B$10:$B$1009,"&lt;="&amp;$A20))</f>
        <v/>
      </c>
    </row>
    <row r="21" spans="1:5" ht="15" customHeight="1" x14ac:dyDescent="0.15">
      <c r="A21" s="285"/>
      <c r="B21" s="48"/>
      <c r="C21" s="30" t="str">
        <f>IF(OR($A21="",NOT(ISNUMBER($A20))),"",-SUMIFS('Portfolio Analysis'!$F$10:$F$1009,'Portfolio Analysis'!$B$10:$B$1009,"&gt;"&amp;$A20,'Portfolio Analysis'!$B$10:$B$1009,"&lt;="&amp;$A21))</f>
        <v/>
      </c>
      <c r="D21" s="112" t="str">
        <f t="shared" si="0"/>
        <v/>
      </c>
      <c r="E21" s="30" t="str">
        <f>IF($A21="","",SUMIFS('Portfolio Analysis'!$G$10:$G$1009,'Portfolio Analysis'!$B$10:$B$1009,"&lt;="&amp;$A21))</f>
        <v/>
      </c>
    </row>
    <row r="22" spans="1:5" ht="15" customHeight="1" x14ac:dyDescent="0.15">
      <c r="A22" s="285"/>
      <c r="B22" s="48"/>
      <c r="C22" s="30" t="str">
        <f>IF(OR($A22="",NOT(ISNUMBER($A21))),"",-SUMIFS('Portfolio Analysis'!$F$10:$F$1009,'Portfolio Analysis'!$B$10:$B$1009,"&gt;"&amp;$A21,'Portfolio Analysis'!$B$10:$B$1009,"&lt;="&amp;$A22))</f>
        <v/>
      </c>
      <c r="D22" s="112" t="str">
        <f t="shared" si="0"/>
        <v/>
      </c>
      <c r="E22" s="30" t="str">
        <f>IF($A22="","",SUMIFS('Portfolio Analysis'!$G$10:$G$1009,'Portfolio Analysis'!$B$10:$B$1009,"&lt;="&amp;$A22))</f>
        <v/>
      </c>
    </row>
    <row r="23" spans="1:5" ht="15" customHeight="1" x14ac:dyDescent="0.15">
      <c r="A23" s="285"/>
      <c r="B23" s="48"/>
      <c r="C23" s="30" t="str">
        <f>IF(OR($A23="",NOT(ISNUMBER($A22))),"",-SUMIFS('Portfolio Analysis'!$F$10:$F$1009,'Portfolio Analysis'!$B$10:$B$1009,"&gt;"&amp;$A22,'Portfolio Analysis'!$B$10:$B$1009,"&lt;="&amp;$A23))</f>
        <v/>
      </c>
      <c r="D23" s="112" t="str">
        <f t="shared" si="0"/>
        <v/>
      </c>
      <c r="E23" s="30" t="str">
        <f>IF($A23="","",SUMIFS('Portfolio Analysis'!$G$10:$G$1009,'Portfolio Analysis'!$B$10:$B$1009,"&lt;="&amp;$A23))</f>
        <v/>
      </c>
    </row>
    <row r="24" spans="1:5" ht="15" customHeight="1" x14ac:dyDescent="0.15">
      <c r="A24" s="285"/>
      <c r="B24" s="48"/>
      <c r="C24" s="30" t="str">
        <f>IF(OR($A24="",NOT(ISNUMBER($A23))),"",-SUMIFS('Portfolio Analysis'!$F$10:$F$1009,'Portfolio Analysis'!$B$10:$B$1009,"&gt;"&amp;$A23,'Portfolio Analysis'!$B$10:$B$1009,"&lt;="&amp;$A24))</f>
        <v/>
      </c>
      <c r="D24" s="112" t="str">
        <f t="shared" si="0"/>
        <v/>
      </c>
      <c r="E24" s="30" t="str">
        <f>IF($A24="","",SUMIFS('Portfolio Analysis'!$G$10:$G$1009,'Portfolio Analysis'!$B$10:$B$1009,"&lt;="&amp;$A24))</f>
        <v/>
      </c>
    </row>
    <row r="25" spans="1:5" ht="15" customHeight="1" x14ac:dyDescent="0.15">
      <c r="A25" s="285"/>
      <c r="B25" s="48"/>
      <c r="C25" s="30" t="str">
        <f>IF(OR($A25="",NOT(ISNUMBER($A24))),"",-SUMIFS('Portfolio Analysis'!$F$10:$F$1009,'Portfolio Analysis'!$B$10:$B$1009,"&gt;"&amp;$A24,'Portfolio Analysis'!$B$10:$B$1009,"&lt;="&amp;$A25))</f>
        <v/>
      </c>
      <c r="D25" s="112" t="str">
        <f t="shared" si="0"/>
        <v/>
      </c>
      <c r="E25" s="30" t="str">
        <f>IF($A25="","",SUMIFS('Portfolio Analysis'!$G$10:$G$1009,'Portfolio Analysis'!$B$10:$B$1009,"&lt;="&amp;$A25))</f>
        <v/>
      </c>
    </row>
    <row r="26" spans="1:5" ht="15" customHeight="1" x14ac:dyDescent="0.15">
      <c r="A26" s="285"/>
      <c r="B26" s="48"/>
      <c r="C26" s="30" t="str">
        <f>IF(OR($A26="",NOT(ISNUMBER($A25))),"",-SUMIFS('Portfolio Analysis'!$F$10:$F$1009,'Portfolio Analysis'!$B$10:$B$1009,"&gt;"&amp;$A25,'Portfolio Analysis'!$B$10:$B$1009,"&lt;="&amp;$A26))</f>
        <v/>
      </c>
      <c r="D26" s="112" t="str">
        <f t="shared" si="0"/>
        <v/>
      </c>
      <c r="E26" s="30" t="str">
        <f>IF($A26="","",SUMIFS('Portfolio Analysis'!$G$10:$G$1009,'Portfolio Analysis'!$B$10:$B$1009,"&lt;="&amp;$A26))</f>
        <v/>
      </c>
    </row>
    <row r="27" spans="1:5" ht="15" customHeight="1" x14ac:dyDescent="0.15">
      <c r="A27" s="285"/>
      <c r="B27" s="48"/>
      <c r="C27" s="30" t="str">
        <f>IF(OR($A27="",NOT(ISNUMBER($A26))),"",-SUMIFS('Portfolio Analysis'!$F$10:$F$1009,'Portfolio Analysis'!$B$10:$B$1009,"&gt;"&amp;$A26,'Portfolio Analysis'!$B$10:$B$1009,"&lt;="&amp;$A27))</f>
        <v/>
      </c>
      <c r="D27" s="112" t="str">
        <f t="shared" si="0"/>
        <v/>
      </c>
      <c r="E27" s="30" t="str">
        <f>IF($A27="","",SUMIFS('Portfolio Analysis'!$G$10:$G$1009,'Portfolio Analysis'!$B$10:$B$1009,"&lt;="&amp;$A27))</f>
        <v/>
      </c>
    </row>
    <row r="28" spans="1:5" ht="15" customHeight="1" x14ac:dyDescent="0.15">
      <c r="A28" s="285"/>
      <c r="B28" s="48"/>
      <c r="C28" s="30" t="str">
        <f>IF(OR($A28="",NOT(ISNUMBER($A27))),"",-SUMIFS('Portfolio Analysis'!$F$10:$F$1009,'Portfolio Analysis'!$B$10:$B$1009,"&gt;"&amp;$A27,'Portfolio Analysis'!$B$10:$B$1009,"&lt;="&amp;$A28))</f>
        <v/>
      </c>
      <c r="D28" s="112" t="str">
        <f t="shared" si="0"/>
        <v/>
      </c>
      <c r="E28" s="30" t="str">
        <f>IF($A28="","",SUMIFS('Portfolio Analysis'!$G$10:$G$1009,'Portfolio Analysis'!$B$10:$B$1009,"&lt;="&amp;$A28))</f>
        <v/>
      </c>
    </row>
    <row r="29" spans="1:5" ht="15" customHeight="1" x14ac:dyDescent="0.15">
      <c r="A29" s="285"/>
      <c r="B29" s="48"/>
      <c r="C29" s="30" t="str">
        <f>IF(OR($A29="",NOT(ISNUMBER($A28))),"",-SUMIFS('Portfolio Analysis'!$F$10:$F$1009,'Portfolio Analysis'!$B$10:$B$1009,"&gt;"&amp;$A28,'Portfolio Analysis'!$B$10:$B$1009,"&lt;="&amp;$A29))</f>
        <v/>
      </c>
      <c r="D29" s="112" t="str">
        <f t="shared" si="0"/>
        <v/>
      </c>
      <c r="E29" s="30" t="str">
        <f>IF($A29="","",SUMIFS('Portfolio Analysis'!$G$10:$G$1009,'Portfolio Analysis'!$B$10:$B$1009,"&lt;="&amp;$A29))</f>
        <v/>
      </c>
    </row>
    <row r="30" spans="1:5" ht="15" customHeight="1" x14ac:dyDescent="0.15">
      <c r="A30" s="285"/>
      <c r="B30" s="48"/>
      <c r="C30" s="30" t="str">
        <f>IF(OR($A30="",NOT(ISNUMBER($A29))),"",-SUMIFS('Portfolio Analysis'!$F$10:$F$1009,'Portfolio Analysis'!$B$10:$B$1009,"&gt;"&amp;$A29,'Portfolio Analysis'!$B$10:$B$1009,"&lt;="&amp;$A30))</f>
        <v/>
      </c>
      <c r="D30" s="112" t="str">
        <f t="shared" si="0"/>
        <v/>
      </c>
      <c r="E30" s="30" t="str">
        <f>IF($A30="","",SUMIFS('Portfolio Analysis'!$G$10:$G$1009,'Portfolio Analysis'!$B$10:$B$1009,"&lt;="&amp;$A30))</f>
        <v/>
      </c>
    </row>
    <row r="31" spans="1:5" ht="15" customHeight="1" x14ac:dyDescent="0.15">
      <c r="A31" s="285"/>
      <c r="B31" s="48"/>
      <c r="C31" s="30" t="str">
        <f>IF(OR($A31="",NOT(ISNUMBER($A30))),"",-SUMIFS('Portfolio Analysis'!$F$10:$F$1009,'Portfolio Analysis'!$B$10:$B$1009,"&gt;"&amp;$A30,'Portfolio Analysis'!$B$10:$B$1009,"&lt;="&amp;$A31))</f>
        <v/>
      </c>
      <c r="D31" s="112" t="str">
        <f t="shared" si="0"/>
        <v/>
      </c>
      <c r="E31" s="30" t="str">
        <f>IF($A31="","",SUMIFS('Portfolio Analysis'!$G$10:$G$1009,'Portfolio Analysis'!$B$10:$B$1009,"&lt;="&amp;$A31))</f>
        <v/>
      </c>
    </row>
    <row r="32" spans="1:5" ht="15" customHeight="1" x14ac:dyDescent="0.15">
      <c r="A32" s="285"/>
      <c r="B32" s="48"/>
      <c r="C32" s="30" t="str">
        <f>IF(OR($A32="",NOT(ISNUMBER($A31))),"",-SUMIFS('Portfolio Analysis'!$F$10:$F$1009,'Portfolio Analysis'!$B$10:$B$1009,"&gt;"&amp;$A31,'Portfolio Analysis'!$B$10:$B$1009,"&lt;="&amp;$A32))</f>
        <v/>
      </c>
      <c r="D32" s="112" t="str">
        <f t="shared" si="0"/>
        <v/>
      </c>
      <c r="E32" s="30" t="str">
        <f>IF($A32="","",SUMIFS('Portfolio Analysis'!$G$10:$G$1009,'Portfolio Analysis'!$B$10:$B$1009,"&lt;="&amp;$A32))</f>
        <v/>
      </c>
    </row>
    <row r="33" spans="1:5" ht="15" customHeight="1" x14ac:dyDescent="0.15">
      <c r="A33" s="285"/>
      <c r="B33" s="48"/>
      <c r="C33" s="30" t="str">
        <f>IF(OR($A33="",NOT(ISNUMBER($A32))),"",-SUMIFS('Portfolio Analysis'!$F$10:$F$1009,'Portfolio Analysis'!$B$10:$B$1009,"&gt;"&amp;$A32,'Portfolio Analysis'!$B$10:$B$1009,"&lt;="&amp;$A33))</f>
        <v/>
      </c>
      <c r="D33" s="112" t="str">
        <f t="shared" si="0"/>
        <v/>
      </c>
      <c r="E33" s="30" t="str">
        <f>IF($A33="","",SUMIFS('Portfolio Analysis'!$G$10:$G$1009,'Portfolio Analysis'!$B$10:$B$1009,"&lt;="&amp;$A33))</f>
        <v/>
      </c>
    </row>
    <row r="34" spans="1:5" ht="15" customHeight="1" x14ac:dyDescent="0.15">
      <c r="A34" s="285"/>
      <c r="B34" s="48"/>
      <c r="C34" s="30" t="str">
        <f>IF(OR($A34="",NOT(ISNUMBER($A33))),"",-SUMIFS('Portfolio Analysis'!$F$10:$F$1009,'Portfolio Analysis'!$B$10:$B$1009,"&gt;"&amp;$A33,'Portfolio Analysis'!$B$10:$B$1009,"&lt;="&amp;$A34))</f>
        <v/>
      </c>
      <c r="D34" s="112" t="str">
        <f t="shared" si="0"/>
        <v/>
      </c>
      <c r="E34" s="30" t="str">
        <f>IF($A34="","",SUMIFS('Portfolio Analysis'!$G$10:$G$1009,'Portfolio Analysis'!$B$10:$B$1009,"&lt;="&amp;$A34))</f>
        <v/>
      </c>
    </row>
    <row r="35" spans="1:5" ht="15" customHeight="1" x14ac:dyDescent="0.15">
      <c r="A35" s="285"/>
      <c r="B35" s="48"/>
      <c r="C35" s="30" t="str">
        <f>IF(OR($A35="",NOT(ISNUMBER($A34))),"",-SUMIFS('Portfolio Analysis'!$F$10:$F$1009,'Portfolio Analysis'!$B$10:$B$1009,"&gt;"&amp;$A34,'Portfolio Analysis'!$B$10:$B$1009,"&lt;="&amp;$A35))</f>
        <v/>
      </c>
      <c r="D35" s="112" t="str">
        <f t="shared" si="0"/>
        <v/>
      </c>
      <c r="E35" s="30" t="str">
        <f>IF($A35="","",SUMIFS('Portfolio Analysis'!$G$10:$G$1009,'Portfolio Analysis'!$B$10:$B$1009,"&lt;="&amp;$A35))</f>
        <v/>
      </c>
    </row>
    <row r="36" spans="1:5" ht="15" customHeight="1" x14ac:dyDescent="0.15">
      <c r="A36" s="285"/>
      <c r="B36" s="48"/>
      <c r="C36" s="30" t="str">
        <f>IF(OR($A36="",NOT(ISNUMBER($A35))),"",-SUMIFS('Portfolio Analysis'!$F$10:$F$1009,'Portfolio Analysis'!$B$10:$B$1009,"&gt;"&amp;$A35,'Portfolio Analysis'!$B$10:$B$1009,"&lt;="&amp;$A36))</f>
        <v/>
      </c>
      <c r="D36" s="112" t="str">
        <f t="shared" si="0"/>
        <v/>
      </c>
      <c r="E36" s="30" t="str">
        <f>IF($A36="","",SUMIFS('Portfolio Analysis'!$G$10:$G$1009,'Portfolio Analysis'!$B$10:$B$1009,"&lt;="&amp;$A36))</f>
        <v/>
      </c>
    </row>
    <row r="37" spans="1:5" ht="15" customHeight="1" x14ac:dyDescent="0.15">
      <c r="A37" s="285"/>
      <c r="B37" s="48"/>
      <c r="C37" s="30" t="str">
        <f>IF(OR($A37="",NOT(ISNUMBER($A36))),"",-SUMIFS('Portfolio Analysis'!$F$10:$F$1009,'Portfolio Analysis'!$B$10:$B$1009,"&gt;"&amp;$A36,'Portfolio Analysis'!$B$10:$B$1009,"&lt;="&amp;$A37))</f>
        <v/>
      </c>
      <c r="D37" s="112" t="str">
        <f t="shared" si="0"/>
        <v/>
      </c>
      <c r="E37" s="30" t="str">
        <f>IF($A37="","",SUMIFS('Portfolio Analysis'!$G$10:$G$1009,'Portfolio Analysis'!$B$10:$B$1009,"&lt;="&amp;$A37))</f>
        <v/>
      </c>
    </row>
    <row r="38" spans="1:5" ht="15" customHeight="1" x14ac:dyDescent="0.15">
      <c r="A38" s="285"/>
      <c r="B38" s="48"/>
      <c r="C38" s="30" t="str">
        <f>IF(OR($A38="",NOT(ISNUMBER($A37))),"",-SUMIFS('Portfolio Analysis'!$F$10:$F$1009,'Portfolio Analysis'!$B$10:$B$1009,"&gt;"&amp;$A37,'Portfolio Analysis'!$B$10:$B$1009,"&lt;="&amp;$A38))</f>
        <v/>
      </c>
      <c r="D38" s="112" t="str">
        <f t="shared" si="0"/>
        <v/>
      </c>
      <c r="E38" s="30" t="str">
        <f>IF($A38="","",SUMIFS('Portfolio Analysis'!$G$10:$G$1009,'Portfolio Analysis'!$B$10:$B$1009,"&lt;="&amp;$A38))</f>
        <v/>
      </c>
    </row>
    <row r="39" spans="1:5" ht="15" customHeight="1" x14ac:dyDescent="0.15">
      <c r="A39" s="285"/>
      <c r="B39" s="48"/>
      <c r="C39" s="30" t="str">
        <f>IF(OR($A39="",NOT(ISNUMBER($A38))),"",-SUMIFS('Portfolio Analysis'!$F$10:$F$1009,'Portfolio Analysis'!$B$10:$B$1009,"&gt;"&amp;$A38,'Portfolio Analysis'!$B$10:$B$1009,"&lt;="&amp;$A39))</f>
        <v/>
      </c>
      <c r="D39" s="112" t="str">
        <f t="shared" si="0"/>
        <v/>
      </c>
      <c r="E39" s="30" t="str">
        <f>IF($A39="","",SUMIFS('Portfolio Analysis'!$G$10:$G$1009,'Portfolio Analysis'!$B$10:$B$1009,"&lt;="&amp;$A39))</f>
        <v/>
      </c>
    </row>
    <row r="40" spans="1:5" ht="15" customHeight="1" x14ac:dyDescent="0.15">
      <c r="A40" s="285"/>
      <c r="B40" s="48"/>
      <c r="C40" s="30" t="str">
        <f>IF(OR($A40="",NOT(ISNUMBER($A39))),"",-SUMIFS('Portfolio Analysis'!$F$10:$F$1009,'Portfolio Analysis'!$B$10:$B$1009,"&gt;"&amp;$A39,'Portfolio Analysis'!$B$10:$B$1009,"&lt;="&amp;$A40))</f>
        <v/>
      </c>
      <c r="D40" s="112" t="str">
        <f t="shared" si="0"/>
        <v/>
      </c>
      <c r="E40" s="30" t="str">
        <f>IF($A40="","",SUMIFS('Portfolio Analysis'!$G$10:$G$1009,'Portfolio Analysis'!$B$10:$B$1009,"&lt;="&amp;$A40))</f>
        <v/>
      </c>
    </row>
    <row r="41" spans="1:5" ht="15" customHeight="1" x14ac:dyDescent="0.15">
      <c r="A41" s="285"/>
      <c r="B41" s="48"/>
      <c r="C41" s="30" t="str">
        <f>IF(OR($A41="",NOT(ISNUMBER($A40))),"",-SUMIFS('Portfolio Analysis'!$F$10:$F$1009,'Portfolio Analysis'!$B$10:$B$1009,"&gt;"&amp;$A40,'Portfolio Analysis'!$B$10:$B$1009,"&lt;="&amp;$A41))</f>
        <v/>
      </c>
      <c r="D41" s="112" t="str">
        <f t="shared" ref="D41:D60" si="1">IF(OR($C41="",$B41="",$B40=""),"",IFERROR(($B41-$B40-$C41)/$B40,""))</f>
        <v/>
      </c>
      <c r="E41" s="30" t="str">
        <f>IF($A41="","",SUMIFS('Portfolio Analysis'!$G$10:$G$1009,'Portfolio Analysis'!$B$10:$B$1009,"&lt;="&amp;$A41))</f>
        <v/>
      </c>
    </row>
    <row r="42" spans="1:5" ht="15" customHeight="1" x14ac:dyDescent="0.15">
      <c r="A42" s="285"/>
      <c r="B42" s="48"/>
      <c r="C42" s="30" t="str">
        <f>IF(OR($A42="",NOT(ISNUMBER($A41))),"",-SUMIFS('Portfolio Analysis'!$F$10:$F$1009,'Portfolio Analysis'!$B$10:$B$1009,"&gt;"&amp;$A41,'Portfolio Analysis'!$B$10:$B$1009,"&lt;="&amp;$A42))</f>
        <v/>
      </c>
      <c r="D42" s="112" t="str">
        <f t="shared" si="1"/>
        <v/>
      </c>
      <c r="E42" s="30" t="str">
        <f>IF($A42="","",SUMIFS('Portfolio Analysis'!$G$10:$G$1009,'Portfolio Analysis'!$B$10:$B$1009,"&lt;="&amp;$A42))</f>
        <v/>
      </c>
    </row>
    <row r="43" spans="1:5" ht="15" customHeight="1" x14ac:dyDescent="0.15">
      <c r="A43" s="285"/>
      <c r="B43" s="48"/>
      <c r="C43" s="30" t="str">
        <f>IF(OR($A43="",NOT(ISNUMBER($A42))),"",-SUMIFS('Portfolio Analysis'!$F$10:$F$1009,'Portfolio Analysis'!$B$10:$B$1009,"&gt;"&amp;$A42,'Portfolio Analysis'!$B$10:$B$1009,"&lt;="&amp;$A43))</f>
        <v/>
      </c>
      <c r="D43" s="112" t="str">
        <f t="shared" si="1"/>
        <v/>
      </c>
      <c r="E43" s="30" t="str">
        <f>IF($A43="","",SUMIFS('Portfolio Analysis'!$G$10:$G$1009,'Portfolio Analysis'!$B$10:$B$1009,"&lt;="&amp;$A43))</f>
        <v/>
      </c>
    </row>
    <row r="44" spans="1:5" ht="15" customHeight="1" x14ac:dyDescent="0.15">
      <c r="A44" s="285"/>
      <c r="B44" s="48"/>
      <c r="C44" s="30" t="str">
        <f>IF(OR($A44="",NOT(ISNUMBER($A43))),"",-SUMIFS('Portfolio Analysis'!$F$10:$F$1009,'Portfolio Analysis'!$B$10:$B$1009,"&gt;"&amp;$A43,'Portfolio Analysis'!$B$10:$B$1009,"&lt;="&amp;$A44))</f>
        <v/>
      </c>
      <c r="D44" s="112" t="str">
        <f t="shared" si="1"/>
        <v/>
      </c>
      <c r="E44" s="30" t="str">
        <f>IF($A44="","",SUMIFS('Portfolio Analysis'!$G$10:$G$1009,'Portfolio Analysis'!$B$10:$B$1009,"&lt;="&amp;$A44))</f>
        <v/>
      </c>
    </row>
    <row r="45" spans="1:5" ht="15" customHeight="1" x14ac:dyDescent="0.15">
      <c r="A45" s="285"/>
      <c r="B45" s="48"/>
      <c r="C45" s="30" t="str">
        <f>IF(OR($A45="",NOT(ISNUMBER($A44))),"",-SUMIFS('Portfolio Analysis'!$F$10:$F$1009,'Portfolio Analysis'!$B$10:$B$1009,"&gt;"&amp;$A44,'Portfolio Analysis'!$B$10:$B$1009,"&lt;="&amp;$A45))</f>
        <v/>
      </c>
      <c r="D45" s="112" t="str">
        <f t="shared" si="1"/>
        <v/>
      </c>
      <c r="E45" s="30" t="str">
        <f>IF($A45="","",SUMIFS('Portfolio Analysis'!$G$10:$G$1009,'Portfolio Analysis'!$B$10:$B$1009,"&lt;="&amp;$A45))</f>
        <v/>
      </c>
    </row>
    <row r="46" spans="1:5" ht="15" customHeight="1" x14ac:dyDescent="0.15">
      <c r="A46" s="285"/>
      <c r="B46" s="48"/>
      <c r="C46" s="30" t="str">
        <f>IF(OR($A46="",NOT(ISNUMBER($A45))),"",-SUMIFS('Portfolio Analysis'!$F$10:$F$1009,'Portfolio Analysis'!$B$10:$B$1009,"&gt;"&amp;$A45,'Portfolio Analysis'!$B$10:$B$1009,"&lt;="&amp;$A46))</f>
        <v/>
      </c>
      <c r="D46" s="112" t="str">
        <f t="shared" si="1"/>
        <v/>
      </c>
      <c r="E46" s="30" t="str">
        <f>IF($A46="","",SUMIFS('Portfolio Analysis'!$G$10:$G$1009,'Portfolio Analysis'!$B$10:$B$1009,"&lt;="&amp;$A46))</f>
        <v/>
      </c>
    </row>
    <row r="47" spans="1:5" ht="15" customHeight="1" x14ac:dyDescent="0.15">
      <c r="A47" s="285"/>
      <c r="B47" s="48"/>
      <c r="C47" s="30" t="str">
        <f>IF(OR($A47="",NOT(ISNUMBER($A46))),"",-SUMIFS('Portfolio Analysis'!$F$10:$F$1009,'Portfolio Analysis'!$B$10:$B$1009,"&gt;"&amp;$A46,'Portfolio Analysis'!$B$10:$B$1009,"&lt;="&amp;$A47))</f>
        <v/>
      </c>
      <c r="D47" s="112" t="str">
        <f t="shared" si="1"/>
        <v/>
      </c>
      <c r="E47" s="30" t="str">
        <f>IF($A47="","",SUMIFS('Portfolio Analysis'!$G$10:$G$1009,'Portfolio Analysis'!$B$10:$B$1009,"&lt;="&amp;$A47))</f>
        <v/>
      </c>
    </row>
    <row r="48" spans="1:5" ht="15" customHeight="1" x14ac:dyDescent="0.15">
      <c r="A48" s="285"/>
      <c r="B48" s="48"/>
      <c r="C48" s="30" t="str">
        <f>IF(OR($A48="",NOT(ISNUMBER($A47))),"",-SUMIFS('Portfolio Analysis'!$F$10:$F$1009,'Portfolio Analysis'!$B$10:$B$1009,"&gt;"&amp;$A47,'Portfolio Analysis'!$B$10:$B$1009,"&lt;="&amp;$A48))</f>
        <v/>
      </c>
      <c r="D48" s="112" t="str">
        <f t="shared" si="1"/>
        <v/>
      </c>
      <c r="E48" s="30" t="str">
        <f>IF($A48="","",SUMIFS('Portfolio Analysis'!$G$10:$G$1009,'Portfolio Analysis'!$B$10:$B$1009,"&lt;="&amp;$A48))</f>
        <v/>
      </c>
    </row>
    <row r="49" spans="1:5" ht="15" customHeight="1" x14ac:dyDescent="0.15">
      <c r="A49" s="285"/>
      <c r="B49" s="48"/>
      <c r="C49" s="30" t="str">
        <f>IF(OR($A49="",NOT(ISNUMBER($A48))),"",-SUMIFS('Portfolio Analysis'!$F$10:$F$1009,'Portfolio Analysis'!$B$10:$B$1009,"&gt;"&amp;$A48,'Portfolio Analysis'!$B$10:$B$1009,"&lt;="&amp;$A49))</f>
        <v/>
      </c>
      <c r="D49" s="112" t="str">
        <f t="shared" si="1"/>
        <v/>
      </c>
      <c r="E49" s="30" t="str">
        <f>IF($A49="","",SUMIFS('Portfolio Analysis'!$G$10:$G$1009,'Portfolio Analysis'!$B$10:$B$1009,"&lt;="&amp;$A49))</f>
        <v/>
      </c>
    </row>
    <row r="50" spans="1:5" ht="15" customHeight="1" x14ac:dyDescent="0.15">
      <c r="A50" s="285"/>
      <c r="B50" s="48"/>
      <c r="C50" s="30" t="str">
        <f>IF(OR($A50="",NOT(ISNUMBER($A49))),"",-SUMIFS('Portfolio Analysis'!$F$10:$F$1009,'Portfolio Analysis'!$B$10:$B$1009,"&gt;"&amp;$A49,'Portfolio Analysis'!$B$10:$B$1009,"&lt;="&amp;$A50))</f>
        <v/>
      </c>
      <c r="D50" s="112" t="str">
        <f t="shared" si="1"/>
        <v/>
      </c>
      <c r="E50" s="30" t="str">
        <f>IF($A50="","",SUMIFS('Portfolio Analysis'!$G$10:$G$1009,'Portfolio Analysis'!$B$10:$B$1009,"&lt;="&amp;$A50))</f>
        <v/>
      </c>
    </row>
    <row r="51" spans="1:5" ht="15" customHeight="1" x14ac:dyDescent="0.15">
      <c r="A51" s="285"/>
      <c r="B51" s="48"/>
      <c r="C51" s="30" t="str">
        <f>IF(OR($A51="",NOT(ISNUMBER($A50))),"",-SUMIFS('Portfolio Analysis'!$F$10:$F$1009,'Portfolio Analysis'!$B$10:$B$1009,"&gt;"&amp;$A50,'Portfolio Analysis'!$B$10:$B$1009,"&lt;="&amp;$A51))</f>
        <v/>
      </c>
      <c r="D51" s="112" t="str">
        <f t="shared" si="1"/>
        <v/>
      </c>
      <c r="E51" s="30" t="str">
        <f>IF($A51="","",SUMIFS('Portfolio Analysis'!$G$10:$G$1009,'Portfolio Analysis'!$B$10:$B$1009,"&lt;="&amp;$A51))</f>
        <v/>
      </c>
    </row>
    <row r="52" spans="1:5" ht="15" customHeight="1" x14ac:dyDescent="0.15">
      <c r="A52" s="285"/>
      <c r="B52" s="48"/>
      <c r="C52" s="30" t="str">
        <f>IF(OR($A52="",NOT(ISNUMBER($A51))),"",-SUMIFS('Portfolio Analysis'!$F$10:$F$1009,'Portfolio Analysis'!$B$10:$B$1009,"&gt;"&amp;$A51,'Portfolio Analysis'!$B$10:$B$1009,"&lt;="&amp;$A52))</f>
        <v/>
      </c>
      <c r="D52" s="112" t="str">
        <f t="shared" si="1"/>
        <v/>
      </c>
      <c r="E52" s="30" t="str">
        <f>IF($A52="","",SUMIFS('Portfolio Analysis'!$G$10:$G$1009,'Portfolio Analysis'!$B$10:$B$1009,"&lt;="&amp;$A52))</f>
        <v/>
      </c>
    </row>
    <row r="53" spans="1:5" ht="15" customHeight="1" x14ac:dyDescent="0.15">
      <c r="A53" s="285"/>
      <c r="B53" s="48"/>
      <c r="C53" s="30" t="str">
        <f>IF(OR($A53="",NOT(ISNUMBER($A52))),"",-SUMIFS('Portfolio Analysis'!$F$10:$F$1009,'Portfolio Analysis'!$B$10:$B$1009,"&gt;"&amp;$A52,'Portfolio Analysis'!$B$10:$B$1009,"&lt;="&amp;$A53))</f>
        <v/>
      </c>
      <c r="D53" s="112" t="str">
        <f t="shared" si="1"/>
        <v/>
      </c>
      <c r="E53" s="30" t="str">
        <f>IF($A53="","",SUMIFS('Portfolio Analysis'!$G$10:$G$1009,'Portfolio Analysis'!$B$10:$B$1009,"&lt;="&amp;$A53))</f>
        <v/>
      </c>
    </row>
    <row r="54" spans="1:5" ht="15" customHeight="1" x14ac:dyDescent="0.15">
      <c r="A54" s="285"/>
      <c r="B54" s="48"/>
      <c r="C54" s="30" t="str">
        <f>IF(OR($A54="",NOT(ISNUMBER($A53))),"",-SUMIFS('Portfolio Analysis'!$F$10:$F$1009,'Portfolio Analysis'!$B$10:$B$1009,"&gt;"&amp;$A53,'Portfolio Analysis'!$B$10:$B$1009,"&lt;="&amp;$A54))</f>
        <v/>
      </c>
      <c r="D54" s="112" t="str">
        <f t="shared" si="1"/>
        <v/>
      </c>
      <c r="E54" s="30" t="str">
        <f>IF($A54="","",SUMIFS('Portfolio Analysis'!$G$10:$G$1009,'Portfolio Analysis'!$B$10:$B$1009,"&lt;="&amp;$A54))</f>
        <v/>
      </c>
    </row>
    <row r="55" spans="1:5" ht="15" customHeight="1" x14ac:dyDescent="0.15">
      <c r="A55" s="285"/>
      <c r="B55" s="48"/>
      <c r="C55" s="30" t="str">
        <f>IF(OR($A55="",NOT(ISNUMBER($A54))),"",-SUMIFS('Portfolio Analysis'!$F$10:$F$1009,'Portfolio Analysis'!$B$10:$B$1009,"&gt;"&amp;$A54,'Portfolio Analysis'!$B$10:$B$1009,"&lt;="&amp;$A55))</f>
        <v/>
      </c>
      <c r="D55" s="112" t="str">
        <f t="shared" si="1"/>
        <v/>
      </c>
      <c r="E55" s="30" t="str">
        <f>IF($A55="","",SUMIFS('Portfolio Analysis'!$G$10:$G$1009,'Portfolio Analysis'!$B$10:$B$1009,"&lt;="&amp;$A55))</f>
        <v/>
      </c>
    </row>
    <row r="56" spans="1:5" ht="15" customHeight="1" x14ac:dyDescent="0.15">
      <c r="A56" s="285"/>
      <c r="B56" s="48"/>
      <c r="C56" s="30" t="str">
        <f>IF(OR($A56="",NOT(ISNUMBER($A55))),"",-SUMIFS('Portfolio Analysis'!$F$10:$F$1009,'Portfolio Analysis'!$B$10:$B$1009,"&gt;"&amp;$A55,'Portfolio Analysis'!$B$10:$B$1009,"&lt;="&amp;$A56))</f>
        <v/>
      </c>
      <c r="D56" s="112" t="str">
        <f t="shared" si="1"/>
        <v/>
      </c>
      <c r="E56" s="30" t="str">
        <f>IF($A56="","",SUMIFS('Portfolio Analysis'!$G$10:$G$1009,'Portfolio Analysis'!$B$10:$B$1009,"&lt;="&amp;$A56))</f>
        <v/>
      </c>
    </row>
    <row r="57" spans="1:5" ht="15" customHeight="1" x14ac:dyDescent="0.15">
      <c r="A57" s="285"/>
      <c r="B57" s="48"/>
      <c r="C57" s="30" t="str">
        <f>IF(OR($A57="",NOT(ISNUMBER($A56))),"",-SUMIFS('Portfolio Analysis'!$F$10:$F$1009,'Portfolio Analysis'!$B$10:$B$1009,"&gt;"&amp;$A56,'Portfolio Analysis'!$B$10:$B$1009,"&lt;="&amp;$A57))</f>
        <v/>
      </c>
      <c r="D57" s="112" t="str">
        <f t="shared" si="1"/>
        <v/>
      </c>
      <c r="E57" s="30" t="str">
        <f>IF($A57="","",SUMIFS('Portfolio Analysis'!$G$10:$G$1009,'Portfolio Analysis'!$B$10:$B$1009,"&lt;="&amp;$A57))</f>
        <v/>
      </c>
    </row>
    <row r="58" spans="1:5" ht="15" customHeight="1" x14ac:dyDescent="0.15">
      <c r="A58" s="285"/>
      <c r="B58" s="48"/>
      <c r="C58" s="30" t="str">
        <f>IF(OR($A58="",NOT(ISNUMBER($A57))),"",-SUMIFS('Portfolio Analysis'!$F$10:$F$1009,'Portfolio Analysis'!$B$10:$B$1009,"&gt;"&amp;$A57,'Portfolio Analysis'!$B$10:$B$1009,"&lt;="&amp;$A58))</f>
        <v/>
      </c>
      <c r="D58" s="112" t="str">
        <f t="shared" si="1"/>
        <v/>
      </c>
      <c r="E58" s="30" t="str">
        <f>IF($A58="","",SUMIFS('Portfolio Analysis'!$G$10:$G$1009,'Portfolio Analysis'!$B$10:$B$1009,"&lt;="&amp;$A58))</f>
        <v/>
      </c>
    </row>
    <row r="59" spans="1:5" ht="15" customHeight="1" x14ac:dyDescent="0.15">
      <c r="A59" s="285"/>
      <c r="B59" s="48"/>
      <c r="C59" s="30" t="str">
        <f>IF(OR($A59="",NOT(ISNUMBER($A58))),"",-SUMIFS('Portfolio Analysis'!$F$10:$F$1009,'Portfolio Analysis'!$B$10:$B$1009,"&gt;"&amp;$A58,'Portfolio Analysis'!$B$10:$B$1009,"&lt;="&amp;$A59))</f>
        <v/>
      </c>
      <c r="D59" s="112" t="str">
        <f t="shared" si="1"/>
        <v/>
      </c>
      <c r="E59" s="30" t="str">
        <f>IF($A59="","",SUMIFS('Portfolio Analysis'!$G$10:$G$1009,'Portfolio Analysis'!$B$10:$B$1009,"&lt;="&amp;$A59))</f>
        <v/>
      </c>
    </row>
    <row r="60" spans="1:5" ht="15" customHeight="1" x14ac:dyDescent="0.15">
      <c r="A60" s="285"/>
      <c r="B60" s="48"/>
      <c r="C60" s="30" t="str">
        <f>IF(OR($A60="",NOT(ISNUMBER($A59))),"",-SUMIFS('Portfolio Analysis'!$F$10:$F$1009,'Portfolio Analysis'!$B$10:$B$1009,"&gt;"&amp;$A59,'Portfolio Analysis'!$B$10:$B$1009,"&lt;="&amp;$A60))</f>
        <v/>
      </c>
      <c r="D60" s="112" t="str">
        <f t="shared" si="1"/>
        <v/>
      </c>
      <c r="E60" s="30" t="str">
        <f>IF($A60="","",SUMIFS('Portfolio Analysis'!$G$10:$G$1009,'Portfolio Analysis'!$B$10:$B$1009,"&lt;="&amp;$A60))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IFERROR(XIRR($F$10:$F$1010,$B$10:$B$1010,0.1),"n/a")</f>
        <v>7.5773295760154721E-2</v>
      </c>
    </row>
    <row r="4" spans="1:7" ht="15" customHeight="1" x14ac:dyDescent="0.15">
      <c r="A4" s="113" t="s">
        <v>488</v>
      </c>
      <c r="B4" s="130">
        <f>SUM($G$10:$G$1009)</f>
        <v>1090</v>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t="str">
        <f>IF(Transactions!J2="","",Transactions!J2)</f>
        <v>CA:GOLD:SGD</v>
      </c>
      <c r="B10" s="297">
        <f ca="1">IF($A10="",TODAY(),Transactions!G2)</f>
        <v>43525</v>
      </c>
      <c r="C10" s="298">
        <f>IF($A10="","",Transactions!A2)</f>
        <v>1</v>
      </c>
      <c r="D10" s="30">
        <f>IF($A10="",0,Transactions!H2)</f>
        <v>30000</v>
      </c>
      <c r="E10" s="299">
        <f>IF($A10="",1,IFERROR(INDEX(Prices[FX to SGD],MATCH($A10,Prices[Key],0)),1))</f>
        <v>1</v>
      </c>
      <c r="F10" s="30">
        <f>IF($A10="",0,(Transactions!M2-Transactions!L2+IF(Transactions!A2=2,Transactions!H2,0))*$E10)</f>
        <v>-30000</v>
      </c>
      <c r="G10" s="30">
        <f>IF($A10="",0,IF(Transactions!A2=2,Transactions!H2*$E10,0))</f>
        <v>0</v>
      </c>
    </row>
    <row r="11" spans="1:7" ht="15" customHeight="1" x14ac:dyDescent="0.15">
      <c r="A11" t="str">
        <f>IF(Transactions!J3="","",Transactions!J3)</f>
        <v>SGX:Z74:SGD</v>
      </c>
      <c r="B11" s="297">
        <f ca="1">IF($A11="",TODAY(),Transactions!G3)</f>
        <v>43770</v>
      </c>
      <c r="C11" s="298">
        <f>IF($A11="","",Transactions!A3)</f>
        <v>1</v>
      </c>
      <c r="D11" s="30">
        <f>IF($A11="",0,Transactions!H3)</f>
        <v>9325</v>
      </c>
      <c r="E11" s="299">
        <f>IF($A11="",1,IFERROR(INDEX(Prices[FX to SGD],MATCH($A11,Prices[Key],0)),1))</f>
        <v>1</v>
      </c>
      <c r="F11" s="30">
        <f>IF($A11="",0,(Transactions!M3-Transactions!L3+IF(Transactions!A3=2,Transactions!H3,0))*$E11)</f>
        <v>-9325</v>
      </c>
      <c r="G11" s="30">
        <f>IF($A11="",0,IF(Transactions!A3=2,Transactions!H3*$E11,0))</f>
        <v>0</v>
      </c>
    </row>
    <row r="12" spans="1:7" ht="15" customHeight="1" x14ac:dyDescent="0.15">
      <c r="A12" t="str">
        <f>IF(Transactions!J4="","",Transactions!J4)</f>
        <v>USX:AAPL:USD</v>
      </c>
      <c r="B12" s="297">
        <f ca="1">IF($A12="",TODAY(),Transactions!G4)</f>
        <v>43966</v>
      </c>
      <c r="C12" s="298">
        <f>IF($A12="","",Transactions!A4)</f>
        <v>1</v>
      </c>
      <c r="D12" s="30">
        <f>IF($A12="",0,Transactions!H4)</f>
        <v>4005</v>
      </c>
      <c r="E12" s="299">
        <f>IF($A12="",1,IFERROR(INDEX(Prices[FX to SGD],MATCH($A12,Prices[Key],0)),1))</f>
        <v>1.2928081084924601</v>
      </c>
      <c r="F12" s="30">
        <f>IF($A12="",0,(Transactions!M4-Transactions!L4+IF(Transactions!A4=2,Transactions!H4,0))*$E12)</f>
        <v>-5177.6964745123023</v>
      </c>
      <c r="G12" s="30">
        <f>IF($A12="",0,IF(Transactions!A4=2,Transactions!H4*$E12,0))</f>
        <v>0</v>
      </c>
    </row>
    <row r="13" spans="1:7" ht="15" customHeight="1" x14ac:dyDescent="0.15">
      <c r="A13" t="str">
        <f>IF(Transactions!J5="","",Transactions!J5)</f>
        <v>SGX:C38U:SGD</v>
      </c>
      <c r="B13" s="297">
        <f ca="1">IF($A13="",TODAY(),Transactions!G5)</f>
        <v>44046</v>
      </c>
      <c r="C13" s="298">
        <f>IF($A13="","",Transactions!A5)</f>
        <v>1</v>
      </c>
      <c r="D13" s="30">
        <f>IF($A13="",0,Transactions!H5)</f>
        <v>9525</v>
      </c>
      <c r="E13" s="299">
        <f>IF($A13="",1,IFERROR(INDEX(Prices[FX to SGD],MATCH($A13,Prices[Key],0)),1))</f>
        <v>1</v>
      </c>
      <c r="F13" s="30">
        <f>IF($A13="",0,(Transactions!M5-Transactions!L5+IF(Transactions!A5=2,Transactions!H5,0))*$E13)</f>
        <v>-9525</v>
      </c>
      <c r="G13" s="30">
        <f>IF($A13="",0,IF(Transactions!A5=2,Transactions!H5*$E13,0))</f>
        <v>0</v>
      </c>
    </row>
    <row r="14" spans="1:7" ht="15" customHeight="1" x14ac:dyDescent="0.15">
      <c r="A14" t="str">
        <f>IF(Transactions!J6="","",Transactions!J6)</f>
        <v>CG:BITCOIN:USD</v>
      </c>
      <c r="B14" s="297">
        <f ca="1">IF($A14="",TODAY(),Transactions!G6)</f>
        <v>44166</v>
      </c>
      <c r="C14" s="298">
        <f>IF($A14="","",Transactions!A6)</f>
        <v>1</v>
      </c>
      <c r="D14" s="30">
        <f>IF($A14="",0,Transactions!H6)</f>
        <v>1000</v>
      </c>
      <c r="E14" s="299">
        <f>IF($A14="",1,IFERROR(INDEX(Prices[FX to SGD],MATCH($A14,Prices[Key],0)),1))</f>
        <v>1.2928081084924601</v>
      </c>
      <c r="F14" s="30">
        <f>IF($A14="",0,(Transactions!M6-Transactions!L6+IF(Transactions!A6=2,Transactions!H6,0))*$E14)</f>
        <v>-1292.8081084924602</v>
      </c>
      <c r="G14" s="30">
        <f>IF($A14="",0,IF(Transactions!A6=2,Transactions!H6*$E14,0))</f>
        <v>0</v>
      </c>
    </row>
    <row r="15" spans="1:7" ht="15" customHeight="1" x14ac:dyDescent="0.15">
      <c r="A15" t="str">
        <f>IF(Transactions!J7="","",Transactions!J7)</f>
        <v>HKEX:700:HKD</v>
      </c>
      <c r="B15" s="297">
        <f ca="1">IF($A15="",TODAY(),Transactions!G7)</f>
        <v>44228</v>
      </c>
      <c r="C15" s="298">
        <f>IF($A15="","",Transactions!A7)</f>
        <v>1</v>
      </c>
      <c r="D15" s="30">
        <f>IF($A15="",0,Transactions!H7)</f>
        <v>60100</v>
      </c>
      <c r="E15" s="299">
        <f>IF($A15="",1,IFERROR(INDEX(Prices[FX to SGD],MATCH($A15,Prices[Key],0)),1))</f>
        <v>0.16489949375855401</v>
      </c>
      <c r="F15" s="30">
        <f>IF($A15="",0,(Transactions!M7-Transactions!L7+IF(Transactions!A7=2,Transactions!H7,0))*$E15)</f>
        <v>-9910.4595748890952</v>
      </c>
      <c r="G15" s="30">
        <f>IF($A15="",0,IF(Transactions!A7=2,Transactions!H7*$E15,0))</f>
        <v>0</v>
      </c>
    </row>
    <row r="16" spans="1:7" ht="15" customHeight="1" x14ac:dyDescent="0.15">
      <c r="A16" t="str">
        <f>IF(Transactions!J8="","",Transactions!J8)</f>
        <v>USX:MSFT:USD</v>
      </c>
      <c r="B16" s="297">
        <f ca="1">IF($A16="",TODAY(),Transactions!G8)</f>
        <v>44256</v>
      </c>
      <c r="C16" s="298">
        <f>IF($A16="","",Transactions!A8)</f>
        <v>1</v>
      </c>
      <c r="D16" s="30">
        <f>IF($A16="",0,Transactions!H8)</f>
        <v>4605</v>
      </c>
      <c r="E16" s="299">
        <f>IF($A16="",1,IFERROR(INDEX(Prices[FX to SGD],MATCH($A16,Prices[Key],0)),1))</f>
        <v>1.2928081084924601</v>
      </c>
      <c r="F16" s="30">
        <f>IF($A16="",0,(Transactions!M8-Transactions!L8+IF(Transactions!A8=2,Transactions!H8,0))*$E16)</f>
        <v>-5953.3813396077785</v>
      </c>
      <c r="G16" s="30">
        <f>IF($A16="",0,IF(Transactions!A8=2,Transactions!H8*$E16,0))</f>
        <v>0</v>
      </c>
    </row>
    <row r="17" spans="1:7" ht="15" customHeight="1" x14ac:dyDescent="0.15">
      <c r="A17" t="str">
        <f>IF(Transactions!J9="","",Transactions!J9)</f>
        <v>SGX:A17U:SGD</v>
      </c>
      <c r="B17" s="297">
        <f ca="1">IF($A17="",TODAY(),Transactions!G9)</f>
        <v>44326</v>
      </c>
      <c r="C17" s="298">
        <f>IF($A17="","",Transactions!A9)</f>
        <v>1</v>
      </c>
      <c r="D17" s="30">
        <f>IF($A17="",0,Transactions!H9)</f>
        <v>11825</v>
      </c>
      <c r="E17" s="299">
        <f>IF($A17="",1,IFERROR(INDEX(Prices[FX to SGD],MATCH($A17,Prices[Key],0)),1))</f>
        <v>1</v>
      </c>
      <c r="F17" s="30">
        <f>IF($A17="",0,(Transactions!M9-Transactions!L9+IF(Transactions!A9=2,Transactions!H9,0))*$E17)</f>
        <v>-11825</v>
      </c>
      <c r="G17" s="30">
        <f>IF($A17="",0,IF(Transactions!A9=2,Transactions!H9*$E17,0))</f>
        <v>0</v>
      </c>
    </row>
    <row r="18" spans="1:7" ht="15" customHeight="1" x14ac:dyDescent="0.15">
      <c r="A18" t="str">
        <f>IF(Transactions!J10="","",Transactions!J10)</f>
        <v>SGX:A17U:SGD</v>
      </c>
      <c r="B18" s="297">
        <f ca="1">IF($A18="",TODAY(),Transactions!G10)</f>
        <v>44326</v>
      </c>
      <c r="C18" s="298">
        <f>IF($A18="","",Transactions!A10)</f>
        <v>0</v>
      </c>
      <c r="D18" s="30">
        <f>IF($A18="",0,Transactions!H10)</f>
        <v>25</v>
      </c>
      <c r="E18" s="299">
        <f>IF($A18="",1,IFERROR(INDEX(Prices[FX to SGD],MATCH($A18,Prices[Key],0)),1))</f>
        <v>1</v>
      </c>
      <c r="F18" s="30">
        <f>IF($A18="",0,(Transactions!M10-Transactions!L10+IF(Transactions!A10=2,Transactions!H10,0))*$E18)</f>
        <v>-25</v>
      </c>
      <c r="G18" s="30">
        <f>IF($A18="",0,IF(Transactions!A10=2,Transactions!H10*$E18,0))</f>
        <v>0</v>
      </c>
    </row>
    <row r="19" spans="1:7" ht="15" customHeight="1" x14ac:dyDescent="0.15">
      <c r="A19" t="str">
        <f>IF(Transactions!J11="","",Transactions!J11)</f>
        <v>CA:GOLD:SGD</v>
      </c>
      <c r="B19" s="297">
        <f ca="1">IF($A19="",TODAY(),Transactions!G11)</f>
        <v>44348</v>
      </c>
      <c r="C19" s="298">
        <f>IF($A19="","",Transactions!A11)</f>
        <v>1</v>
      </c>
      <c r="D19" s="30">
        <f>IF($A19="",0,Transactions!H11)</f>
        <v>25500</v>
      </c>
      <c r="E19" s="299">
        <f>IF($A19="",1,IFERROR(INDEX(Prices[FX to SGD],MATCH($A19,Prices[Key],0)),1))</f>
        <v>1</v>
      </c>
      <c r="F19" s="30">
        <f>IF($A19="",0,(Transactions!M11-Transactions!L11+IF(Transactions!A11=2,Transactions!H11,0))*$E19)</f>
        <v>-25500</v>
      </c>
      <c r="G19" s="30">
        <f>IF($A19="",0,IF(Transactions!A11=2,Transactions!H11*$E19,0))</f>
        <v>0</v>
      </c>
    </row>
    <row r="20" spans="1:7" ht="15" customHeight="1" x14ac:dyDescent="0.15">
      <c r="A20" t="str">
        <f>IF(Transactions!J12="","",Transactions!J12)</f>
        <v>USX:AAPL:USD</v>
      </c>
      <c r="B20" s="297">
        <f ca="1">IF($A20="",TODAY(),Transactions!G12)</f>
        <v>44571</v>
      </c>
      <c r="C20" s="298">
        <f>IF($A20="","",Transactions!A12)</f>
        <v>1</v>
      </c>
      <c r="D20" s="30">
        <f>IF($A20="",0,Transactions!H12)</f>
        <v>5105</v>
      </c>
      <c r="E20" s="299">
        <f>IF($A20="",1,IFERROR(INDEX(Prices[FX to SGD],MATCH($A20,Prices[Key],0)),1))</f>
        <v>1.2928081084924601</v>
      </c>
      <c r="F20" s="30">
        <f>IF($A20="",0,(Transactions!M12-Transactions!L12+IF(Transactions!A12=2,Transactions!H12,0))*$E20)</f>
        <v>-6599.7853938540084</v>
      </c>
      <c r="G20" s="30">
        <f>IF($A20="",0,IF(Transactions!A12=2,Transactions!H12*$E20,0))</f>
        <v>0</v>
      </c>
    </row>
    <row r="21" spans="1:7" ht="15" customHeight="1" x14ac:dyDescent="0.15">
      <c r="A21" t="str">
        <f>IF(Transactions!J13="","",Transactions!J13)</f>
        <v>SGX:C38U:SGD</v>
      </c>
      <c r="B21" s="297">
        <f ca="1">IF($A21="",TODAY(),Transactions!G13)</f>
        <v>44621</v>
      </c>
      <c r="C21" s="298">
        <f>IF($A21="","",Transactions!A13)</f>
        <v>1</v>
      </c>
      <c r="D21" s="30">
        <f>IF($A21="",0,Transactions!H13)</f>
        <v>6625</v>
      </c>
      <c r="E21" s="299">
        <f>IF($A21="",1,IFERROR(INDEX(Prices[FX to SGD],MATCH($A21,Prices[Key],0)),1))</f>
        <v>1</v>
      </c>
      <c r="F21" s="30">
        <f>IF($A21="",0,(Transactions!M13-Transactions!L13+IF(Transactions!A13=2,Transactions!H13,0))*$E21)</f>
        <v>-6625</v>
      </c>
      <c r="G21" s="30">
        <f>IF($A21="",0,IF(Transactions!A13=2,Transactions!H13*$E21,0))</f>
        <v>0</v>
      </c>
    </row>
    <row r="22" spans="1:7" ht="15" customHeight="1" x14ac:dyDescent="0.15">
      <c r="A22" t="str">
        <f>IF(Transactions!J14="","",Transactions!J14)</f>
        <v>USX:NVDA:USD</v>
      </c>
      <c r="B22" s="297">
        <f ca="1">IF($A22="",TODAY(),Transactions!G14)</f>
        <v>44837</v>
      </c>
      <c r="C22" s="298">
        <f>IF($A22="","",Transactions!A14)</f>
        <v>1</v>
      </c>
      <c r="D22" s="30">
        <f>IF($A22="",0,Transactions!H14)</f>
        <v>4805</v>
      </c>
      <c r="E22" s="299">
        <f>IF($A22="",1,IFERROR(INDEX(Prices[FX to SGD],MATCH($A22,Prices[Key],0)),1))</f>
        <v>1.2928081084924601</v>
      </c>
      <c r="F22" s="30">
        <f>IF($A22="",0,(Transactions!M14-Transactions!L14+IF(Transactions!A14=2,Transactions!H14,0))*$E22)</f>
        <v>-6211.9429613062703</v>
      </c>
      <c r="G22" s="30">
        <f>IF($A22="",0,IF(Transactions!A14=2,Transactions!H14*$E22,0))</f>
        <v>0</v>
      </c>
    </row>
    <row r="23" spans="1:7" ht="15" customHeight="1" x14ac:dyDescent="0.15">
      <c r="A23" t="str">
        <f>IF(Transactions!J15="","",Transactions!J15)</f>
        <v>CG:BITCOIN:USD</v>
      </c>
      <c r="B23" s="297">
        <f ca="1">IF($A23="",TODAY(),Transactions!G15)</f>
        <v>44942</v>
      </c>
      <c r="C23" s="298">
        <f>IF($A23="","",Transactions!A15)</f>
        <v>1</v>
      </c>
      <c r="D23" s="30">
        <f>IF($A23="",0,Transactions!H15)</f>
        <v>850</v>
      </c>
      <c r="E23" s="299">
        <f>IF($A23="",1,IFERROR(INDEX(Prices[FX to SGD],MATCH($A23,Prices[Key],0)),1))</f>
        <v>1.2928081084924601</v>
      </c>
      <c r="F23" s="30">
        <f>IF($A23="",0,(Transactions!M15-Transactions!L15+IF(Transactions!A15=2,Transactions!H15,0))*$E23)</f>
        <v>-1098.8868922185911</v>
      </c>
      <c r="G23" s="30">
        <f>IF($A23="",0,IF(Transactions!A15=2,Transactions!H15*$E23,0))</f>
        <v>0</v>
      </c>
    </row>
    <row r="24" spans="1:7" ht="15" customHeight="1" x14ac:dyDescent="0.15">
      <c r="A24" t="str">
        <f>IF(Transactions!J16="","",Transactions!J16)</f>
        <v>SGX:CLR:SGD</v>
      </c>
      <c r="B24" s="297">
        <f ca="1">IF($A24="",TODAY(),Transactions!G16)</f>
        <v>45019</v>
      </c>
      <c r="C24" s="298">
        <f>IF($A24="","",Transactions!A16)</f>
        <v>1</v>
      </c>
      <c r="D24" s="30">
        <f>IF($A24="",0,Transactions!H16)</f>
        <v>7025</v>
      </c>
      <c r="E24" s="299">
        <f>IF($A24="",1,IFERROR(INDEX(Prices[FX to SGD],MATCH($A24,Prices[Key],0)),1))</f>
        <v>1</v>
      </c>
      <c r="F24" s="30">
        <f>IF($A24="",0,(Transactions!M16-Transactions!L16+IF(Transactions!A16=2,Transactions!H16,0))*$E24)</f>
        <v>-7025</v>
      </c>
      <c r="G24" s="30">
        <f>IF($A24="",0,IF(Transactions!A16=2,Transactions!H16*$E24,0))</f>
        <v>0</v>
      </c>
    </row>
    <row r="25" spans="1:7" ht="15" customHeight="1" x14ac:dyDescent="0.15">
      <c r="A25" t="str">
        <f>IF(Transactions!J17="","",Transactions!J17)</f>
        <v>USX:NVDA:USD</v>
      </c>
      <c r="B25" s="297">
        <f ca="1">IF($A25="",TODAY(),Transactions!G17)</f>
        <v>45446</v>
      </c>
      <c r="C25" s="298">
        <f>IF($A25="","",Transactions!A17)</f>
        <v>-1</v>
      </c>
      <c r="D25" s="30">
        <f>IF($A25="",0,Transactions!H17)</f>
        <v>17995</v>
      </c>
      <c r="E25" s="300">
        <f>IF($A25="",1,IFERROR(INDEX(Prices[FX to SGD],MATCH($A25,Prices[Key],0)),1))</f>
        <v>1.2928081084924601</v>
      </c>
      <c r="F25" s="30">
        <f>IF($A25="",0,(Transactions!M17-Transactions!L17+IF(Transactions!A17=2,Transactions!H17,0))*$E25)</f>
        <v>23264.081912321821</v>
      </c>
      <c r="G25" s="30">
        <f>IF($A25="",0,IF(Transactions!A17=2,Transactions!H17*$E25,0))</f>
        <v>0</v>
      </c>
    </row>
    <row r="26" spans="1:7" ht="15" customHeight="1" x14ac:dyDescent="0.15">
      <c r="A26" t="str">
        <f>IF(Transactions!J18="","",Transactions!J18)</f>
        <v>SGX:C38U:SGD</v>
      </c>
      <c r="B26" s="297">
        <f ca="1">IF($A26="",TODAY(),Transactions!G18)</f>
        <v>45889</v>
      </c>
      <c r="C26" s="298">
        <f>IF($A26="","",Transactions!A18)</f>
        <v>2</v>
      </c>
      <c r="D26" s="30">
        <f>IF($A26="",0,Transactions!H18)</f>
        <v>280</v>
      </c>
      <c r="E26" s="300">
        <f>IF($A26="",1,IFERROR(INDEX(Prices[FX to SGD],MATCH($A26,Prices[Key],0)),1))</f>
        <v>1</v>
      </c>
      <c r="F26" s="30">
        <f>IF($A26="",0,(Transactions!M18-Transactions!L18+IF(Transactions!A18=2,Transactions!H18,0))*$E26)</f>
        <v>280</v>
      </c>
      <c r="G26" s="30">
        <f>IF($A26="",0,IF(Transactions!A18=2,Transactions!H18*$E26,0))</f>
        <v>280</v>
      </c>
    </row>
    <row r="27" spans="1:7" ht="15" customHeight="1" x14ac:dyDescent="0.15">
      <c r="A27" t="str">
        <f>IF(Transactions!J19="","",Transactions!J19)</f>
        <v>SGX:Z74:SGD</v>
      </c>
      <c r="B27" s="297">
        <f ca="1">IF($A27="",TODAY(),Transactions!G19)</f>
        <v>46037</v>
      </c>
      <c r="C27" s="298">
        <f>IF($A27="","",Transactions!A19)</f>
        <v>2</v>
      </c>
      <c r="D27" s="30">
        <f>IF($A27="",0,Transactions!H19)</f>
        <v>200</v>
      </c>
      <c r="E27" s="299">
        <f>IF($A27="",1,IFERROR(INDEX(Prices[FX to SGD],MATCH($A27,Prices[Key],0)),1))</f>
        <v>1</v>
      </c>
      <c r="F27" s="30">
        <f>IF($A27="",0,(Transactions!M19-Transactions!L19+IF(Transactions!A19=2,Transactions!H19,0))*$E27)</f>
        <v>200</v>
      </c>
      <c r="G27" s="30">
        <f>IF($A27="",0,IF(Transactions!A19=2,Transactions!H19*$E27,0))</f>
        <v>200</v>
      </c>
    </row>
    <row r="28" spans="1:7" ht="15" customHeight="1" x14ac:dyDescent="0.15">
      <c r="A28" t="str">
        <f>IF(Transactions!J20="","",Transactions!J20)</f>
        <v>SGX:C38U:SGD</v>
      </c>
      <c r="B28" s="297">
        <f ca="1">IF($A28="",TODAY(),Transactions!G20)</f>
        <v>46073</v>
      </c>
      <c r="C28" s="298">
        <f>IF($A28="","",Transactions!A20)</f>
        <v>2</v>
      </c>
      <c r="D28" s="30">
        <f>IF($A28="",0,Transactions!H20)</f>
        <v>300</v>
      </c>
      <c r="E28" s="299">
        <f>IF($A28="",1,IFERROR(INDEX(Prices[FX to SGD],MATCH($A28,Prices[Key],0)),1))</f>
        <v>1</v>
      </c>
      <c r="F28" s="30">
        <f>IF($A28="",0,(Transactions!M20-Transactions!L20+IF(Transactions!A20=2,Transactions!H20,0))*$E28)</f>
        <v>300</v>
      </c>
      <c r="G28" s="30">
        <f>IF($A28="",0,IF(Transactions!A20=2,Transactions!H20*$E28,0))</f>
        <v>300</v>
      </c>
    </row>
    <row r="29" spans="1:7" ht="15" customHeight="1" x14ac:dyDescent="0.15">
      <c r="A29" t="str">
        <f>IF(Transactions!J21="","",Transactions!J21)</f>
        <v>SGX:A17U:SGD</v>
      </c>
      <c r="B29" s="297">
        <f ca="1">IF($A29="",TODAY(),Transactions!G21)</f>
        <v>46203</v>
      </c>
      <c r="C29" s="298">
        <f>IF($A29="","",Transactions!A21)</f>
        <v>2</v>
      </c>
      <c r="D29" s="30">
        <f>IF($A29="",0,Transactions!H21)</f>
        <v>310</v>
      </c>
      <c r="E29" s="299">
        <f>IF($A29="",1,IFERROR(INDEX(Prices[FX to SGD],MATCH($A29,Prices[Key],0)),1))</f>
        <v>1</v>
      </c>
      <c r="F29" s="30">
        <f>IF($A29="",0,(Transactions!M21-Transactions!L21+IF(Transactions!A21=2,Transactions!H21,0))*$E29)</f>
        <v>310</v>
      </c>
      <c r="G29" s="30">
        <f>IF($A29="",0,IF(Transactions!A21=2,Transactions!H21*$E29,0))</f>
        <v>310</v>
      </c>
    </row>
    <row r="30" spans="1:7" ht="15" customHeight="1" x14ac:dyDescent="0.15">
      <c r="A30" t="str">
        <f>IF(Transactions!J22="","",Transactions!J22)</f>
        <v/>
      </c>
      <c r="B30" s="297">
        <f ca="1">IF($A30="",TODAY(),Transactions!G22)</f>
        <v>46216</v>
      </c>
      <c r="C30" s="298" t="str">
        <f>IF($A30="","",Transactions!A22)</f>
        <v/>
      </c>
      <c r="D30" s="30">
        <f>IF($A30="",0,Transactions!H22)</f>
        <v>0</v>
      </c>
      <c r="E30" s="299">
        <f>IF($A30="",1,IFERROR(INDEX(Prices[FX to SGD],MATCH($A30,Prices[Key],0)),1))</f>
        <v>1</v>
      </c>
      <c r="F30" s="30">
        <f>IF($A30="",0,(Transactions!M22-Transactions!L22+IF(Transactions!A22=2,Transactions!H22,0))*$E30)</f>
        <v>0</v>
      </c>
      <c r="G30" s="30">
        <f>IF($A30="",0,IF(Transactions!A22=2,Transactions!H22*$E30,0))</f>
        <v>0</v>
      </c>
    </row>
    <row r="31" spans="1:7" ht="15" customHeight="1" x14ac:dyDescent="0.15">
      <c r="A31" t="str">
        <f>IF(Transactions!J23="","",Transactions!J23)</f>
        <v/>
      </c>
      <c r="B31" s="297">
        <f ca="1">IF($A31="",TODAY(),Transactions!G23)</f>
        <v>46216</v>
      </c>
      <c r="C31" s="298" t="str">
        <f>IF($A31="","",Transactions!A23)</f>
        <v/>
      </c>
      <c r="D31" s="30">
        <f>IF($A31="",0,Transactions!H23)</f>
        <v>0</v>
      </c>
      <c r="E31" s="299">
        <f>IF($A31="",1,IFERROR(INDEX(Prices[FX to SGD],MATCH($A31,Prices[Key],0)),1))</f>
        <v>1</v>
      </c>
      <c r="F31" s="30">
        <f>IF($A31="",0,(Transactions!M23-Transactions!L23+IF(Transactions!A23=2,Transactions!H23,0))*$E31)</f>
        <v>0</v>
      </c>
      <c r="G31" s="30">
        <f>IF($A31="",0,IF(Transactions!A23=2,Transactions!H23*$E31,0))</f>
        <v>0</v>
      </c>
    </row>
    <row r="32" spans="1:7" ht="15" customHeight="1" x14ac:dyDescent="0.15">
      <c r="A32" t="str">
        <f>IF(Transactions!J24="","",Transactions!J24)</f>
        <v/>
      </c>
      <c r="B32" s="297">
        <f ca="1">IF($A32="",TODAY(),Transactions!G24)</f>
        <v>46216</v>
      </c>
      <c r="C32" s="298" t="str">
        <f>IF($A32="","",Transactions!A24)</f>
        <v/>
      </c>
      <c r="D32" s="30">
        <f>IF($A32="",0,Transactions!H24)</f>
        <v>0</v>
      </c>
      <c r="E32" s="299">
        <f>IF($A32="",1,IFERROR(INDEX(Prices[FX to SGD],MATCH($A32,Prices[Key],0)),1))</f>
        <v>1</v>
      </c>
      <c r="F32" s="30">
        <f>IF($A32="",0,(Transactions!M24-Transactions!L24+IF(Transactions!A24=2,Transactions!H24,0))*$E32)</f>
        <v>0</v>
      </c>
      <c r="G32" s="30">
        <f>IF($A32="",0,IF(Transactions!A24=2,Transactions!H24*$E32,0))</f>
        <v>0</v>
      </c>
    </row>
    <row r="33" spans="1:7" ht="15" customHeight="1" x14ac:dyDescent="0.15">
      <c r="A33" t="str">
        <f>IF(Transactions!J25="","",Transactions!J25)</f>
        <v/>
      </c>
      <c r="B33" s="297">
        <f ca="1">IF($A33="",TODAY(),Transactions!G25)</f>
        <v>46216</v>
      </c>
      <c r="C33" s="298" t="str">
        <f>IF($A33="","",Transactions!A25)</f>
        <v/>
      </c>
      <c r="D33" s="30">
        <f>IF($A33="",0,Transactions!H25)</f>
        <v>0</v>
      </c>
      <c r="E33" s="300">
        <f>IF($A33="",1,IFERROR(INDEX(Prices[FX to SGD],MATCH($A33,Prices[Key],0)),1))</f>
        <v>1</v>
      </c>
      <c r="F33" s="30">
        <f>IF($A33="",0,(Transactions!M25-Transactions!L25+IF(Transactions!A25=2,Transactions!H25,0))*$E33)</f>
        <v>0</v>
      </c>
      <c r="G33" s="30">
        <f>IF($A33="",0,IF(Transactions!A25=2,Transactions!H25*$E33,0))</f>
        <v>0</v>
      </c>
    </row>
    <row r="34" spans="1:7" ht="15" customHeight="1" x14ac:dyDescent="0.15">
      <c r="A34" t="str">
        <f>IF(Transactions!J26="","",Transactions!J26)</f>
        <v/>
      </c>
      <c r="B34" s="297">
        <f ca="1">IF($A34="",TODAY(),Transactions!G26)</f>
        <v>46216</v>
      </c>
      <c r="C34" s="298" t="str">
        <f>IF($A34="","",Transactions!A26)</f>
        <v/>
      </c>
      <c r="D34" s="30">
        <f>IF($A34="",0,Transactions!H26)</f>
        <v>0</v>
      </c>
      <c r="E34" s="299">
        <f>IF($A34="",1,IFERROR(INDEX(Prices[FX to SGD],MATCH($A34,Prices[Key],0)),1))</f>
        <v>1</v>
      </c>
      <c r="F34" s="30">
        <f>IF($A34="",0,(Transactions!M26-Transactions!L26+IF(Transactions!A26=2,Transactions!H26,0))*$E34)</f>
        <v>0</v>
      </c>
      <c r="G34" s="30">
        <f>IF($A34="",0,IF(Transactions!A26=2,Transactions!H26*$E34,0))</f>
        <v>0</v>
      </c>
    </row>
    <row r="35" spans="1:7" ht="15" customHeight="1" x14ac:dyDescent="0.15">
      <c r="A35" t="str">
        <f>IF(Transactions!J27="","",Transactions!J27)</f>
        <v/>
      </c>
      <c r="B35" s="297">
        <f ca="1">IF($A35="",TODAY(),Transactions!G27)</f>
        <v>46216</v>
      </c>
      <c r="C35" s="298" t="str">
        <f>IF($A35="","",Transactions!A27)</f>
        <v/>
      </c>
      <c r="D35" s="30">
        <f>IF($A35="",0,Transactions!H27)</f>
        <v>0</v>
      </c>
      <c r="E35" s="299">
        <f>IF($A35="",1,IFERROR(INDEX(Prices[FX to SGD],MATCH($A35,Prices[Key],0)),1))</f>
        <v>1</v>
      </c>
      <c r="F35" s="30">
        <f>IF($A35="",0,(Transactions!M27-Transactions!L27+IF(Transactions!A27=2,Transactions!H27,0))*$E35)</f>
        <v>0</v>
      </c>
      <c r="G35" s="30">
        <f>IF($A35="",0,IF(Transactions!A27=2,Transactions!H27*$E35,0))</f>
        <v>0</v>
      </c>
    </row>
    <row r="36" spans="1:7" ht="15" customHeight="1" x14ac:dyDescent="0.15">
      <c r="A36" t="str">
        <f>IF(Transactions!J28="","",Transactions!J28)</f>
        <v/>
      </c>
      <c r="B36" s="297">
        <f ca="1">IF($A36="",TODAY(),Transactions!G28)</f>
        <v>46216</v>
      </c>
      <c r="C36" s="298" t="str">
        <f>IF($A36="","",Transactions!A28)</f>
        <v/>
      </c>
      <c r="D36" s="30">
        <f>IF($A36="",0,Transactions!H28)</f>
        <v>0</v>
      </c>
      <c r="E36" s="299">
        <f>IF($A36="",1,IFERROR(INDEX(Prices[FX to SGD],MATCH($A36,Prices[Key],0)),1))</f>
        <v>1</v>
      </c>
      <c r="F36" s="30">
        <f>IF($A36="",0,(Transactions!M28-Transactions!L28+IF(Transactions!A28=2,Transactions!H28,0))*$E36)</f>
        <v>0</v>
      </c>
      <c r="G36" s="30">
        <f>IF($A36="",0,IF(Transactions!A28=2,Transactions!H28*$E36,0))</f>
        <v>0</v>
      </c>
    </row>
    <row r="37" spans="1:7" ht="15" customHeight="1" x14ac:dyDescent="0.15">
      <c r="A37" t="str">
        <f>IF(Transactions!J29="","",Transactions!J29)</f>
        <v/>
      </c>
      <c r="B37" s="297">
        <f ca="1">IF($A37="",TODAY(),Transactions!G29)</f>
        <v>46216</v>
      </c>
      <c r="C37" s="298" t="str">
        <f>IF($A37="","",Transactions!A29)</f>
        <v/>
      </c>
      <c r="D37" s="30">
        <f>IF($A37="",0,Transactions!H29)</f>
        <v>0</v>
      </c>
      <c r="E37" s="300">
        <f>IF($A37="",1,IFERROR(INDEX(Prices[FX to SGD],MATCH($A37,Prices[Key],0)),1))</f>
        <v>1</v>
      </c>
      <c r="F37" s="30">
        <f>IF($A37="",0,(Transactions!M29-Transactions!L29+IF(Transactions!A29=2,Transactions!H29,0))*$E37)</f>
        <v>0</v>
      </c>
      <c r="G37" s="30">
        <f>IF($A37="",0,IF(Transactions!A29=2,Transactions!H29*$E37,0))</f>
        <v>0</v>
      </c>
    </row>
    <row r="38" spans="1:7" ht="15" customHeight="1" x14ac:dyDescent="0.15">
      <c r="A38" t="str">
        <f>IF(Transactions!J30="","",Transactions!J30)</f>
        <v/>
      </c>
      <c r="B38" s="297">
        <f ca="1">IF($A38="",TODAY(),Transactions!G30)</f>
        <v>46216</v>
      </c>
      <c r="C38" s="298" t="str">
        <f>IF($A38="","",Transactions!A30)</f>
        <v/>
      </c>
      <c r="D38" s="30">
        <f>IF($A38="",0,Transactions!H30)</f>
        <v>0</v>
      </c>
      <c r="E38" s="300">
        <f>IF($A38="",1,IFERROR(INDEX(Prices[FX to SGD],MATCH($A38,Prices[Key],0)),1))</f>
        <v>1</v>
      </c>
      <c r="F38" s="30">
        <f>IF($A38="",0,(Transactions!M30-Transactions!L30+IF(Transactions!A30=2,Transactions!H30,0))*$E38)</f>
        <v>0</v>
      </c>
      <c r="G38" s="30">
        <f>IF($A38="",0,IF(Transactions!A30=2,Transactions!H30*$E38,0))</f>
        <v>0</v>
      </c>
    </row>
    <row r="39" spans="1:7" ht="15" customHeight="1" x14ac:dyDescent="0.15">
      <c r="A39" t="str">
        <f>IF(Transactions!J31="","",Transactions!J31)</f>
        <v/>
      </c>
      <c r="B39" s="297">
        <f ca="1">IF($A39="",TODAY(),Transactions!G31)</f>
        <v>46216</v>
      </c>
      <c r="C39" s="298" t="str">
        <f>IF($A39="","",Transactions!A31)</f>
        <v/>
      </c>
      <c r="D39" s="30">
        <f>IF($A39="",0,Transactions!H31)</f>
        <v>0</v>
      </c>
      <c r="E39" s="299">
        <f>IF($A39="",1,IFERROR(INDEX(Prices[FX to SGD],MATCH($A39,Prices[Key],0)),1))</f>
        <v>1</v>
      </c>
      <c r="F39" s="30">
        <f>IF($A39="",0,(Transactions!M31-Transactions!L31+IF(Transactions!A31=2,Transactions!H31,0))*$E39)</f>
        <v>0</v>
      </c>
      <c r="G39" s="30">
        <f>IF($A39="",0,IF(Transactions!A31=2,Transactions!H31*$E39,0))</f>
        <v>0</v>
      </c>
    </row>
    <row r="40" spans="1:7" ht="15" customHeight="1" x14ac:dyDescent="0.15">
      <c r="A40" t="str">
        <f>IF(Transactions!J32="","",Transactions!J32)</f>
        <v/>
      </c>
      <c r="B40" s="297">
        <f ca="1">IF($A40="",TODAY(),Transactions!G32)</f>
        <v>46216</v>
      </c>
      <c r="C40" s="298" t="str">
        <f>IF($A40="","",Transactions!A32)</f>
        <v/>
      </c>
      <c r="D40" s="30">
        <f>IF($A40="",0,Transactions!H32)</f>
        <v>0</v>
      </c>
      <c r="E40" s="300">
        <f>IF($A40="",1,IFERROR(INDEX(Prices[FX to SGD],MATCH($A40,Prices[Key],0)),1))</f>
        <v>1</v>
      </c>
      <c r="F40" s="30">
        <f>IF($A40="",0,(Transactions!M32-Transactions!L32+IF(Transactions!A32=2,Transactions!H32,0))*$E40)</f>
        <v>0</v>
      </c>
      <c r="G40" s="30">
        <f>IF($A40="",0,IF(Transactions!A32=2,Transactions!H32*$E40,0))</f>
        <v>0</v>
      </c>
    </row>
    <row r="41" spans="1:7" ht="15" customHeight="1" x14ac:dyDescent="0.15">
      <c r="A41" t="str">
        <f>IF(Transactions!J33="","",Transactions!J33)</f>
        <v/>
      </c>
      <c r="B41" s="297">
        <f ca="1">IF($A41="",TODAY(),Transactions!G33)</f>
        <v>46216</v>
      </c>
      <c r="C41" s="298" t="str">
        <f>IF($A41="","",Transactions!A33)</f>
        <v/>
      </c>
      <c r="D41" s="30">
        <f>IF($A41="",0,Transactions!H33)</f>
        <v>0</v>
      </c>
      <c r="E41" s="299">
        <f>IF($A41="",1,IFERROR(INDEX(Prices[FX to SGD],MATCH($A41,Prices[Key],0)),1))</f>
        <v>1</v>
      </c>
      <c r="F41" s="30">
        <f>IF($A41="",0,(Transactions!M33-Transactions!L33+IF(Transactions!A33=2,Transactions!H33,0))*$E41)</f>
        <v>0</v>
      </c>
      <c r="G41" s="30">
        <f>IF($A41="",0,IF(Transactions!A33=2,Transactions!H33*$E41,0))</f>
        <v>0</v>
      </c>
    </row>
    <row r="42" spans="1:7" ht="15" customHeight="1" x14ac:dyDescent="0.15">
      <c r="A42" t="str">
        <f>IF(Transactions!J34="","",Transactions!J34)</f>
        <v/>
      </c>
      <c r="B42" s="297">
        <f ca="1">IF($A42="",TODAY(),Transactions!G34)</f>
        <v>46216</v>
      </c>
      <c r="C42" s="298" t="str">
        <f>IF($A42="","",Transactions!A34)</f>
        <v/>
      </c>
      <c r="D42" s="30">
        <f>IF($A42="",0,Transactions!H34)</f>
        <v>0</v>
      </c>
      <c r="E42" s="299">
        <f>IF($A42="",1,IFERROR(INDEX(Prices[FX to SGD],MATCH($A42,Prices[Key],0)),1))</f>
        <v>1</v>
      </c>
      <c r="F42" s="30">
        <f>IF($A42="",0,(Transactions!M34-Transactions!L34+IF(Transactions!A34=2,Transactions!H34,0))*$E42)</f>
        <v>0</v>
      </c>
      <c r="G42" s="30">
        <f>IF($A42="",0,IF(Transactions!A34=2,Transactions!H34*$E42,0))</f>
        <v>0</v>
      </c>
    </row>
    <row r="43" spans="1:7" ht="15" customHeight="1" x14ac:dyDescent="0.15">
      <c r="A43" t="str">
        <f>IF(Transactions!J35="","",Transactions!J35)</f>
        <v/>
      </c>
      <c r="B43" s="297">
        <f ca="1">IF($A43="",TODAY(),Transactions!G35)</f>
        <v>46216</v>
      </c>
      <c r="C43" s="298" t="str">
        <f>IF($A43="","",Transactions!A35)</f>
        <v/>
      </c>
      <c r="D43" s="30">
        <f>IF($A43="",0,Transactions!H35)</f>
        <v>0</v>
      </c>
      <c r="E43" s="300">
        <f>IF($A43="",1,IFERROR(INDEX(Prices[FX to SGD],MATCH($A43,Prices[Key],0)),1))</f>
        <v>1</v>
      </c>
      <c r="F43" s="30">
        <f>IF($A43="",0,(Transactions!M35-Transactions!L35+IF(Transactions!A35=2,Transactions!H35,0))*$E43)</f>
        <v>0</v>
      </c>
      <c r="G43" s="30">
        <f>IF($A43="",0,IF(Transactions!A35=2,Transactions!H35*$E43,0))</f>
        <v>0</v>
      </c>
    </row>
    <row r="44" spans="1:7" ht="15" customHeight="1" x14ac:dyDescent="0.15">
      <c r="A44" t="str">
        <f>IF(Transactions!J36="","",Transactions!J36)</f>
        <v/>
      </c>
      <c r="B44" s="297">
        <f ca="1">IF($A44="",TODAY(),Transactions!G36)</f>
        <v>46216</v>
      </c>
      <c r="C44" s="298" t="str">
        <f>IF($A44="","",Transactions!A36)</f>
        <v/>
      </c>
      <c r="D44" s="30">
        <f>IF($A44="",0,Transactions!H36)</f>
        <v>0</v>
      </c>
      <c r="E44" s="300">
        <f>IF($A44="",1,IFERROR(INDEX(Prices[FX to SGD],MATCH($A44,Prices[Key],0)),1))</f>
        <v>1</v>
      </c>
      <c r="F44" s="30">
        <f>IF($A44="",0,(Transactions!M36-Transactions!L36+IF(Transactions!A36=2,Transactions!H36,0))*$E44)</f>
        <v>0</v>
      </c>
      <c r="G44" s="30">
        <f>IF($A44="",0,IF(Transactions!A36=2,Transactions!H36*$E44,0))</f>
        <v>0</v>
      </c>
    </row>
    <row r="45" spans="1:7" ht="15" customHeight="1" x14ac:dyDescent="0.15">
      <c r="A45" t="str">
        <f>IF(Transactions!J37="","",Transactions!J37)</f>
        <v/>
      </c>
      <c r="B45" s="297">
        <f ca="1">IF($A45="",TODAY(),Transactions!G37)</f>
        <v>46216</v>
      </c>
      <c r="C45" s="298" t="str">
        <f>IF($A45="","",Transactions!A37)</f>
        <v/>
      </c>
      <c r="D45" s="30">
        <f>IF($A45="",0,Transactions!H37)</f>
        <v>0</v>
      </c>
      <c r="E45" s="299">
        <f>IF($A45="",1,IFERROR(INDEX(Prices[FX to SGD],MATCH($A45,Prices[Key],0)),1))</f>
        <v>1</v>
      </c>
      <c r="F45" s="30">
        <f>IF($A45="",0,(Transactions!M37-Transactions!L37+IF(Transactions!A37=2,Transactions!H37,0))*$E45)</f>
        <v>0</v>
      </c>
      <c r="G45" s="30">
        <f>IF($A45="",0,IF(Transactions!A37=2,Transactions!H37*$E45,0))</f>
        <v>0</v>
      </c>
    </row>
    <row r="46" spans="1:7" ht="15" customHeight="1" x14ac:dyDescent="0.15">
      <c r="A46" t="str">
        <f>IF(Transactions!J38="","",Transactions!J38)</f>
        <v/>
      </c>
      <c r="B46" s="297">
        <f ca="1">IF($A46="",TODAY(),Transactions!G38)</f>
        <v>46216</v>
      </c>
      <c r="C46" s="298" t="str">
        <f>IF($A46="","",Transactions!A38)</f>
        <v/>
      </c>
      <c r="D46" s="30">
        <f>IF($A46="",0,Transactions!H38)</f>
        <v>0</v>
      </c>
      <c r="E46" s="300">
        <f>IF($A46="",1,IFERROR(INDEX(Prices[FX to SGD],MATCH($A46,Prices[Key],0)),1))</f>
        <v>1</v>
      </c>
      <c r="F46" s="30">
        <f>IF($A46="",0,(Transactions!M38-Transactions!L38+IF(Transactions!A38=2,Transactions!H38,0))*$E46)</f>
        <v>0</v>
      </c>
      <c r="G46" s="30">
        <f>IF($A46="",0,IF(Transactions!A38=2,Transactions!H38*$E46,0))</f>
        <v>0</v>
      </c>
    </row>
    <row r="47" spans="1:7" ht="15" customHeight="1" x14ac:dyDescent="0.15">
      <c r="A47" t="str">
        <f>IF(Transactions!J39="","",Transactions!J39)</f>
        <v/>
      </c>
      <c r="B47" s="297">
        <f ca="1">IF($A47="",TODAY(),Transactions!G39)</f>
        <v>46216</v>
      </c>
      <c r="C47" s="298" t="str">
        <f>IF($A47="","",Transactions!A39)</f>
        <v/>
      </c>
      <c r="D47" s="30">
        <f>IF($A47="",0,Transactions!H39)</f>
        <v>0</v>
      </c>
      <c r="E47" s="299">
        <f>IF($A47="",1,IFERROR(INDEX(Prices[FX to SGD],MATCH($A47,Prices[Key],0)),1))</f>
        <v>1</v>
      </c>
      <c r="F47" s="30">
        <f>IF($A47="",0,(Transactions!M39-Transactions!L39+IF(Transactions!A39=2,Transactions!H39,0))*$E47)</f>
        <v>0</v>
      </c>
      <c r="G47" s="30">
        <f>IF($A47="",0,IF(Transactions!A39=2,Transactions!H39*$E47,0))</f>
        <v>0</v>
      </c>
    </row>
    <row r="48" spans="1:7" ht="15" customHeight="1" x14ac:dyDescent="0.15">
      <c r="A48" t="str">
        <f>IF(Transactions!J40="","",Transactions!J40)</f>
        <v/>
      </c>
      <c r="B48" s="297">
        <f ca="1">IF($A48="",TODAY(),Transactions!G40)</f>
        <v>46216</v>
      </c>
      <c r="C48" s="298" t="str">
        <f>IF($A48="","",Transactions!A40)</f>
        <v/>
      </c>
      <c r="D48" s="30">
        <f>IF($A48="",0,Transactions!H40)</f>
        <v>0</v>
      </c>
      <c r="E48" s="300">
        <f>IF($A48="",1,IFERROR(INDEX(Prices[FX to SGD],MATCH($A48,Prices[Key],0)),1))</f>
        <v>1</v>
      </c>
      <c r="F48" s="30">
        <f>IF($A48="",0,(Transactions!M40-Transactions!L40+IF(Transactions!A40=2,Transactions!H40,0))*$E48)</f>
        <v>0</v>
      </c>
      <c r="G48" s="30">
        <f>IF($A48="",0,IF(Transactions!A40=2,Transactions!H40*$E48,0))</f>
        <v>0</v>
      </c>
    </row>
    <row r="49" spans="1:7" ht="15" customHeight="1" x14ac:dyDescent="0.15">
      <c r="A49" t="str">
        <f>IF(Transactions!J41="","",Transactions!J41)</f>
        <v/>
      </c>
      <c r="B49" s="297">
        <f ca="1">IF($A49="",TODAY(),Transactions!G41)</f>
        <v>46216</v>
      </c>
      <c r="C49" s="298" t="str">
        <f>IF($A49="","",Transactions!A41)</f>
        <v/>
      </c>
      <c r="D49" s="30">
        <f>IF($A49="",0,Transactions!H41)</f>
        <v>0</v>
      </c>
      <c r="E49" s="299">
        <f>IF($A49="",1,IFERROR(INDEX(Prices[FX to SGD],MATCH($A49,Prices[Key],0)),1))</f>
        <v>1</v>
      </c>
      <c r="F49" s="30">
        <f>IF($A49="",0,(Transactions!M41-Transactions!L41+IF(Transactions!A41=2,Transactions!H41,0))*$E49)</f>
        <v>0</v>
      </c>
      <c r="G49" s="30">
        <f>IF($A49="",0,IF(Transactions!A41=2,Transactions!H41*$E49,0))</f>
        <v>0</v>
      </c>
    </row>
    <row r="50" spans="1:7" ht="15" customHeight="1" x14ac:dyDescent="0.15">
      <c r="A50" t="str">
        <f>IF(Transactions!J42="","",Transactions!J42)</f>
        <v/>
      </c>
      <c r="B50" s="297">
        <f ca="1">IF($A50="",TODAY(),Transactions!G42)</f>
        <v>46216</v>
      </c>
      <c r="C50" s="298" t="str">
        <f>IF($A50="","",Transactions!A42)</f>
        <v/>
      </c>
      <c r="D50" s="30">
        <f>IF($A50="",0,Transactions!H42)</f>
        <v>0</v>
      </c>
      <c r="E50" s="299">
        <f>IF($A50="",1,IFERROR(INDEX(Prices[FX to SGD],MATCH($A50,Prices[Key],0)),1))</f>
        <v>1</v>
      </c>
      <c r="F50" s="30">
        <f>IF($A50="",0,(Transactions!M42-Transactions!L42+IF(Transactions!A42=2,Transactions!H42,0))*$E50)</f>
        <v>0</v>
      </c>
      <c r="G50" s="30">
        <f>IF($A50="",0,IF(Transactions!A42=2,Transactions!H42*$E50,0))</f>
        <v>0</v>
      </c>
    </row>
    <row r="51" spans="1:7" ht="15" customHeight="1" x14ac:dyDescent="0.15">
      <c r="A51" t="str">
        <f>IF(Transactions!J43="","",Transactions!J43)</f>
        <v/>
      </c>
      <c r="B51" s="297">
        <f ca="1">IF($A51="",TODAY(),Transactions!G43)</f>
        <v>46216</v>
      </c>
      <c r="C51" s="298" t="str">
        <f>IF($A51="","",Transactions!A43)</f>
        <v/>
      </c>
      <c r="D51" s="30">
        <f>IF($A51="",0,Transactions!H43)</f>
        <v>0</v>
      </c>
      <c r="E51" s="299">
        <f>IF($A51="",1,IFERROR(INDEX(Prices[FX to SGD],MATCH($A51,Prices[Key],0)),1))</f>
        <v>1</v>
      </c>
      <c r="F51" s="30">
        <f>IF($A51="",0,(Transactions!M43-Transactions!L43+IF(Transactions!A43=2,Transactions!H43,0))*$E51)</f>
        <v>0</v>
      </c>
      <c r="G51" s="30">
        <f>IF($A51="",0,IF(Transactions!A43=2,Transactions!H43*$E51,0))</f>
        <v>0</v>
      </c>
    </row>
    <row r="52" spans="1:7" ht="15" customHeight="1" x14ac:dyDescent="0.15">
      <c r="A52" t="str">
        <f>IF(Transactions!J44="","",Transactions!J44)</f>
        <v/>
      </c>
      <c r="B52" s="297">
        <f ca="1">IF($A52="",TODAY(),Transactions!G44)</f>
        <v>46216</v>
      </c>
      <c r="C52" s="298" t="str">
        <f>IF($A52="","",Transactions!A44)</f>
        <v/>
      </c>
      <c r="D52" s="30">
        <f>IF($A52="",0,Transactions!H44)</f>
        <v>0</v>
      </c>
      <c r="E52" s="299">
        <f>IF($A52="",1,IFERROR(INDEX(Prices[FX to SGD],MATCH($A52,Prices[Key],0)),1))</f>
        <v>1</v>
      </c>
      <c r="F52" s="30">
        <f>IF($A52="",0,(Transactions!M44-Transactions!L44+IF(Transactions!A44=2,Transactions!H44,0))*$E52)</f>
        <v>0</v>
      </c>
      <c r="G52" s="30">
        <f>IF($A52="",0,IF(Transactions!A44=2,Transactions!H44*$E52,0))</f>
        <v>0</v>
      </c>
    </row>
    <row r="53" spans="1:7" ht="15" customHeight="1" x14ac:dyDescent="0.15">
      <c r="A53" t="str">
        <f>IF(Transactions!J45="","",Transactions!J45)</f>
        <v/>
      </c>
      <c r="B53" s="297">
        <f ca="1">IF($A53="",TODAY(),Transactions!G45)</f>
        <v>46216</v>
      </c>
      <c r="C53" s="298" t="str">
        <f>IF($A53="","",Transactions!A45)</f>
        <v/>
      </c>
      <c r="D53" s="30">
        <f>IF($A53="",0,Transactions!H45)</f>
        <v>0</v>
      </c>
      <c r="E53" s="300">
        <f>IF($A53="",1,IFERROR(INDEX(Prices[FX to SGD],MATCH($A53,Prices[Key],0)),1))</f>
        <v>1</v>
      </c>
      <c r="F53" s="30">
        <f>IF($A53="",0,(Transactions!M45-Transactions!L45+IF(Transactions!A45=2,Transactions!H45,0))*$E53)</f>
        <v>0</v>
      </c>
      <c r="G53" s="30">
        <f>IF($A53="",0,IF(Transactions!A45=2,Transactions!H45*$E53,0))</f>
        <v>0</v>
      </c>
    </row>
    <row r="54" spans="1:7" ht="15" customHeight="1" x14ac:dyDescent="0.15">
      <c r="A54" t="str">
        <f>IF(Transactions!J46="","",Transactions!J46)</f>
        <v/>
      </c>
      <c r="B54" s="297">
        <f ca="1">IF($A54="",TODAY(),Transactions!G46)</f>
        <v>46216</v>
      </c>
      <c r="C54" s="298" t="str">
        <f>IF($A54="","",Transactions!A46)</f>
        <v/>
      </c>
      <c r="D54" s="30">
        <f>IF($A54="",0,Transactions!H46)</f>
        <v>0</v>
      </c>
      <c r="E54" s="300">
        <f>IF($A54="",1,IFERROR(INDEX(Prices[FX to SGD],MATCH($A54,Prices[Key],0)),1))</f>
        <v>1</v>
      </c>
      <c r="F54" s="30">
        <f>IF($A54="",0,(Transactions!M46-Transactions!L46+IF(Transactions!A46=2,Transactions!H46,0))*$E54)</f>
        <v>0</v>
      </c>
      <c r="G54" s="30">
        <f>IF($A54="",0,IF(Transactions!A46=2,Transactions!H46*$E54,0))</f>
        <v>0</v>
      </c>
    </row>
    <row r="55" spans="1:7" ht="15" customHeight="1" x14ac:dyDescent="0.15">
      <c r="A55" t="str">
        <f>IF(Transactions!J47="","",Transactions!J47)</f>
        <v/>
      </c>
      <c r="B55" s="297">
        <f ca="1">IF($A55="",TODAY(),Transactions!G47)</f>
        <v>46216</v>
      </c>
      <c r="C55" s="298" t="str">
        <f>IF($A55="","",Transactions!A47)</f>
        <v/>
      </c>
      <c r="D55" s="30">
        <f>IF($A55="",0,Transactions!H47)</f>
        <v>0</v>
      </c>
      <c r="E55" s="299">
        <f>IF($A55="",1,IFERROR(INDEX(Prices[FX to SGD],MATCH($A55,Prices[Key],0)),1))</f>
        <v>1</v>
      </c>
      <c r="F55" s="30">
        <f>IF($A55="",0,(Transactions!M47-Transactions!L47+IF(Transactions!A47=2,Transactions!H47,0))*$E55)</f>
        <v>0</v>
      </c>
      <c r="G55" s="30">
        <f>IF($A55="",0,IF(Transactions!A47=2,Transactions!H47*$E55,0))</f>
        <v>0</v>
      </c>
    </row>
    <row r="56" spans="1:7" ht="15" customHeight="1" x14ac:dyDescent="0.15">
      <c r="A56" t="str">
        <f>IF(Transactions!J48="","",Transactions!J48)</f>
        <v/>
      </c>
      <c r="B56" s="297">
        <f ca="1">IF($A56="",TODAY(),Transactions!G48)</f>
        <v>46216</v>
      </c>
      <c r="C56" s="298" t="str">
        <f>IF($A56="","",Transactions!A48)</f>
        <v/>
      </c>
      <c r="D56" s="30">
        <f>IF($A56="",0,Transactions!H48)</f>
        <v>0</v>
      </c>
      <c r="E56" s="300">
        <f>IF($A56="",1,IFERROR(INDEX(Prices[FX to SGD],MATCH($A56,Prices[Key],0)),1))</f>
        <v>1</v>
      </c>
      <c r="F56" s="30">
        <f>IF($A56="",0,(Transactions!M48-Transactions!L48+IF(Transactions!A48=2,Transactions!H48,0))*$E56)</f>
        <v>0</v>
      </c>
      <c r="G56" s="30">
        <f>IF($A56="",0,IF(Transactions!A48=2,Transactions!H48*$E56,0))</f>
        <v>0</v>
      </c>
    </row>
    <row r="57" spans="1:7" ht="15" customHeight="1" x14ac:dyDescent="0.15">
      <c r="A57" t="str">
        <f>IF(Transactions!J49="","",Transactions!J49)</f>
        <v/>
      </c>
      <c r="B57" s="297">
        <f ca="1">IF($A57="",TODAY(),Transactions!G49)</f>
        <v>46216</v>
      </c>
      <c r="C57" s="298" t="str">
        <f>IF($A57="","",Transactions!A49)</f>
        <v/>
      </c>
      <c r="D57" s="30">
        <f>IF($A57="",0,Transactions!H49)</f>
        <v>0</v>
      </c>
      <c r="E57" s="299">
        <f>IF($A57="",1,IFERROR(INDEX(Prices[FX to SGD],MATCH($A57,Prices[Key],0)),1))</f>
        <v>1</v>
      </c>
      <c r="F57" s="30">
        <f>IF($A57="",0,(Transactions!M49-Transactions!L49+IF(Transactions!A49=2,Transactions!H49,0))*$E57)</f>
        <v>0</v>
      </c>
      <c r="G57" s="30">
        <f>IF($A57="",0,IF(Transactions!A49=2,Transactions!H49*$E57,0))</f>
        <v>0</v>
      </c>
    </row>
    <row r="58" spans="1:7" ht="15" customHeight="1" x14ac:dyDescent="0.15">
      <c r="A58" t="str">
        <f>IF(Transactions!J50="","",Transactions!J50)</f>
        <v/>
      </c>
      <c r="B58" s="297">
        <f ca="1">IF($A58="",TODAY(),Transactions!G50)</f>
        <v>46216</v>
      </c>
      <c r="C58" s="298" t="str">
        <f>IF($A58="","",Transactions!A50)</f>
        <v/>
      </c>
      <c r="D58" s="30">
        <f>IF($A58="",0,Transactions!H50)</f>
        <v>0</v>
      </c>
      <c r="E58" s="300">
        <f>IF($A58="",1,IFERROR(INDEX(Prices[FX to SGD],MATCH($A58,Prices[Key],0)),1))</f>
        <v>1</v>
      </c>
      <c r="F58" s="30">
        <f>IF($A58="",0,(Transactions!M50-Transactions!L50+IF(Transactions!A50=2,Transactions!H50,0))*$E58)</f>
        <v>0</v>
      </c>
      <c r="G58" s="30">
        <f>IF($A58="",0,IF(Transactions!A50=2,Transactions!H50*$E58,0))</f>
        <v>0</v>
      </c>
    </row>
    <row r="59" spans="1:7" ht="15" customHeight="1" x14ac:dyDescent="0.15">
      <c r="A59" t="str">
        <f>IF(Transactions!J51="","",Transactions!J51)</f>
        <v/>
      </c>
      <c r="B59" s="297">
        <f ca="1">IF($A59="",TODAY(),Transactions!G51)</f>
        <v>46216</v>
      </c>
      <c r="C59" s="298" t="str">
        <f>IF($A59="","",Transactions!A51)</f>
        <v/>
      </c>
      <c r="D59" s="30">
        <f>IF($A59="",0,Transactions!H51)</f>
        <v>0</v>
      </c>
      <c r="E59" s="300">
        <f>IF($A59="",1,IFERROR(INDEX(Prices[FX to SGD],MATCH($A59,Prices[Key],0)),1))</f>
        <v>1</v>
      </c>
      <c r="F59" s="30">
        <f>IF($A59="",0,(Transactions!M51-Transactions!L51+IF(Transactions!A51=2,Transactions!H51,0))*$E59)</f>
        <v>0</v>
      </c>
      <c r="G59" s="30">
        <f>IF($A59="",0,IF(Transactions!A51=2,Transactions!H51*$E59,0))</f>
        <v>0</v>
      </c>
    </row>
    <row r="60" spans="1:7" ht="15" customHeight="1" x14ac:dyDescent="0.15">
      <c r="A60" t="str">
        <f>IF(Transactions!J52="","",Transactions!J52)</f>
        <v/>
      </c>
      <c r="B60" s="297">
        <f ca="1">IF($A60="",TODAY(),Transactions!G52)</f>
        <v>46216</v>
      </c>
      <c r="C60" s="298" t="str">
        <f>IF($A60="","",Transactions!A52)</f>
        <v/>
      </c>
      <c r="D60" s="30">
        <f>IF($A60="",0,Transactions!H52)</f>
        <v>0</v>
      </c>
      <c r="E60" s="300">
        <f>IF($A60="",1,IFERROR(INDEX(Prices[FX to SGD],MATCH($A60,Prices[Key],0)),1))</f>
        <v>1</v>
      </c>
      <c r="F60" s="30">
        <f>IF($A60="",0,(Transactions!M52-Transactions!L52+IF(Transactions!A52=2,Transactions!H52,0))*$E60)</f>
        <v>0</v>
      </c>
      <c r="G60" s="30">
        <f>IF($A60="",0,IF(Transactions!A52=2,Transactions!H52*$E60,0))</f>
        <v>0</v>
      </c>
    </row>
    <row r="61" spans="1:7" ht="15" customHeight="1" x14ac:dyDescent="0.15">
      <c r="A61" t="str">
        <f>IF(Transactions!J53="","",Transactions!J53)</f>
        <v/>
      </c>
      <c r="B61" s="297">
        <f ca="1">IF($A61="",TODAY(),Transactions!G53)</f>
        <v>46216</v>
      </c>
      <c r="C61" s="298" t="str">
        <f>IF($A61="","",Transactions!A53)</f>
        <v/>
      </c>
      <c r="D61" s="30">
        <f>IF($A61="",0,Transactions!H53)</f>
        <v>0</v>
      </c>
      <c r="E61" s="300">
        <f>IF($A61="",1,IFERROR(INDEX(Prices[FX to SGD],MATCH($A61,Prices[Key],0)),1))</f>
        <v>1</v>
      </c>
      <c r="F61" s="30">
        <f>IF($A61="",0,(Transactions!M53-Transactions!L53+IF(Transactions!A53=2,Transactions!H53,0))*$E61)</f>
        <v>0</v>
      </c>
      <c r="G61" s="30">
        <f>IF($A61="",0,IF(Transactions!A53=2,Transactions!H53*$E61,0))</f>
        <v>0</v>
      </c>
    </row>
    <row r="62" spans="1:7" ht="15" customHeight="1" x14ac:dyDescent="0.15">
      <c r="A62" t="str">
        <f>IF(Transactions!J54="","",Transactions!J54)</f>
        <v/>
      </c>
      <c r="B62" s="297">
        <f ca="1">IF($A62="",TODAY(),Transactions!G54)</f>
        <v>46216</v>
      </c>
      <c r="C62" s="298" t="str">
        <f>IF($A62="","",Transactions!A54)</f>
        <v/>
      </c>
      <c r="D62" s="30">
        <f>IF($A62="",0,Transactions!H54)</f>
        <v>0</v>
      </c>
      <c r="E62" s="300">
        <f>IF($A62="",1,IFERROR(INDEX(Prices[FX to SGD],MATCH($A62,Prices[Key],0)),1))</f>
        <v>1</v>
      </c>
      <c r="F62" s="30">
        <f>IF($A62="",0,(Transactions!M54-Transactions!L54+IF(Transactions!A54=2,Transactions!H54,0))*$E62)</f>
        <v>0</v>
      </c>
      <c r="G62" s="30">
        <f>IF($A62="",0,IF(Transactions!A54=2,Transactions!H54*$E62,0))</f>
        <v>0</v>
      </c>
    </row>
    <row r="63" spans="1:7" ht="15" customHeight="1" x14ac:dyDescent="0.15">
      <c r="A63" t="str">
        <f>IF(Transactions!J55="","",Transactions!J55)</f>
        <v/>
      </c>
      <c r="B63" s="297">
        <f ca="1">IF($A63="",TODAY(),Transactions!G55)</f>
        <v>46216</v>
      </c>
      <c r="C63" s="298" t="str">
        <f>IF($A63="","",Transactions!A55)</f>
        <v/>
      </c>
      <c r="D63" s="30">
        <f>IF($A63="",0,Transactions!H55)</f>
        <v>0</v>
      </c>
      <c r="E63" s="300">
        <f>IF($A63="",1,IFERROR(INDEX(Prices[FX to SGD],MATCH($A63,Prices[Key],0)),1))</f>
        <v>1</v>
      </c>
      <c r="F63" s="30">
        <f>IF($A63="",0,(Transactions!M55-Transactions!L55+IF(Transactions!A55=2,Transactions!H55,0))*$E63)</f>
        <v>0</v>
      </c>
      <c r="G63" s="30">
        <f>IF($A63="",0,IF(Transactions!A55=2,Transactions!H55*$E63,0))</f>
        <v>0</v>
      </c>
    </row>
    <row r="64" spans="1:7" ht="15" customHeight="1" x14ac:dyDescent="0.15">
      <c r="A64" t="str">
        <f>IF(Transactions!J56="","",Transactions!J56)</f>
        <v/>
      </c>
      <c r="B64" s="297">
        <f ca="1">IF($A64="",TODAY(),Transactions!G56)</f>
        <v>46216</v>
      </c>
      <c r="C64" s="298" t="str">
        <f>IF($A64="","",Transactions!A56)</f>
        <v/>
      </c>
      <c r="D64" s="30">
        <f>IF($A64="",0,Transactions!H56)</f>
        <v>0</v>
      </c>
      <c r="E64" s="299">
        <f>IF($A64="",1,IFERROR(INDEX(Prices[FX to SGD],MATCH($A64,Prices[Key],0)),1))</f>
        <v>1</v>
      </c>
      <c r="F64" s="30">
        <f>IF($A64="",0,(Transactions!M56-Transactions!L56+IF(Transactions!A56=2,Transactions!H56,0))*$E64)</f>
        <v>0</v>
      </c>
      <c r="G64" s="30">
        <f>IF($A64="",0,IF(Transactions!A56=2,Transactions!H56*$E64,0))</f>
        <v>0</v>
      </c>
    </row>
    <row r="65" spans="1:7" ht="15" customHeight="1" x14ac:dyDescent="0.15">
      <c r="A65" t="str">
        <f>IF(Transactions!J57="","",Transactions!J57)</f>
        <v/>
      </c>
      <c r="B65" s="297">
        <f ca="1">IF($A65="",TODAY(),Transactions!G57)</f>
        <v>46216</v>
      </c>
      <c r="C65" s="298" t="str">
        <f>IF($A65="","",Transactions!A57)</f>
        <v/>
      </c>
      <c r="D65" s="30">
        <f>IF($A65="",0,Transactions!H57)</f>
        <v>0</v>
      </c>
      <c r="E65" s="299">
        <f>IF($A65="",1,IFERROR(INDEX(Prices[FX to SGD],MATCH($A65,Prices[Key],0)),1))</f>
        <v>1</v>
      </c>
      <c r="F65" s="30">
        <f>IF($A65="",0,(Transactions!M57-Transactions!L57+IF(Transactions!A57=2,Transactions!H57,0))*$E65)</f>
        <v>0</v>
      </c>
      <c r="G65" s="30">
        <f>IF($A65="",0,IF(Transactions!A57=2,Transactions!H57*$E65,0))</f>
        <v>0</v>
      </c>
    </row>
    <row r="66" spans="1:7" ht="15" customHeight="1" x14ac:dyDescent="0.15">
      <c r="A66" t="str">
        <f>IF(Transactions!J58="","",Transactions!J58)</f>
        <v/>
      </c>
      <c r="B66" s="297">
        <f ca="1">IF($A66="",TODAY(),Transactions!G58)</f>
        <v>46216</v>
      </c>
      <c r="C66" s="298" t="str">
        <f>IF($A66="","",Transactions!A58)</f>
        <v/>
      </c>
      <c r="D66" s="30">
        <f>IF($A66="",0,Transactions!H58)</f>
        <v>0</v>
      </c>
      <c r="E66" s="300">
        <f>IF($A66="",1,IFERROR(INDEX(Prices[FX to SGD],MATCH($A66,Prices[Key],0)),1))</f>
        <v>1</v>
      </c>
      <c r="F66" s="30">
        <f>IF($A66="",0,(Transactions!M58-Transactions!L58+IF(Transactions!A58=2,Transactions!H58,0))*$E66)</f>
        <v>0</v>
      </c>
      <c r="G66" s="30">
        <f>IF($A66="",0,IF(Transactions!A58=2,Transactions!H58*$E66,0))</f>
        <v>0</v>
      </c>
    </row>
    <row r="67" spans="1:7" ht="15" customHeight="1" x14ac:dyDescent="0.15">
      <c r="A67" t="str">
        <f>IF(Transactions!J59="","",Transactions!J59)</f>
        <v/>
      </c>
      <c r="B67" s="297">
        <f ca="1">IF($A67="",TODAY(),Transactions!G59)</f>
        <v>46216</v>
      </c>
      <c r="C67" s="298" t="str">
        <f>IF($A67="","",Transactions!A59)</f>
        <v/>
      </c>
      <c r="D67" s="30">
        <f>IF($A67="",0,Transactions!H59)</f>
        <v>0</v>
      </c>
      <c r="E67" s="299">
        <f>IF($A67="",1,IFERROR(INDEX(Prices[FX to SGD],MATCH($A67,Prices[Key],0)),1))</f>
        <v>1</v>
      </c>
      <c r="F67" s="30">
        <f>IF($A67="",0,(Transactions!M59-Transactions!L59+IF(Transactions!A59=2,Transactions!H59,0))*$E67)</f>
        <v>0</v>
      </c>
      <c r="G67" s="30">
        <f>IF($A67="",0,IF(Transactions!A59=2,Transactions!H59*$E67,0))</f>
        <v>0</v>
      </c>
    </row>
    <row r="68" spans="1:7" ht="15" customHeight="1" x14ac:dyDescent="0.15">
      <c r="A68" t="str">
        <f>IF(Transactions!J60="","",Transactions!J60)</f>
        <v/>
      </c>
      <c r="B68" s="297">
        <f ca="1">IF($A68="",TODAY(),Transactions!G60)</f>
        <v>46216</v>
      </c>
      <c r="C68" s="298" t="str">
        <f>IF($A68="","",Transactions!A60)</f>
        <v/>
      </c>
      <c r="D68" s="30">
        <f>IF($A68="",0,Transactions!H60)</f>
        <v>0</v>
      </c>
      <c r="E68" s="300">
        <f>IF($A68="",1,IFERROR(INDEX(Prices[FX to SGD],MATCH($A68,Prices[Key],0)),1))</f>
        <v>1</v>
      </c>
      <c r="F68" s="30">
        <f>IF($A68="",0,(Transactions!M60-Transactions!L60+IF(Transactions!A60=2,Transactions!H60,0))*$E68)</f>
        <v>0</v>
      </c>
      <c r="G68" s="30">
        <f>IF($A68="",0,IF(Transactions!A60=2,Transactions!H60*$E68,0))</f>
        <v>0</v>
      </c>
    </row>
    <row r="69" spans="1:7" ht="15" customHeight="1" x14ac:dyDescent="0.15">
      <c r="A69" t="str">
        <f>IF(Transactions!J61="","",Transactions!J61)</f>
        <v/>
      </c>
      <c r="B69" s="297">
        <f ca="1">IF($A69="",TODAY(),Transactions!G61)</f>
        <v>46216</v>
      </c>
      <c r="C69" s="298" t="str">
        <f>IF($A69="","",Transactions!A61)</f>
        <v/>
      </c>
      <c r="D69" s="30">
        <f>IF($A69="",0,Transactions!H61)</f>
        <v>0</v>
      </c>
      <c r="E69" s="300">
        <f>IF($A69="",1,IFERROR(INDEX(Prices[FX to SGD],MATCH($A69,Prices[Key],0)),1))</f>
        <v>1</v>
      </c>
      <c r="F69" s="30">
        <f>IF($A69="",0,(Transactions!M61-Transactions!L61+IF(Transactions!A61=2,Transactions!H61,0))*$E69)</f>
        <v>0</v>
      </c>
      <c r="G69" s="30">
        <f>IF($A69="",0,IF(Transactions!A61=2,Transactions!H61*$E69,0))</f>
        <v>0</v>
      </c>
    </row>
    <row r="70" spans="1:7" ht="15" customHeight="1" x14ac:dyDescent="0.15">
      <c r="A70" t="str">
        <f>IF(Transactions!J62="","",Transactions!J62)</f>
        <v/>
      </c>
      <c r="B70" s="297">
        <f ca="1">IF($A70="",TODAY(),Transactions!G62)</f>
        <v>46216</v>
      </c>
      <c r="C70" s="298" t="str">
        <f>IF($A70="","",Transactions!A62)</f>
        <v/>
      </c>
      <c r="D70" s="30">
        <f>IF($A70="",0,Transactions!H62)</f>
        <v>0</v>
      </c>
      <c r="E70" s="300">
        <f>IF($A70="",1,IFERROR(INDEX(Prices[FX to SGD],MATCH($A70,Prices[Key],0)),1))</f>
        <v>1</v>
      </c>
      <c r="F70" s="30">
        <f>IF($A70="",0,(Transactions!M62-Transactions!L62+IF(Transactions!A62=2,Transactions!H62,0))*$E70)</f>
        <v>0</v>
      </c>
      <c r="G70" s="30">
        <f>IF($A70="",0,IF(Transactions!A62=2,Transactions!H62*$E70,0))</f>
        <v>0</v>
      </c>
    </row>
    <row r="71" spans="1:7" ht="15" customHeight="1" x14ac:dyDescent="0.15">
      <c r="A71" t="str">
        <f>IF(Transactions!J63="","",Transactions!J63)</f>
        <v/>
      </c>
      <c r="B71" s="297">
        <f ca="1">IF($A71="",TODAY(),Transactions!G63)</f>
        <v>46216</v>
      </c>
      <c r="C71" s="298" t="str">
        <f>IF($A71="","",Transactions!A63)</f>
        <v/>
      </c>
      <c r="D71" s="30">
        <f>IF($A71="",0,Transactions!H63)</f>
        <v>0</v>
      </c>
      <c r="E71" s="299">
        <f>IF($A71="",1,IFERROR(INDEX(Prices[FX to SGD],MATCH($A71,Prices[Key],0)),1))</f>
        <v>1</v>
      </c>
      <c r="F71" s="30">
        <f>IF($A71="",0,(Transactions!M63-Transactions!L63+IF(Transactions!A63=2,Transactions!H63,0))*$E71)</f>
        <v>0</v>
      </c>
      <c r="G71" s="30">
        <f>IF($A71="",0,IF(Transactions!A63=2,Transactions!H63*$E71,0))</f>
        <v>0</v>
      </c>
    </row>
    <row r="72" spans="1:7" ht="15" customHeight="1" x14ac:dyDescent="0.15">
      <c r="A72" t="str">
        <f>IF(Transactions!J64="","",Transactions!J64)</f>
        <v/>
      </c>
      <c r="B72" s="297">
        <f ca="1">IF($A72="",TODAY(),Transactions!G64)</f>
        <v>46216</v>
      </c>
      <c r="C72" s="298" t="str">
        <f>IF($A72="","",Transactions!A64)</f>
        <v/>
      </c>
      <c r="D72" s="30">
        <f>IF($A72="",0,Transactions!H64)</f>
        <v>0</v>
      </c>
      <c r="E72" s="299">
        <f>IF($A72="",1,IFERROR(INDEX(Prices[FX to SGD],MATCH($A72,Prices[Key],0)),1))</f>
        <v>1</v>
      </c>
      <c r="F72" s="30">
        <f>IF($A72="",0,(Transactions!M64-Transactions!L64+IF(Transactions!A64=2,Transactions!H64,0))*$E72)</f>
        <v>0</v>
      </c>
      <c r="G72" s="30">
        <f>IF($A72="",0,IF(Transactions!A64=2,Transactions!H64*$E72,0))</f>
        <v>0</v>
      </c>
    </row>
    <row r="73" spans="1:7" ht="15" customHeight="1" x14ac:dyDescent="0.15">
      <c r="A73" t="str">
        <f>IF(Transactions!J65="","",Transactions!J65)</f>
        <v/>
      </c>
      <c r="B73" s="297">
        <f ca="1">IF($A73="",TODAY(),Transactions!G65)</f>
        <v>46216</v>
      </c>
      <c r="C73" s="298" t="str">
        <f>IF($A73="","",Transactions!A65)</f>
        <v/>
      </c>
      <c r="D73" s="30">
        <f>IF($A73="",0,Transactions!H65)</f>
        <v>0</v>
      </c>
      <c r="E73" s="299">
        <f>IF($A73="",1,IFERROR(INDEX(Prices[FX to SGD],MATCH($A73,Prices[Key],0)),1))</f>
        <v>1</v>
      </c>
      <c r="F73" s="30">
        <f>IF($A73="",0,(Transactions!M65-Transactions!L65+IF(Transactions!A65=2,Transactions!H65,0))*$E73)</f>
        <v>0</v>
      </c>
      <c r="G73" s="30">
        <f>IF($A73="",0,IF(Transactions!A65=2,Transactions!H65*$E73,0))</f>
        <v>0</v>
      </c>
    </row>
    <row r="74" spans="1:7" ht="15" customHeight="1" x14ac:dyDescent="0.15">
      <c r="A74" t="str">
        <f>IF(Transactions!J66="","",Transactions!J66)</f>
        <v/>
      </c>
      <c r="B74" s="297">
        <f ca="1">IF($A74="",TODAY(),Transactions!G66)</f>
        <v>46216</v>
      </c>
      <c r="C74" s="298" t="str">
        <f>IF($A74="","",Transactions!A66)</f>
        <v/>
      </c>
      <c r="D74" s="30">
        <f>IF($A74="",0,Transactions!H66)</f>
        <v>0</v>
      </c>
      <c r="E74" s="299">
        <f>IF($A74="",1,IFERROR(INDEX(Prices[FX to SGD],MATCH($A74,Prices[Key],0)),1))</f>
        <v>1</v>
      </c>
      <c r="F74" s="30">
        <f>IF($A74="",0,(Transactions!M66-Transactions!L66+IF(Transactions!A66=2,Transactions!H66,0))*$E74)</f>
        <v>0</v>
      </c>
      <c r="G74" s="30">
        <f>IF($A74="",0,IF(Transactions!A66=2,Transactions!H66*$E74,0))</f>
        <v>0</v>
      </c>
    </row>
    <row r="75" spans="1:7" ht="15" customHeight="1" x14ac:dyDescent="0.15">
      <c r="A75" t="str">
        <f>IF(Transactions!J67="","",Transactions!J67)</f>
        <v/>
      </c>
      <c r="B75" s="297">
        <f ca="1">IF($A75="",TODAY(),Transactions!G67)</f>
        <v>46216</v>
      </c>
      <c r="C75" s="298" t="str">
        <f>IF($A75="","",Transactions!A67)</f>
        <v/>
      </c>
      <c r="D75" s="30">
        <f>IF($A75="",0,Transactions!H67)</f>
        <v>0</v>
      </c>
      <c r="E75" s="299">
        <f>IF($A75="",1,IFERROR(INDEX(Prices[FX to SGD],MATCH($A75,Prices[Key],0)),1))</f>
        <v>1</v>
      </c>
      <c r="F75" s="30">
        <f>IF($A75="",0,(Transactions!M67-Transactions!L67+IF(Transactions!A67=2,Transactions!H67,0))*$E75)</f>
        <v>0</v>
      </c>
      <c r="G75" s="30">
        <f>IF($A75="",0,IF(Transactions!A67=2,Transactions!H67*$E75,0))</f>
        <v>0</v>
      </c>
    </row>
    <row r="76" spans="1:7" ht="15" customHeight="1" x14ac:dyDescent="0.15">
      <c r="A76" t="str">
        <f>IF(Transactions!J68="","",Transactions!J68)</f>
        <v/>
      </c>
      <c r="B76" s="297">
        <f ca="1">IF($A76="",TODAY(),Transactions!G68)</f>
        <v>46216</v>
      </c>
      <c r="C76" s="298" t="str">
        <f>IF($A76="","",Transactions!A68)</f>
        <v/>
      </c>
      <c r="D76" s="30">
        <f>IF($A76="",0,Transactions!H68)</f>
        <v>0</v>
      </c>
      <c r="E76" s="299">
        <f>IF($A76="",1,IFERROR(INDEX(Prices[FX to SGD],MATCH($A76,Prices[Key],0)),1))</f>
        <v>1</v>
      </c>
      <c r="F76" s="30">
        <f>IF($A76="",0,(Transactions!M68-Transactions!L68+IF(Transactions!A68=2,Transactions!H68,0))*$E76)</f>
        <v>0</v>
      </c>
      <c r="G76" s="30">
        <f>IF($A76="",0,IF(Transactions!A68=2,Transactions!H68*$E76,0))</f>
        <v>0</v>
      </c>
    </row>
    <row r="77" spans="1:7" ht="15" customHeight="1" x14ac:dyDescent="0.15">
      <c r="A77" t="str">
        <f>IF(Transactions!J69="","",Transactions!J69)</f>
        <v/>
      </c>
      <c r="B77" s="297">
        <f ca="1">IF($A77="",TODAY(),Transactions!G69)</f>
        <v>46216</v>
      </c>
      <c r="C77" s="298" t="str">
        <f>IF($A77="","",Transactions!A69)</f>
        <v/>
      </c>
      <c r="D77" s="30">
        <f>IF($A77="",0,Transactions!H69)</f>
        <v>0</v>
      </c>
      <c r="E77" s="299">
        <f>IF($A77="",1,IFERROR(INDEX(Prices[FX to SGD],MATCH($A77,Prices[Key],0)),1))</f>
        <v>1</v>
      </c>
      <c r="F77" s="30">
        <f>IF($A77="",0,(Transactions!M69-Transactions!L69+IF(Transactions!A69=2,Transactions!H69,0))*$E77)</f>
        <v>0</v>
      </c>
      <c r="G77" s="30">
        <f>IF($A77="",0,IF(Transactions!A69=2,Transactions!H69*$E77,0))</f>
        <v>0</v>
      </c>
    </row>
    <row r="78" spans="1:7" ht="15" customHeight="1" x14ac:dyDescent="0.15">
      <c r="A78" t="str">
        <f>IF(Transactions!J70="","",Transactions!J70)</f>
        <v/>
      </c>
      <c r="B78" s="297">
        <f ca="1">IF($A78="",TODAY(),Transactions!G70)</f>
        <v>46216</v>
      </c>
      <c r="C78" s="298" t="str">
        <f>IF($A78="","",Transactions!A70)</f>
        <v/>
      </c>
      <c r="D78" s="30">
        <f>IF($A78="",0,Transactions!H70)</f>
        <v>0</v>
      </c>
      <c r="E78" s="299">
        <f>IF($A78="",1,IFERROR(INDEX(Prices[FX to SGD],MATCH($A78,Prices[Key],0)),1))</f>
        <v>1</v>
      </c>
      <c r="F78" s="30">
        <f>IF($A78="",0,(Transactions!M70-Transactions!L70+IF(Transactions!A70=2,Transactions!H70,0))*$E78)</f>
        <v>0</v>
      </c>
      <c r="G78" s="30">
        <f>IF($A78="",0,IF(Transactions!A70=2,Transactions!H70*$E78,0))</f>
        <v>0</v>
      </c>
    </row>
    <row r="79" spans="1:7" ht="15" customHeight="1" x14ac:dyDescent="0.15">
      <c r="A79" t="str">
        <f>IF(Transactions!J71="","",Transactions!J71)</f>
        <v/>
      </c>
      <c r="B79" s="297">
        <f ca="1">IF($A79="",TODAY(),Transactions!G71)</f>
        <v>46216</v>
      </c>
      <c r="C79" s="298" t="str">
        <f>IF($A79="","",Transactions!A71)</f>
        <v/>
      </c>
      <c r="D79" s="30">
        <f>IF($A79="",0,Transactions!H71)</f>
        <v>0</v>
      </c>
      <c r="E79" s="299">
        <f>IF($A79="",1,IFERROR(INDEX(Prices[FX to SGD],MATCH($A79,Prices[Key],0)),1))</f>
        <v>1</v>
      </c>
      <c r="F79" s="30">
        <f>IF($A79="",0,(Transactions!M71-Transactions!L71+IF(Transactions!A71=2,Transactions!H71,0))*$E79)</f>
        <v>0</v>
      </c>
      <c r="G79" s="30">
        <f>IF($A79="",0,IF(Transactions!A71=2,Transactions!H71*$E79,0))</f>
        <v>0</v>
      </c>
    </row>
    <row r="80" spans="1:7" ht="15" customHeight="1" x14ac:dyDescent="0.15">
      <c r="A80" t="str">
        <f>IF(Transactions!J72="","",Transactions!J72)</f>
        <v/>
      </c>
      <c r="B80" s="297">
        <f ca="1">IF($A80="",TODAY(),Transactions!G72)</f>
        <v>46216</v>
      </c>
      <c r="C80" s="298" t="str">
        <f>IF($A80="","",Transactions!A72)</f>
        <v/>
      </c>
      <c r="D80" s="30">
        <f>IF($A80="",0,Transactions!H72)</f>
        <v>0</v>
      </c>
      <c r="E80" s="299">
        <f>IF($A80="",1,IFERROR(INDEX(Prices[FX to SGD],MATCH($A80,Prices[Key],0)),1))</f>
        <v>1</v>
      </c>
      <c r="F80" s="30">
        <f>IF($A80="",0,(Transactions!M72-Transactions!L72+IF(Transactions!A72=2,Transactions!H72,0))*$E80)</f>
        <v>0</v>
      </c>
      <c r="G80" s="30">
        <f>IF($A80="",0,IF(Transactions!A72=2,Transactions!H72*$E80,0))</f>
        <v>0</v>
      </c>
    </row>
    <row r="81" spans="1:7" ht="15" customHeight="1" x14ac:dyDescent="0.15">
      <c r="A81" t="str">
        <f>IF(Transactions!J73="","",Transactions!J73)</f>
        <v/>
      </c>
      <c r="B81" s="297">
        <f ca="1">IF($A81="",TODAY(),Transactions!G73)</f>
        <v>46216</v>
      </c>
      <c r="C81" s="298" t="str">
        <f>IF($A81="","",Transactions!A73)</f>
        <v/>
      </c>
      <c r="D81" s="30">
        <f>IF($A81="",0,Transactions!H73)</f>
        <v>0</v>
      </c>
      <c r="E81" s="299">
        <f>IF($A81="",1,IFERROR(INDEX(Prices[FX to SGD],MATCH($A81,Prices[Key],0)),1))</f>
        <v>1</v>
      </c>
      <c r="F81" s="30">
        <f>IF($A81="",0,(Transactions!M73-Transactions!L73+IF(Transactions!A73=2,Transactions!H73,0))*$E81)</f>
        <v>0</v>
      </c>
      <c r="G81" s="30">
        <f>IF($A81="",0,IF(Transactions!A73=2,Transactions!H73*$E81,0))</f>
        <v>0</v>
      </c>
    </row>
    <row r="82" spans="1:7" ht="15" customHeight="1" x14ac:dyDescent="0.15">
      <c r="A82" t="str">
        <f>IF(Transactions!J74="","",Transactions!J74)</f>
        <v/>
      </c>
      <c r="B82" s="297">
        <f ca="1">IF($A82="",TODAY(),Transactions!G74)</f>
        <v>46216</v>
      </c>
      <c r="C82" s="298" t="str">
        <f>IF($A82="","",Transactions!A74)</f>
        <v/>
      </c>
      <c r="D82" s="30">
        <f>IF($A82="",0,Transactions!H74)</f>
        <v>0</v>
      </c>
      <c r="E82" s="299">
        <f>IF($A82="",1,IFERROR(INDEX(Prices[FX to SGD],MATCH($A82,Prices[Key],0)),1))</f>
        <v>1</v>
      </c>
      <c r="F82" s="30">
        <f>IF($A82="",0,(Transactions!M74-Transactions!L74+IF(Transactions!A74=2,Transactions!H74,0))*$E82)</f>
        <v>0</v>
      </c>
      <c r="G82" s="30">
        <f>IF($A82="",0,IF(Transactions!A74=2,Transactions!H74*$E82,0))</f>
        <v>0</v>
      </c>
    </row>
    <row r="83" spans="1:7" ht="15" customHeight="1" x14ac:dyDescent="0.15">
      <c r="A83" t="str">
        <f>IF(Transactions!J75="","",Transactions!J75)</f>
        <v/>
      </c>
      <c r="B83" s="297">
        <f ca="1">IF($A83="",TODAY(),Transactions!G75)</f>
        <v>46216</v>
      </c>
      <c r="C83" s="298" t="str">
        <f>IF($A83="","",Transactions!A75)</f>
        <v/>
      </c>
      <c r="D83" s="30">
        <f>IF($A83="",0,Transactions!H75)</f>
        <v>0</v>
      </c>
      <c r="E83" s="299">
        <f>IF($A83="",1,IFERROR(INDEX(Prices[FX to SGD],MATCH($A83,Prices[Key],0)),1))</f>
        <v>1</v>
      </c>
      <c r="F83" s="30">
        <f>IF($A83="",0,(Transactions!M75-Transactions!L75+IF(Transactions!A75=2,Transactions!H75,0))*$E83)</f>
        <v>0</v>
      </c>
      <c r="G83" s="30">
        <f>IF($A83="",0,IF(Transactions!A75=2,Transactions!H75*$E83,0))</f>
        <v>0</v>
      </c>
    </row>
    <row r="84" spans="1:7" ht="15" customHeight="1" x14ac:dyDescent="0.15">
      <c r="A84" t="str">
        <f>IF(Transactions!J76="","",Transactions!J76)</f>
        <v/>
      </c>
      <c r="B84" s="297">
        <f ca="1">IF($A84="",TODAY(),Transactions!G76)</f>
        <v>46216</v>
      </c>
      <c r="C84" s="298" t="str">
        <f>IF($A84="","",Transactions!A76)</f>
        <v/>
      </c>
      <c r="D84" s="30">
        <f>IF($A84="",0,Transactions!H76)</f>
        <v>0</v>
      </c>
      <c r="E84" s="299">
        <f>IF($A84="",1,IFERROR(INDEX(Prices[FX to SGD],MATCH($A84,Prices[Key],0)),1))</f>
        <v>1</v>
      </c>
      <c r="F84" s="30">
        <f>IF($A84="",0,(Transactions!M76-Transactions!L76+IF(Transactions!A76=2,Transactions!H76,0))*$E84)</f>
        <v>0</v>
      </c>
      <c r="G84" s="30">
        <f>IF($A84="",0,IF(Transactions!A76=2,Transactions!H76*$E84,0))</f>
        <v>0</v>
      </c>
    </row>
    <row r="85" spans="1:7" ht="15" customHeight="1" x14ac:dyDescent="0.15">
      <c r="A85" t="str">
        <f>IF(Transactions!J77="","",Transactions!J77)</f>
        <v/>
      </c>
      <c r="B85" s="297">
        <f ca="1">IF($A85="",TODAY(),Transactions!G77)</f>
        <v>46216</v>
      </c>
      <c r="C85" s="298" t="str">
        <f>IF($A85="","",Transactions!A77)</f>
        <v/>
      </c>
      <c r="D85" s="30">
        <f>IF($A85="",0,Transactions!H77)</f>
        <v>0</v>
      </c>
      <c r="E85" s="299">
        <f>IF($A85="",1,IFERROR(INDEX(Prices[FX to SGD],MATCH($A85,Prices[Key],0)),1))</f>
        <v>1</v>
      </c>
      <c r="F85" s="30">
        <f>IF($A85="",0,(Transactions!M77-Transactions!L77+IF(Transactions!A77=2,Transactions!H77,0))*$E85)</f>
        <v>0</v>
      </c>
      <c r="G85" s="30">
        <f>IF($A85="",0,IF(Transactions!A77=2,Transactions!H77*$E85,0))</f>
        <v>0</v>
      </c>
    </row>
    <row r="86" spans="1:7" ht="15" customHeight="1" x14ac:dyDescent="0.15">
      <c r="A86" t="str">
        <f>IF(Transactions!J78="","",Transactions!J78)</f>
        <v/>
      </c>
      <c r="B86" s="297">
        <f ca="1">IF($A86="",TODAY(),Transactions!G78)</f>
        <v>46216</v>
      </c>
      <c r="C86" s="298" t="str">
        <f>IF($A86="","",Transactions!A78)</f>
        <v/>
      </c>
      <c r="D86" s="30">
        <f>IF($A86="",0,Transactions!H78)</f>
        <v>0</v>
      </c>
      <c r="E86" s="300">
        <f>IF($A86="",1,IFERROR(INDEX(Prices[FX to SGD],MATCH($A86,Prices[Key],0)),1))</f>
        <v>1</v>
      </c>
      <c r="F86" s="30">
        <f>IF($A86="",0,(Transactions!M78-Transactions!L78+IF(Transactions!A78=2,Transactions!H78,0))*$E86)</f>
        <v>0</v>
      </c>
      <c r="G86" s="30">
        <f>IF($A86="",0,IF(Transactions!A78=2,Transactions!H78*$E86,0))</f>
        <v>0</v>
      </c>
    </row>
    <row r="87" spans="1:7" ht="15" customHeight="1" x14ac:dyDescent="0.15">
      <c r="A87" t="str">
        <f>IF(Transactions!J79="","",Transactions!J79)</f>
        <v/>
      </c>
      <c r="B87" s="297">
        <f ca="1">IF($A87="",TODAY(),Transactions!G79)</f>
        <v>46216</v>
      </c>
      <c r="C87" s="298" t="str">
        <f>IF($A87="","",Transactions!A79)</f>
        <v/>
      </c>
      <c r="D87" s="30">
        <f>IF($A87="",0,Transactions!H79)</f>
        <v>0</v>
      </c>
      <c r="E87" s="300">
        <f>IF($A87="",1,IFERROR(INDEX(Prices[FX to SGD],MATCH($A87,Prices[Key],0)),1))</f>
        <v>1</v>
      </c>
      <c r="F87" s="30">
        <f>IF($A87="",0,(Transactions!M79-Transactions!L79+IF(Transactions!A79=2,Transactions!H79,0))*$E87)</f>
        <v>0</v>
      </c>
      <c r="G87" s="30">
        <f>IF($A87="",0,IF(Transactions!A79=2,Transactions!H79*$E87,0))</f>
        <v>0</v>
      </c>
    </row>
    <row r="88" spans="1:7" ht="15" customHeight="1" x14ac:dyDescent="0.15">
      <c r="A88" t="str">
        <f>IF(Transactions!J80="","",Transactions!J80)</f>
        <v/>
      </c>
      <c r="B88" s="297">
        <f ca="1">IF($A88="",TODAY(),Transactions!G80)</f>
        <v>46216</v>
      </c>
      <c r="C88" s="298" t="str">
        <f>IF($A88="","",Transactions!A80)</f>
        <v/>
      </c>
      <c r="D88" s="30">
        <f>IF($A88="",0,Transactions!H80)</f>
        <v>0</v>
      </c>
      <c r="E88" s="299">
        <f>IF($A88="",1,IFERROR(INDEX(Prices[FX to SGD],MATCH($A88,Prices[Key],0)),1))</f>
        <v>1</v>
      </c>
      <c r="F88" s="30">
        <f>IF($A88="",0,(Transactions!M80-Transactions!L80+IF(Transactions!A80=2,Transactions!H80,0))*$E88)</f>
        <v>0</v>
      </c>
      <c r="G88" s="30">
        <f>IF($A88="",0,IF(Transactions!A80=2,Transactions!H80*$E88,0))</f>
        <v>0</v>
      </c>
    </row>
    <row r="89" spans="1:7" ht="15" customHeight="1" x14ac:dyDescent="0.15">
      <c r="A89" t="str">
        <f>IF(Transactions!J81="","",Transactions!J81)</f>
        <v/>
      </c>
      <c r="B89" s="297">
        <f ca="1">IF($A89="",TODAY(),Transactions!G81)</f>
        <v>46216</v>
      </c>
      <c r="C89" s="298" t="str">
        <f>IF($A89="","",Transactions!A81)</f>
        <v/>
      </c>
      <c r="D89" s="30">
        <f>IF($A89="",0,Transactions!H81)</f>
        <v>0</v>
      </c>
      <c r="E89" s="300">
        <f>IF($A89="",1,IFERROR(INDEX(Prices[FX to SGD],MATCH($A89,Prices[Key],0)),1))</f>
        <v>1</v>
      </c>
      <c r="F89" s="30">
        <f>IF($A89="",0,(Transactions!M81-Transactions!L81+IF(Transactions!A81=2,Transactions!H81,0))*$E89)</f>
        <v>0</v>
      </c>
      <c r="G89" s="30">
        <f>IF($A89="",0,IF(Transactions!A81=2,Transactions!H81*$E89,0))</f>
        <v>0</v>
      </c>
    </row>
    <row r="90" spans="1:7" ht="15" customHeight="1" x14ac:dyDescent="0.15">
      <c r="A90" t="str">
        <f>IF(Transactions!J82="","",Transactions!J82)</f>
        <v/>
      </c>
      <c r="B90" s="297">
        <f ca="1">IF($A90="",TODAY(),Transactions!G82)</f>
        <v>46216</v>
      </c>
      <c r="C90" s="298" t="str">
        <f>IF($A90="","",Transactions!A82)</f>
        <v/>
      </c>
      <c r="D90" s="30">
        <f>IF($A90="",0,Transactions!H82)</f>
        <v>0</v>
      </c>
      <c r="E90" s="299">
        <f>IF($A90="",1,IFERROR(INDEX(Prices[FX to SGD],MATCH($A90,Prices[Key],0)),1))</f>
        <v>1</v>
      </c>
      <c r="F90" s="30">
        <f>IF($A90="",0,(Transactions!M82-Transactions!L82+IF(Transactions!A82=2,Transactions!H82,0))*$E90)</f>
        <v>0</v>
      </c>
      <c r="G90" s="30">
        <f>IF($A90="",0,IF(Transactions!A82=2,Transactions!H82*$E90,0))</f>
        <v>0</v>
      </c>
    </row>
    <row r="91" spans="1:7" ht="15" customHeight="1" x14ac:dyDescent="0.15">
      <c r="A91" t="str">
        <f>IF(Transactions!J83="","",Transactions!J83)</f>
        <v/>
      </c>
      <c r="B91" s="297">
        <f ca="1">IF($A91="",TODAY(),Transactions!G83)</f>
        <v>46216</v>
      </c>
      <c r="C91" s="298" t="str">
        <f>IF($A91="","",Transactions!A83)</f>
        <v/>
      </c>
      <c r="D91" s="30">
        <f>IF($A91="",0,Transactions!H83)</f>
        <v>0</v>
      </c>
      <c r="E91" s="299">
        <f>IF($A91="",1,IFERROR(INDEX(Prices[FX to SGD],MATCH($A91,Prices[Key],0)),1))</f>
        <v>1</v>
      </c>
      <c r="F91" s="30">
        <f>IF($A91="",0,(Transactions!M83-Transactions!L83+IF(Transactions!A83=2,Transactions!H83,0))*$E91)</f>
        <v>0</v>
      </c>
      <c r="G91" s="30">
        <f>IF($A91="",0,IF(Transactions!A83=2,Transactions!H83*$E91,0))</f>
        <v>0</v>
      </c>
    </row>
    <row r="92" spans="1:7" ht="15" customHeight="1" x14ac:dyDescent="0.15">
      <c r="A92" t="str">
        <f>IF(Transactions!J84="","",Transactions!J84)</f>
        <v/>
      </c>
      <c r="B92" s="297">
        <f ca="1">IF($A92="",TODAY(),Transactions!G84)</f>
        <v>46216</v>
      </c>
      <c r="C92" s="298" t="str">
        <f>IF($A92="","",Transactions!A84)</f>
        <v/>
      </c>
      <c r="D92" s="30">
        <f>IF($A92="",0,Transactions!H84)</f>
        <v>0</v>
      </c>
      <c r="E92" s="299">
        <f>IF($A92="",1,IFERROR(INDEX(Prices[FX to SGD],MATCH($A92,Prices[Key],0)),1))</f>
        <v>1</v>
      </c>
      <c r="F92" s="30">
        <f>IF($A92="",0,(Transactions!M84-Transactions!L84+IF(Transactions!A84=2,Transactions!H84,0))*$E92)</f>
        <v>0</v>
      </c>
      <c r="G92" s="30">
        <f>IF($A92="",0,IF(Transactions!A84=2,Transactions!H84*$E92,0))</f>
        <v>0</v>
      </c>
    </row>
    <row r="93" spans="1:7" ht="15" customHeight="1" x14ac:dyDescent="0.15">
      <c r="A93" t="str">
        <f>IF(Transactions!J85="","",Transactions!J85)</f>
        <v/>
      </c>
      <c r="B93" s="297">
        <f ca="1">IF($A93="",TODAY(),Transactions!G85)</f>
        <v>46216</v>
      </c>
      <c r="C93" s="298" t="str">
        <f>IF($A93="","",Transactions!A85)</f>
        <v/>
      </c>
      <c r="D93" s="30">
        <f>IF($A93="",0,Transactions!H85)</f>
        <v>0</v>
      </c>
      <c r="E93" s="300">
        <f>IF($A93="",1,IFERROR(INDEX(Prices[FX to SGD],MATCH($A93,Prices[Key],0)),1))</f>
        <v>1</v>
      </c>
      <c r="F93" s="30">
        <f>IF($A93="",0,(Transactions!M85-Transactions!L85+IF(Transactions!A85=2,Transactions!H85,0))*$E93)</f>
        <v>0</v>
      </c>
      <c r="G93" s="30">
        <f>IF($A93="",0,IF(Transactions!A85=2,Transactions!H85*$E93,0))</f>
        <v>0</v>
      </c>
    </row>
    <row r="94" spans="1:7" ht="15" customHeight="1" x14ac:dyDescent="0.15">
      <c r="A94" t="str">
        <f>IF(Transactions!J86="","",Transactions!J86)</f>
        <v/>
      </c>
      <c r="B94" s="297">
        <f ca="1">IF($A94="",TODAY(),Transactions!G86)</f>
        <v>46216</v>
      </c>
      <c r="C94" s="298" t="str">
        <f>IF($A94="","",Transactions!A86)</f>
        <v/>
      </c>
      <c r="D94" s="30">
        <f>IF($A94="",0,Transactions!H86)</f>
        <v>0</v>
      </c>
      <c r="E94" s="300">
        <f>IF($A94="",1,IFERROR(INDEX(Prices[FX to SGD],MATCH($A94,Prices[Key],0)),1))</f>
        <v>1</v>
      </c>
      <c r="F94" s="30">
        <f>IF($A94="",0,(Transactions!M86-Transactions!L86+IF(Transactions!A86=2,Transactions!H86,0))*$E94)</f>
        <v>0</v>
      </c>
      <c r="G94" s="30">
        <f>IF($A94="",0,IF(Transactions!A86=2,Transactions!H86*$E94,0))</f>
        <v>0</v>
      </c>
    </row>
    <row r="95" spans="1:7" ht="15" customHeight="1" x14ac:dyDescent="0.15">
      <c r="A95" t="str">
        <f>IF(Transactions!J87="","",Transactions!J87)</f>
        <v/>
      </c>
      <c r="B95" s="297">
        <f ca="1">IF($A95="",TODAY(),Transactions!G87)</f>
        <v>46216</v>
      </c>
      <c r="C95" s="298" t="str">
        <f>IF($A95="","",Transactions!A87)</f>
        <v/>
      </c>
      <c r="D95" s="30">
        <f>IF($A95="",0,Transactions!H87)</f>
        <v>0</v>
      </c>
      <c r="E95" s="299">
        <f>IF($A95="",1,IFERROR(INDEX(Prices[FX to SGD],MATCH($A95,Prices[Key],0)),1))</f>
        <v>1</v>
      </c>
      <c r="F95" s="30">
        <f>IF($A95="",0,(Transactions!M87-Transactions!L87+IF(Transactions!A87=2,Transactions!H87,0))*$E95)</f>
        <v>0</v>
      </c>
      <c r="G95" s="30">
        <f>IF($A95="",0,IF(Transactions!A87=2,Transactions!H87*$E95,0))</f>
        <v>0</v>
      </c>
    </row>
    <row r="96" spans="1:7" ht="15" customHeight="1" x14ac:dyDescent="0.15">
      <c r="A96" t="str">
        <f>IF(Transactions!J88="","",Transactions!J88)</f>
        <v/>
      </c>
      <c r="B96" s="297">
        <f ca="1">IF($A96="",TODAY(),Transactions!G88)</f>
        <v>46216</v>
      </c>
      <c r="C96" s="298" t="str">
        <f>IF($A96="","",Transactions!A88)</f>
        <v/>
      </c>
      <c r="D96" s="30">
        <f>IF($A96="",0,Transactions!H88)</f>
        <v>0</v>
      </c>
      <c r="E96" s="299">
        <f>IF($A96="",1,IFERROR(INDEX(Prices[FX to SGD],MATCH($A96,Prices[Key],0)),1))</f>
        <v>1</v>
      </c>
      <c r="F96" s="30">
        <f>IF($A96="",0,(Transactions!M88-Transactions!L88+IF(Transactions!A88=2,Transactions!H88,0))*$E96)</f>
        <v>0</v>
      </c>
      <c r="G96" s="30">
        <f>IF($A96="",0,IF(Transactions!A88=2,Transactions!H88*$E96,0))</f>
        <v>0</v>
      </c>
    </row>
    <row r="97" spans="1:7" ht="15" customHeight="1" x14ac:dyDescent="0.15">
      <c r="A97" t="str">
        <f>IF(Transactions!J89="","",Transactions!J89)</f>
        <v/>
      </c>
      <c r="B97" s="297">
        <f ca="1">IF($A97="",TODAY(),Transactions!G89)</f>
        <v>46216</v>
      </c>
      <c r="C97" s="298" t="str">
        <f>IF($A97="","",Transactions!A89)</f>
        <v/>
      </c>
      <c r="D97" s="30">
        <f>IF($A97="",0,Transactions!H89)</f>
        <v>0</v>
      </c>
      <c r="E97" s="299">
        <f>IF($A97="",1,IFERROR(INDEX(Prices[FX to SGD],MATCH($A97,Prices[Key],0)),1))</f>
        <v>1</v>
      </c>
      <c r="F97" s="30">
        <f>IF($A97="",0,(Transactions!M89-Transactions!L89+IF(Transactions!A89=2,Transactions!H89,0))*$E97)</f>
        <v>0</v>
      </c>
      <c r="G97" s="30">
        <f>IF($A97="",0,IF(Transactions!A89=2,Transactions!H89*$E97,0))</f>
        <v>0</v>
      </c>
    </row>
    <row r="98" spans="1:7" ht="15" customHeight="1" x14ac:dyDescent="0.15">
      <c r="A98" t="str">
        <f>IF(Transactions!J90="","",Transactions!J90)</f>
        <v/>
      </c>
      <c r="B98" s="297">
        <f ca="1">IF($A98="",TODAY(),Transactions!G90)</f>
        <v>46216</v>
      </c>
      <c r="C98" s="298" t="str">
        <f>IF($A98="","",Transactions!A90)</f>
        <v/>
      </c>
      <c r="D98" s="30">
        <f>IF($A98="",0,Transactions!H90)</f>
        <v>0</v>
      </c>
      <c r="E98" s="299">
        <f>IF($A98="",1,IFERROR(INDEX(Prices[FX to SGD],MATCH($A98,Prices[Key],0)),1))</f>
        <v>1</v>
      </c>
      <c r="F98" s="30">
        <f>IF($A98="",0,(Transactions!M90-Transactions!L90+IF(Transactions!A90=2,Transactions!H90,0))*$E98)</f>
        <v>0</v>
      </c>
      <c r="G98" s="30">
        <f>IF($A98="",0,IF(Transactions!A90=2,Transactions!H90*$E98,0))</f>
        <v>0</v>
      </c>
    </row>
    <row r="99" spans="1:7" ht="15" customHeight="1" x14ac:dyDescent="0.15">
      <c r="A99" t="str">
        <f>IF(Transactions!J91="","",Transactions!J91)</f>
        <v/>
      </c>
      <c r="B99" s="297">
        <f ca="1">IF($A99="",TODAY(),Transactions!G91)</f>
        <v>46216</v>
      </c>
      <c r="C99" s="298" t="str">
        <f>IF($A99="","",Transactions!A91)</f>
        <v/>
      </c>
      <c r="D99" s="30">
        <f>IF($A99="",0,Transactions!H91)</f>
        <v>0</v>
      </c>
      <c r="E99" s="299">
        <f>IF($A99="",1,IFERROR(INDEX(Prices[FX to SGD],MATCH($A99,Prices[Key],0)),1))</f>
        <v>1</v>
      </c>
      <c r="F99" s="30">
        <f>IF($A99="",0,(Transactions!M91-Transactions!L91+IF(Transactions!A91=2,Transactions!H91,0))*$E99)</f>
        <v>0</v>
      </c>
      <c r="G99" s="30">
        <f>IF($A99="",0,IF(Transactions!A91=2,Transactions!H91*$E99,0))</f>
        <v>0</v>
      </c>
    </row>
    <row r="100" spans="1:7" ht="15" customHeight="1" x14ac:dyDescent="0.15">
      <c r="A100" t="str">
        <f>IF(Transactions!J92="","",Transactions!J92)</f>
        <v/>
      </c>
      <c r="B100" s="297">
        <f ca="1">IF($A100="",TODAY(),Transactions!G92)</f>
        <v>46216</v>
      </c>
      <c r="C100" s="298" t="str">
        <f>IF($A100="","",Transactions!A92)</f>
        <v/>
      </c>
      <c r="D100" s="30">
        <f>IF($A100="",0,Transactions!H92)</f>
        <v>0</v>
      </c>
      <c r="E100" s="299">
        <f>IF($A100="",1,IFERROR(INDEX(Prices[FX to SGD],MATCH($A100,Prices[Key],0)),1))</f>
        <v>1</v>
      </c>
      <c r="F100" s="30">
        <f>IF($A100="",0,(Transactions!M92-Transactions!L92+IF(Transactions!A92=2,Transactions!H92,0))*$E100)</f>
        <v>0</v>
      </c>
      <c r="G100" s="30">
        <f>IF($A100="",0,IF(Transactions!A92=2,Transactions!H92*$E100,0))</f>
        <v>0</v>
      </c>
    </row>
    <row r="101" spans="1:7" ht="15" customHeight="1" x14ac:dyDescent="0.15">
      <c r="A101" t="str">
        <f>IF(Transactions!J93="","",Transactions!J93)</f>
        <v/>
      </c>
      <c r="B101" s="297">
        <f ca="1">IF($A101="",TODAY(),Transactions!G93)</f>
        <v>46216</v>
      </c>
      <c r="C101" s="298" t="str">
        <f>IF($A101="","",Transactions!A93)</f>
        <v/>
      </c>
      <c r="D101" s="30">
        <f>IF($A101="",0,Transactions!H93)</f>
        <v>0</v>
      </c>
      <c r="E101" s="299">
        <f>IF($A101="",1,IFERROR(INDEX(Prices[FX to SGD],MATCH($A101,Prices[Key],0)),1))</f>
        <v>1</v>
      </c>
      <c r="F101" s="30">
        <f>IF($A101="",0,(Transactions!M93-Transactions!L93+IF(Transactions!A93=2,Transactions!H93,0))*$E101)</f>
        <v>0</v>
      </c>
      <c r="G101" s="30">
        <f>IF($A101="",0,IF(Transactions!A93=2,Transactions!H93*$E101,0))</f>
        <v>0</v>
      </c>
    </row>
    <row r="102" spans="1:7" ht="15" customHeight="1" x14ac:dyDescent="0.15">
      <c r="A102" t="str">
        <f>IF(Transactions!J94="","",Transactions!J94)</f>
        <v/>
      </c>
      <c r="B102" s="297">
        <f ca="1">IF($A102="",TODAY(),Transactions!G94)</f>
        <v>46216</v>
      </c>
      <c r="C102" s="298" t="str">
        <f>IF($A102="","",Transactions!A94)</f>
        <v/>
      </c>
      <c r="D102" s="30">
        <f>IF($A102="",0,Transactions!H94)</f>
        <v>0</v>
      </c>
      <c r="E102" s="299">
        <f>IF($A102="",1,IFERROR(INDEX(Prices[FX to SGD],MATCH($A102,Prices[Key],0)),1))</f>
        <v>1</v>
      </c>
      <c r="F102" s="30">
        <f>IF($A102="",0,(Transactions!M94-Transactions!L94+IF(Transactions!A94=2,Transactions!H94,0))*$E102)</f>
        <v>0</v>
      </c>
      <c r="G102" s="30">
        <f>IF($A102="",0,IF(Transactions!A94=2,Transactions!H94*$E102,0))</f>
        <v>0</v>
      </c>
    </row>
    <row r="103" spans="1:7" ht="15" customHeight="1" x14ac:dyDescent="0.15">
      <c r="A103" t="str">
        <f>IF(Transactions!J95="","",Transactions!J95)</f>
        <v/>
      </c>
      <c r="B103" s="297">
        <f ca="1">IF($A103="",TODAY(),Transactions!G95)</f>
        <v>46216</v>
      </c>
      <c r="C103" s="298" t="str">
        <f>IF($A103="","",Transactions!A95)</f>
        <v/>
      </c>
      <c r="D103" s="30">
        <f>IF($A103="",0,Transactions!H95)</f>
        <v>0</v>
      </c>
      <c r="E103" s="299">
        <f>IF($A103="",1,IFERROR(INDEX(Prices[FX to SGD],MATCH($A103,Prices[Key],0)),1))</f>
        <v>1</v>
      </c>
      <c r="F103" s="30">
        <f>IF($A103="",0,(Transactions!M95-Transactions!L95+IF(Transactions!A95=2,Transactions!H95,0))*$E103)</f>
        <v>0</v>
      </c>
      <c r="G103" s="30">
        <f>IF($A103="",0,IF(Transactions!A95=2,Transactions!H95*$E103,0))</f>
        <v>0</v>
      </c>
    </row>
    <row r="104" spans="1:7" ht="15" customHeight="1" x14ac:dyDescent="0.15">
      <c r="A104" t="str">
        <f>IF(Transactions!J96="","",Transactions!J96)</f>
        <v/>
      </c>
      <c r="B104" s="297">
        <f ca="1">IF($A104="",TODAY(),Transactions!G96)</f>
        <v>46216</v>
      </c>
      <c r="C104" s="298" t="str">
        <f>IF($A104="","",Transactions!A96)</f>
        <v/>
      </c>
      <c r="D104" s="30">
        <f>IF($A104="",0,Transactions!H96)</f>
        <v>0</v>
      </c>
      <c r="E104" s="299">
        <f>IF($A104="",1,IFERROR(INDEX(Prices[FX to SGD],MATCH($A104,Prices[Key],0)),1))</f>
        <v>1</v>
      </c>
      <c r="F104" s="30">
        <f>IF($A104="",0,(Transactions!M96-Transactions!L96+IF(Transactions!A96=2,Transactions!H96,0))*$E104)</f>
        <v>0</v>
      </c>
      <c r="G104" s="30">
        <f>IF($A104="",0,IF(Transactions!A96=2,Transactions!H96*$E104,0))</f>
        <v>0</v>
      </c>
    </row>
    <row r="105" spans="1:7" ht="15" customHeight="1" x14ac:dyDescent="0.15">
      <c r="A105" t="str">
        <f>IF(Transactions!J97="","",Transactions!J97)</f>
        <v/>
      </c>
      <c r="B105" s="297">
        <f ca="1">IF($A105="",TODAY(),Transactions!G97)</f>
        <v>46216</v>
      </c>
      <c r="C105" s="298" t="str">
        <f>IF($A105="","",Transactions!A97)</f>
        <v/>
      </c>
      <c r="D105" s="30">
        <f>IF($A105="",0,Transactions!H97)</f>
        <v>0</v>
      </c>
      <c r="E105" s="299">
        <f>IF($A105="",1,IFERROR(INDEX(Prices[FX to SGD],MATCH($A105,Prices[Key],0)),1))</f>
        <v>1</v>
      </c>
      <c r="F105" s="30">
        <f>IF($A105="",0,(Transactions!M97-Transactions!L97+IF(Transactions!A97=2,Transactions!H97,0))*$E105)</f>
        <v>0</v>
      </c>
      <c r="G105" s="30">
        <f>IF($A105="",0,IF(Transactions!A97=2,Transactions!H97*$E105,0))</f>
        <v>0</v>
      </c>
    </row>
    <row r="106" spans="1:7" ht="15" customHeight="1" x14ac:dyDescent="0.15">
      <c r="A106" t="str">
        <f>IF(Transactions!J98="","",Transactions!J98)</f>
        <v/>
      </c>
      <c r="B106" s="297">
        <f ca="1">IF($A106="",TODAY(),Transactions!G98)</f>
        <v>46216</v>
      </c>
      <c r="C106" s="298" t="str">
        <f>IF($A106="","",Transactions!A98)</f>
        <v/>
      </c>
      <c r="D106" s="30">
        <f>IF($A106="",0,Transactions!H98)</f>
        <v>0</v>
      </c>
      <c r="E106" s="299">
        <f>IF($A106="",1,IFERROR(INDEX(Prices[FX to SGD],MATCH($A106,Prices[Key],0)),1))</f>
        <v>1</v>
      </c>
      <c r="F106" s="30">
        <f>IF($A106="",0,(Transactions!M98-Transactions!L98+IF(Transactions!A98=2,Transactions!H98,0))*$E106)</f>
        <v>0</v>
      </c>
      <c r="G106" s="30">
        <f>IF($A106="",0,IF(Transactions!A98=2,Transactions!H98*$E106,0))</f>
        <v>0</v>
      </c>
    </row>
    <row r="107" spans="1:7" ht="15" customHeight="1" x14ac:dyDescent="0.15">
      <c r="A107" t="str">
        <f>IF(Transactions!J99="","",Transactions!J99)</f>
        <v/>
      </c>
      <c r="B107" s="297">
        <f ca="1">IF($A107="",TODAY(),Transactions!G99)</f>
        <v>46216</v>
      </c>
      <c r="C107" s="298" t="str">
        <f>IF($A107="","",Transactions!A99)</f>
        <v/>
      </c>
      <c r="D107" s="30">
        <f>IF($A107="",0,Transactions!H99)</f>
        <v>0</v>
      </c>
      <c r="E107" s="299">
        <f>IF($A107="",1,IFERROR(INDEX(Prices[FX to SGD],MATCH($A107,Prices[Key],0)),1))</f>
        <v>1</v>
      </c>
      <c r="F107" s="30">
        <f>IF($A107="",0,(Transactions!M99-Transactions!L99+IF(Transactions!A99=2,Transactions!H99,0))*$E107)</f>
        <v>0</v>
      </c>
      <c r="G107" s="30">
        <f>IF($A107="",0,IF(Transactions!A99=2,Transactions!H99*$E107,0))</f>
        <v>0</v>
      </c>
    </row>
    <row r="108" spans="1:7" ht="15" customHeight="1" x14ac:dyDescent="0.15">
      <c r="A108" t="str">
        <f>IF(Transactions!J100="","",Transactions!J100)</f>
        <v/>
      </c>
      <c r="B108" s="297">
        <f ca="1">IF($A108="",TODAY(),Transactions!G100)</f>
        <v>46216</v>
      </c>
      <c r="C108" s="298" t="str">
        <f>IF($A108="","",Transactions!A100)</f>
        <v/>
      </c>
      <c r="D108" s="30">
        <f>IF($A108="",0,Transactions!H100)</f>
        <v>0</v>
      </c>
      <c r="E108" s="299">
        <f>IF($A108="",1,IFERROR(INDEX(Prices[FX to SGD],MATCH($A108,Prices[Key],0)),1))</f>
        <v>1</v>
      </c>
      <c r="F108" s="30">
        <f>IF($A108="",0,(Transactions!M100-Transactions!L100+IF(Transactions!A100=2,Transactions!H100,0))*$E108)</f>
        <v>0</v>
      </c>
      <c r="G108" s="30">
        <f>IF($A108="",0,IF(Transactions!A100=2,Transactions!H100*$E108,0))</f>
        <v>0</v>
      </c>
    </row>
    <row r="109" spans="1:7" ht="15" customHeight="1" x14ac:dyDescent="0.15">
      <c r="A109" t="str">
        <f>IF(Transactions!J101="","",Transactions!J101)</f>
        <v/>
      </c>
      <c r="B109" s="297">
        <f ca="1">IF($A109="",TODAY(),Transactions!G101)</f>
        <v>46216</v>
      </c>
      <c r="C109" s="298" t="str">
        <f>IF($A109="","",Transactions!A101)</f>
        <v/>
      </c>
      <c r="D109" s="30">
        <f>IF($A109="",0,Transactions!H101)</f>
        <v>0</v>
      </c>
      <c r="E109" s="300">
        <f>IF($A109="",1,IFERROR(INDEX(Prices[FX to SGD],MATCH($A109,Prices[Key],0)),1))</f>
        <v>1</v>
      </c>
      <c r="F109" s="30">
        <f>IF($A109="",0,(Transactions!M101-Transactions!L101+IF(Transactions!A101=2,Transactions!H101,0))*$E109)</f>
        <v>0</v>
      </c>
      <c r="G109" s="30">
        <f>IF($A109="",0,IF(Transactions!A101=2,Transactions!H101*$E109,0))</f>
        <v>0</v>
      </c>
    </row>
    <row r="110" spans="1:7" ht="15" customHeight="1" x14ac:dyDescent="0.15">
      <c r="A110" t="str">
        <f>IF(Transactions!J102="","",Transactions!J102)</f>
        <v/>
      </c>
      <c r="B110" s="297">
        <f ca="1">IF($A110="",TODAY(),Transactions!G102)</f>
        <v>46216</v>
      </c>
      <c r="C110" s="298" t="str">
        <f>IF($A110="","",Transactions!A102)</f>
        <v/>
      </c>
      <c r="D110" s="30">
        <f>IF($A110="",0,Transactions!H102)</f>
        <v>0</v>
      </c>
      <c r="E110" s="300">
        <f>IF($A110="",1,IFERROR(INDEX(Prices[FX to SGD],MATCH($A110,Prices[Key],0)),1))</f>
        <v>1</v>
      </c>
      <c r="F110" s="30">
        <f>IF($A110="",0,(Transactions!M102-Transactions!L102+IF(Transactions!A102=2,Transactions!H102,0))*$E110)</f>
        <v>0</v>
      </c>
      <c r="G110" s="30">
        <f>IF($A110="",0,IF(Transactions!A102=2,Transactions!H102*$E110,0))</f>
        <v>0</v>
      </c>
    </row>
    <row r="111" spans="1:7" ht="15" customHeight="1" x14ac:dyDescent="0.15">
      <c r="A111" t="str">
        <f>IF(Transactions!J103="","",Transactions!J103)</f>
        <v/>
      </c>
      <c r="B111" s="297">
        <f ca="1">IF($A111="",TODAY(),Transactions!G103)</f>
        <v>46216</v>
      </c>
      <c r="C111" s="298" t="str">
        <f>IF($A111="","",Transactions!A103)</f>
        <v/>
      </c>
      <c r="D111" s="30">
        <f>IF($A111="",0,Transactions!H103)</f>
        <v>0</v>
      </c>
      <c r="E111" s="300">
        <f>IF($A111="",1,IFERROR(INDEX(Prices[FX to SGD],MATCH($A111,Prices[Key],0)),1))</f>
        <v>1</v>
      </c>
      <c r="F111" s="30">
        <f>IF($A111="",0,(Transactions!M103-Transactions!L103+IF(Transactions!A103=2,Transactions!H103,0))*$E111)</f>
        <v>0</v>
      </c>
      <c r="G111" s="30">
        <f>IF($A111="",0,IF(Transactions!A103=2,Transactions!H103*$E111,0))</f>
        <v>0</v>
      </c>
    </row>
    <row r="112" spans="1:7" ht="15" customHeight="1" x14ac:dyDescent="0.15">
      <c r="A112" t="str">
        <f>IF(Transactions!J104="","",Transactions!J104)</f>
        <v/>
      </c>
      <c r="B112" s="297">
        <f ca="1">IF($A112="",TODAY(),Transactions!G104)</f>
        <v>46216</v>
      </c>
      <c r="C112" s="298" t="str">
        <f>IF($A112="","",Transactions!A104)</f>
        <v/>
      </c>
      <c r="D112" s="30">
        <f>IF($A112="",0,Transactions!H104)</f>
        <v>0</v>
      </c>
      <c r="E112" s="300">
        <f>IF($A112="",1,IFERROR(INDEX(Prices[FX to SGD],MATCH($A112,Prices[Key],0)),1))</f>
        <v>1</v>
      </c>
      <c r="F112" s="30">
        <f>IF($A112="",0,(Transactions!M104-Transactions!L104+IF(Transactions!A104=2,Transactions!H104,0))*$E112)</f>
        <v>0</v>
      </c>
      <c r="G112" s="30">
        <f>IF($A112="",0,IF(Transactions!A104=2,Transactions!H104*$E112,0))</f>
        <v>0</v>
      </c>
    </row>
    <row r="113" spans="1:7" ht="15" customHeight="1" x14ac:dyDescent="0.15">
      <c r="A113" t="str">
        <f>IF(Transactions!J105="","",Transactions!J105)</f>
        <v/>
      </c>
      <c r="B113" s="297">
        <f ca="1">IF($A113="",TODAY(),Transactions!G105)</f>
        <v>46216</v>
      </c>
      <c r="C113" s="298" t="str">
        <f>IF($A113="","",Transactions!A105)</f>
        <v/>
      </c>
      <c r="D113" s="30">
        <f>IF($A113="",0,Transactions!H105)</f>
        <v>0</v>
      </c>
      <c r="E113" s="300">
        <f>IF($A113="",1,IFERROR(INDEX(Prices[FX to SGD],MATCH($A113,Prices[Key],0)),1))</f>
        <v>1</v>
      </c>
      <c r="F113" s="30">
        <f>IF($A113="",0,(Transactions!M105-Transactions!L105+IF(Transactions!A105=2,Transactions!H105,0))*$E113)</f>
        <v>0</v>
      </c>
      <c r="G113" s="30">
        <f>IF($A113="",0,IF(Transactions!A105=2,Transactions!H105*$E113,0))</f>
        <v>0</v>
      </c>
    </row>
    <row r="114" spans="1:7" ht="15" customHeight="1" x14ac:dyDescent="0.15">
      <c r="A114" t="str">
        <f>IF(Transactions!J106="","",Transactions!J106)</f>
        <v/>
      </c>
      <c r="B114" s="297">
        <f ca="1">IF($A114="",TODAY(),Transactions!G106)</f>
        <v>46216</v>
      </c>
      <c r="C114" s="298" t="str">
        <f>IF($A114="","",Transactions!A106)</f>
        <v/>
      </c>
      <c r="D114" s="30">
        <f>IF($A114="",0,Transactions!H106)</f>
        <v>0</v>
      </c>
      <c r="E114" s="299">
        <f>IF($A114="",1,IFERROR(INDEX(Prices[FX to SGD],MATCH($A114,Prices[Key],0)),1))</f>
        <v>1</v>
      </c>
      <c r="F114" s="30">
        <f>IF($A114="",0,(Transactions!M106-Transactions!L106+IF(Transactions!A106=2,Transactions!H106,0))*$E114)</f>
        <v>0</v>
      </c>
      <c r="G114" s="30">
        <f>IF($A114="",0,IF(Transactions!A106=2,Transactions!H106*$E114,0))</f>
        <v>0</v>
      </c>
    </row>
    <row r="115" spans="1:7" ht="15" customHeight="1" x14ac:dyDescent="0.15">
      <c r="A115" t="str">
        <f>IF(Transactions!J107="","",Transactions!J107)</f>
        <v/>
      </c>
      <c r="B115" s="297">
        <f ca="1">IF($A115="",TODAY(),Transactions!G107)</f>
        <v>46216</v>
      </c>
      <c r="C115" s="298" t="str">
        <f>IF($A115="","",Transactions!A107)</f>
        <v/>
      </c>
      <c r="D115" s="30">
        <f>IF($A115="",0,Transactions!H107)</f>
        <v>0</v>
      </c>
      <c r="E115" s="300">
        <f>IF($A115="",1,IFERROR(INDEX(Prices[FX to SGD],MATCH($A115,Prices[Key],0)),1))</f>
        <v>1</v>
      </c>
      <c r="F115" s="30">
        <f>IF($A115="",0,(Transactions!M107-Transactions!L107+IF(Transactions!A107=2,Transactions!H107,0))*$E115)</f>
        <v>0</v>
      </c>
      <c r="G115" s="30">
        <f>IF($A115="",0,IF(Transactions!A107=2,Transactions!H107*$E115,0))</f>
        <v>0</v>
      </c>
    </row>
    <row r="116" spans="1:7" ht="15" customHeight="1" x14ac:dyDescent="0.15">
      <c r="A116" t="str">
        <f>IF(Transactions!J108="","",Transactions!J108)</f>
        <v/>
      </c>
      <c r="B116" s="297">
        <f ca="1">IF($A116="",TODAY(),Transactions!G108)</f>
        <v>46216</v>
      </c>
      <c r="C116" s="298" t="str">
        <f>IF($A116="","",Transactions!A108)</f>
        <v/>
      </c>
      <c r="D116" s="30">
        <f>IF($A116="",0,Transactions!H108)</f>
        <v>0</v>
      </c>
      <c r="E116" s="300">
        <f>IF($A116="",1,IFERROR(INDEX(Prices[FX to SGD],MATCH($A116,Prices[Key],0)),1))</f>
        <v>1</v>
      </c>
      <c r="F116" s="30">
        <f>IF($A116="",0,(Transactions!M108-Transactions!L108+IF(Transactions!A108=2,Transactions!H108,0))*$E116)</f>
        <v>0</v>
      </c>
      <c r="G116" s="30">
        <f>IF($A116="",0,IF(Transactions!A108=2,Transactions!H108*$E116,0))</f>
        <v>0</v>
      </c>
    </row>
    <row r="117" spans="1:7" ht="15" customHeight="1" x14ac:dyDescent="0.15">
      <c r="A117" t="str">
        <f>IF(Transactions!J109="","",Transactions!J109)</f>
        <v/>
      </c>
      <c r="B117" s="297">
        <f ca="1">IF($A117="",TODAY(),Transactions!G109)</f>
        <v>46216</v>
      </c>
      <c r="C117" s="298" t="str">
        <f>IF($A117="","",Transactions!A109)</f>
        <v/>
      </c>
      <c r="D117" s="30">
        <f>IF($A117="",0,Transactions!H109)</f>
        <v>0</v>
      </c>
      <c r="E117" s="300">
        <f>IF($A117="",1,IFERROR(INDEX(Prices[FX to SGD],MATCH($A117,Prices[Key],0)),1))</f>
        <v>1</v>
      </c>
      <c r="F117" s="30">
        <f>IF($A117="",0,(Transactions!M109-Transactions!L109+IF(Transactions!A109=2,Transactions!H109,0))*$E117)</f>
        <v>0</v>
      </c>
      <c r="G117" s="30">
        <f>IF($A117="",0,IF(Transactions!A109=2,Transactions!H109*$E117,0))</f>
        <v>0</v>
      </c>
    </row>
    <row r="118" spans="1:7" ht="15" customHeight="1" x14ac:dyDescent="0.15">
      <c r="A118" t="str">
        <f>IF(Transactions!J110="","",Transactions!J110)</f>
        <v/>
      </c>
      <c r="B118" s="297">
        <f ca="1">IF($A118="",TODAY(),Transactions!G110)</f>
        <v>46216</v>
      </c>
      <c r="C118" s="298" t="str">
        <f>IF($A118="","",Transactions!A110)</f>
        <v/>
      </c>
      <c r="D118" s="30">
        <f>IF($A118="",0,Transactions!H110)</f>
        <v>0</v>
      </c>
      <c r="E118" s="299">
        <f>IF($A118="",1,IFERROR(INDEX(Prices[FX to SGD],MATCH($A118,Prices[Key],0)),1))</f>
        <v>1</v>
      </c>
      <c r="F118" s="30">
        <f>IF($A118="",0,(Transactions!M110-Transactions!L110+IF(Transactions!A110=2,Transactions!H110,0))*$E118)</f>
        <v>0</v>
      </c>
      <c r="G118" s="30">
        <f>IF($A118="",0,IF(Transactions!A110=2,Transactions!H110*$E118,0))</f>
        <v>0</v>
      </c>
    </row>
    <row r="119" spans="1:7" ht="15" customHeight="1" x14ac:dyDescent="0.15">
      <c r="A119" t="str">
        <f>IF(Transactions!J111="","",Transactions!J111)</f>
        <v/>
      </c>
      <c r="B119" s="297">
        <f ca="1">IF($A119="",TODAY(),Transactions!G111)</f>
        <v>46216</v>
      </c>
      <c r="C119" s="298" t="str">
        <f>IF($A119="","",Transactions!A111)</f>
        <v/>
      </c>
      <c r="D119" s="30">
        <f>IF($A119="",0,Transactions!H111)</f>
        <v>0</v>
      </c>
      <c r="E119" s="300">
        <f>IF($A119="",1,IFERROR(INDEX(Prices[FX to SGD],MATCH($A119,Prices[Key],0)),1))</f>
        <v>1</v>
      </c>
      <c r="F119" s="30">
        <f>IF($A119="",0,(Transactions!M111-Transactions!L111+IF(Transactions!A111=2,Transactions!H111,0))*$E119)</f>
        <v>0</v>
      </c>
      <c r="G119" s="30">
        <f>IF($A119="",0,IF(Transactions!A111=2,Transactions!H111*$E119,0))</f>
        <v>0</v>
      </c>
    </row>
    <row r="120" spans="1:7" ht="15" customHeight="1" x14ac:dyDescent="0.15">
      <c r="A120" t="str">
        <f>IF(Transactions!J112="","",Transactions!J112)</f>
        <v/>
      </c>
      <c r="B120" s="297">
        <f ca="1">IF($A120="",TODAY(),Transactions!G112)</f>
        <v>46216</v>
      </c>
      <c r="C120" s="298" t="str">
        <f>IF($A120="","",Transactions!A112)</f>
        <v/>
      </c>
      <c r="D120" s="30">
        <f>IF($A120="",0,Transactions!H112)</f>
        <v>0</v>
      </c>
      <c r="E120" s="299">
        <f>IF($A120="",1,IFERROR(INDEX(Prices[FX to SGD],MATCH($A120,Prices[Key],0)),1))</f>
        <v>1</v>
      </c>
      <c r="F120" s="30">
        <f>IF($A120="",0,(Transactions!M112-Transactions!L112+IF(Transactions!A112=2,Transactions!H112,0))*$E120)</f>
        <v>0</v>
      </c>
      <c r="G120" s="30">
        <f>IF($A120="",0,IF(Transactions!A112=2,Transactions!H112*$E120,0))</f>
        <v>0</v>
      </c>
    </row>
    <row r="121" spans="1:7" ht="15" customHeight="1" x14ac:dyDescent="0.15">
      <c r="A121" t="str">
        <f>IF(Transactions!J113="","",Transactions!J113)</f>
        <v/>
      </c>
      <c r="B121" s="297">
        <f ca="1">IF($A121="",TODAY(),Transactions!G113)</f>
        <v>46216</v>
      </c>
      <c r="C121" s="298" t="str">
        <f>IF($A121="","",Transactions!A113)</f>
        <v/>
      </c>
      <c r="D121" s="30">
        <f>IF($A121="",0,Transactions!H113)</f>
        <v>0</v>
      </c>
      <c r="E121" s="300">
        <f>IF($A121="",1,IFERROR(INDEX(Prices[FX to SGD],MATCH($A121,Prices[Key],0)),1))</f>
        <v>1</v>
      </c>
      <c r="F121" s="30">
        <f>IF($A121="",0,(Transactions!M113-Transactions!L113+IF(Transactions!A113=2,Transactions!H113,0))*$E121)</f>
        <v>0</v>
      </c>
      <c r="G121" s="30">
        <f>IF($A121="",0,IF(Transactions!A113=2,Transactions!H113*$E121,0))</f>
        <v>0</v>
      </c>
    </row>
    <row r="122" spans="1:7" ht="15" customHeight="1" x14ac:dyDescent="0.15">
      <c r="A122" t="str">
        <f>IF(Transactions!J114="","",Transactions!J114)</f>
        <v/>
      </c>
      <c r="B122" s="297">
        <f ca="1">IF($A122="",TODAY(),Transactions!G114)</f>
        <v>46216</v>
      </c>
      <c r="C122" s="298" t="str">
        <f>IF($A122="","",Transactions!A114)</f>
        <v/>
      </c>
      <c r="D122" s="30">
        <f>IF($A122="",0,Transactions!H114)</f>
        <v>0</v>
      </c>
      <c r="E122" s="300">
        <f>IF($A122="",1,IFERROR(INDEX(Prices[FX to SGD],MATCH($A122,Prices[Key],0)),1))</f>
        <v>1</v>
      </c>
      <c r="F122" s="30">
        <f>IF($A122="",0,(Transactions!M114-Transactions!L114+IF(Transactions!A114=2,Transactions!H114,0))*$E122)</f>
        <v>0</v>
      </c>
      <c r="G122" s="30">
        <f>IF($A122="",0,IF(Transactions!A114=2,Transactions!H114*$E122,0))</f>
        <v>0</v>
      </c>
    </row>
    <row r="123" spans="1:7" ht="15" customHeight="1" x14ac:dyDescent="0.15">
      <c r="A123" t="str">
        <f>IF(Transactions!J115="","",Transactions!J115)</f>
        <v/>
      </c>
      <c r="B123" s="297">
        <f ca="1">IF($A123="",TODAY(),Transactions!G115)</f>
        <v>46216</v>
      </c>
      <c r="C123" s="298" t="str">
        <f>IF($A123="","",Transactions!A115)</f>
        <v/>
      </c>
      <c r="D123" s="30">
        <f>IF($A123="",0,Transactions!H115)</f>
        <v>0</v>
      </c>
      <c r="E123" s="299">
        <f>IF($A123="",1,IFERROR(INDEX(Prices[FX to SGD],MATCH($A123,Prices[Key],0)),1))</f>
        <v>1</v>
      </c>
      <c r="F123" s="30">
        <f>IF($A123="",0,(Transactions!M115-Transactions!L115+IF(Transactions!A115=2,Transactions!H115,0))*$E123)</f>
        <v>0</v>
      </c>
      <c r="G123" s="30">
        <f>IF($A123="",0,IF(Transactions!A115=2,Transactions!H115*$E123,0))</f>
        <v>0</v>
      </c>
    </row>
    <row r="124" spans="1:7" ht="15" customHeight="1" x14ac:dyDescent="0.15">
      <c r="A124" t="str">
        <f>IF(Transactions!J116="","",Transactions!J116)</f>
        <v/>
      </c>
      <c r="B124" s="297">
        <f ca="1">IF($A124="",TODAY(),Transactions!G116)</f>
        <v>46216</v>
      </c>
      <c r="C124" s="298" t="str">
        <f>IF($A124="","",Transactions!A116)</f>
        <v/>
      </c>
      <c r="D124" s="30">
        <f>IF($A124="",0,Transactions!H116)</f>
        <v>0</v>
      </c>
      <c r="E124" s="300">
        <f>IF($A124="",1,IFERROR(INDEX(Prices[FX to SGD],MATCH($A124,Prices[Key],0)),1))</f>
        <v>1</v>
      </c>
      <c r="F124" s="30">
        <f>IF($A124="",0,(Transactions!M116-Transactions!L116+IF(Transactions!A116=2,Transactions!H116,0))*$E124)</f>
        <v>0</v>
      </c>
      <c r="G124" s="30">
        <f>IF($A124="",0,IF(Transactions!A116=2,Transactions!H116*$E124,0))</f>
        <v>0</v>
      </c>
    </row>
    <row r="125" spans="1:7" ht="15" customHeight="1" x14ac:dyDescent="0.15">
      <c r="A125" t="str">
        <f>IF(Transactions!J117="","",Transactions!J117)</f>
        <v/>
      </c>
      <c r="B125" s="297">
        <f ca="1">IF($A125="",TODAY(),Transactions!G117)</f>
        <v>46216</v>
      </c>
      <c r="C125" s="298" t="str">
        <f>IF($A125="","",Transactions!A117)</f>
        <v/>
      </c>
      <c r="D125" s="30">
        <f>IF($A125="",0,Transactions!H117)</f>
        <v>0</v>
      </c>
      <c r="E125" s="300">
        <f>IF($A125="",1,IFERROR(INDEX(Prices[FX to SGD],MATCH($A125,Prices[Key],0)),1))</f>
        <v>1</v>
      </c>
      <c r="F125" s="30">
        <f>IF($A125="",0,(Transactions!M117-Transactions!L117+IF(Transactions!A117=2,Transactions!H117,0))*$E125)</f>
        <v>0</v>
      </c>
      <c r="G125" s="30">
        <f>IF($A125="",0,IF(Transactions!A117=2,Transactions!H117*$E125,0))</f>
        <v>0</v>
      </c>
    </row>
    <row r="126" spans="1:7" ht="15" customHeight="1" x14ac:dyDescent="0.15">
      <c r="A126" t="str">
        <f>IF(Transactions!J118="","",Transactions!J118)</f>
        <v/>
      </c>
      <c r="B126" s="297">
        <f ca="1">IF($A126="",TODAY(),Transactions!G118)</f>
        <v>46216</v>
      </c>
      <c r="C126" s="298" t="str">
        <f>IF($A126="","",Transactions!A118)</f>
        <v/>
      </c>
      <c r="D126" s="30">
        <f>IF($A126="",0,Transactions!H118)</f>
        <v>0</v>
      </c>
      <c r="E126" s="300">
        <f>IF($A126="",1,IFERROR(INDEX(Prices[FX to SGD],MATCH($A126,Prices[Key],0)),1))</f>
        <v>1</v>
      </c>
      <c r="F126" s="30">
        <f>IF($A126="",0,(Transactions!M118-Transactions!L118+IF(Transactions!A118=2,Transactions!H118,0))*$E126)</f>
        <v>0</v>
      </c>
      <c r="G126" s="30">
        <f>IF($A126="",0,IF(Transactions!A118=2,Transactions!H118*$E126,0))</f>
        <v>0</v>
      </c>
    </row>
    <row r="127" spans="1:7" ht="15" customHeight="1" x14ac:dyDescent="0.15">
      <c r="A127" t="str">
        <f>IF(Transactions!J119="","",Transactions!J119)</f>
        <v/>
      </c>
      <c r="B127" s="297">
        <f ca="1">IF($A127="",TODAY(),Transactions!G119)</f>
        <v>46216</v>
      </c>
      <c r="C127" s="298" t="str">
        <f>IF($A127="","",Transactions!A119)</f>
        <v/>
      </c>
      <c r="D127" s="30">
        <f>IF($A127="",0,Transactions!H119)</f>
        <v>0</v>
      </c>
      <c r="E127" s="299">
        <f>IF($A127="",1,IFERROR(INDEX(Prices[FX to SGD],MATCH($A127,Prices[Key],0)),1))</f>
        <v>1</v>
      </c>
      <c r="F127" s="30">
        <f>IF($A127="",0,(Transactions!M119-Transactions!L119+IF(Transactions!A119=2,Transactions!H119,0))*$E127)</f>
        <v>0</v>
      </c>
      <c r="G127" s="30">
        <f>IF($A127="",0,IF(Transactions!A119=2,Transactions!H119*$E127,0))</f>
        <v>0</v>
      </c>
    </row>
    <row r="128" spans="1:7" ht="15" customHeight="1" x14ac:dyDescent="0.15">
      <c r="A128" t="str">
        <f>IF(Transactions!J120="","",Transactions!J120)</f>
        <v/>
      </c>
      <c r="B128" s="297">
        <f ca="1">IF($A128="",TODAY(),Transactions!G120)</f>
        <v>46216</v>
      </c>
      <c r="C128" s="298" t="str">
        <f>IF($A128="","",Transactions!A120)</f>
        <v/>
      </c>
      <c r="D128" s="30">
        <f>IF($A128="",0,Transactions!H120)</f>
        <v>0</v>
      </c>
      <c r="E128" s="300">
        <f>IF($A128="",1,IFERROR(INDEX(Prices[FX to SGD],MATCH($A128,Prices[Key],0)),1))</f>
        <v>1</v>
      </c>
      <c r="F128" s="30">
        <f>IF($A128="",0,(Transactions!M120-Transactions!L120+IF(Transactions!A120=2,Transactions!H120,0))*$E128)</f>
        <v>0</v>
      </c>
      <c r="G128" s="30">
        <f>IF($A128="",0,IF(Transactions!A120=2,Transactions!H120*$E128,0))</f>
        <v>0</v>
      </c>
    </row>
    <row r="129" spans="1:7" ht="15" customHeight="1" x14ac:dyDescent="0.15">
      <c r="A129" t="str">
        <f>IF(Transactions!J121="","",Transactions!J121)</f>
        <v/>
      </c>
      <c r="B129" s="297">
        <f ca="1">IF($A129="",TODAY(),Transactions!G121)</f>
        <v>46216</v>
      </c>
      <c r="C129" s="298" t="str">
        <f>IF($A129="","",Transactions!A121)</f>
        <v/>
      </c>
      <c r="D129" s="30">
        <f>IF($A129="",0,Transactions!H121)</f>
        <v>0</v>
      </c>
      <c r="E129" s="300">
        <f>IF($A129="",1,IFERROR(INDEX(Prices[FX to SGD],MATCH($A129,Prices[Key],0)),1))</f>
        <v>1</v>
      </c>
      <c r="F129" s="30">
        <f>IF($A129="",0,(Transactions!M121-Transactions!L121+IF(Transactions!A121=2,Transactions!H121,0))*$E129)</f>
        <v>0</v>
      </c>
      <c r="G129" s="30">
        <f>IF($A129="",0,IF(Transactions!A121=2,Transactions!H121*$E129,0))</f>
        <v>0</v>
      </c>
    </row>
    <row r="130" spans="1:7" ht="15" customHeight="1" x14ac:dyDescent="0.15">
      <c r="A130" t="str">
        <f>IF(Transactions!J122="","",Transactions!J122)</f>
        <v/>
      </c>
      <c r="B130" s="297">
        <f ca="1">IF($A130="",TODAY(),Transactions!G122)</f>
        <v>46216</v>
      </c>
      <c r="C130" s="298" t="str">
        <f>IF($A130="","",Transactions!A122)</f>
        <v/>
      </c>
      <c r="D130" s="30">
        <f>IF($A130="",0,Transactions!H122)</f>
        <v>0</v>
      </c>
      <c r="E130" s="299">
        <f>IF($A130="",1,IFERROR(INDEX(Prices[FX to SGD],MATCH($A130,Prices[Key],0)),1))</f>
        <v>1</v>
      </c>
      <c r="F130" s="30">
        <f>IF($A130="",0,(Transactions!M122-Transactions!L122+IF(Transactions!A122=2,Transactions!H122,0))*$E130)</f>
        <v>0</v>
      </c>
      <c r="G130" s="30">
        <f>IF($A130="",0,IF(Transactions!A122=2,Transactions!H122*$E130,0))</f>
        <v>0</v>
      </c>
    </row>
    <row r="131" spans="1:7" ht="15" customHeight="1" x14ac:dyDescent="0.15">
      <c r="A131" t="str">
        <f>IF(Transactions!J123="","",Transactions!J123)</f>
        <v/>
      </c>
      <c r="B131" s="297">
        <f ca="1">IF($A131="",TODAY(),Transactions!G123)</f>
        <v>46216</v>
      </c>
      <c r="C131" s="298" t="str">
        <f>IF($A131="","",Transactions!A123)</f>
        <v/>
      </c>
      <c r="D131" s="30">
        <f>IF($A131="",0,Transactions!H123)</f>
        <v>0</v>
      </c>
      <c r="E131" s="300">
        <f>IF($A131="",1,IFERROR(INDEX(Prices[FX to SGD],MATCH($A131,Prices[Key],0)),1))</f>
        <v>1</v>
      </c>
      <c r="F131" s="30">
        <f>IF($A131="",0,(Transactions!M123-Transactions!L123+IF(Transactions!A123=2,Transactions!H123,0))*$E131)</f>
        <v>0</v>
      </c>
      <c r="G131" s="30">
        <f>IF($A131="",0,IF(Transactions!A123=2,Transactions!H123*$E131,0))</f>
        <v>0</v>
      </c>
    </row>
    <row r="132" spans="1:7" ht="15" customHeight="1" x14ac:dyDescent="0.15">
      <c r="A132" t="str">
        <f>IF(Transactions!J124="","",Transactions!J124)</f>
        <v/>
      </c>
      <c r="B132" s="297">
        <f ca="1">IF($A132="",TODAY(),Transactions!G124)</f>
        <v>46216</v>
      </c>
      <c r="C132" s="298" t="str">
        <f>IF($A132="","",Transactions!A124)</f>
        <v/>
      </c>
      <c r="D132" s="30">
        <f>IF($A132="",0,Transactions!H124)</f>
        <v>0</v>
      </c>
      <c r="E132" s="300">
        <f>IF($A132="",1,IFERROR(INDEX(Prices[FX to SGD],MATCH($A132,Prices[Key],0)),1))</f>
        <v>1</v>
      </c>
      <c r="F132" s="30">
        <f>IF($A132="",0,(Transactions!M124-Transactions!L124+IF(Transactions!A124=2,Transactions!H124,0))*$E132)</f>
        <v>0</v>
      </c>
      <c r="G132" s="30">
        <f>IF($A132="",0,IF(Transactions!A124=2,Transactions!H124*$E132,0))</f>
        <v>0</v>
      </c>
    </row>
    <row r="133" spans="1:7" ht="15" customHeight="1" x14ac:dyDescent="0.15">
      <c r="A133" t="str">
        <f>IF(Transactions!J125="","",Transactions!J125)</f>
        <v/>
      </c>
      <c r="B133" s="297">
        <f ca="1">IF($A133="",TODAY(),Transactions!G125)</f>
        <v>46216</v>
      </c>
      <c r="C133" s="298" t="str">
        <f>IF($A133="","",Transactions!A125)</f>
        <v/>
      </c>
      <c r="D133" s="30">
        <f>IF($A133="",0,Transactions!H125)</f>
        <v>0</v>
      </c>
      <c r="E133" s="300">
        <f>IF($A133="",1,IFERROR(INDEX(Prices[FX to SGD],MATCH($A133,Prices[Key],0)),1))</f>
        <v>1</v>
      </c>
      <c r="F133" s="30">
        <f>IF($A133="",0,(Transactions!M125-Transactions!L125+IF(Transactions!A125=2,Transactions!H125,0))*$E133)</f>
        <v>0</v>
      </c>
      <c r="G133" s="30">
        <f>IF($A133="",0,IF(Transactions!A125=2,Transactions!H125*$E133,0))</f>
        <v>0</v>
      </c>
    </row>
    <row r="134" spans="1:7" ht="15" customHeight="1" x14ac:dyDescent="0.15">
      <c r="A134" t="str">
        <f>IF(Transactions!J126="","",Transactions!J126)</f>
        <v/>
      </c>
      <c r="B134" s="297">
        <f ca="1">IF($A134="",TODAY(),Transactions!G126)</f>
        <v>46216</v>
      </c>
      <c r="C134" s="298" t="str">
        <f>IF($A134="","",Transactions!A126)</f>
        <v/>
      </c>
      <c r="D134" s="30">
        <f>IF($A134="",0,Transactions!H126)</f>
        <v>0</v>
      </c>
      <c r="E134" s="300">
        <f>IF($A134="",1,IFERROR(INDEX(Prices[FX to SGD],MATCH($A134,Prices[Key],0)),1))</f>
        <v>1</v>
      </c>
      <c r="F134" s="30">
        <f>IF($A134="",0,(Transactions!M126-Transactions!L126+IF(Transactions!A126=2,Transactions!H126,0))*$E134)</f>
        <v>0</v>
      </c>
      <c r="G134" s="30">
        <f>IF($A134="",0,IF(Transactions!A126=2,Transactions!H126*$E134,0))</f>
        <v>0</v>
      </c>
    </row>
    <row r="135" spans="1:7" ht="15" customHeight="1" x14ac:dyDescent="0.15">
      <c r="A135" t="str">
        <f>IF(Transactions!J127="","",Transactions!J127)</f>
        <v/>
      </c>
      <c r="B135" s="297">
        <f ca="1">IF($A135="",TODAY(),Transactions!G127)</f>
        <v>46216</v>
      </c>
      <c r="C135" s="298" t="str">
        <f>IF($A135="","",Transactions!A127)</f>
        <v/>
      </c>
      <c r="D135" s="30">
        <f>IF($A135="",0,Transactions!H127)</f>
        <v>0</v>
      </c>
      <c r="E135" s="300">
        <f>IF($A135="",1,IFERROR(INDEX(Prices[FX to SGD],MATCH($A135,Prices[Key],0)),1))</f>
        <v>1</v>
      </c>
      <c r="F135" s="30">
        <f>IF($A135="",0,(Transactions!M127-Transactions!L127+IF(Transactions!A127=2,Transactions!H127,0))*$E135)</f>
        <v>0</v>
      </c>
      <c r="G135" s="30">
        <f>IF($A135="",0,IF(Transactions!A127=2,Transactions!H127*$E135,0))</f>
        <v>0</v>
      </c>
    </row>
    <row r="136" spans="1:7" ht="15" customHeight="1" x14ac:dyDescent="0.15">
      <c r="A136" t="str">
        <f>IF(Transactions!J128="","",Transactions!J128)</f>
        <v/>
      </c>
      <c r="B136" s="297">
        <f ca="1">IF($A136="",TODAY(),Transactions!G128)</f>
        <v>46216</v>
      </c>
      <c r="C136" s="298" t="str">
        <f>IF($A136="","",Transactions!A128)</f>
        <v/>
      </c>
      <c r="D136" s="30">
        <f>IF($A136="",0,Transactions!H128)</f>
        <v>0</v>
      </c>
      <c r="E136" s="300">
        <f>IF($A136="",1,IFERROR(INDEX(Prices[FX to SGD],MATCH($A136,Prices[Key],0)),1))</f>
        <v>1</v>
      </c>
      <c r="F136" s="30">
        <f>IF($A136="",0,(Transactions!M128-Transactions!L128+IF(Transactions!A128=2,Transactions!H128,0))*$E136)</f>
        <v>0</v>
      </c>
      <c r="G136" s="30">
        <f>IF($A136="",0,IF(Transactions!A128=2,Transactions!H128*$E136,0))</f>
        <v>0</v>
      </c>
    </row>
    <row r="137" spans="1:7" ht="15" customHeight="1" x14ac:dyDescent="0.15">
      <c r="A137" t="str">
        <f>IF(Transactions!J129="","",Transactions!J129)</f>
        <v/>
      </c>
      <c r="B137" s="297">
        <f ca="1">IF($A137="",TODAY(),Transactions!G129)</f>
        <v>46216</v>
      </c>
      <c r="C137" s="298" t="str">
        <f>IF($A137="","",Transactions!A129)</f>
        <v/>
      </c>
      <c r="D137" s="30">
        <f>IF($A137="",0,Transactions!H129)</f>
        <v>0</v>
      </c>
      <c r="E137" s="300">
        <f>IF($A137="",1,IFERROR(INDEX(Prices[FX to SGD],MATCH($A137,Prices[Key],0)),1))</f>
        <v>1</v>
      </c>
      <c r="F137" s="30">
        <f>IF($A137="",0,(Transactions!M129-Transactions!L129+IF(Transactions!A129=2,Transactions!H129,0))*$E137)</f>
        <v>0</v>
      </c>
      <c r="G137" s="30">
        <f>IF($A137="",0,IF(Transactions!A129=2,Transactions!H129*$E137,0))</f>
        <v>0</v>
      </c>
    </row>
    <row r="138" spans="1:7" ht="15" customHeight="1" x14ac:dyDescent="0.15">
      <c r="A138" t="str">
        <f>IF(Transactions!J130="","",Transactions!J130)</f>
        <v/>
      </c>
      <c r="B138" s="297">
        <f ca="1">IF($A138="",TODAY(),Transactions!G130)</f>
        <v>46216</v>
      </c>
      <c r="C138" s="298" t="str">
        <f>IF($A138="","",Transactions!A130)</f>
        <v/>
      </c>
      <c r="D138" s="30">
        <f>IF($A138="",0,Transactions!H130)</f>
        <v>0</v>
      </c>
      <c r="E138" s="300">
        <f>IF($A138="",1,IFERROR(INDEX(Prices[FX to SGD],MATCH($A138,Prices[Key],0)),1))</f>
        <v>1</v>
      </c>
      <c r="F138" s="30">
        <f>IF($A138="",0,(Transactions!M130-Transactions!L130+IF(Transactions!A130=2,Transactions!H130,0))*$E138)</f>
        <v>0</v>
      </c>
      <c r="G138" s="30">
        <f>IF($A138="",0,IF(Transactions!A130=2,Transactions!H130*$E138,0))</f>
        <v>0</v>
      </c>
    </row>
    <row r="139" spans="1:7" ht="15" customHeight="1" x14ac:dyDescent="0.15">
      <c r="A139" t="str">
        <f>IF(Transactions!J131="","",Transactions!J131)</f>
        <v/>
      </c>
      <c r="B139" s="297">
        <f ca="1">IF($A139="",TODAY(),Transactions!G131)</f>
        <v>46216</v>
      </c>
      <c r="C139" s="298" t="str">
        <f>IF($A139="","",Transactions!A131)</f>
        <v/>
      </c>
      <c r="D139" s="30">
        <f>IF($A139="",0,Transactions!H131)</f>
        <v>0</v>
      </c>
      <c r="E139" s="300">
        <f>IF($A139="",1,IFERROR(INDEX(Prices[FX to SGD],MATCH($A139,Prices[Key],0)),1))</f>
        <v>1</v>
      </c>
      <c r="F139" s="30">
        <f>IF($A139="",0,(Transactions!M131-Transactions!L131+IF(Transactions!A131=2,Transactions!H131,0))*$E139)</f>
        <v>0</v>
      </c>
      <c r="G139" s="30">
        <f>IF($A139="",0,IF(Transactions!A131=2,Transactions!H131*$E139,0))</f>
        <v>0</v>
      </c>
    </row>
    <row r="140" spans="1:7" ht="15" customHeight="1" x14ac:dyDescent="0.15">
      <c r="A140" t="str">
        <f>IF(Transactions!J132="","",Transactions!J132)</f>
        <v/>
      </c>
      <c r="B140" s="297">
        <f ca="1">IF($A140="",TODAY(),Transactions!G132)</f>
        <v>46216</v>
      </c>
      <c r="C140" s="298" t="str">
        <f>IF($A140="","",Transactions!A132)</f>
        <v/>
      </c>
      <c r="D140" s="30">
        <f>IF($A140="",0,Transactions!H132)</f>
        <v>0</v>
      </c>
      <c r="E140" s="299">
        <f>IF($A140="",1,IFERROR(INDEX(Prices[FX to SGD],MATCH($A140,Prices[Key],0)),1))</f>
        <v>1</v>
      </c>
      <c r="F140" s="30">
        <f>IF($A140="",0,(Transactions!M132-Transactions!L132+IF(Transactions!A132=2,Transactions!H132,0))*$E140)</f>
        <v>0</v>
      </c>
      <c r="G140" s="30">
        <f>IF($A140="",0,IF(Transactions!A132=2,Transactions!H132*$E140,0))</f>
        <v>0</v>
      </c>
    </row>
    <row r="141" spans="1:7" ht="15" customHeight="1" x14ac:dyDescent="0.15">
      <c r="A141" t="str">
        <f>IF(Transactions!J133="","",Transactions!J133)</f>
        <v/>
      </c>
      <c r="B141" s="297">
        <f ca="1">IF($A141="",TODAY(),Transactions!G133)</f>
        <v>46216</v>
      </c>
      <c r="C141" s="298" t="str">
        <f>IF($A141="","",Transactions!A133)</f>
        <v/>
      </c>
      <c r="D141" s="30">
        <f>IF($A141="",0,Transactions!H133)</f>
        <v>0</v>
      </c>
      <c r="E141" s="299">
        <f>IF($A141="",1,IFERROR(INDEX(Prices[FX to SGD],MATCH($A141,Prices[Key],0)),1))</f>
        <v>1</v>
      </c>
      <c r="F141" s="30">
        <f>IF($A141="",0,(Transactions!M133-Transactions!L133+IF(Transactions!A133=2,Transactions!H133,0))*$E141)</f>
        <v>0</v>
      </c>
      <c r="G141" s="30">
        <f>IF($A141="",0,IF(Transactions!A133=2,Transactions!H133*$E141,0))</f>
        <v>0</v>
      </c>
    </row>
    <row r="142" spans="1:7" ht="15" customHeight="1" x14ac:dyDescent="0.15">
      <c r="A142" t="str">
        <f>IF(Transactions!J134="","",Transactions!J134)</f>
        <v/>
      </c>
      <c r="B142" s="297">
        <f ca="1">IF($A142="",TODAY(),Transactions!G134)</f>
        <v>46216</v>
      </c>
      <c r="C142" s="298" t="str">
        <f>IF($A142="","",Transactions!A134)</f>
        <v/>
      </c>
      <c r="D142" s="30">
        <f>IF($A142="",0,Transactions!H134)</f>
        <v>0</v>
      </c>
      <c r="E142" s="300">
        <f>IF($A142="",1,IFERROR(INDEX(Prices[FX to SGD],MATCH($A142,Prices[Key],0)),1))</f>
        <v>1</v>
      </c>
      <c r="F142" s="30">
        <f>IF($A142="",0,(Transactions!M134-Transactions!L134+IF(Transactions!A134=2,Transactions!H134,0))*$E142)</f>
        <v>0</v>
      </c>
      <c r="G142" s="30">
        <f>IF($A142="",0,IF(Transactions!A134=2,Transactions!H134*$E142,0))</f>
        <v>0</v>
      </c>
    </row>
    <row r="143" spans="1:7" ht="15" customHeight="1" x14ac:dyDescent="0.15">
      <c r="A143" t="str">
        <f>IF(Transactions!J135="","",Transactions!J135)</f>
        <v/>
      </c>
      <c r="B143" s="297">
        <f ca="1">IF($A143="",TODAY(),Transactions!G135)</f>
        <v>46216</v>
      </c>
      <c r="C143" s="298" t="str">
        <f>IF($A143="","",Transactions!A135)</f>
        <v/>
      </c>
      <c r="D143" s="30">
        <f>IF($A143="",0,Transactions!H135)</f>
        <v>0</v>
      </c>
      <c r="E143" s="299">
        <f>IF($A143="",1,IFERROR(INDEX(Prices[FX to SGD],MATCH($A143,Prices[Key],0)),1))</f>
        <v>1</v>
      </c>
      <c r="F143" s="30">
        <f>IF($A143="",0,(Transactions!M135-Transactions!L135+IF(Transactions!A135=2,Transactions!H135,0))*$E143)</f>
        <v>0</v>
      </c>
      <c r="G143" s="30">
        <f>IF($A143="",0,IF(Transactions!A135=2,Transactions!H135*$E143,0))</f>
        <v>0</v>
      </c>
    </row>
    <row r="144" spans="1:7" ht="15" customHeight="1" x14ac:dyDescent="0.15">
      <c r="A144" t="str">
        <f>IF(Transactions!J136="","",Transactions!J136)</f>
        <v/>
      </c>
      <c r="B144" s="297">
        <f ca="1">IF($A144="",TODAY(),Transactions!G136)</f>
        <v>46216</v>
      </c>
      <c r="C144" s="298" t="str">
        <f>IF($A144="","",Transactions!A136)</f>
        <v/>
      </c>
      <c r="D144" s="30">
        <f>IF($A144="",0,Transactions!H136)</f>
        <v>0</v>
      </c>
      <c r="E144" s="299">
        <f>IF($A144="",1,IFERROR(INDEX(Prices[FX to SGD],MATCH($A144,Prices[Key],0)),1))</f>
        <v>1</v>
      </c>
      <c r="F144" s="30">
        <f>IF($A144="",0,(Transactions!M136-Transactions!L136+IF(Transactions!A136=2,Transactions!H136,0))*$E144)</f>
        <v>0</v>
      </c>
      <c r="G144" s="30">
        <f>IF($A144="",0,IF(Transactions!A136=2,Transactions!H136*$E144,0))</f>
        <v>0</v>
      </c>
    </row>
    <row r="145" spans="1:7" ht="15" customHeight="1" x14ac:dyDescent="0.15">
      <c r="A145" t="str">
        <f>IF(Transactions!J137="","",Transactions!J137)</f>
        <v/>
      </c>
      <c r="B145" s="297">
        <f ca="1">IF($A145="",TODAY(),Transactions!G137)</f>
        <v>46216</v>
      </c>
      <c r="C145" s="298" t="str">
        <f>IF($A145="","",Transactions!A137)</f>
        <v/>
      </c>
      <c r="D145" s="30">
        <f>IF($A145="",0,Transactions!H137)</f>
        <v>0</v>
      </c>
      <c r="E145" s="299">
        <f>IF($A145="",1,IFERROR(INDEX(Prices[FX to SGD],MATCH($A145,Prices[Key],0)),1))</f>
        <v>1</v>
      </c>
      <c r="F145" s="30">
        <f>IF($A145="",0,(Transactions!M137-Transactions!L137+IF(Transactions!A137=2,Transactions!H137,0))*$E145)</f>
        <v>0</v>
      </c>
      <c r="G145" s="30">
        <f>IF($A145="",0,IF(Transactions!A137=2,Transactions!H137*$E145,0))</f>
        <v>0</v>
      </c>
    </row>
    <row r="146" spans="1:7" ht="15" customHeight="1" x14ac:dyDescent="0.15">
      <c r="A146" t="str">
        <f>IF(Transactions!J138="","",Transactions!J138)</f>
        <v/>
      </c>
      <c r="B146" s="297">
        <f ca="1">IF($A146="",TODAY(),Transactions!G138)</f>
        <v>46216</v>
      </c>
      <c r="C146" s="298" t="str">
        <f>IF($A146="","",Transactions!A138)</f>
        <v/>
      </c>
      <c r="D146" s="30">
        <f>IF($A146="",0,Transactions!H138)</f>
        <v>0</v>
      </c>
      <c r="E146" s="300">
        <f>IF($A146="",1,IFERROR(INDEX(Prices[FX to SGD],MATCH($A146,Prices[Key],0)),1))</f>
        <v>1</v>
      </c>
      <c r="F146" s="30">
        <f>IF($A146="",0,(Transactions!M138-Transactions!L138+IF(Transactions!A138=2,Transactions!H138,0))*$E146)</f>
        <v>0</v>
      </c>
      <c r="G146" s="30">
        <f>IF($A146="",0,IF(Transactions!A138=2,Transactions!H138*$E146,0))</f>
        <v>0</v>
      </c>
    </row>
    <row r="147" spans="1:7" ht="15" customHeight="1" x14ac:dyDescent="0.15">
      <c r="A147" t="str">
        <f>IF(Transactions!J139="","",Transactions!J139)</f>
        <v/>
      </c>
      <c r="B147" s="297">
        <f ca="1">IF($A147="",TODAY(),Transactions!G139)</f>
        <v>46216</v>
      </c>
      <c r="C147" s="298" t="str">
        <f>IF($A147="","",Transactions!A139)</f>
        <v/>
      </c>
      <c r="D147" s="30">
        <f>IF($A147="",0,Transactions!H139)</f>
        <v>0</v>
      </c>
      <c r="E147" s="300">
        <f>IF($A147="",1,IFERROR(INDEX(Prices[FX to SGD],MATCH($A147,Prices[Key],0)),1))</f>
        <v>1</v>
      </c>
      <c r="F147" s="30">
        <f>IF($A147="",0,(Transactions!M139-Transactions!L139+IF(Transactions!A139=2,Transactions!H139,0))*$E147)</f>
        <v>0</v>
      </c>
      <c r="G147" s="30">
        <f>IF($A147="",0,IF(Transactions!A139=2,Transactions!H139*$E147,0))</f>
        <v>0</v>
      </c>
    </row>
    <row r="148" spans="1:7" ht="15" customHeight="1" x14ac:dyDescent="0.15">
      <c r="A148" t="str">
        <f>IF(Transactions!J140="","",Transactions!J140)</f>
        <v/>
      </c>
      <c r="B148" s="297">
        <f ca="1">IF($A148="",TODAY(),Transactions!G140)</f>
        <v>46216</v>
      </c>
      <c r="C148" s="298" t="str">
        <f>IF($A148="","",Transactions!A140)</f>
        <v/>
      </c>
      <c r="D148" s="30">
        <f>IF($A148="",0,Transactions!H140)</f>
        <v>0</v>
      </c>
      <c r="E148" s="300">
        <f>IF($A148="",1,IFERROR(INDEX(Prices[FX to SGD],MATCH($A148,Prices[Key],0)),1))</f>
        <v>1</v>
      </c>
      <c r="F148" s="30">
        <f>IF($A148="",0,(Transactions!M140-Transactions!L140+IF(Transactions!A140=2,Transactions!H140,0))*$E148)</f>
        <v>0</v>
      </c>
      <c r="G148" s="30">
        <f>IF($A148="",0,IF(Transactions!A140=2,Transactions!H140*$E148,0))</f>
        <v>0</v>
      </c>
    </row>
    <row r="149" spans="1:7" ht="15" customHeight="1" x14ac:dyDescent="0.15">
      <c r="A149" t="str">
        <f>IF(Transactions!J141="","",Transactions!J141)</f>
        <v/>
      </c>
      <c r="B149" s="297">
        <f ca="1">IF($A149="",TODAY(),Transactions!G141)</f>
        <v>46216</v>
      </c>
      <c r="C149" s="298" t="str">
        <f>IF($A149="","",Transactions!A141)</f>
        <v/>
      </c>
      <c r="D149" s="30">
        <f>IF($A149="",0,Transactions!H141)</f>
        <v>0</v>
      </c>
      <c r="E149" s="300">
        <f>IF($A149="",1,IFERROR(INDEX(Prices[FX to SGD],MATCH($A149,Prices[Key],0)),1))</f>
        <v>1</v>
      </c>
      <c r="F149" s="30">
        <f>IF($A149="",0,(Transactions!M141-Transactions!L141+IF(Transactions!A141=2,Transactions!H141,0))*$E149)</f>
        <v>0</v>
      </c>
      <c r="G149" s="30">
        <f>IF($A149="",0,IF(Transactions!A141=2,Transactions!H141*$E149,0))</f>
        <v>0</v>
      </c>
    </row>
    <row r="150" spans="1:7" ht="15" customHeight="1" x14ac:dyDescent="0.15">
      <c r="A150" t="str">
        <f>IF(Transactions!J142="","",Transactions!J142)</f>
        <v/>
      </c>
      <c r="B150" s="297">
        <f ca="1">IF($A150="",TODAY(),Transactions!G142)</f>
        <v>46216</v>
      </c>
      <c r="C150" s="298" t="str">
        <f>IF($A150="","",Transactions!A142)</f>
        <v/>
      </c>
      <c r="D150" s="30">
        <f>IF($A150="",0,Transactions!H142)</f>
        <v>0</v>
      </c>
      <c r="E150" s="300">
        <f>IF($A150="",1,IFERROR(INDEX(Prices[FX to SGD],MATCH($A150,Prices[Key],0)),1))</f>
        <v>1</v>
      </c>
      <c r="F150" s="30">
        <f>IF($A150="",0,(Transactions!M142-Transactions!L142+IF(Transactions!A142=2,Transactions!H142,0))*$E150)</f>
        <v>0</v>
      </c>
      <c r="G150" s="30">
        <f>IF($A150="",0,IF(Transactions!A142=2,Transactions!H142*$E150,0))</f>
        <v>0</v>
      </c>
    </row>
    <row r="151" spans="1:7" ht="15" customHeight="1" x14ac:dyDescent="0.15">
      <c r="A151" t="str">
        <f>IF(Transactions!J143="","",Transactions!J143)</f>
        <v/>
      </c>
      <c r="B151" s="297">
        <f ca="1">IF($A151="",TODAY(),Transactions!G143)</f>
        <v>46216</v>
      </c>
      <c r="C151" s="298" t="str">
        <f>IF($A151="","",Transactions!A143)</f>
        <v/>
      </c>
      <c r="D151" s="30">
        <f>IF($A151="",0,Transactions!H143)</f>
        <v>0</v>
      </c>
      <c r="E151" s="300">
        <f>IF($A151="",1,IFERROR(INDEX(Prices[FX to SGD],MATCH($A151,Prices[Key],0)),1))</f>
        <v>1</v>
      </c>
      <c r="F151" s="30">
        <f>IF($A151="",0,(Transactions!M143-Transactions!L143+IF(Transactions!A143=2,Transactions!H143,0))*$E151)</f>
        <v>0</v>
      </c>
      <c r="G151" s="30">
        <f>IF($A151="",0,IF(Transactions!A143=2,Transactions!H143*$E151,0))</f>
        <v>0</v>
      </c>
    </row>
    <row r="152" spans="1:7" ht="15" customHeight="1" x14ac:dyDescent="0.15">
      <c r="A152" t="str">
        <f>IF(Transactions!J144="","",Transactions!J144)</f>
        <v/>
      </c>
      <c r="B152" s="297">
        <f ca="1">IF($A152="",TODAY(),Transactions!G144)</f>
        <v>46216</v>
      </c>
      <c r="C152" s="298" t="str">
        <f>IF($A152="","",Transactions!A144)</f>
        <v/>
      </c>
      <c r="D152" s="30">
        <f>IF($A152="",0,Transactions!H144)</f>
        <v>0</v>
      </c>
      <c r="E152" s="300">
        <f>IF($A152="",1,IFERROR(INDEX(Prices[FX to SGD],MATCH($A152,Prices[Key],0)),1))</f>
        <v>1</v>
      </c>
      <c r="F152" s="30">
        <f>IF($A152="",0,(Transactions!M144-Transactions!L144+IF(Transactions!A144=2,Transactions!H144,0))*$E152)</f>
        <v>0</v>
      </c>
      <c r="G152" s="30">
        <f>IF($A152="",0,IF(Transactions!A144=2,Transactions!H144*$E152,0))</f>
        <v>0</v>
      </c>
    </row>
    <row r="153" spans="1:7" ht="15" customHeight="1" x14ac:dyDescent="0.15">
      <c r="A153" t="str">
        <f>IF(Transactions!J145="","",Transactions!J145)</f>
        <v/>
      </c>
      <c r="B153" s="297">
        <f ca="1">IF($A153="",TODAY(),Transactions!G145)</f>
        <v>46216</v>
      </c>
      <c r="C153" s="298" t="str">
        <f>IF($A153="","",Transactions!A145)</f>
        <v/>
      </c>
      <c r="D153" s="30">
        <f>IF($A153="",0,Transactions!H145)</f>
        <v>0</v>
      </c>
      <c r="E153" s="299">
        <f>IF($A153="",1,IFERROR(INDEX(Prices[FX to SGD],MATCH($A153,Prices[Key],0)),1))</f>
        <v>1</v>
      </c>
      <c r="F153" s="30">
        <f>IF($A153="",0,(Transactions!M145-Transactions!L145+IF(Transactions!A145=2,Transactions!H145,0))*$E153)</f>
        <v>0</v>
      </c>
      <c r="G153" s="30">
        <f>IF($A153="",0,IF(Transactions!A145=2,Transactions!H145*$E153,0))</f>
        <v>0</v>
      </c>
    </row>
    <row r="154" spans="1:7" ht="15" customHeight="1" x14ac:dyDescent="0.15">
      <c r="A154" t="str">
        <f>IF(Transactions!J146="","",Transactions!J146)</f>
        <v/>
      </c>
      <c r="B154" s="297">
        <f ca="1">IF($A154="",TODAY(),Transactions!G146)</f>
        <v>46216</v>
      </c>
      <c r="C154" s="298" t="str">
        <f>IF($A154="","",Transactions!A146)</f>
        <v/>
      </c>
      <c r="D154" s="30">
        <f>IF($A154="",0,Transactions!H146)</f>
        <v>0</v>
      </c>
      <c r="E154" s="300">
        <f>IF($A154="",1,IFERROR(INDEX(Prices[FX to SGD],MATCH($A154,Prices[Key],0)),1))</f>
        <v>1</v>
      </c>
      <c r="F154" s="30">
        <f>IF($A154="",0,(Transactions!M146-Transactions!L146+IF(Transactions!A146=2,Transactions!H146,0))*$E154)</f>
        <v>0</v>
      </c>
      <c r="G154" s="30">
        <f>IF($A154="",0,IF(Transactions!A146=2,Transactions!H146*$E154,0))</f>
        <v>0</v>
      </c>
    </row>
    <row r="155" spans="1:7" ht="15" customHeight="1" x14ac:dyDescent="0.15">
      <c r="A155" t="str">
        <f>IF(Transactions!J147="","",Transactions!J147)</f>
        <v/>
      </c>
      <c r="B155" s="297">
        <f ca="1">IF($A155="",TODAY(),Transactions!G147)</f>
        <v>46216</v>
      </c>
      <c r="C155" s="298" t="str">
        <f>IF($A155="","",Transactions!A147)</f>
        <v/>
      </c>
      <c r="D155" s="30">
        <f>IF($A155="",0,Transactions!H147)</f>
        <v>0</v>
      </c>
      <c r="E155" s="299">
        <f>IF($A155="",1,IFERROR(INDEX(Prices[FX to SGD],MATCH($A155,Prices[Key],0)),1))</f>
        <v>1</v>
      </c>
      <c r="F155" s="30">
        <f>IF($A155="",0,(Transactions!M147-Transactions!L147+IF(Transactions!A147=2,Transactions!H147,0))*$E155)</f>
        <v>0</v>
      </c>
      <c r="G155" s="30">
        <f>IF($A155="",0,IF(Transactions!A147=2,Transactions!H147*$E155,0))</f>
        <v>0</v>
      </c>
    </row>
    <row r="156" spans="1:7" ht="15" customHeight="1" x14ac:dyDescent="0.15">
      <c r="A156" t="str">
        <f>IF(Transactions!J148="","",Transactions!J148)</f>
        <v/>
      </c>
      <c r="B156" s="297">
        <f ca="1">IF($A156="",TODAY(),Transactions!G148)</f>
        <v>46216</v>
      </c>
      <c r="C156" s="298" t="str">
        <f>IF($A156="","",Transactions!A148)</f>
        <v/>
      </c>
      <c r="D156" s="30">
        <f>IF($A156="",0,Transactions!H148)</f>
        <v>0</v>
      </c>
      <c r="E156" s="299">
        <f>IF($A156="",1,IFERROR(INDEX(Prices[FX to SGD],MATCH($A156,Prices[Key],0)),1))</f>
        <v>1</v>
      </c>
      <c r="F156" s="30">
        <f>IF($A156="",0,(Transactions!M148-Transactions!L148+IF(Transactions!A148=2,Transactions!H148,0))*$E156)</f>
        <v>0</v>
      </c>
      <c r="G156" s="30">
        <f>IF($A156="",0,IF(Transactions!A148=2,Transactions!H148*$E156,0))</f>
        <v>0</v>
      </c>
    </row>
    <row r="157" spans="1:7" ht="15" customHeight="1" x14ac:dyDescent="0.15">
      <c r="A157" t="str">
        <f>IF(Transactions!J149="","",Transactions!J149)</f>
        <v/>
      </c>
      <c r="B157" s="297">
        <f ca="1">IF($A157="",TODAY(),Transactions!G149)</f>
        <v>46216</v>
      </c>
      <c r="C157" s="298" t="str">
        <f>IF($A157="","",Transactions!A149)</f>
        <v/>
      </c>
      <c r="D157" s="30">
        <f>IF($A157="",0,Transactions!H149)</f>
        <v>0</v>
      </c>
      <c r="E157" s="299">
        <f>IF($A157="",1,IFERROR(INDEX(Prices[FX to SGD],MATCH($A157,Prices[Key],0)),1))</f>
        <v>1</v>
      </c>
      <c r="F157" s="30">
        <f>IF($A157="",0,(Transactions!M149-Transactions!L149+IF(Transactions!A149=2,Transactions!H149,0))*$E157)</f>
        <v>0</v>
      </c>
      <c r="G157" s="30">
        <f>IF($A157="",0,IF(Transactions!A149=2,Transactions!H149*$E157,0))</f>
        <v>0</v>
      </c>
    </row>
    <row r="158" spans="1:7" ht="15" customHeight="1" x14ac:dyDescent="0.15">
      <c r="A158" t="str">
        <f>IF(Transactions!J150="","",Transactions!J150)</f>
        <v/>
      </c>
      <c r="B158" s="297">
        <f ca="1">IF($A158="",TODAY(),Transactions!G150)</f>
        <v>46216</v>
      </c>
      <c r="C158" s="298" t="str">
        <f>IF($A158="","",Transactions!A150)</f>
        <v/>
      </c>
      <c r="D158" s="30">
        <f>IF($A158="",0,Transactions!H150)</f>
        <v>0</v>
      </c>
      <c r="E158" s="299">
        <f>IF($A158="",1,IFERROR(INDEX(Prices[FX to SGD],MATCH($A158,Prices[Key],0)),1))</f>
        <v>1</v>
      </c>
      <c r="F158" s="30">
        <f>IF($A158="",0,(Transactions!M150-Transactions!L150+IF(Transactions!A150=2,Transactions!H150,0))*$E158)</f>
        <v>0</v>
      </c>
      <c r="G158" s="30">
        <f>IF($A158="",0,IF(Transactions!A150=2,Transactions!H150*$E158,0))</f>
        <v>0</v>
      </c>
    </row>
    <row r="159" spans="1:7" ht="15" customHeight="1" x14ac:dyDescent="0.15">
      <c r="A159" t="str">
        <f>IF(Transactions!J151="","",Transactions!J151)</f>
        <v/>
      </c>
      <c r="B159" s="297">
        <f ca="1">IF($A159="",TODAY(),Transactions!G151)</f>
        <v>46216</v>
      </c>
      <c r="C159" s="298" t="str">
        <f>IF($A159="","",Transactions!A151)</f>
        <v/>
      </c>
      <c r="D159" s="30">
        <f>IF($A159="",0,Transactions!H151)</f>
        <v>0</v>
      </c>
      <c r="E159" s="299">
        <f>IF($A159="",1,IFERROR(INDEX(Prices[FX to SGD],MATCH($A159,Prices[Key],0)),1))</f>
        <v>1</v>
      </c>
      <c r="F159" s="30">
        <f>IF($A159="",0,(Transactions!M151-Transactions!L151+IF(Transactions!A151=2,Transactions!H151,0))*$E159)</f>
        <v>0</v>
      </c>
      <c r="G159" s="30">
        <f>IF($A159="",0,IF(Transactions!A151=2,Transactions!H151*$E159,0))</f>
        <v>0</v>
      </c>
    </row>
    <row r="160" spans="1:7" ht="15" customHeight="1" x14ac:dyDescent="0.15">
      <c r="A160" t="str">
        <f>IF(Transactions!J152="","",Transactions!J152)</f>
        <v/>
      </c>
      <c r="B160" s="297">
        <f ca="1">IF($A160="",TODAY(),Transactions!G152)</f>
        <v>46216</v>
      </c>
      <c r="C160" s="298" t="str">
        <f>IF($A160="","",Transactions!A152)</f>
        <v/>
      </c>
      <c r="D160" s="30">
        <f>IF($A160="",0,Transactions!H152)</f>
        <v>0</v>
      </c>
      <c r="E160" s="299">
        <f>IF($A160="",1,IFERROR(INDEX(Prices[FX to SGD],MATCH($A160,Prices[Key],0)),1))</f>
        <v>1</v>
      </c>
      <c r="F160" s="30">
        <f>IF($A160="",0,(Transactions!M152-Transactions!L152+IF(Transactions!A152=2,Transactions!H152,0))*$E160)</f>
        <v>0</v>
      </c>
      <c r="G160" s="30">
        <f>IF($A160="",0,IF(Transactions!A152=2,Transactions!H152*$E160,0))</f>
        <v>0</v>
      </c>
    </row>
    <row r="161" spans="1:7" ht="15" customHeight="1" x14ac:dyDescent="0.15">
      <c r="A161" t="str">
        <f>IF(Transactions!J153="","",Transactions!J153)</f>
        <v/>
      </c>
      <c r="B161" s="297">
        <f ca="1">IF($A161="",TODAY(),Transactions!G153)</f>
        <v>46216</v>
      </c>
      <c r="C161" s="298" t="str">
        <f>IF($A161="","",Transactions!A153)</f>
        <v/>
      </c>
      <c r="D161" s="30">
        <f>IF($A161="",0,Transactions!H153)</f>
        <v>0</v>
      </c>
      <c r="E161" s="300">
        <f>IF($A161="",1,IFERROR(INDEX(Prices[FX to SGD],MATCH($A161,Prices[Key],0)),1))</f>
        <v>1</v>
      </c>
      <c r="F161" s="30">
        <f>IF($A161="",0,(Transactions!M153-Transactions!L153+IF(Transactions!A153=2,Transactions!H153,0))*$E161)</f>
        <v>0</v>
      </c>
      <c r="G161" s="30">
        <f>IF($A161="",0,IF(Transactions!A153=2,Transactions!H153*$E161,0))</f>
        <v>0</v>
      </c>
    </row>
    <row r="162" spans="1:7" ht="15" customHeight="1" x14ac:dyDescent="0.15">
      <c r="A162" t="str">
        <f>IF(Transactions!J154="","",Transactions!J154)</f>
        <v/>
      </c>
      <c r="B162" s="297">
        <f ca="1">IF($A162="",TODAY(),Transactions!G154)</f>
        <v>46216</v>
      </c>
      <c r="C162" s="298" t="str">
        <f>IF($A162="","",Transactions!A154)</f>
        <v/>
      </c>
      <c r="D162" s="30">
        <f>IF($A162="",0,Transactions!H154)</f>
        <v>0</v>
      </c>
      <c r="E162" s="300">
        <f>IF($A162="",1,IFERROR(INDEX(Prices[FX to SGD],MATCH($A162,Prices[Key],0)),1))</f>
        <v>1</v>
      </c>
      <c r="F162" s="30">
        <f>IF($A162="",0,(Transactions!M154-Transactions!L154+IF(Transactions!A154=2,Transactions!H154,0))*$E162)</f>
        <v>0</v>
      </c>
      <c r="G162" s="30">
        <f>IF($A162="",0,IF(Transactions!A154=2,Transactions!H154*$E162,0))</f>
        <v>0</v>
      </c>
    </row>
    <row r="163" spans="1:7" ht="15" customHeight="1" x14ac:dyDescent="0.15">
      <c r="A163" t="str">
        <f>IF(Transactions!J155="","",Transactions!J155)</f>
        <v/>
      </c>
      <c r="B163" s="297">
        <f ca="1">IF($A163="",TODAY(),Transactions!G155)</f>
        <v>46216</v>
      </c>
      <c r="C163" s="298" t="str">
        <f>IF($A163="","",Transactions!A155)</f>
        <v/>
      </c>
      <c r="D163" s="30">
        <f>IF($A163="",0,Transactions!H155)</f>
        <v>0</v>
      </c>
      <c r="E163" s="300">
        <f>IF($A163="",1,IFERROR(INDEX(Prices[FX to SGD],MATCH($A163,Prices[Key],0)),1))</f>
        <v>1</v>
      </c>
      <c r="F163" s="30">
        <f>IF($A163="",0,(Transactions!M155-Transactions!L155+IF(Transactions!A155=2,Transactions!H155,0))*$E163)</f>
        <v>0</v>
      </c>
      <c r="G163" s="30">
        <f>IF($A163="",0,IF(Transactions!A155=2,Transactions!H155*$E163,0))</f>
        <v>0</v>
      </c>
    </row>
    <row r="164" spans="1:7" ht="15" customHeight="1" x14ac:dyDescent="0.15">
      <c r="A164" t="str">
        <f>IF(Transactions!J156="","",Transactions!J156)</f>
        <v/>
      </c>
      <c r="B164" s="297">
        <f ca="1">IF($A164="",TODAY(),Transactions!G156)</f>
        <v>46216</v>
      </c>
      <c r="C164" s="298" t="str">
        <f>IF($A164="","",Transactions!A156)</f>
        <v/>
      </c>
      <c r="D164" s="30">
        <f>IF($A164="",0,Transactions!H156)</f>
        <v>0</v>
      </c>
      <c r="E164" s="300">
        <f>IF($A164="",1,IFERROR(INDEX(Prices[FX to SGD],MATCH($A164,Prices[Key],0)),1))</f>
        <v>1</v>
      </c>
      <c r="F164" s="30">
        <f>IF($A164="",0,(Transactions!M156-Transactions!L156+IF(Transactions!A156=2,Transactions!H156,0))*$E164)</f>
        <v>0</v>
      </c>
      <c r="G164" s="30">
        <f>IF($A164="",0,IF(Transactions!A156=2,Transactions!H156*$E164,0))</f>
        <v>0</v>
      </c>
    </row>
    <row r="165" spans="1:7" ht="15" customHeight="1" x14ac:dyDescent="0.15">
      <c r="A165" t="str">
        <f>IF(Transactions!J157="","",Transactions!J157)</f>
        <v/>
      </c>
      <c r="B165" s="297">
        <f ca="1">IF($A165="",TODAY(),Transactions!G157)</f>
        <v>46216</v>
      </c>
      <c r="C165" s="298" t="str">
        <f>IF($A165="","",Transactions!A157)</f>
        <v/>
      </c>
      <c r="D165" s="30">
        <f>IF($A165="",0,Transactions!H157)</f>
        <v>0</v>
      </c>
      <c r="E165" s="300">
        <f>IF($A165="",1,IFERROR(INDEX(Prices[FX to SGD],MATCH($A165,Prices[Key],0)),1))</f>
        <v>1</v>
      </c>
      <c r="F165" s="30">
        <f>IF($A165="",0,(Transactions!M157-Transactions!L157+IF(Transactions!A157=2,Transactions!H157,0))*$E165)</f>
        <v>0</v>
      </c>
      <c r="G165" s="30">
        <f>IF($A165="",0,IF(Transactions!A157=2,Transactions!H157*$E165,0))</f>
        <v>0</v>
      </c>
    </row>
    <row r="166" spans="1:7" ht="15" customHeight="1" x14ac:dyDescent="0.15">
      <c r="A166" t="str">
        <f>IF(Transactions!J158="","",Transactions!J158)</f>
        <v/>
      </c>
      <c r="B166" s="297">
        <f ca="1">IF($A166="",TODAY(),Transactions!G158)</f>
        <v>46216</v>
      </c>
      <c r="C166" s="298" t="str">
        <f>IF($A166="","",Transactions!A158)</f>
        <v/>
      </c>
      <c r="D166" s="30">
        <f>IF($A166="",0,Transactions!H158)</f>
        <v>0</v>
      </c>
      <c r="E166" s="300">
        <f>IF($A166="",1,IFERROR(INDEX(Prices[FX to SGD],MATCH($A166,Prices[Key],0)),1))</f>
        <v>1</v>
      </c>
      <c r="F166" s="30">
        <f>IF($A166="",0,(Transactions!M158-Transactions!L158+IF(Transactions!A158=2,Transactions!H158,0))*$E166)</f>
        <v>0</v>
      </c>
      <c r="G166" s="30">
        <f>IF($A166="",0,IF(Transactions!A158=2,Transactions!H158*$E166,0))</f>
        <v>0</v>
      </c>
    </row>
    <row r="167" spans="1:7" ht="15" customHeight="1" x14ac:dyDescent="0.15">
      <c r="A167" t="str">
        <f>IF(Transactions!J159="","",Transactions!J159)</f>
        <v/>
      </c>
      <c r="B167" s="297">
        <f ca="1">IF($A167="",TODAY(),Transactions!G159)</f>
        <v>46216</v>
      </c>
      <c r="C167" s="298" t="str">
        <f>IF($A167="","",Transactions!A159)</f>
        <v/>
      </c>
      <c r="D167" s="30">
        <f>IF($A167="",0,Transactions!H159)</f>
        <v>0</v>
      </c>
      <c r="E167" s="300">
        <f>IF($A167="",1,IFERROR(INDEX(Prices[FX to SGD],MATCH($A167,Prices[Key],0)),1))</f>
        <v>1</v>
      </c>
      <c r="F167" s="30">
        <f>IF($A167="",0,(Transactions!M159-Transactions!L159+IF(Transactions!A159=2,Transactions!H159,0))*$E167)</f>
        <v>0</v>
      </c>
      <c r="G167" s="30">
        <f>IF($A167="",0,IF(Transactions!A159=2,Transactions!H159*$E167,0))</f>
        <v>0</v>
      </c>
    </row>
    <row r="168" spans="1:7" ht="15" customHeight="1" x14ac:dyDescent="0.15">
      <c r="A168" t="str">
        <f>IF(Transactions!J160="","",Transactions!J160)</f>
        <v/>
      </c>
      <c r="B168" s="297">
        <f ca="1">IF($A168="",TODAY(),Transactions!G160)</f>
        <v>46216</v>
      </c>
      <c r="C168" s="298" t="str">
        <f>IF($A168="","",Transactions!A160)</f>
        <v/>
      </c>
      <c r="D168" s="30">
        <f>IF($A168="",0,Transactions!H160)</f>
        <v>0</v>
      </c>
      <c r="E168" s="300">
        <f>IF($A168="",1,IFERROR(INDEX(Prices[FX to SGD],MATCH($A168,Prices[Key],0)),1))</f>
        <v>1</v>
      </c>
      <c r="F168" s="30">
        <f>IF($A168="",0,(Transactions!M160-Transactions!L160+IF(Transactions!A160=2,Transactions!H160,0))*$E168)</f>
        <v>0</v>
      </c>
      <c r="G168" s="30">
        <f>IF($A168="",0,IF(Transactions!A160=2,Transactions!H160*$E168,0))</f>
        <v>0</v>
      </c>
    </row>
    <row r="169" spans="1:7" ht="15" customHeight="1" x14ac:dyDescent="0.15">
      <c r="A169" t="str">
        <f>IF(Transactions!J161="","",Transactions!J161)</f>
        <v/>
      </c>
      <c r="B169" s="297">
        <f ca="1">IF($A169="",TODAY(),Transactions!G161)</f>
        <v>46216</v>
      </c>
      <c r="C169" s="298" t="str">
        <f>IF($A169="","",Transactions!A161)</f>
        <v/>
      </c>
      <c r="D169" s="30">
        <f>IF($A169="",0,Transactions!H161)</f>
        <v>0</v>
      </c>
      <c r="E169" s="300">
        <f>IF($A169="",1,IFERROR(INDEX(Prices[FX to SGD],MATCH($A169,Prices[Key],0)),1))</f>
        <v>1</v>
      </c>
      <c r="F169" s="30">
        <f>IF($A169="",0,(Transactions!M161-Transactions!L161+IF(Transactions!A161=2,Transactions!H161,0))*$E169)</f>
        <v>0</v>
      </c>
      <c r="G169" s="30">
        <f>IF($A169="",0,IF(Transactions!A161=2,Transactions!H161*$E169,0))</f>
        <v>0</v>
      </c>
    </row>
    <row r="170" spans="1:7" ht="15" customHeight="1" x14ac:dyDescent="0.15">
      <c r="A170" t="str">
        <f>IF(Transactions!J162="","",Transactions!J162)</f>
        <v/>
      </c>
      <c r="B170" s="297">
        <f ca="1">IF($A170="",TODAY(),Transactions!G162)</f>
        <v>46216</v>
      </c>
      <c r="C170" s="298" t="str">
        <f>IF($A170="","",Transactions!A162)</f>
        <v/>
      </c>
      <c r="D170" s="30">
        <f>IF($A170="",0,Transactions!H162)</f>
        <v>0</v>
      </c>
      <c r="E170" s="300">
        <f>IF($A170="",1,IFERROR(INDEX(Prices[FX to SGD],MATCH($A170,Prices[Key],0)),1))</f>
        <v>1</v>
      </c>
      <c r="F170" s="30">
        <f>IF($A170="",0,(Transactions!M162-Transactions!L162+IF(Transactions!A162=2,Transactions!H162,0))*$E170)</f>
        <v>0</v>
      </c>
      <c r="G170" s="30">
        <f>IF($A170="",0,IF(Transactions!A162=2,Transactions!H162*$E170,0))</f>
        <v>0</v>
      </c>
    </row>
    <row r="171" spans="1:7" ht="15" customHeight="1" x14ac:dyDescent="0.15">
      <c r="A171" t="str">
        <f>IF(Transactions!J163="","",Transactions!J163)</f>
        <v/>
      </c>
      <c r="B171" s="297">
        <f ca="1">IF($A171="",TODAY(),Transactions!G163)</f>
        <v>46216</v>
      </c>
      <c r="C171" s="298" t="str">
        <f>IF($A171="","",Transactions!A163)</f>
        <v/>
      </c>
      <c r="D171" s="30">
        <f>IF($A171="",0,Transactions!H163)</f>
        <v>0</v>
      </c>
      <c r="E171" s="299">
        <f>IF($A171="",1,IFERROR(INDEX(Prices[FX to SGD],MATCH($A171,Prices[Key],0)),1))</f>
        <v>1</v>
      </c>
      <c r="F171" s="30">
        <f>IF($A171="",0,(Transactions!M163-Transactions!L163+IF(Transactions!A163=2,Transactions!H163,0))*$E171)</f>
        <v>0</v>
      </c>
      <c r="G171" s="30">
        <f>IF($A171="",0,IF(Transactions!A163=2,Transactions!H163*$E171,0))</f>
        <v>0</v>
      </c>
    </row>
    <row r="172" spans="1:7" ht="15" customHeight="1" x14ac:dyDescent="0.15">
      <c r="A172" t="str">
        <f>IF(Transactions!J164="","",Transactions!J164)</f>
        <v/>
      </c>
      <c r="B172" s="297">
        <f ca="1">IF($A172="",TODAY(),Transactions!G164)</f>
        <v>46216</v>
      </c>
      <c r="C172" s="298" t="str">
        <f>IF($A172="","",Transactions!A164)</f>
        <v/>
      </c>
      <c r="D172" s="30">
        <f>IF($A172="",0,Transactions!H164)</f>
        <v>0</v>
      </c>
      <c r="E172" s="299">
        <f>IF($A172="",1,IFERROR(INDEX(Prices[FX to SGD],MATCH($A172,Prices[Key],0)),1))</f>
        <v>1</v>
      </c>
      <c r="F172" s="30">
        <f>IF($A172="",0,(Transactions!M164-Transactions!L164+IF(Transactions!A164=2,Transactions!H164,0))*$E172)</f>
        <v>0</v>
      </c>
      <c r="G172" s="30">
        <f>IF($A172="",0,IF(Transactions!A164=2,Transactions!H164*$E172,0))</f>
        <v>0</v>
      </c>
    </row>
    <row r="173" spans="1:7" ht="15" customHeight="1" x14ac:dyDescent="0.15">
      <c r="A173" t="str">
        <f>IF(Transactions!J165="","",Transactions!J165)</f>
        <v/>
      </c>
      <c r="B173" s="297">
        <f ca="1">IF($A173="",TODAY(),Transactions!G165)</f>
        <v>46216</v>
      </c>
      <c r="C173" s="298" t="str">
        <f>IF($A173="","",Transactions!A165)</f>
        <v/>
      </c>
      <c r="D173" s="30">
        <f>IF($A173="",0,Transactions!H165)</f>
        <v>0</v>
      </c>
      <c r="E173" s="299">
        <f>IF($A173="",1,IFERROR(INDEX(Prices[FX to SGD],MATCH($A173,Prices[Key],0)),1))</f>
        <v>1</v>
      </c>
      <c r="F173" s="30">
        <f>IF($A173="",0,(Transactions!M165-Transactions!L165+IF(Transactions!A165=2,Transactions!H165,0))*$E173)</f>
        <v>0</v>
      </c>
      <c r="G173" s="30">
        <f>IF($A173="",0,IF(Transactions!A165=2,Transactions!H165*$E173,0))</f>
        <v>0</v>
      </c>
    </row>
    <row r="174" spans="1:7" ht="15" customHeight="1" x14ac:dyDescent="0.15">
      <c r="A174" t="str">
        <f>IF(Transactions!J166="","",Transactions!J166)</f>
        <v/>
      </c>
      <c r="B174" s="297">
        <f ca="1">IF($A174="",TODAY(),Transactions!G166)</f>
        <v>46216</v>
      </c>
      <c r="C174" s="298" t="str">
        <f>IF($A174="","",Transactions!A166)</f>
        <v/>
      </c>
      <c r="D174" s="30">
        <f>IF($A174="",0,Transactions!H166)</f>
        <v>0</v>
      </c>
      <c r="E174" s="300">
        <f>IF($A174="",1,IFERROR(INDEX(Prices[FX to SGD],MATCH($A174,Prices[Key],0)),1))</f>
        <v>1</v>
      </c>
      <c r="F174" s="30">
        <f>IF($A174="",0,(Transactions!M166-Transactions!L166+IF(Transactions!A166=2,Transactions!H166,0))*$E174)</f>
        <v>0</v>
      </c>
      <c r="G174" s="30">
        <f>IF($A174="",0,IF(Transactions!A166=2,Transactions!H166*$E174,0))</f>
        <v>0</v>
      </c>
    </row>
    <row r="175" spans="1:7" ht="15" customHeight="1" x14ac:dyDescent="0.15">
      <c r="A175" t="str">
        <f>IF(Transactions!J167="","",Transactions!J167)</f>
        <v/>
      </c>
      <c r="B175" s="297">
        <f ca="1">IF($A175="",TODAY(),Transactions!G167)</f>
        <v>46216</v>
      </c>
      <c r="C175" s="298" t="str">
        <f>IF($A175="","",Transactions!A167)</f>
        <v/>
      </c>
      <c r="D175" s="30">
        <f>IF($A175="",0,Transactions!H167)</f>
        <v>0</v>
      </c>
      <c r="E175" s="300">
        <f>IF($A175="",1,IFERROR(INDEX(Prices[FX to SGD],MATCH($A175,Prices[Key],0)),1))</f>
        <v>1</v>
      </c>
      <c r="F175" s="30">
        <f>IF($A175="",0,(Transactions!M167-Transactions!L167+IF(Transactions!A167=2,Transactions!H167,0))*$E175)</f>
        <v>0</v>
      </c>
      <c r="G175" s="30">
        <f>IF($A175="",0,IF(Transactions!A167=2,Transactions!H167*$E175,0))</f>
        <v>0</v>
      </c>
    </row>
    <row r="176" spans="1:7" ht="15" customHeight="1" x14ac:dyDescent="0.15">
      <c r="A176" t="str">
        <f>IF(Transactions!J168="","",Transactions!J168)</f>
        <v/>
      </c>
      <c r="B176" s="297">
        <f ca="1">IF($A176="",TODAY(),Transactions!G168)</f>
        <v>46216</v>
      </c>
      <c r="C176" s="298" t="str">
        <f>IF($A176="","",Transactions!A168)</f>
        <v/>
      </c>
      <c r="D176" s="30">
        <f>IF($A176="",0,Transactions!H168)</f>
        <v>0</v>
      </c>
      <c r="E176" s="300">
        <f>IF($A176="",1,IFERROR(INDEX(Prices[FX to SGD],MATCH($A176,Prices[Key],0)),1))</f>
        <v>1</v>
      </c>
      <c r="F176" s="30">
        <f>IF($A176="",0,(Transactions!M168-Transactions!L168+IF(Transactions!A168=2,Transactions!H168,0))*$E176)</f>
        <v>0</v>
      </c>
      <c r="G176" s="30">
        <f>IF($A176="",0,IF(Transactions!A168=2,Transactions!H168*$E176,0))</f>
        <v>0</v>
      </c>
    </row>
    <row r="177" spans="1:7" ht="15" customHeight="1" x14ac:dyDescent="0.15">
      <c r="A177" t="str">
        <f>IF(Transactions!J169="","",Transactions!J169)</f>
        <v/>
      </c>
      <c r="B177" s="297">
        <f ca="1">IF($A177="",TODAY(),Transactions!G169)</f>
        <v>46216</v>
      </c>
      <c r="C177" s="298" t="str">
        <f>IF($A177="","",Transactions!A169)</f>
        <v/>
      </c>
      <c r="D177" s="30">
        <f>IF($A177="",0,Transactions!H169)</f>
        <v>0</v>
      </c>
      <c r="E177" s="300">
        <f>IF($A177="",1,IFERROR(INDEX(Prices[FX to SGD],MATCH($A177,Prices[Key],0)),1))</f>
        <v>1</v>
      </c>
      <c r="F177" s="30">
        <f>IF($A177="",0,(Transactions!M169-Transactions!L169+IF(Transactions!A169=2,Transactions!H169,0))*$E177)</f>
        <v>0</v>
      </c>
      <c r="G177" s="30">
        <f>IF($A177="",0,IF(Transactions!A169=2,Transactions!H169*$E177,0))</f>
        <v>0</v>
      </c>
    </row>
    <row r="178" spans="1:7" ht="15" customHeight="1" x14ac:dyDescent="0.15">
      <c r="A178" t="str">
        <f>IF(Transactions!J170="","",Transactions!J170)</f>
        <v/>
      </c>
      <c r="B178" s="297">
        <f ca="1">IF($A178="",TODAY(),Transactions!G170)</f>
        <v>46216</v>
      </c>
      <c r="C178" s="298" t="str">
        <f>IF($A178="","",Transactions!A170)</f>
        <v/>
      </c>
      <c r="D178" s="30">
        <f>IF($A178="",0,Transactions!H170)</f>
        <v>0</v>
      </c>
      <c r="E178" s="300">
        <f>IF($A178="",1,IFERROR(INDEX(Prices[FX to SGD],MATCH($A178,Prices[Key],0)),1))</f>
        <v>1</v>
      </c>
      <c r="F178" s="30">
        <f>IF($A178="",0,(Transactions!M170-Transactions!L170+IF(Transactions!A170=2,Transactions!H170,0))*$E178)</f>
        <v>0</v>
      </c>
      <c r="G178" s="30">
        <f>IF($A178="",0,IF(Transactions!A170=2,Transactions!H170*$E178,0))</f>
        <v>0</v>
      </c>
    </row>
    <row r="179" spans="1:7" ht="15" customHeight="1" x14ac:dyDescent="0.15">
      <c r="A179" t="str">
        <f>IF(Transactions!J171="","",Transactions!J171)</f>
        <v/>
      </c>
      <c r="B179" s="297">
        <f ca="1">IF($A179="",TODAY(),Transactions!G171)</f>
        <v>46216</v>
      </c>
      <c r="C179" s="298" t="str">
        <f>IF($A179="","",Transactions!A171)</f>
        <v/>
      </c>
      <c r="D179" s="30">
        <f>IF($A179="",0,Transactions!H171)</f>
        <v>0</v>
      </c>
      <c r="E179" s="300">
        <f>IF($A179="",1,IFERROR(INDEX(Prices[FX to SGD],MATCH($A179,Prices[Key],0)),1))</f>
        <v>1</v>
      </c>
      <c r="F179" s="30">
        <f>IF($A179="",0,(Transactions!M171-Transactions!L171+IF(Transactions!A171=2,Transactions!H171,0))*$E179)</f>
        <v>0</v>
      </c>
      <c r="G179" s="30">
        <f>IF($A179="",0,IF(Transactions!A171=2,Transactions!H171*$E179,0))</f>
        <v>0</v>
      </c>
    </row>
    <row r="180" spans="1:7" ht="15" customHeight="1" x14ac:dyDescent="0.15">
      <c r="A180" t="str">
        <f>IF(Transactions!J172="","",Transactions!J172)</f>
        <v/>
      </c>
      <c r="B180" s="297">
        <f ca="1">IF($A180="",TODAY(),Transactions!G172)</f>
        <v>46216</v>
      </c>
      <c r="C180" s="298" t="str">
        <f>IF($A180="","",Transactions!A172)</f>
        <v/>
      </c>
      <c r="D180" s="30">
        <f>IF($A180="",0,Transactions!H172)</f>
        <v>0</v>
      </c>
      <c r="E180" s="299">
        <f>IF($A180="",1,IFERROR(INDEX(Prices[FX to SGD],MATCH($A180,Prices[Key],0)),1))</f>
        <v>1</v>
      </c>
      <c r="F180" s="30">
        <f>IF($A180="",0,(Transactions!M172-Transactions!L172+IF(Transactions!A172=2,Transactions!H172,0))*$E180)</f>
        <v>0</v>
      </c>
      <c r="G180" s="30">
        <f>IF($A180="",0,IF(Transactions!A172=2,Transactions!H172*$E180,0))</f>
        <v>0</v>
      </c>
    </row>
    <row r="181" spans="1:7" ht="15" customHeight="1" x14ac:dyDescent="0.15">
      <c r="A181" t="str">
        <f>IF(Transactions!J173="","",Transactions!J173)</f>
        <v/>
      </c>
      <c r="B181" s="297">
        <f ca="1">IF($A181="",TODAY(),Transactions!G173)</f>
        <v>46216</v>
      </c>
      <c r="C181" s="298" t="str">
        <f>IF($A181="","",Transactions!A173)</f>
        <v/>
      </c>
      <c r="D181" s="30">
        <f>IF($A181="",0,Transactions!H173)</f>
        <v>0</v>
      </c>
      <c r="E181" s="300">
        <f>IF($A181="",1,IFERROR(INDEX(Prices[FX to SGD],MATCH($A181,Prices[Key],0)),1))</f>
        <v>1</v>
      </c>
      <c r="F181" s="30">
        <f>IF($A181="",0,(Transactions!M173-Transactions!L173+IF(Transactions!A173=2,Transactions!H173,0))*$E181)</f>
        <v>0</v>
      </c>
      <c r="G181" s="30">
        <f>IF($A181="",0,IF(Transactions!A173=2,Transactions!H173*$E181,0))</f>
        <v>0</v>
      </c>
    </row>
    <row r="182" spans="1:7" ht="15" customHeight="1" x14ac:dyDescent="0.15">
      <c r="A182" t="str">
        <f>IF(Transactions!J174="","",Transactions!J174)</f>
        <v/>
      </c>
      <c r="B182" s="297">
        <f ca="1">IF($A182="",TODAY(),Transactions!G174)</f>
        <v>46216</v>
      </c>
      <c r="C182" s="298" t="str">
        <f>IF($A182="","",Transactions!A174)</f>
        <v/>
      </c>
      <c r="D182" s="30">
        <f>IF($A182="",0,Transactions!H174)</f>
        <v>0</v>
      </c>
      <c r="E182" s="300">
        <f>IF($A182="",1,IFERROR(INDEX(Prices[FX to SGD],MATCH($A182,Prices[Key],0)),1))</f>
        <v>1</v>
      </c>
      <c r="F182" s="30">
        <f>IF($A182="",0,(Transactions!M174-Transactions!L174+IF(Transactions!A174=2,Transactions!H174,0))*$E182)</f>
        <v>0</v>
      </c>
      <c r="G182" s="30">
        <f>IF($A182="",0,IF(Transactions!A174=2,Transactions!H174*$E182,0))</f>
        <v>0</v>
      </c>
    </row>
    <row r="183" spans="1:7" ht="15" customHeight="1" x14ac:dyDescent="0.15">
      <c r="A183" t="str">
        <f>IF(Transactions!J175="","",Transactions!J175)</f>
        <v/>
      </c>
      <c r="B183" s="297">
        <f ca="1">IF($A183="",TODAY(),Transactions!G175)</f>
        <v>46216</v>
      </c>
      <c r="C183" s="298" t="str">
        <f>IF($A183="","",Transactions!A175)</f>
        <v/>
      </c>
      <c r="D183" s="30">
        <f>IF($A183="",0,Transactions!H175)</f>
        <v>0</v>
      </c>
      <c r="E183" s="300">
        <f>IF($A183="",1,IFERROR(INDEX(Prices[FX to SGD],MATCH($A183,Prices[Key],0)),1))</f>
        <v>1</v>
      </c>
      <c r="F183" s="30">
        <f>IF($A183="",0,(Transactions!M175-Transactions!L175+IF(Transactions!A175=2,Transactions!H175,0))*$E183)</f>
        <v>0</v>
      </c>
      <c r="G183" s="30">
        <f>IF($A183="",0,IF(Transactions!A175=2,Transactions!H175*$E183,0))</f>
        <v>0</v>
      </c>
    </row>
    <row r="184" spans="1:7" ht="15" customHeight="1" x14ac:dyDescent="0.15">
      <c r="A184" t="str">
        <f>IF(Transactions!J176="","",Transactions!J176)</f>
        <v/>
      </c>
      <c r="B184" s="297">
        <f ca="1">IF($A184="",TODAY(),Transactions!G176)</f>
        <v>46216</v>
      </c>
      <c r="C184" s="298" t="str">
        <f>IF($A184="","",Transactions!A176)</f>
        <v/>
      </c>
      <c r="D184" s="30">
        <f>IF($A184="",0,Transactions!H176)</f>
        <v>0</v>
      </c>
      <c r="E184" s="299">
        <f>IF($A184="",1,IFERROR(INDEX(Prices[FX to SGD],MATCH($A184,Prices[Key],0)),1))</f>
        <v>1</v>
      </c>
      <c r="F184" s="30">
        <f>IF($A184="",0,(Transactions!M176-Transactions!L176+IF(Transactions!A176=2,Transactions!H176,0))*$E184)</f>
        <v>0</v>
      </c>
      <c r="G184" s="30">
        <f>IF($A184="",0,IF(Transactions!A176=2,Transactions!H176*$E184,0))</f>
        <v>0</v>
      </c>
    </row>
    <row r="185" spans="1:7" ht="15" customHeight="1" x14ac:dyDescent="0.15">
      <c r="A185" t="str">
        <f>IF(Transactions!J177="","",Transactions!J177)</f>
        <v/>
      </c>
      <c r="B185" s="297">
        <f ca="1">IF($A185="",TODAY(),Transactions!G177)</f>
        <v>46216</v>
      </c>
      <c r="C185" s="298" t="str">
        <f>IF($A185="","",Transactions!A177)</f>
        <v/>
      </c>
      <c r="D185" s="30">
        <f>IF($A185="",0,Transactions!H177)</f>
        <v>0</v>
      </c>
      <c r="E185" s="299">
        <f>IF($A185="",1,IFERROR(INDEX(Prices[FX to SGD],MATCH($A185,Prices[Key],0)),1))</f>
        <v>1</v>
      </c>
      <c r="F185" s="30">
        <f>IF($A185="",0,(Transactions!M177-Transactions!L177+IF(Transactions!A177=2,Transactions!H177,0))*$E185)</f>
        <v>0</v>
      </c>
      <c r="G185" s="30">
        <f>IF($A185="",0,IF(Transactions!A177=2,Transactions!H177*$E185,0))</f>
        <v>0</v>
      </c>
    </row>
    <row r="186" spans="1:7" ht="15" customHeight="1" x14ac:dyDescent="0.15">
      <c r="A186" t="str">
        <f>IF(Transactions!J178="","",Transactions!J178)</f>
        <v/>
      </c>
      <c r="B186" s="297">
        <f ca="1">IF($A186="",TODAY(),Transactions!G178)</f>
        <v>46216</v>
      </c>
      <c r="C186" s="298" t="str">
        <f>IF($A186="","",Transactions!A178)</f>
        <v/>
      </c>
      <c r="D186" s="30">
        <f>IF($A186="",0,Transactions!H178)</f>
        <v>0</v>
      </c>
      <c r="E186" s="299">
        <f>IF($A186="",1,IFERROR(INDEX(Prices[FX to SGD],MATCH($A186,Prices[Key],0)),1))</f>
        <v>1</v>
      </c>
      <c r="F186" s="30">
        <f>IF($A186="",0,(Transactions!M178-Transactions!L178+IF(Transactions!A178=2,Transactions!H178,0))*$E186)</f>
        <v>0</v>
      </c>
      <c r="G186" s="30">
        <f>IF($A186="",0,IF(Transactions!A178=2,Transactions!H178*$E186,0))</f>
        <v>0</v>
      </c>
    </row>
    <row r="187" spans="1:7" ht="15" customHeight="1" x14ac:dyDescent="0.15">
      <c r="A187" t="str">
        <f>IF(Transactions!J179="","",Transactions!J179)</f>
        <v/>
      </c>
      <c r="B187" s="297">
        <f ca="1">IF($A187="",TODAY(),Transactions!G179)</f>
        <v>46216</v>
      </c>
      <c r="C187" s="298" t="str">
        <f>IF($A187="","",Transactions!A179)</f>
        <v/>
      </c>
      <c r="D187" s="30">
        <f>IF($A187="",0,Transactions!H179)</f>
        <v>0</v>
      </c>
      <c r="E187" s="299">
        <f>IF($A187="",1,IFERROR(INDEX(Prices[FX to SGD],MATCH($A187,Prices[Key],0)),1))</f>
        <v>1</v>
      </c>
      <c r="F187" s="30">
        <f>IF($A187="",0,(Transactions!M179-Transactions!L179+IF(Transactions!A179=2,Transactions!H179,0))*$E187)</f>
        <v>0</v>
      </c>
      <c r="G187" s="30">
        <f>IF($A187="",0,IF(Transactions!A179=2,Transactions!H179*$E187,0))</f>
        <v>0</v>
      </c>
    </row>
    <row r="188" spans="1:7" ht="15" customHeight="1" x14ac:dyDescent="0.15">
      <c r="A188" t="str">
        <f>IF(Transactions!J180="","",Transactions!J180)</f>
        <v/>
      </c>
      <c r="B188" s="297">
        <f ca="1">IF($A188="",TODAY(),Transactions!G180)</f>
        <v>46216</v>
      </c>
      <c r="C188" s="298" t="str">
        <f>IF($A188="","",Transactions!A180)</f>
        <v/>
      </c>
      <c r="D188" s="30">
        <f>IF($A188="",0,Transactions!H180)</f>
        <v>0</v>
      </c>
      <c r="E188" s="299">
        <f>IF($A188="",1,IFERROR(INDEX(Prices[FX to SGD],MATCH($A188,Prices[Key],0)),1))</f>
        <v>1</v>
      </c>
      <c r="F188" s="30">
        <f>IF($A188="",0,(Transactions!M180-Transactions!L180+IF(Transactions!A180=2,Transactions!H180,0))*$E188)</f>
        <v>0</v>
      </c>
      <c r="G188" s="30">
        <f>IF($A188="",0,IF(Transactions!A180=2,Transactions!H180*$E188,0))</f>
        <v>0</v>
      </c>
    </row>
    <row r="189" spans="1:7" ht="15" customHeight="1" x14ac:dyDescent="0.15">
      <c r="A189" t="str">
        <f>IF(Transactions!J181="","",Transactions!J181)</f>
        <v/>
      </c>
      <c r="B189" s="297">
        <f ca="1">IF($A189="",TODAY(),Transactions!G181)</f>
        <v>46216</v>
      </c>
      <c r="C189" s="298" t="str">
        <f>IF($A189="","",Transactions!A181)</f>
        <v/>
      </c>
      <c r="D189" s="30">
        <f>IF($A189="",0,Transactions!H181)</f>
        <v>0</v>
      </c>
      <c r="E189" s="299">
        <f>IF($A189="",1,IFERROR(INDEX(Prices[FX to SGD],MATCH($A189,Prices[Key],0)),1))</f>
        <v>1</v>
      </c>
      <c r="F189" s="30">
        <f>IF($A189="",0,(Transactions!M181-Transactions!L181+IF(Transactions!A181=2,Transactions!H181,0))*$E189)</f>
        <v>0</v>
      </c>
      <c r="G189" s="30">
        <f>IF($A189="",0,IF(Transactions!A181=2,Transactions!H181*$E189,0))</f>
        <v>0</v>
      </c>
    </row>
    <row r="190" spans="1:7" ht="15" customHeight="1" x14ac:dyDescent="0.15">
      <c r="A190" t="str">
        <f>IF(Transactions!J182="","",Transactions!J182)</f>
        <v/>
      </c>
      <c r="B190" s="297">
        <f ca="1">IF($A190="",TODAY(),Transactions!G182)</f>
        <v>46216</v>
      </c>
      <c r="C190" s="298" t="str">
        <f>IF($A190="","",Transactions!A182)</f>
        <v/>
      </c>
      <c r="D190" s="30">
        <f>IF($A190="",0,Transactions!H182)</f>
        <v>0</v>
      </c>
      <c r="E190" s="300">
        <f>IF($A190="",1,IFERROR(INDEX(Prices[FX to SGD],MATCH($A190,Prices[Key],0)),1))</f>
        <v>1</v>
      </c>
      <c r="F190" s="30">
        <f>IF($A190="",0,(Transactions!M182-Transactions!L182+IF(Transactions!A182=2,Transactions!H182,0))*$E190)</f>
        <v>0</v>
      </c>
      <c r="G190" s="30">
        <f>IF($A190="",0,IF(Transactions!A182=2,Transactions!H182*$E190,0))</f>
        <v>0</v>
      </c>
    </row>
    <row r="191" spans="1:7" ht="15" customHeight="1" x14ac:dyDescent="0.15">
      <c r="A191" t="str">
        <f>IF(Transactions!J183="","",Transactions!J183)</f>
        <v/>
      </c>
      <c r="B191" s="297">
        <f ca="1">IF($A191="",TODAY(),Transactions!G183)</f>
        <v>46216</v>
      </c>
      <c r="C191" s="298" t="str">
        <f>IF($A191="","",Transactions!A183)</f>
        <v/>
      </c>
      <c r="D191" s="30">
        <f>IF($A191="",0,Transactions!H183)</f>
        <v>0</v>
      </c>
      <c r="E191" s="300">
        <f>IF($A191="",1,IFERROR(INDEX(Prices[FX to SGD],MATCH($A191,Prices[Key],0)),1))</f>
        <v>1</v>
      </c>
      <c r="F191" s="30">
        <f>IF($A191="",0,(Transactions!M183-Transactions!L183+IF(Transactions!A183=2,Transactions!H183,0))*$E191)</f>
        <v>0</v>
      </c>
      <c r="G191" s="30">
        <f>IF($A191="",0,IF(Transactions!A183=2,Transactions!H183*$E191,0))</f>
        <v>0</v>
      </c>
    </row>
    <row r="192" spans="1:7" ht="15" customHeight="1" x14ac:dyDescent="0.15">
      <c r="A192" t="str">
        <f>IF(Transactions!J184="","",Transactions!J184)</f>
        <v/>
      </c>
      <c r="B192" s="297">
        <f ca="1">IF($A192="",TODAY(),Transactions!G184)</f>
        <v>46216</v>
      </c>
      <c r="C192" s="298" t="str">
        <f>IF($A192="","",Transactions!A184)</f>
        <v/>
      </c>
      <c r="D192" s="30">
        <f>IF($A192="",0,Transactions!H184)</f>
        <v>0</v>
      </c>
      <c r="E192" s="299">
        <f>IF($A192="",1,IFERROR(INDEX(Prices[FX to SGD],MATCH($A192,Prices[Key],0)),1))</f>
        <v>1</v>
      </c>
      <c r="F192" s="30">
        <f>IF($A192="",0,(Transactions!M184-Transactions!L184+IF(Transactions!A184=2,Transactions!H184,0))*$E192)</f>
        <v>0</v>
      </c>
      <c r="G192" s="30">
        <f>IF($A192="",0,IF(Transactions!A184=2,Transactions!H184*$E192,0))</f>
        <v>0</v>
      </c>
    </row>
    <row r="193" spans="1:7" ht="15" customHeight="1" x14ac:dyDescent="0.15">
      <c r="A193" t="str">
        <f>IF(Transactions!J185="","",Transactions!J185)</f>
        <v/>
      </c>
      <c r="B193" s="297">
        <f ca="1">IF($A193="",TODAY(),Transactions!G185)</f>
        <v>46216</v>
      </c>
      <c r="C193" s="298" t="str">
        <f>IF($A193="","",Transactions!A185)</f>
        <v/>
      </c>
      <c r="D193" s="30">
        <f>IF($A193="",0,Transactions!H185)</f>
        <v>0</v>
      </c>
      <c r="E193" s="300">
        <f>IF($A193="",1,IFERROR(INDEX(Prices[FX to SGD],MATCH($A193,Prices[Key],0)),1))</f>
        <v>1</v>
      </c>
      <c r="F193" s="30">
        <f>IF($A193="",0,(Transactions!M185-Transactions!L185+IF(Transactions!A185=2,Transactions!H185,0))*$E193)</f>
        <v>0</v>
      </c>
      <c r="G193" s="30">
        <f>IF($A193="",0,IF(Transactions!A185=2,Transactions!H185*$E193,0))</f>
        <v>0</v>
      </c>
    </row>
    <row r="194" spans="1:7" ht="15" customHeight="1" x14ac:dyDescent="0.15">
      <c r="A194" t="str">
        <f>IF(Transactions!J186="","",Transactions!J186)</f>
        <v/>
      </c>
      <c r="B194" s="297">
        <f ca="1">IF($A194="",TODAY(),Transactions!G186)</f>
        <v>46216</v>
      </c>
      <c r="C194" s="298" t="str">
        <f>IF($A194="","",Transactions!A186)</f>
        <v/>
      </c>
      <c r="D194" s="30">
        <f>IF($A194="",0,Transactions!H186)</f>
        <v>0</v>
      </c>
      <c r="E194" s="300">
        <f>IF($A194="",1,IFERROR(INDEX(Prices[FX to SGD],MATCH($A194,Prices[Key],0)),1))</f>
        <v>1</v>
      </c>
      <c r="F194" s="30">
        <f>IF($A194="",0,(Transactions!M186-Transactions!L186+IF(Transactions!A186=2,Transactions!H186,0))*$E194)</f>
        <v>0</v>
      </c>
      <c r="G194" s="30">
        <f>IF($A194="",0,IF(Transactions!A186=2,Transactions!H186*$E194,0))</f>
        <v>0</v>
      </c>
    </row>
    <row r="195" spans="1:7" ht="15" customHeight="1" x14ac:dyDescent="0.15">
      <c r="A195" t="str">
        <f>IF(Transactions!J187="","",Transactions!J187)</f>
        <v/>
      </c>
      <c r="B195" s="297">
        <f ca="1">IF($A195="",TODAY(),Transactions!G187)</f>
        <v>46216</v>
      </c>
      <c r="C195" s="298" t="str">
        <f>IF($A195="","",Transactions!A187)</f>
        <v/>
      </c>
      <c r="D195" s="30">
        <f>IF($A195="",0,Transactions!H187)</f>
        <v>0</v>
      </c>
      <c r="E195" s="300">
        <f>IF($A195="",1,IFERROR(INDEX(Prices[FX to SGD],MATCH($A195,Prices[Key],0)),1))</f>
        <v>1</v>
      </c>
      <c r="F195" s="30">
        <f>IF($A195="",0,(Transactions!M187-Transactions!L187+IF(Transactions!A187=2,Transactions!H187,0))*$E195)</f>
        <v>0</v>
      </c>
      <c r="G195" s="30">
        <f>IF($A195="",0,IF(Transactions!A187=2,Transactions!H187*$E195,0))</f>
        <v>0</v>
      </c>
    </row>
    <row r="196" spans="1:7" ht="15" customHeight="1" x14ac:dyDescent="0.15">
      <c r="A196" t="str">
        <f>IF(Transactions!J188="","",Transactions!J188)</f>
        <v/>
      </c>
      <c r="B196" s="297">
        <f ca="1">IF($A196="",TODAY(),Transactions!G188)</f>
        <v>46216</v>
      </c>
      <c r="C196" s="298" t="str">
        <f>IF($A196="","",Transactions!A188)</f>
        <v/>
      </c>
      <c r="D196" s="30">
        <f>IF($A196="",0,Transactions!H188)</f>
        <v>0</v>
      </c>
      <c r="E196" s="299">
        <f>IF($A196="",1,IFERROR(INDEX(Prices[FX to SGD],MATCH($A196,Prices[Key],0)),1))</f>
        <v>1</v>
      </c>
      <c r="F196" s="30">
        <f>IF($A196="",0,(Transactions!M188-Transactions!L188+IF(Transactions!A188=2,Transactions!H188,0))*$E196)</f>
        <v>0</v>
      </c>
      <c r="G196" s="30">
        <f>IF($A196="",0,IF(Transactions!A188=2,Transactions!H188*$E196,0))</f>
        <v>0</v>
      </c>
    </row>
    <row r="197" spans="1:7" ht="15" customHeight="1" x14ac:dyDescent="0.15">
      <c r="A197" t="str">
        <f>IF(Transactions!J189="","",Transactions!J189)</f>
        <v/>
      </c>
      <c r="B197" s="297">
        <f ca="1">IF($A197="",TODAY(),Transactions!G189)</f>
        <v>46216</v>
      </c>
      <c r="C197" s="298" t="str">
        <f>IF($A197="","",Transactions!A189)</f>
        <v/>
      </c>
      <c r="D197" s="30">
        <f>IF($A197="",0,Transactions!H189)</f>
        <v>0</v>
      </c>
      <c r="E197" s="300">
        <f>IF($A197="",1,IFERROR(INDEX(Prices[FX to SGD],MATCH($A197,Prices[Key],0)),1))</f>
        <v>1</v>
      </c>
      <c r="F197" s="30">
        <f>IF($A197="",0,(Transactions!M189-Transactions!L189+IF(Transactions!A189=2,Transactions!H189,0))*$E197)</f>
        <v>0</v>
      </c>
      <c r="G197" s="30">
        <f>IF($A197="",0,IF(Transactions!A189=2,Transactions!H189*$E197,0))</f>
        <v>0</v>
      </c>
    </row>
    <row r="198" spans="1:7" ht="15" customHeight="1" x14ac:dyDescent="0.15">
      <c r="A198" t="str">
        <f>IF(Transactions!J190="","",Transactions!J190)</f>
        <v/>
      </c>
      <c r="B198" s="297">
        <f ca="1">IF($A198="",TODAY(),Transactions!G190)</f>
        <v>46216</v>
      </c>
      <c r="C198" s="298" t="str">
        <f>IF($A198="","",Transactions!A190)</f>
        <v/>
      </c>
      <c r="D198" s="30">
        <f>IF($A198="",0,Transactions!H190)</f>
        <v>0</v>
      </c>
      <c r="E198" s="300">
        <f>IF($A198="",1,IFERROR(INDEX(Prices[FX to SGD],MATCH($A198,Prices[Key],0)),1))</f>
        <v>1</v>
      </c>
      <c r="F198" s="30">
        <f>IF($A198="",0,(Transactions!M190-Transactions!L190+IF(Transactions!A190=2,Transactions!H190,0))*$E198)</f>
        <v>0</v>
      </c>
      <c r="G198" s="30">
        <f>IF($A198="",0,IF(Transactions!A190=2,Transactions!H190*$E198,0))</f>
        <v>0</v>
      </c>
    </row>
    <row r="199" spans="1:7" ht="15" customHeight="1" x14ac:dyDescent="0.15">
      <c r="A199" t="str">
        <f>IF(Transactions!J191="","",Transactions!J191)</f>
        <v/>
      </c>
      <c r="B199" s="297">
        <f ca="1">IF($A199="",TODAY(),Transactions!G191)</f>
        <v>46216</v>
      </c>
      <c r="C199" s="298" t="str">
        <f>IF($A199="","",Transactions!A191)</f>
        <v/>
      </c>
      <c r="D199" s="30">
        <f>IF($A199="",0,Transactions!H191)</f>
        <v>0</v>
      </c>
      <c r="E199" s="300">
        <f>IF($A199="",1,IFERROR(INDEX(Prices[FX to SGD],MATCH($A199,Prices[Key],0)),1))</f>
        <v>1</v>
      </c>
      <c r="F199" s="30">
        <f>IF($A199="",0,(Transactions!M191-Transactions!L191+IF(Transactions!A191=2,Transactions!H191,0))*$E199)</f>
        <v>0</v>
      </c>
      <c r="G199" s="30">
        <f>IF($A199="",0,IF(Transactions!A191=2,Transactions!H191*$E199,0))</f>
        <v>0</v>
      </c>
    </row>
    <row r="200" spans="1:7" ht="15" customHeight="1" x14ac:dyDescent="0.15">
      <c r="A200" t="str">
        <f>IF(Transactions!J192="","",Transactions!J192)</f>
        <v/>
      </c>
      <c r="B200" s="297">
        <f ca="1">IF($A200="",TODAY(),Transactions!G192)</f>
        <v>46216</v>
      </c>
      <c r="C200" s="298" t="str">
        <f>IF($A200="","",Transactions!A192)</f>
        <v/>
      </c>
      <c r="D200" s="30">
        <f>IF($A200="",0,Transactions!H192)</f>
        <v>0</v>
      </c>
      <c r="E200" s="299">
        <f>IF($A200="",1,IFERROR(INDEX(Prices[FX to SGD],MATCH($A200,Prices[Key],0)),1))</f>
        <v>1</v>
      </c>
      <c r="F200" s="30">
        <f>IF($A200="",0,(Transactions!M192-Transactions!L192+IF(Transactions!A192=2,Transactions!H192,0))*$E200)</f>
        <v>0</v>
      </c>
      <c r="G200" s="30">
        <f>IF($A200="",0,IF(Transactions!A192=2,Transactions!H192*$E200,0))</f>
        <v>0</v>
      </c>
    </row>
    <row r="201" spans="1:7" ht="15" customHeight="1" x14ac:dyDescent="0.15">
      <c r="A201" t="str">
        <f>IF(Transactions!J193="","",Transactions!J193)</f>
        <v/>
      </c>
      <c r="B201" s="297">
        <f ca="1">IF($A201="",TODAY(),Transactions!G193)</f>
        <v>46216</v>
      </c>
      <c r="C201" s="298" t="str">
        <f>IF($A201="","",Transactions!A193)</f>
        <v/>
      </c>
      <c r="D201" s="30">
        <f>IF($A201="",0,Transactions!H193)</f>
        <v>0</v>
      </c>
      <c r="E201" s="300">
        <f>IF($A201="",1,IFERROR(INDEX(Prices[FX to SGD],MATCH($A201,Prices[Key],0)),1))</f>
        <v>1</v>
      </c>
      <c r="F201" s="30">
        <f>IF($A201="",0,(Transactions!M193-Transactions!L193+IF(Transactions!A193=2,Transactions!H193,0))*$E201)</f>
        <v>0</v>
      </c>
      <c r="G201" s="30">
        <f>IF($A201="",0,IF(Transactions!A193=2,Transactions!H193*$E201,0))</f>
        <v>0</v>
      </c>
    </row>
    <row r="202" spans="1:7" ht="15" customHeight="1" x14ac:dyDescent="0.15">
      <c r="A202" t="str">
        <f>IF(Transactions!J194="","",Transactions!J194)</f>
        <v/>
      </c>
      <c r="B202" s="297">
        <f ca="1">IF($A202="",TODAY(),Transactions!G194)</f>
        <v>46216</v>
      </c>
      <c r="C202" s="298" t="str">
        <f>IF($A202="","",Transactions!A194)</f>
        <v/>
      </c>
      <c r="D202" s="30">
        <f>IF($A202="",0,Transactions!H194)</f>
        <v>0</v>
      </c>
      <c r="E202" s="300">
        <f>IF($A202="",1,IFERROR(INDEX(Prices[FX to SGD],MATCH($A202,Prices[Key],0)),1))</f>
        <v>1</v>
      </c>
      <c r="F202" s="30">
        <f>IF($A202="",0,(Transactions!M194-Transactions!L194+IF(Transactions!A194=2,Transactions!H194,0))*$E202)</f>
        <v>0</v>
      </c>
      <c r="G202" s="30">
        <f>IF($A202="",0,IF(Transactions!A194=2,Transactions!H194*$E202,0))</f>
        <v>0</v>
      </c>
    </row>
    <row r="203" spans="1:7" ht="15" customHeight="1" x14ac:dyDescent="0.15">
      <c r="A203" t="str">
        <f>IF(Transactions!J195="","",Transactions!J195)</f>
        <v/>
      </c>
      <c r="B203" s="297">
        <f ca="1">IF($A203="",TODAY(),Transactions!G195)</f>
        <v>46216</v>
      </c>
      <c r="C203" s="298" t="str">
        <f>IF($A203="","",Transactions!A195)</f>
        <v/>
      </c>
      <c r="D203" s="30">
        <f>IF($A203="",0,Transactions!H195)</f>
        <v>0</v>
      </c>
      <c r="E203" s="300">
        <f>IF($A203="",1,IFERROR(INDEX(Prices[FX to SGD],MATCH($A203,Prices[Key],0)),1))</f>
        <v>1</v>
      </c>
      <c r="F203" s="30">
        <f>IF($A203="",0,(Transactions!M195-Transactions!L195+IF(Transactions!A195=2,Transactions!H195,0))*$E203)</f>
        <v>0</v>
      </c>
      <c r="G203" s="30">
        <f>IF($A203="",0,IF(Transactions!A195=2,Transactions!H195*$E203,0))</f>
        <v>0</v>
      </c>
    </row>
    <row r="204" spans="1:7" ht="15" customHeight="1" x14ac:dyDescent="0.15">
      <c r="A204" t="str">
        <f>IF(Transactions!J196="","",Transactions!J196)</f>
        <v/>
      </c>
      <c r="B204" s="297">
        <f ca="1">IF($A204="",TODAY(),Transactions!G196)</f>
        <v>46216</v>
      </c>
      <c r="C204" s="298" t="str">
        <f>IF($A204="","",Transactions!A196)</f>
        <v/>
      </c>
      <c r="D204" s="30">
        <f>IF($A204="",0,Transactions!H196)</f>
        <v>0</v>
      </c>
      <c r="E204" s="300">
        <f>IF($A204="",1,IFERROR(INDEX(Prices[FX to SGD],MATCH($A204,Prices[Key],0)),1))</f>
        <v>1</v>
      </c>
      <c r="F204" s="30">
        <f>IF($A204="",0,(Transactions!M196-Transactions!L196+IF(Transactions!A196=2,Transactions!H196,0))*$E204)</f>
        <v>0</v>
      </c>
      <c r="G204" s="30">
        <f>IF($A204="",0,IF(Transactions!A196=2,Transactions!H196*$E204,0))</f>
        <v>0</v>
      </c>
    </row>
    <row r="205" spans="1:7" ht="15" customHeight="1" x14ac:dyDescent="0.15">
      <c r="A205" t="str">
        <f>IF(Transactions!J197="","",Transactions!J197)</f>
        <v/>
      </c>
      <c r="B205" s="297">
        <f ca="1">IF($A205="",TODAY(),Transactions!G197)</f>
        <v>46216</v>
      </c>
      <c r="C205" s="298" t="str">
        <f>IF($A205="","",Transactions!A197)</f>
        <v/>
      </c>
      <c r="D205" s="30">
        <f>IF($A205="",0,Transactions!H197)</f>
        <v>0</v>
      </c>
      <c r="E205" s="300">
        <f>IF($A205="",1,IFERROR(INDEX(Prices[FX to SGD],MATCH($A205,Prices[Key],0)),1))</f>
        <v>1</v>
      </c>
      <c r="F205" s="30">
        <f>IF($A205="",0,(Transactions!M197-Transactions!L197+IF(Transactions!A197=2,Transactions!H197,0))*$E205)</f>
        <v>0</v>
      </c>
      <c r="G205" s="30">
        <f>IF($A205="",0,IF(Transactions!A197=2,Transactions!H197*$E205,0))</f>
        <v>0</v>
      </c>
    </row>
    <row r="206" spans="1:7" ht="15" customHeight="1" x14ac:dyDescent="0.15">
      <c r="A206" t="str">
        <f>IF(Transactions!J198="","",Transactions!J198)</f>
        <v/>
      </c>
      <c r="B206" s="297">
        <f ca="1">IF($A206="",TODAY(),Transactions!G198)</f>
        <v>46216</v>
      </c>
      <c r="C206" s="298" t="str">
        <f>IF($A206="","",Transactions!A198)</f>
        <v/>
      </c>
      <c r="D206" s="30">
        <f>IF($A206="",0,Transactions!H198)</f>
        <v>0</v>
      </c>
      <c r="E206" s="300">
        <f>IF($A206="",1,IFERROR(INDEX(Prices[FX to SGD],MATCH($A206,Prices[Key],0)),1))</f>
        <v>1</v>
      </c>
      <c r="F206" s="30">
        <f>IF($A206="",0,(Transactions!M198-Transactions!L198+IF(Transactions!A198=2,Transactions!H198,0))*$E206)</f>
        <v>0</v>
      </c>
      <c r="G206" s="30">
        <f>IF($A206="",0,IF(Transactions!A198=2,Transactions!H198*$E206,0))</f>
        <v>0</v>
      </c>
    </row>
    <row r="207" spans="1:7" ht="15" customHeight="1" x14ac:dyDescent="0.15">
      <c r="A207" t="str">
        <f>IF(Transactions!J199="","",Transactions!J199)</f>
        <v/>
      </c>
      <c r="B207" s="297">
        <f ca="1">IF($A207="",TODAY(),Transactions!G199)</f>
        <v>46216</v>
      </c>
      <c r="C207" s="298" t="str">
        <f>IF($A207="","",Transactions!A199)</f>
        <v/>
      </c>
      <c r="D207" s="30">
        <f>IF($A207="",0,Transactions!H199)</f>
        <v>0</v>
      </c>
      <c r="E207" s="299">
        <f>IF($A207="",1,IFERROR(INDEX(Prices[FX to SGD],MATCH($A207,Prices[Key],0)),1))</f>
        <v>1</v>
      </c>
      <c r="F207" s="30">
        <f>IF($A207="",0,(Transactions!M199-Transactions!L199+IF(Transactions!A199=2,Transactions!H199,0))*$E207)</f>
        <v>0</v>
      </c>
      <c r="G207" s="30">
        <f>IF($A207="",0,IF(Transactions!A199=2,Transactions!H199*$E207,0))</f>
        <v>0</v>
      </c>
    </row>
    <row r="208" spans="1:7" ht="15" customHeight="1" x14ac:dyDescent="0.15">
      <c r="A208" t="str">
        <f>IF(Transactions!J200="","",Transactions!J200)</f>
        <v/>
      </c>
      <c r="B208" s="297">
        <f ca="1">IF($A208="",TODAY(),Transactions!G200)</f>
        <v>46216</v>
      </c>
      <c r="C208" s="298" t="str">
        <f>IF($A208="","",Transactions!A200)</f>
        <v/>
      </c>
      <c r="D208" s="30">
        <f>IF($A208="",0,Transactions!H200)</f>
        <v>0</v>
      </c>
      <c r="E208" s="300">
        <f>IF($A208="",1,IFERROR(INDEX(Prices[FX to SGD],MATCH($A208,Prices[Key],0)),1))</f>
        <v>1</v>
      </c>
      <c r="F208" s="30">
        <f>IF($A208="",0,(Transactions!M200-Transactions!L200+IF(Transactions!A200=2,Transactions!H200,0))*$E208)</f>
        <v>0</v>
      </c>
      <c r="G208" s="30">
        <f>IF($A208="",0,IF(Transactions!A200=2,Transactions!H200*$E208,0))</f>
        <v>0</v>
      </c>
    </row>
    <row r="209" spans="1:7" ht="15" customHeight="1" x14ac:dyDescent="0.15">
      <c r="A209" t="str">
        <f>IF(Transactions!J201="","",Transactions!J201)</f>
        <v/>
      </c>
      <c r="B209" s="297">
        <f ca="1">IF($A209="",TODAY(),Transactions!G201)</f>
        <v>46216</v>
      </c>
      <c r="C209" s="298" t="str">
        <f>IF($A209="","",Transactions!A201)</f>
        <v/>
      </c>
      <c r="D209" s="30">
        <f>IF($A209="",0,Transactions!H201)</f>
        <v>0</v>
      </c>
      <c r="E209" s="299">
        <f>IF($A209="",1,IFERROR(INDEX(Prices[FX to SGD],MATCH($A209,Prices[Key],0)),1))</f>
        <v>1</v>
      </c>
      <c r="F209" s="30">
        <f>IF($A209="",0,(Transactions!M201-Transactions!L201+IF(Transactions!A201=2,Transactions!H201,0))*$E209)</f>
        <v>0</v>
      </c>
      <c r="G209" s="30">
        <f>IF($A209="",0,IF(Transactions!A201=2,Transactions!H201*$E209,0))</f>
        <v>0</v>
      </c>
    </row>
    <row r="210" spans="1:7" ht="15" customHeight="1" x14ac:dyDescent="0.15">
      <c r="A210" t="str">
        <f>IF(Transactions!J202="","",Transactions!J202)</f>
        <v/>
      </c>
      <c r="B210" s="297">
        <f ca="1">IF($A210="",TODAY(),Transactions!G202)</f>
        <v>46216</v>
      </c>
      <c r="C210" s="298" t="str">
        <f>IF($A210="","",Transactions!A202)</f>
        <v/>
      </c>
      <c r="D210" s="30">
        <f>IF($A210="",0,Transactions!H202)</f>
        <v>0</v>
      </c>
      <c r="E210" s="299">
        <f>IF($A210="",1,IFERROR(INDEX(Prices[FX to SGD],MATCH($A210,Prices[Key],0)),1))</f>
        <v>1</v>
      </c>
      <c r="F210" s="30">
        <f>IF($A210="",0,(Transactions!M202-Transactions!L202+IF(Transactions!A202=2,Transactions!H202,0))*$E210)</f>
        <v>0</v>
      </c>
      <c r="G210" s="30">
        <f>IF($A210="",0,IF(Transactions!A202=2,Transactions!H202*$E210,0))</f>
        <v>0</v>
      </c>
    </row>
    <row r="211" spans="1:7" ht="15" customHeight="1" x14ac:dyDescent="0.15">
      <c r="A211" t="str">
        <f>IF(Transactions!J203="","",Transactions!J203)</f>
        <v/>
      </c>
      <c r="B211" s="297">
        <f ca="1">IF($A211="",TODAY(),Transactions!G203)</f>
        <v>46216</v>
      </c>
      <c r="C211" s="298" t="str">
        <f>IF($A211="","",Transactions!A203)</f>
        <v/>
      </c>
      <c r="D211" s="30">
        <f>IF($A211="",0,Transactions!H203)</f>
        <v>0</v>
      </c>
      <c r="E211" s="300">
        <f>IF($A211="",1,IFERROR(INDEX(Prices[FX to SGD],MATCH($A211,Prices[Key],0)),1))</f>
        <v>1</v>
      </c>
      <c r="F211" s="30">
        <f>IF($A211="",0,(Transactions!M203-Transactions!L203+IF(Transactions!A203=2,Transactions!H203,0))*$E211)</f>
        <v>0</v>
      </c>
      <c r="G211" s="30">
        <f>IF($A211="",0,IF(Transactions!A203=2,Transactions!H203*$E211,0))</f>
        <v>0</v>
      </c>
    </row>
    <row r="212" spans="1:7" ht="15" customHeight="1" x14ac:dyDescent="0.15">
      <c r="A212" t="str">
        <f>IF(Transactions!J204="","",Transactions!J204)</f>
        <v/>
      </c>
      <c r="B212" s="297">
        <f ca="1">IF($A212="",TODAY(),Transactions!G204)</f>
        <v>46216</v>
      </c>
      <c r="C212" s="298" t="str">
        <f>IF($A212="","",Transactions!A204)</f>
        <v/>
      </c>
      <c r="D212" s="30">
        <f>IF($A212="",0,Transactions!H204)</f>
        <v>0</v>
      </c>
      <c r="E212" s="299">
        <f>IF($A212="",1,IFERROR(INDEX(Prices[FX to SGD],MATCH($A212,Prices[Key],0)),1))</f>
        <v>1</v>
      </c>
      <c r="F212" s="30">
        <f>IF($A212="",0,(Transactions!M204-Transactions!L204+IF(Transactions!A204=2,Transactions!H204,0))*$E212)</f>
        <v>0</v>
      </c>
      <c r="G212" s="30">
        <f>IF($A212="",0,IF(Transactions!A204=2,Transactions!H204*$E212,0))</f>
        <v>0</v>
      </c>
    </row>
    <row r="213" spans="1:7" ht="15" customHeight="1" x14ac:dyDescent="0.15">
      <c r="A213" t="str">
        <f>IF(Transactions!J205="","",Transactions!J205)</f>
        <v/>
      </c>
      <c r="B213" s="297">
        <f ca="1">IF($A213="",TODAY(),Transactions!G205)</f>
        <v>46216</v>
      </c>
      <c r="C213" s="298" t="str">
        <f>IF($A213="","",Transactions!A205)</f>
        <v/>
      </c>
      <c r="D213" s="30">
        <f>IF($A213="",0,Transactions!H205)</f>
        <v>0</v>
      </c>
      <c r="E213" s="300">
        <f>IF($A213="",1,IFERROR(INDEX(Prices[FX to SGD],MATCH($A213,Prices[Key],0)),1))</f>
        <v>1</v>
      </c>
      <c r="F213" s="30">
        <f>IF($A213="",0,(Transactions!M205-Transactions!L205+IF(Transactions!A205=2,Transactions!H205,0))*$E213)</f>
        <v>0</v>
      </c>
      <c r="G213" s="30">
        <f>IF($A213="",0,IF(Transactions!A205=2,Transactions!H205*$E213,0))</f>
        <v>0</v>
      </c>
    </row>
    <row r="214" spans="1:7" ht="15" customHeight="1" x14ac:dyDescent="0.15">
      <c r="A214" t="str">
        <f>IF(Transactions!J206="","",Transactions!J206)</f>
        <v/>
      </c>
      <c r="B214" s="297">
        <f ca="1">IF($A214="",TODAY(),Transactions!G206)</f>
        <v>46216</v>
      </c>
      <c r="C214" s="298" t="str">
        <f>IF($A214="","",Transactions!A206)</f>
        <v/>
      </c>
      <c r="D214" s="30">
        <f>IF($A214="",0,Transactions!H206)</f>
        <v>0</v>
      </c>
      <c r="E214" s="300">
        <f>IF($A214="",1,IFERROR(INDEX(Prices[FX to SGD],MATCH($A214,Prices[Key],0)),1))</f>
        <v>1</v>
      </c>
      <c r="F214" s="30">
        <f>IF($A214="",0,(Transactions!M206-Transactions!L206+IF(Transactions!A206=2,Transactions!H206,0))*$E214)</f>
        <v>0</v>
      </c>
      <c r="G214" s="30">
        <f>IF($A214="",0,IF(Transactions!A206=2,Transactions!H206*$E214,0))</f>
        <v>0</v>
      </c>
    </row>
    <row r="215" spans="1:7" ht="15" customHeight="1" x14ac:dyDescent="0.15">
      <c r="A215" t="str">
        <f>IF(Transactions!J207="","",Transactions!J207)</f>
        <v/>
      </c>
      <c r="B215" s="297">
        <f ca="1">IF($A215="",TODAY(),Transactions!G207)</f>
        <v>46216</v>
      </c>
      <c r="C215" s="298" t="str">
        <f>IF($A215="","",Transactions!A207)</f>
        <v/>
      </c>
      <c r="D215" s="30">
        <f>IF($A215="",0,Transactions!H207)</f>
        <v>0</v>
      </c>
      <c r="E215" s="300">
        <f>IF($A215="",1,IFERROR(INDEX(Prices[FX to SGD],MATCH($A215,Prices[Key],0)),1))</f>
        <v>1</v>
      </c>
      <c r="F215" s="30">
        <f>IF($A215="",0,(Transactions!M207-Transactions!L207+IF(Transactions!A207=2,Transactions!H207,0))*$E215)</f>
        <v>0</v>
      </c>
      <c r="G215" s="30">
        <f>IF($A215="",0,IF(Transactions!A207=2,Transactions!H207*$E215,0))</f>
        <v>0</v>
      </c>
    </row>
    <row r="216" spans="1:7" ht="15" customHeight="1" x14ac:dyDescent="0.15">
      <c r="A216" t="str">
        <f>IF(Transactions!J208="","",Transactions!J208)</f>
        <v/>
      </c>
      <c r="B216" s="297">
        <f ca="1">IF($A216="",TODAY(),Transactions!G208)</f>
        <v>46216</v>
      </c>
      <c r="C216" s="298" t="str">
        <f>IF($A216="","",Transactions!A208)</f>
        <v/>
      </c>
      <c r="D216" s="30">
        <f>IF($A216="",0,Transactions!H208)</f>
        <v>0</v>
      </c>
      <c r="E216" s="300">
        <f>IF($A216="",1,IFERROR(INDEX(Prices[FX to SGD],MATCH($A216,Prices[Key],0)),1))</f>
        <v>1</v>
      </c>
      <c r="F216" s="30">
        <f>IF($A216="",0,(Transactions!M208-Transactions!L208+IF(Transactions!A208=2,Transactions!H208,0))*$E216)</f>
        <v>0</v>
      </c>
      <c r="G216" s="30">
        <f>IF($A216="",0,IF(Transactions!A208=2,Transactions!H208*$E216,0))</f>
        <v>0</v>
      </c>
    </row>
    <row r="217" spans="1:7" ht="15" customHeight="1" x14ac:dyDescent="0.15">
      <c r="A217" t="str">
        <f>IF(Transactions!J209="","",Transactions!J209)</f>
        <v/>
      </c>
      <c r="B217" s="297">
        <f ca="1">IF($A217="",TODAY(),Transactions!G209)</f>
        <v>46216</v>
      </c>
      <c r="C217" s="298" t="str">
        <f>IF($A217="","",Transactions!A209)</f>
        <v/>
      </c>
      <c r="D217" s="30">
        <f>IF($A217="",0,Transactions!H209)</f>
        <v>0</v>
      </c>
      <c r="E217" s="300">
        <f>IF($A217="",1,IFERROR(INDEX(Prices[FX to SGD],MATCH($A217,Prices[Key],0)),1))</f>
        <v>1</v>
      </c>
      <c r="F217" s="30">
        <f>IF($A217="",0,(Transactions!M209-Transactions!L209+IF(Transactions!A209=2,Transactions!H209,0))*$E217)</f>
        <v>0</v>
      </c>
      <c r="G217" s="30">
        <f>IF($A217="",0,IF(Transactions!A209=2,Transactions!H209*$E217,0))</f>
        <v>0</v>
      </c>
    </row>
    <row r="218" spans="1:7" ht="15" customHeight="1" x14ac:dyDescent="0.15">
      <c r="A218" t="str">
        <f>IF(Transactions!J210="","",Transactions!J210)</f>
        <v/>
      </c>
      <c r="B218" s="297">
        <f ca="1">IF($A218="",TODAY(),Transactions!G210)</f>
        <v>46216</v>
      </c>
      <c r="C218" s="298" t="str">
        <f>IF($A218="","",Transactions!A210)</f>
        <v/>
      </c>
      <c r="D218" s="30">
        <f>IF($A218="",0,Transactions!H210)</f>
        <v>0</v>
      </c>
      <c r="E218" s="300">
        <f>IF($A218="",1,IFERROR(INDEX(Prices[FX to SGD],MATCH($A218,Prices[Key],0)),1))</f>
        <v>1</v>
      </c>
      <c r="F218" s="30">
        <f>IF($A218="",0,(Transactions!M210-Transactions!L210+IF(Transactions!A210=2,Transactions!H210,0))*$E218)</f>
        <v>0</v>
      </c>
      <c r="G218" s="30">
        <f>IF($A218="",0,IF(Transactions!A210=2,Transactions!H210*$E218,0))</f>
        <v>0</v>
      </c>
    </row>
    <row r="219" spans="1:7" ht="15" customHeight="1" x14ac:dyDescent="0.15">
      <c r="A219" t="str">
        <f>IF(Transactions!J211="","",Transactions!J211)</f>
        <v/>
      </c>
      <c r="B219" s="297">
        <f ca="1">IF($A219="",TODAY(),Transactions!G211)</f>
        <v>46216</v>
      </c>
      <c r="C219" s="298" t="str">
        <f>IF($A219="","",Transactions!A211)</f>
        <v/>
      </c>
      <c r="D219" s="30">
        <f>IF($A219="",0,Transactions!H211)</f>
        <v>0</v>
      </c>
      <c r="E219" s="300">
        <f>IF($A219="",1,IFERROR(INDEX(Prices[FX to SGD],MATCH($A219,Prices[Key],0)),1))</f>
        <v>1</v>
      </c>
      <c r="F219" s="30">
        <f>IF($A219="",0,(Transactions!M211-Transactions!L211+IF(Transactions!A211=2,Transactions!H211,0))*$E219)</f>
        <v>0</v>
      </c>
      <c r="G219" s="30">
        <f>IF($A219="",0,IF(Transactions!A211=2,Transactions!H211*$E219,0))</f>
        <v>0</v>
      </c>
    </row>
    <row r="220" spans="1:7" ht="15" customHeight="1" x14ac:dyDescent="0.15">
      <c r="A220" t="str">
        <f>IF(Transactions!J212="","",Transactions!J212)</f>
        <v/>
      </c>
      <c r="B220" s="297">
        <f ca="1">IF($A220="",TODAY(),Transactions!G212)</f>
        <v>46216</v>
      </c>
      <c r="C220" s="298" t="str">
        <f>IF($A220="","",Transactions!A212)</f>
        <v/>
      </c>
      <c r="D220" s="30">
        <f>IF($A220="",0,Transactions!H212)</f>
        <v>0</v>
      </c>
      <c r="E220" s="299">
        <f>IF($A220="",1,IFERROR(INDEX(Prices[FX to SGD],MATCH($A220,Prices[Key],0)),1))</f>
        <v>1</v>
      </c>
      <c r="F220" s="30">
        <f>IF($A220="",0,(Transactions!M212-Transactions!L212+IF(Transactions!A212=2,Transactions!H212,0))*$E220)</f>
        <v>0</v>
      </c>
      <c r="G220" s="30">
        <f>IF($A220="",0,IF(Transactions!A212=2,Transactions!H212*$E220,0))</f>
        <v>0</v>
      </c>
    </row>
    <row r="221" spans="1:7" ht="15" customHeight="1" x14ac:dyDescent="0.15">
      <c r="A221" t="str">
        <f>IF(Transactions!J213="","",Transactions!J213)</f>
        <v/>
      </c>
      <c r="B221" s="297">
        <f ca="1">IF($A221="",TODAY(),Transactions!G213)</f>
        <v>46216</v>
      </c>
      <c r="C221" s="298" t="str">
        <f>IF($A221="","",Transactions!A213)</f>
        <v/>
      </c>
      <c r="D221" s="30">
        <f>IF($A221="",0,Transactions!H213)</f>
        <v>0</v>
      </c>
      <c r="E221" s="299">
        <f>IF($A221="",1,IFERROR(INDEX(Prices[FX to SGD],MATCH($A221,Prices[Key],0)),1))</f>
        <v>1</v>
      </c>
      <c r="F221" s="30">
        <f>IF($A221="",0,(Transactions!M213-Transactions!L213+IF(Transactions!A213=2,Transactions!H213,0))*$E221)</f>
        <v>0</v>
      </c>
      <c r="G221" s="30">
        <f>IF($A221="",0,IF(Transactions!A213=2,Transactions!H213*$E221,0))</f>
        <v>0</v>
      </c>
    </row>
    <row r="222" spans="1:7" ht="15" customHeight="1" x14ac:dyDescent="0.15">
      <c r="A222" t="str">
        <f>IF(Transactions!J214="","",Transactions!J214)</f>
        <v/>
      </c>
      <c r="B222" s="297">
        <f ca="1">IF($A222="",TODAY(),Transactions!G214)</f>
        <v>46216</v>
      </c>
      <c r="C222" s="298" t="str">
        <f>IF($A222="","",Transactions!A214)</f>
        <v/>
      </c>
      <c r="D222" s="30">
        <f>IF($A222="",0,Transactions!H214)</f>
        <v>0</v>
      </c>
      <c r="E222" s="300">
        <f>IF($A222="",1,IFERROR(INDEX(Prices[FX to SGD],MATCH($A222,Prices[Key],0)),1))</f>
        <v>1</v>
      </c>
      <c r="F222" s="30">
        <f>IF($A222="",0,(Transactions!M214-Transactions!L214+IF(Transactions!A214=2,Transactions!H214,0))*$E222)</f>
        <v>0</v>
      </c>
      <c r="G222" s="30">
        <f>IF($A222="",0,IF(Transactions!A214=2,Transactions!H214*$E222,0))</f>
        <v>0</v>
      </c>
    </row>
    <row r="223" spans="1:7" ht="15" customHeight="1" x14ac:dyDescent="0.15">
      <c r="A223" t="str">
        <f>IF(Transactions!J215="","",Transactions!J215)</f>
        <v/>
      </c>
      <c r="B223" s="297">
        <f ca="1">IF($A223="",TODAY(),Transactions!G215)</f>
        <v>46216</v>
      </c>
      <c r="C223" s="298" t="str">
        <f>IF($A223="","",Transactions!A215)</f>
        <v/>
      </c>
      <c r="D223" s="30">
        <f>IF($A223="",0,Transactions!H215)</f>
        <v>0</v>
      </c>
      <c r="E223" s="300">
        <f>IF($A223="",1,IFERROR(INDEX(Prices[FX to SGD],MATCH($A223,Prices[Key],0)),1))</f>
        <v>1</v>
      </c>
      <c r="F223" s="30">
        <f>IF($A223="",0,(Transactions!M215-Transactions!L215+IF(Transactions!A215=2,Transactions!H215,0))*$E223)</f>
        <v>0</v>
      </c>
      <c r="G223" s="30">
        <f>IF($A223="",0,IF(Transactions!A215=2,Transactions!H215*$E223,0))</f>
        <v>0</v>
      </c>
    </row>
    <row r="224" spans="1:7" ht="15" customHeight="1" x14ac:dyDescent="0.15">
      <c r="A224" t="str">
        <f>IF(Transactions!J216="","",Transactions!J216)</f>
        <v/>
      </c>
      <c r="B224" s="297">
        <f ca="1">IF($A224="",TODAY(),Transactions!G216)</f>
        <v>46216</v>
      </c>
      <c r="C224" s="298" t="str">
        <f>IF($A224="","",Transactions!A216)</f>
        <v/>
      </c>
      <c r="D224" s="30">
        <f>IF($A224="",0,Transactions!H216)</f>
        <v>0</v>
      </c>
      <c r="E224" s="299">
        <f>IF($A224="",1,IFERROR(INDEX(Prices[FX to SGD],MATCH($A224,Prices[Key],0)),1))</f>
        <v>1</v>
      </c>
      <c r="F224" s="30">
        <f>IF($A224="",0,(Transactions!M216-Transactions!L216+IF(Transactions!A216=2,Transactions!H216,0))*$E224)</f>
        <v>0</v>
      </c>
      <c r="G224" s="30">
        <f>IF($A224="",0,IF(Transactions!A216=2,Transactions!H216*$E224,0))</f>
        <v>0</v>
      </c>
    </row>
    <row r="225" spans="1:7" ht="15" customHeight="1" x14ac:dyDescent="0.15">
      <c r="A225" t="str">
        <f>IF(Transactions!J217="","",Transactions!J217)</f>
        <v/>
      </c>
      <c r="B225" s="297">
        <f ca="1">IF($A225="",TODAY(),Transactions!G217)</f>
        <v>46216</v>
      </c>
      <c r="C225" s="298" t="str">
        <f>IF($A225="","",Transactions!A217)</f>
        <v/>
      </c>
      <c r="D225" s="30">
        <f>IF($A225="",0,Transactions!H217)</f>
        <v>0</v>
      </c>
      <c r="E225" s="300">
        <f>IF($A225="",1,IFERROR(INDEX(Prices[FX to SGD],MATCH($A225,Prices[Key],0)),1))</f>
        <v>1</v>
      </c>
      <c r="F225" s="30">
        <f>IF($A225="",0,(Transactions!M217-Transactions!L217+IF(Transactions!A217=2,Transactions!H217,0))*$E225)</f>
        <v>0</v>
      </c>
      <c r="G225" s="30">
        <f>IF($A225="",0,IF(Transactions!A217=2,Transactions!H217*$E225,0))</f>
        <v>0</v>
      </c>
    </row>
    <row r="226" spans="1:7" ht="15" customHeight="1" x14ac:dyDescent="0.15">
      <c r="A226" t="str">
        <f>IF(Transactions!J218="","",Transactions!J218)</f>
        <v/>
      </c>
      <c r="B226" s="297">
        <f ca="1">IF($A226="",TODAY(),Transactions!G218)</f>
        <v>46216</v>
      </c>
      <c r="C226" s="298" t="str">
        <f>IF($A226="","",Transactions!A218)</f>
        <v/>
      </c>
      <c r="D226" s="30">
        <f>IF($A226="",0,Transactions!H218)</f>
        <v>0</v>
      </c>
      <c r="E226" s="300">
        <f>IF($A226="",1,IFERROR(INDEX(Prices[FX to SGD],MATCH($A226,Prices[Key],0)),1))</f>
        <v>1</v>
      </c>
      <c r="F226" s="30">
        <f>IF($A226="",0,(Transactions!M218-Transactions!L218+IF(Transactions!A218=2,Transactions!H218,0))*$E226)</f>
        <v>0</v>
      </c>
      <c r="G226" s="30">
        <f>IF($A226="",0,IF(Transactions!A218=2,Transactions!H218*$E226,0))</f>
        <v>0</v>
      </c>
    </row>
    <row r="227" spans="1:7" ht="15" customHeight="1" x14ac:dyDescent="0.15">
      <c r="A227" t="str">
        <f>IF(Transactions!J219="","",Transactions!J219)</f>
        <v/>
      </c>
      <c r="B227" s="297">
        <f ca="1">IF($A227="",TODAY(),Transactions!G219)</f>
        <v>46216</v>
      </c>
      <c r="C227" s="298" t="str">
        <f>IF($A227="","",Transactions!A219)</f>
        <v/>
      </c>
      <c r="D227" s="30">
        <f>IF($A227="",0,Transactions!H219)</f>
        <v>0</v>
      </c>
      <c r="E227" s="300">
        <f>IF($A227="",1,IFERROR(INDEX(Prices[FX to SGD],MATCH($A227,Prices[Key],0)),1))</f>
        <v>1</v>
      </c>
      <c r="F227" s="30">
        <f>IF($A227="",0,(Transactions!M219-Transactions!L219+IF(Transactions!A219=2,Transactions!H219,0))*$E227)</f>
        <v>0</v>
      </c>
      <c r="G227" s="30">
        <f>IF($A227="",0,IF(Transactions!A219=2,Transactions!H219*$E227,0))</f>
        <v>0</v>
      </c>
    </row>
    <row r="228" spans="1:7" ht="15" customHeight="1" x14ac:dyDescent="0.15">
      <c r="A228" t="str">
        <f>IF(Transactions!J220="","",Transactions!J220)</f>
        <v/>
      </c>
      <c r="B228" s="297">
        <f ca="1">IF($A228="",TODAY(),Transactions!G220)</f>
        <v>46216</v>
      </c>
      <c r="C228" s="298" t="str">
        <f>IF($A228="","",Transactions!A220)</f>
        <v/>
      </c>
      <c r="D228" s="30">
        <f>IF($A228="",0,Transactions!H220)</f>
        <v>0</v>
      </c>
      <c r="E228" s="300">
        <f>IF($A228="",1,IFERROR(INDEX(Prices[FX to SGD],MATCH($A228,Prices[Key],0)),1))</f>
        <v>1</v>
      </c>
      <c r="F228" s="30">
        <f>IF($A228="",0,(Transactions!M220-Transactions!L220+IF(Transactions!A220=2,Transactions!H220,0))*$E228)</f>
        <v>0</v>
      </c>
      <c r="G228" s="30">
        <f>IF($A228="",0,IF(Transactions!A220=2,Transactions!H220*$E228,0))</f>
        <v>0</v>
      </c>
    </row>
    <row r="229" spans="1:7" ht="15" customHeight="1" x14ac:dyDescent="0.15">
      <c r="A229" t="str">
        <f>IF(Transactions!J221="","",Transactions!J221)</f>
        <v/>
      </c>
      <c r="B229" s="297">
        <f ca="1">IF($A229="",TODAY(),Transactions!G221)</f>
        <v>46216</v>
      </c>
      <c r="C229" s="298" t="str">
        <f>IF($A229="","",Transactions!A221)</f>
        <v/>
      </c>
      <c r="D229" s="30">
        <f>IF($A229="",0,Transactions!H221)</f>
        <v>0</v>
      </c>
      <c r="E229" s="300">
        <f>IF($A229="",1,IFERROR(INDEX(Prices[FX to SGD],MATCH($A229,Prices[Key],0)),1))</f>
        <v>1</v>
      </c>
      <c r="F229" s="30">
        <f>IF($A229="",0,(Transactions!M221-Transactions!L221+IF(Transactions!A221=2,Transactions!H221,0))*$E229)</f>
        <v>0</v>
      </c>
      <c r="G229" s="30">
        <f>IF($A229="",0,IF(Transactions!A221=2,Transactions!H221*$E229,0))</f>
        <v>0</v>
      </c>
    </row>
    <row r="230" spans="1:7" ht="15" customHeight="1" x14ac:dyDescent="0.15">
      <c r="A230" t="str">
        <f>IF(Transactions!J222="","",Transactions!J222)</f>
        <v/>
      </c>
      <c r="B230" s="297">
        <f ca="1">IF($A230="",TODAY(),Transactions!G222)</f>
        <v>46216</v>
      </c>
      <c r="C230" s="298" t="str">
        <f>IF($A230="","",Transactions!A222)</f>
        <v/>
      </c>
      <c r="D230" s="30">
        <f>IF($A230="",0,Transactions!H222)</f>
        <v>0</v>
      </c>
      <c r="E230" s="300">
        <f>IF($A230="",1,IFERROR(INDEX(Prices[FX to SGD],MATCH($A230,Prices[Key],0)),1))</f>
        <v>1</v>
      </c>
      <c r="F230" s="30">
        <f>IF($A230="",0,(Transactions!M222-Transactions!L222+IF(Transactions!A222=2,Transactions!H222,0))*$E230)</f>
        <v>0</v>
      </c>
      <c r="G230" s="30">
        <f>IF($A230="",0,IF(Transactions!A222=2,Transactions!H222*$E230,0))</f>
        <v>0</v>
      </c>
    </row>
    <row r="231" spans="1:7" ht="15" customHeight="1" x14ac:dyDescent="0.15">
      <c r="A231" t="str">
        <f>IF(Transactions!J223="","",Transactions!J223)</f>
        <v/>
      </c>
      <c r="B231" s="297">
        <f ca="1">IF($A231="",TODAY(),Transactions!G223)</f>
        <v>46216</v>
      </c>
      <c r="C231" s="298" t="str">
        <f>IF($A231="","",Transactions!A223)</f>
        <v/>
      </c>
      <c r="D231" s="30">
        <f>IF($A231="",0,Transactions!H223)</f>
        <v>0</v>
      </c>
      <c r="E231" s="300">
        <f>IF($A231="",1,IFERROR(INDEX(Prices[FX to SGD],MATCH($A231,Prices[Key],0)),1))</f>
        <v>1</v>
      </c>
      <c r="F231" s="30">
        <f>IF($A231="",0,(Transactions!M223-Transactions!L223+IF(Transactions!A223=2,Transactions!H223,0))*$E231)</f>
        <v>0</v>
      </c>
      <c r="G231" s="30">
        <f>IF($A231="",0,IF(Transactions!A223=2,Transactions!H223*$E231,0))</f>
        <v>0</v>
      </c>
    </row>
    <row r="232" spans="1:7" ht="15" customHeight="1" x14ac:dyDescent="0.15">
      <c r="A232" t="str">
        <f>IF(Transactions!J224="","",Transactions!J224)</f>
        <v/>
      </c>
      <c r="B232" s="297">
        <f ca="1">IF($A232="",TODAY(),Transactions!G224)</f>
        <v>46216</v>
      </c>
      <c r="C232" s="298" t="str">
        <f>IF($A232="","",Transactions!A224)</f>
        <v/>
      </c>
      <c r="D232" s="30">
        <f>IF($A232="",0,Transactions!H224)</f>
        <v>0</v>
      </c>
      <c r="E232" s="300">
        <f>IF($A232="",1,IFERROR(INDEX(Prices[FX to SGD],MATCH($A232,Prices[Key],0)),1))</f>
        <v>1</v>
      </c>
      <c r="F232" s="30">
        <f>IF($A232="",0,(Transactions!M224-Transactions!L224+IF(Transactions!A224=2,Transactions!H224,0))*$E232)</f>
        <v>0</v>
      </c>
      <c r="G232" s="30">
        <f>IF($A232="",0,IF(Transactions!A224=2,Transactions!H224*$E232,0))</f>
        <v>0</v>
      </c>
    </row>
    <row r="233" spans="1:7" ht="15" customHeight="1" x14ac:dyDescent="0.15">
      <c r="A233" t="str">
        <f>IF(Transactions!J225="","",Transactions!J225)</f>
        <v/>
      </c>
      <c r="B233" s="297">
        <f ca="1">IF($A233="",TODAY(),Transactions!G225)</f>
        <v>46216</v>
      </c>
      <c r="C233" s="298" t="str">
        <f>IF($A233="","",Transactions!A225)</f>
        <v/>
      </c>
      <c r="D233" s="30">
        <f>IF($A233="",0,Transactions!H225)</f>
        <v>0</v>
      </c>
      <c r="E233" s="300">
        <f>IF($A233="",1,IFERROR(INDEX(Prices[FX to SGD],MATCH($A233,Prices[Key],0)),1))</f>
        <v>1</v>
      </c>
      <c r="F233" s="30">
        <f>IF($A233="",0,(Transactions!M225-Transactions!L225+IF(Transactions!A225=2,Transactions!H225,0))*$E233)</f>
        <v>0</v>
      </c>
      <c r="G233" s="30">
        <f>IF($A233="",0,IF(Transactions!A225=2,Transactions!H225*$E233,0))</f>
        <v>0</v>
      </c>
    </row>
    <row r="234" spans="1:7" ht="15" customHeight="1" x14ac:dyDescent="0.15">
      <c r="A234" t="str">
        <f>IF(Transactions!J226="","",Transactions!J226)</f>
        <v/>
      </c>
      <c r="B234" s="297">
        <f ca="1">IF($A234="",TODAY(),Transactions!G226)</f>
        <v>46216</v>
      </c>
      <c r="C234" s="298" t="str">
        <f>IF($A234="","",Transactions!A226)</f>
        <v/>
      </c>
      <c r="D234" s="30">
        <f>IF($A234="",0,Transactions!H226)</f>
        <v>0</v>
      </c>
      <c r="E234" s="300">
        <f>IF($A234="",1,IFERROR(INDEX(Prices[FX to SGD],MATCH($A234,Prices[Key],0)),1))</f>
        <v>1</v>
      </c>
      <c r="F234" s="30">
        <f>IF($A234="",0,(Transactions!M226-Transactions!L226+IF(Transactions!A226=2,Transactions!H226,0))*$E234)</f>
        <v>0</v>
      </c>
      <c r="G234" s="30">
        <f>IF($A234="",0,IF(Transactions!A226=2,Transactions!H226*$E234,0))</f>
        <v>0</v>
      </c>
    </row>
    <row r="235" spans="1:7" ht="15" customHeight="1" x14ac:dyDescent="0.15">
      <c r="A235" t="str">
        <f>IF(Transactions!J227="","",Transactions!J227)</f>
        <v/>
      </c>
      <c r="B235" s="297">
        <f ca="1">IF($A235="",TODAY(),Transactions!G227)</f>
        <v>46216</v>
      </c>
      <c r="C235" s="298" t="str">
        <f>IF($A235="","",Transactions!A227)</f>
        <v/>
      </c>
      <c r="D235" s="30">
        <f>IF($A235="",0,Transactions!H227)</f>
        <v>0</v>
      </c>
      <c r="E235" s="300">
        <f>IF($A235="",1,IFERROR(INDEX(Prices[FX to SGD],MATCH($A235,Prices[Key],0)),1))</f>
        <v>1</v>
      </c>
      <c r="F235" s="30">
        <f>IF($A235="",0,(Transactions!M227-Transactions!L227+IF(Transactions!A227=2,Transactions!H227,0))*$E235)</f>
        <v>0</v>
      </c>
      <c r="G235" s="30">
        <f>IF($A235="",0,IF(Transactions!A227=2,Transactions!H227*$E235,0))</f>
        <v>0</v>
      </c>
    </row>
    <row r="236" spans="1:7" ht="15" customHeight="1" x14ac:dyDescent="0.15">
      <c r="A236" t="str">
        <f>IF(Transactions!J228="","",Transactions!J228)</f>
        <v/>
      </c>
      <c r="B236" s="297">
        <f ca="1">IF($A236="",TODAY(),Transactions!G228)</f>
        <v>46216</v>
      </c>
      <c r="C236" s="298" t="str">
        <f>IF($A236="","",Transactions!A228)</f>
        <v/>
      </c>
      <c r="D236" s="30">
        <f>IF($A236="",0,Transactions!H228)</f>
        <v>0</v>
      </c>
      <c r="E236" s="300">
        <f>IF($A236="",1,IFERROR(INDEX(Prices[FX to SGD],MATCH($A236,Prices[Key],0)),1))</f>
        <v>1</v>
      </c>
      <c r="F236" s="30">
        <f>IF($A236="",0,(Transactions!M228-Transactions!L228+IF(Transactions!A228=2,Transactions!H228,0))*$E236)</f>
        <v>0</v>
      </c>
      <c r="G236" s="30">
        <f>IF($A236="",0,IF(Transactions!A228=2,Transactions!H228*$E236,0))</f>
        <v>0</v>
      </c>
    </row>
    <row r="237" spans="1:7" ht="15" customHeight="1" x14ac:dyDescent="0.15">
      <c r="A237" t="str">
        <f>IF(Transactions!J229="","",Transactions!J229)</f>
        <v/>
      </c>
      <c r="B237" s="297">
        <f ca="1">IF($A237="",TODAY(),Transactions!G229)</f>
        <v>46216</v>
      </c>
      <c r="C237" s="298" t="str">
        <f>IF($A237="","",Transactions!A229)</f>
        <v/>
      </c>
      <c r="D237" s="30">
        <f>IF($A237="",0,Transactions!H229)</f>
        <v>0</v>
      </c>
      <c r="E237" s="300">
        <f>IF($A237="",1,IFERROR(INDEX(Prices[FX to SGD],MATCH($A237,Prices[Key],0)),1))</f>
        <v>1</v>
      </c>
      <c r="F237" s="30">
        <f>IF($A237="",0,(Transactions!M229-Transactions!L229+IF(Transactions!A229=2,Transactions!H229,0))*$E237)</f>
        <v>0</v>
      </c>
      <c r="G237" s="30">
        <f>IF($A237="",0,IF(Transactions!A229=2,Transactions!H229*$E237,0))</f>
        <v>0</v>
      </c>
    </row>
    <row r="238" spans="1:7" ht="15" customHeight="1" x14ac:dyDescent="0.15">
      <c r="A238" t="str">
        <f>IF(Transactions!J230="","",Transactions!J230)</f>
        <v/>
      </c>
      <c r="B238" s="297">
        <f ca="1">IF($A238="",TODAY(),Transactions!G230)</f>
        <v>46216</v>
      </c>
      <c r="C238" s="298" t="str">
        <f>IF($A238="","",Transactions!A230)</f>
        <v/>
      </c>
      <c r="D238" s="30">
        <f>IF($A238="",0,Transactions!H230)</f>
        <v>0</v>
      </c>
      <c r="E238" s="300">
        <f>IF($A238="",1,IFERROR(INDEX(Prices[FX to SGD],MATCH($A238,Prices[Key],0)),1))</f>
        <v>1</v>
      </c>
      <c r="F238" s="30">
        <f>IF($A238="",0,(Transactions!M230-Transactions!L230+IF(Transactions!A230=2,Transactions!H230,0))*$E238)</f>
        <v>0</v>
      </c>
      <c r="G238" s="30">
        <f>IF($A238="",0,IF(Transactions!A230=2,Transactions!H230*$E238,0))</f>
        <v>0</v>
      </c>
    </row>
    <row r="239" spans="1:7" ht="15" customHeight="1" x14ac:dyDescent="0.15">
      <c r="A239" t="str">
        <f>IF(Transactions!J231="","",Transactions!J231)</f>
        <v/>
      </c>
      <c r="B239" s="297">
        <f ca="1">IF($A239="",TODAY(),Transactions!G231)</f>
        <v>46216</v>
      </c>
      <c r="C239" s="298" t="str">
        <f>IF($A239="","",Transactions!A231)</f>
        <v/>
      </c>
      <c r="D239" s="30">
        <f>IF($A239="",0,Transactions!H231)</f>
        <v>0</v>
      </c>
      <c r="E239" s="300">
        <f>IF($A239="",1,IFERROR(INDEX(Prices[FX to SGD],MATCH($A239,Prices[Key],0)),1))</f>
        <v>1</v>
      </c>
      <c r="F239" s="30">
        <f>IF($A239="",0,(Transactions!M231-Transactions!L231+IF(Transactions!A231=2,Transactions!H231,0))*$E239)</f>
        <v>0</v>
      </c>
      <c r="G239" s="30">
        <f>IF($A239="",0,IF(Transactions!A231=2,Transactions!H231*$E239,0))</f>
        <v>0</v>
      </c>
    </row>
    <row r="240" spans="1:7" ht="15" customHeight="1" x14ac:dyDescent="0.15">
      <c r="A240" t="str">
        <f>IF(Transactions!J232="","",Transactions!J232)</f>
        <v/>
      </c>
      <c r="B240" s="297">
        <f ca="1">IF($A240="",TODAY(),Transactions!G232)</f>
        <v>46216</v>
      </c>
      <c r="C240" s="298" t="str">
        <f>IF($A240="","",Transactions!A232)</f>
        <v/>
      </c>
      <c r="D240" s="30">
        <f>IF($A240="",0,Transactions!H232)</f>
        <v>0</v>
      </c>
      <c r="E240" s="300">
        <f>IF($A240="",1,IFERROR(INDEX(Prices[FX to SGD],MATCH($A240,Prices[Key],0)),1))</f>
        <v>1</v>
      </c>
      <c r="F240" s="30">
        <f>IF($A240="",0,(Transactions!M232-Transactions!L232+IF(Transactions!A232=2,Transactions!H232,0))*$E240)</f>
        <v>0</v>
      </c>
      <c r="G240" s="30">
        <f>IF($A240="",0,IF(Transactions!A232=2,Transactions!H232*$E240,0))</f>
        <v>0</v>
      </c>
    </row>
    <row r="241" spans="1:7" ht="15" customHeight="1" x14ac:dyDescent="0.15">
      <c r="A241" t="str">
        <f>IF(Transactions!J233="","",Transactions!J233)</f>
        <v/>
      </c>
      <c r="B241" s="297">
        <f ca="1">IF($A241="",TODAY(),Transactions!G233)</f>
        <v>46216</v>
      </c>
      <c r="C241" s="298" t="str">
        <f>IF($A241="","",Transactions!A233)</f>
        <v/>
      </c>
      <c r="D241" s="30">
        <f>IF($A241="",0,Transactions!H233)</f>
        <v>0</v>
      </c>
      <c r="E241" s="300">
        <f>IF($A241="",1,IFERROR(INDEX(Prices[FX to SGD],MATCH($A241,Prices[Key],0)),1))</f>
        <v>1</v>
      </c>
      <c r="F241" s="30">
        <f>IF($A241="",0,(Transactions!M233-Transactions!L233+IF(Transactions!A233=2,Transactions!H233,0))*$E241)</f>
        <v>0</v>
      </c>
      <c r="G241" s="30">
        <f>IF($A241="",0,IF(Transactions!A233=2,Transactions!H233*$E241,0))</f>
        <v>0</v>
      </c>
    </row>
    <row r="242" spans="1:7" ht="15" customHeight="1" x14ac:dyDescent="0.15">
      <c r="A242" t="str">
        <f>IF(Transactions!J234="","",Transactions!J234)</f>
        <v/>
      </c>
      <c r="B242" s="297">
        <f ca="1">IF($A242="",TODAY(),Transactions!G234)</f>
        <v>46216</v>
      </c>
      <c r="C242" s="298" t="str">
        <f>IF($A242="","",Transactions!A234)</f>
        <v/>
      </c>
      <c r="D242" s="30">
        <f>IF($A242="",0,Transactions!H234)</f>
        <v>0</v>
      </c>
      <c r="E242" s="300">
        <f>IF($A242="",1,IFERROR(INDEX(Prices[FX to SGD],MATCH($A242,Prices[Key],0)),1))</f>
        <v>1</v>
      </c>
      <c r="F242" s="30">
        <f>IF($A242="",0,(Transactions!M234-Transactions!L234+IF(Transactions!A234=2,Transactions!H234,0))*$E242)</f>
        <v>0</v>
      </c>
      <c r="G242" s="30">
        <f>IF($A242="",0,IF(Transactions!A234=2,Transactions!H234*$E242,0))</f>
        <v>0</v>
      </c>
    </row>
    <row r="243" spans="1:7" ht="15" customHeight="1" x14ac:dyDescent="0.15">
      <c r="A243" t="str">
        <f>IF(Transactions!J235="","",Transactions!J235)</f>
        <v/>
      </c>
      <c r="B243" s="297">
        <f ca="1">IF($A243="",TODAY(),Transactions!G235)</f>
        <v>46216</v>
      </c>
      <c r="C243" s="298" t="str">
        <f>IF($A243="","",Transactions!A235)</f>
        <v/>
      </c>
      <c r="D243" s="30">
        <f>IF($A243="",0,Transactions!H235)</f>
        <v>0</v>
      </c>
      <c r="E243" s="300">
        <f>IF($A243="",1,IFERROR(INDEX(Prices[FX to SGD],MATCH($A243,Prices[Key],0)),1))</f>
        <v>1</v>
      </c>
      <c r="F243" s="30">
        <f>IF($A243="",0,(Transactions!M235-Transactions!L235+IF(Transactions!A235=2,Transactions!H235,0))*$E243)</f>
        <v>0</v>
      </c>
      <c r="G243" s="30">
        <f>IF($A243="",0,IF(Transactions!A235=2,Transactions!H235*$E243,0))</f>
        <v>0</v>
      </c>
    </row>
    <row r="244" spans="1:7" ht="15" customHeight="1" x14ac:dyDescent="0.15">
      <c r="A244" t="str">
        <f>IF(Transactions!J236="","",Transactions!J236)</f>
        <v/>
      </c>
      <c r="B244" s="297">
        <f ca="1">IF($A244="",TODAY(),Transactions!G236)</f>
        <v>46216</v>
      </c>
      <c r="C244" s="298" t="str">
        <f>IF($A244="","",Transactions!A236)</f>
        <v/>
      </c>
      <c r="D244" s="30">
        <f>IF($A244="",0,Transactions!H236)</f>
        <v>0</v>
      </c>
      <c r="E244" s="300">
        <f>IF($A244="",1,IFERROR(INDEX(Prices[FX to SGD],MATCH($A244,Prices[Key],0)),1))</f>
        <v>1</v>
      </c>
      <c r="F244" s="30">
        <f>IF($A244="",0,(Transactions!M236-Transactions!L236+IF(Transactions!A236=2,Transactions!H236,0))*$E244)</f>
        <v>0</v>
      </c>
      <c r="G244" s="30">
        <f>IF($A244="",0,IF(Transactions!A236=2,Transactions!H236*$E244,0))</f>
        <v>0</v>
      </c>
    </row>
    <row r="245" spans="1:7" ht="15" customHeight="1" x14ac:dyDescent="0.15">
      <c r="A245" t="str">
        <f>IF(Transactions!J237="","",Transactions!J237)</f>
        <v/>
      </c>
      <c r="B245" s="297">
        <f ca="1">IF($A245="",TODAY(),Transactions!G237)</f>
        <v>46216</v>
      </c>
      <c r="C245" s="298" t="str">
        <f>IF($A245="","",Transactions!A237)</f>
        <v/>
      </c>
      <c r="D245" s="30">
        <f>IF($A245="",0,Transactions!H237)</f>
        <v>0</v>
      </c>
      <c r="E245" s="300">
        <f>IF($A245="",1,IFERROR(INDEX(Prices[FX to SGD],MATCH($A245,Prices[Key],0)),1))</f>
        <v>1</v>
      </c>
      <c r="F245" s="30">
        <f>IF($A245="",0,(Transactions!M237-Transactions!L237+IF(Transactions!A237=2,Transactions!H237,0))*$E245)</f>
        <v>0</v>
      </c>
      <c r="G245" s="30">
        <f>IF($A245="",0,IF(Transactions!A237=2,Transactions!H237*$E245,0))</f>
        <v>0</v>
      </c>
    </row>
    <row r="246" spans="1:7" ht="15" customHeight="1" x14ac:dyDescent="0.15">
      <c r="A246" t="str">
        <f>IF(Transactions!J238="","",Transactions!J238)</f>
        <v/>
      </c>
      <c r="B246" s="297">
        <f ca="1">IF($A246="",TODAY(),Transactions!G238)</f>
        <v>46216</v>
      </c>
      <c r="C246" s="298" t="str">
        <f>IF($A246="","",Transactions!A238)</f>
        <v/>
      </c>
      <c r="D246" s="30">
        <f>IF($A246="",0,Transactions!H238)</f>
        <v>0</v>
      </c>
      <c r="E246" s="300">
        <f>IF($A246="",1,IFERROR(INDEX(Prices[FX to SGD],MATCH($A246,Prices[Key],0)),1))</f>
        <v>1</v>
      </c>
      <c r="F246" s="30">
        <f>IF($A246="",0,(Transactions!M238-Transactions!L238+IF(Transactions!A238=2,Transactions!H238,0))*$E246)</f>
        <v>0</v>
      </c>
      <c r="G246" s="30">
        <f>IF($A246="",0,IF(Transactions!A238=2,Transactions!H238*$E246,0))</f>
        <v>0</v>
      </c>
    </row>
    <row r="247" spans="1:7" ht="15" customHeight="1" x14ac:dyDescent="0.15">
      <c r="A247" t="str">
        <f>IF(Transactions!J239="","",Transactions!J239)</f>
        <v/>
      </c>
      <c r="B247" s="297">
        <f ca="1">IF($A247="",TODAY(),Transactions!G239)</f>
        <v>46216</v>
      </c>
      <c r="C247" s="298" t="str">
        <f>IF($A247="","",Transactions!A239)</f>
        <v/>
      </c>
      <c r="D247" s="30">
        <f>IF($A247="",0,Transactions!H239)</f>
        <v>0</v>
      </c>
      <c r="E247" s="300">
        <f>IF($A247="",1,IFERROR(INDEX(Prices[FX to SGD],MATCH($A247,Prices[Key],0)),1))</f>
        <v>1</v>
      </c>
      <c r="F247" s="30">
        <f>IF($A247="",0,(Transactions!M239-Transactions!L239+IF(Transactions!A239=2,Transactions!H239,0))*$E247)</f>
        <v>0</v>
      </c>
      <c r="G247" s="30">
        <f>IF($A247="",0,IF(Transactions!A239=2,Transactions!H239*$E247,0))</f>
        <v>0</v>
      </c>
    </row>
    <row r="248" spans="1:7" ht="15" customHeight="1" x14ac:dyDescent="0.15">
      <c r="A248" t="str">
        <f>IF(Transactions!J240="","",Transactions!J240)</f>
        <v/>
      </c>
      <c r="B248" s="297">
        <f ca="1">IF($A248="",TODAY(),Transactions!G240)</f>
        <v>46216</v>
      </c>
      <c r="C248" s="298" t="str">
        <f>IF($A248="","",Transactions!A240)</f>
        <v/>
      </c>
      <c r="D248" s="30">
        <f>IF($A248="",0,Transactions!H240)</f>
        <v>0</v>
      </c>
      <c r="E248" s="300">
        <f>IF($A248="",1,IFERROR(INDEX(Prices[FX to SGD],MATCH($A248,Prices[Key],0)),1))</f>
        <v>1</v>
      </c>
      <c r="F248" s="30">
        <f>IF($A248="",0,(Transactions!M240-Transactions!L240+IF(Transactions!A240=2,Transactions!H240,0))*$E248)</f>
        <v>0</v>
      </c>
      <c r="G248" s="30">
        <f>IF($A248="",0,IF(Transactions!A240=2,Transactions!H240*$E248,0))</f>
        <v>0</v>
      </c>
    </row>
    <row r="249" spans="1:7" ht="15" customHeight="1" x14ac:dyDescent="0.15">
      <c r="A249" t="str">
        <f>IF(Transactions!J241="","",Transactions!J241)</f>
        <v/>
      </c>
      <c r="B249" s="297">
        <f ca="1">IF($A249="",TODAY(),Transactions!G241)</f>
        <v>46216</v>
      </c>
      <c r="C249" s="298" t="str">
        <f>IF($A249="","",Transactions!A241)</f>
        <v/>
      </c>
      <c r="D249" s="30">
        <f>IF($A249="",0,Transactions!H241)</f>
        <v>0</v>
      </c>
      <c r="E249" s="300">
        <f>IF($A249="",1,IFERROR(INDEX(Prices[FX to SGD],MATCH($A249,Prices[Key],0)),1))</f>
        <v>1</v>
      </c>
      <c r="F249" s="30">
        <f>IF($A249="",0,(Transactions!M241-Transactions!L241+IF(Transactions!A241=2,Transactions!H241,0))*$E249)</f>
        <v>0</v>
      </c>
      <c r="G249" s="30">
        <f>IF($A249="",0,IF(Transactions!A241=2,Transactions!H241*$E249,0))</f>
        <v>0</v>
      </c>
    </row>
    <row r="250" spans="1:7" ht="15" customHeight="1" x14ac:dyDescent="0.15">
      <c r="A250" t="str">
        <f>IF(Transactions!J242="","",Transactions!J242)</f>
        <v/>
      </c>
      <c r="B250" s="297">
        <f ca="1">IF($A250="",TODAY(),Transactions!G242)</f>
        <v>46216</v>
      </c>
      <c r="C250" s="298" t="str">
        <f>IF($A250="","",Transactions!A242)</f>
        <v/>
      </c>
      <c r="D250" s="30">
        <f>IF($A250="",0,Transactions!H242)</f>
        <v>0</v>
      </c>
      <c r="E250" s="300">
        <f>IF($A250="",1,IFERROR(INDEX(Prices[FX to SGD],MATCH($A250,Prices[Key],0)),1))</f>
        <v>1</v>
      </c>
      <c r="F250" s="30">
        <f>IF($A250="",0,(Transactions!M242-Transactions!L242+IF(Transactions!A242=2,Transactions!H242,0))*$E250)</f>
        <v>0</v>
      </c>
      <c r="G250" s="30">
        <f>IF($A250="",0,IF(Transactions!A242=2,Transactions!H242*$E250,0))</f>
        <v>0</v>
      </c>
    </row>
    <row r="251" spans="1:7" ht="15" customHeight="1" x14ac:dyDescent="0.15">
      <c r="A251" t="str">
        <f>IF(Transactions!J243="","",Transactions!J243)</f>
        <v/>
      </c>
      <c r="B251" s="297">
        <f ca="1">IF($A251="",TODAY(),Transactions!G243)</f>
        <v>46216</v>
      </c>
      <c r="C251" s="298" t="str">
        <f>IF($A251="","",Transactions!A243)</f>
        <v/>
      </c>
      <c r="D251" s="30">
        <f>IF($A251="",0,Transactions!H243)</f>
        <v>0</v>
      </c>
      <c r="E251" s="300">
        <f>IF($A251="",1,IFERROR(INDEX(Prices[FX to SGD],MATCH($A251,Prices[Key],0)),1))</f>
        <v>1</v>
      </c>
      <c r="F251" s="30">
        <f>IF($A251="",0,(Transactions!M243-Transactions!L243+IF(Transactions!A243=2,Transactions!H243,0))*$E251)</f>
        <v>0</v>
      </c>
      <c r="G251" s="30">
        <f>IF($A251="",0,IF(Transactions!A243=2,Transactions!H243*$E251,0))</f>
        <v>0</v>
      </c>
    </row>
    <row r="252" spans="1:7" ht="15" customHeight="1" x14ac:dyDescent="0.15">
      <c r="A252" t="str">
        <f>IF(Transactions!J244="","",Transactions!J244)</f>
        <v/>
      </c>
      <c r="B252" s="297">
        <f ca="1">IF($A252="",TODAY(),Transactions!G244)</f>
        <v>46216</v>
      </c>
      <c r="C252" s="298" t="str">
        <f>IF($A252="","",Transactions!A244)</f>
        <v/>
      </c>
      <c r="D252" s="30">
        <f>IF($A252="",0,Transactions!H244)</f>
        <v>0</v>
      </c>
      <c r="E252" s="300">
        <f>IF($A252="",1,IFERROR(INDEX(Prices[FX to SGD],MATCH($A252,Prices[Key],0)),1))</f>
        <v>1</v>
      </c>
      <c r="F252" s="30">
        <f>IF($A252="",0,(Transactions!M244-Transactions!L244+IF(Transactions!A244=2,Transactions!H244,0))*$E252)</f>
        <v>0</v>
      </c>
      <c r="G252" s="30">
        <f>IF($A252="",0,IF(Transactions!A244=2,Transactions!H244*$E252,0))</f>
        <v>0</v>
      </c>
    </row>
    <row r="253" spans="1:7" ht="15" customHeight="1" x14ac:dyDescent="0.15">
      <c r="A253" t="str">
        <f>IF(Transactions!J245="","",Transactions!J245)</f>
        <v/>
      </c>
      <c r="B253" s="297">
        <f ca="1">IF($A253="",TODAY(),Transactions!G245)</f>
        <v>46216</v>
      </c>
      <c r="C253" s="298" t="str">
        <f>IF($A253="","",Transactions!A245)</f>
        <v/>
      </c>
      <c r="D253" s="30">
        <f>IF($A253="",0,Transactions!H245)</f>
        <v>0</v>
      </c>
      <c r="E253" s="300">
        <f>IF($A253="",1,IFERROR(INDEX(Prices[FX to SGD],MATCH($A253,Prices[Key],0)),1))</f>
        <v>1</v>
      </c>
      <c r="F253" s="30">
        <f>IF($A253="",0,(Transactions!M245-Transactions!L245+IF(Transactions!A245=2,Transactions!H245,0))*$E253)</f>
        <v>0</v>
      </c>
      <c r="G253" s="30">
        <f>IF($A253="",0,IF(Transactions!A245=2,Transactions!H245*$E253,0))</f>
        <v>0</v>
      </c>
    </row>
    <row r="254" spans="1:7" ht="15" customHeight="1" x14ac:dyDescent="0.15">
      <c r="A254" t="str">
        <f>IF(Transactions!J246="","",Transactions!J246)</f>
        <v/>
      </c>
      <c r="B254" s="297">
        <f ca="1">IF($A254="",TODAY(),Transactions!G246)</f>
        <v>46216</v>
      </c>
      <c r="C254" s="298" t="str">
        <f>IF($A254="","",Transactions!A246)</f>
        <v/>
      </c>
      <c r="D254" s="30">
        <f>IF($A254="",0,Transactions!H246)</f>
        <v>0</v>
      </c>
      <c r="E254" s="300">
        <f>IF($A254="",1,IFERROR(INDEX(Prices[FX to SGD],MATCH($A254,Prices[Key],0)),1))</f>
        <v>1</v>
      </c>
      <c r="F254" s="30">
        <f>IF($A254="",0,(Transactions!M246-Transactions!L246+IF(Transactions!A246=2,Transactions!H246,0))*$E254)</f>
        <v>0</v>
      </c>
      <c r="G254" s="30">
        <f>IF($A254="",0,IF(Transactions!A246=2,Transactions!H246*$E254,0))</f>
        <v>0</v>
      </c>
    </row>
    <row r="255" spans="1:7" ht="15" customHeight="1" x14ac:dyDescent="0.15">
      <c r="A255" t="str">
        <f>IF(Transactions!J247="","",Transactions!J247)</f>
        <v/>
      </c>
      <c r="B255" s="297">
        <f ca="1">IF($A255="",TODAY(),Transactions!G247)</f>
        <v>46216</v>
      </c>
      <c r="C255" s="298" t="str">
        <f>IF($A255="","",Transactions!A247)</f>
        <v/>
      </c>
      <c r="D255" s="30">
        <f>IF($A255="",0,Transactions!H247)</f>
        <v>0</v>
      </c>
      <c r="E255" s="300">
        <f>IF($A255="",1,IFERROR(INDEX(Prices[FX to SGD],MATCH($A255,Prices[Key],0)),1))</f>
        <v>1</v>
      </c>
      <c r="F255" s="30">
        <f>IF($A255="",0,(Transactions!M247-Transactions!L247+IF(Transactions!A247=2,Transactions!H247,0))*$E255)</f>
        <v>0</v>
      </c>
      <c r="G255" s="30">
        <f>IF($A255="",0,IF(Transactions!A247=2,Transactions!H247*$E255,0))</f>
        <v>0</v>
      </c>
    </row>
    <row r="256" spans="1:7" ht="15" customHeight="1" x14ac:dyDescent="0.15">
      <c r="A256" t="str">
        <f>IF(Transactions!J248="","",Transactions!J248)</f>
        <v/>
      </c>
      <c r="B256" s="297">
        <f ca="1">IF($A256="",TODAY(),Transactions!G248)</f>
        <v>46216</v>
      </c>
      <c r="C256" s="298" t="str">
        <f>IF($A256="","",Transactions!A248)</f>
        <v/>
      </c>
      <c r="D256" s="30">
        <f>IF($A256="",0,Transactions!H248)</f>
        <v>0</v>
      </c>
      <c r="E256" s="300">
        <f>IF($A256="",1,IFERROR(INDEX(Prices[FX to SGD],MATCH($A256,Prices[Key],0)),1))</f>
        <v>1</v>
      </c>
      <c r="F256" s="30">
        <f>IF($A256="",0,(Transactions!M248-Transactions!L248+IF(Transactions!A248=2,Transactions!H248,0))*$E256)</f>
        <v>0</v>
      </c>
      <c r="G256" s="30">
        <f>IF($A256="",0,IF(Transactions!A248=2,Transactions!H248*$E256,0))</f>
        <v>0</v>
      </c>
    </row>
    <row r="257" spans="1:7" ht="15" customHeight="1" x14ac:dyDescent="0.15">
      <c r="A257" t="str">
        <f>IF(Transactions!J249="","",Transactions!J249)</f>
        <v/>
      </c>
      <c r="B257" s="297">
        <f ca="1">IF($A257="",TODAY(),Transactions!G249)</f>
        <v>46216</v>
      </c>
      <c r="C257" s="298" t="str">
        <f>IF($A257="","",Transactions!A249)</f>
        <v/>
      </c>
      <c r="D257" s="30">
        <f>IF($A257="",0,Transactions!H249)</f>
        <v>0</v>
      </c>
      <c r="E257" s="300">
        <f>IF($A257="",1,IFERROR(INDEX(Prices[FX to SGD],MATCH($A257,Prices[Key],0)),1))</f>
        <v>1</v>
      </c>
      <c r="F257" s="30">
        <f>IF($A257="",0,(Transactions!M249-Transactions!L249+IF(Transactions!A249=2,Transactions!H249,0))*$E257)</f>
        <v>0</v>
      </c>
      <c r="G257" s="30">
        <f>IF($A257="",0,IF(Transactions!A249=2,Transactions!H249*$E257,0))</f>
        <v>0</v>
      </c>
    </row>
    <row r="258" spans="1:7" ht="15" customHeight="1" x14ac:dyDescent="0.15">
      <c r="A258" t="str">
        <f>IF(Transactions!J250="","",Transactions!J250)</f>
        <v/>
      </c>
      <c r="B258" s="297">
        <f ca="1">IF($A258="",TODAY(),Transactions!G250)</f>
        <v>46216</v>
      </c>
      <c r="C258" s="298" t="str">
        <f>IF($A258="","",Transactions!A250)</f>
        <v/>
      </c>
      <c r="D258" s="30">
        <f>IF($A258="",0,Transactions!H250)</f>
        <v>0</v>
      </c>
      <c r="E258" s="300">
        <f>IF($A258="",1,IFERROR(INDEX(Prices[FX to SGD],MATCH($A258,Prices[Key],0)),1))</f>
        <v>1</v>
      </c>
      <c r="F258" s="30">
        <f>IF($A258="",0,(Transactions!M250-Transactions!L250+IF(Transactions!A250=2,Transactions!H250,0))*$E258)</f>
        <v>0</v>
      </c>
      <c r="G258" s="30">
        <f>IF($A258="",0,IF(Transactions!A250=2,Transactions!H250*$E258,0))</f>
        <v>0</v>
      </c>
    </row>
    <row r="259" spans="1:7" ht="15" customHeight="1" x14ac:dyDescent="0.15">
      <c r="A259" t="str">
        <f>IF(Transactions!J251="","",Transactions!J251)</f>
        <v/>
      </c>
      <c r="B259" s="297">
        <f ca="1">IF($A259="",TODAY(),Transactions!G251)</f>
        <v>46216</v>
      </c>
      <c r="C259" s="298" t="str">
        <f>IF($A259="","",Transactions!A251)</f>
        <v/>
      </c>
      <c r="D259" s="30">
        <f>IF($A259="",0,Transactions!H251)</f>
        <v>0</v>
      </c>
      <c r="E259" s="300">
        <f>IF($A259="",1,IFERROR(INDEX(Prices[FX to SGD],MATCH($A259,Prices[Key],0)),1))</f>
        <v>1</v>
      </c>
      <c r="F259" s="30">
        <f>IF($A259="",0,(Transactions!M251-Transactions!L251+IF(Transactions!A251=2,Transactions!H251,0))*$E259)</f>
        <v>0</v>
      </c>
      <c r="G259" s="30">
        <f>IF($A259="",0,IF(Transactions!A251=2,Transactions!H251*$E259,0))</f>
        <v>0</v>
      </c>
    </row>
    <row r="260" spans="1:7" ht="15" customHeight="1" x14ac:dyDescent="0.15">
      <c r="A260" t="str">
        <f>IF(Transactions!J252="","",Transactions!J252)</f>
        <v/>
      </c>
      <c r="B260" s="297">
        <f ca="1">IF($A260="",TODAY(),Transactions!G252)</f>
        <v>46216</v>
      </c>
      <c r="C260" s="298" t="str">
        <f>IF($A260="","",Transactions!A252)</f>
        <v/>
      </c>
      <c r="D260" s="30">
        <f>IF($A260="",0,Transactions!H252)</f>
        <v>0</v>
      </c>
      <c r="E260" s="300">
        <f>IF($A260="",1,IFERROR(INDEX(Prices[FX to SGD],MATCH($A260,Prices[Key],0)),1))</f>
        <v>1</v>
      </c>
      <c r="F260" s="30">
        <f>IF($A260="",0,(Transactions!M252-Transactions!L252+IF(Transactions!A252=2,Transactions!H252,0))*$E260)</f>
        <v>0</v>
      </c>
      <c r="G260" s="30">
        <f>IF($A260="",0,IF(Transactions!A252=2,Transactions!H252*$E260,0))</f>
        <v>0</v>
      </c>
    </row>
    <row r="261" spans="1:7" ht="15" customHeight="1" x14ac:dyDescent="0.15">
      <c r="A261" t="str">
        <f>IF(Transactions!J253="","",Transactions!J253)</f>
        <v/>
      </c>
      <c r="B261" s="297">
        <f ca="1">IF($A261="",TODAY(),Transactions!G253)</f>
        <v>46216</v>
      </c>
      <c r="C261" s="298" t="str">
        <f>IF($A261="","",Transactions!A253)</f>
        <v/>
      </c>
      <c r="D261" s="30">
        <f>IF($A261="",0,Transactions!H253)</f>
        <v>0</v>
      </c>
      <c r="E261" s="300">
        <f>IF($A261="",1,IFERROR(INDEX(Prices[FX to SGD],MATCH($A261,Prices[Key],0)),1))</f>
        <v>1</v>
      </c>
      <c r="F261" s="30">
        <f>IF($A261="",0,(Transactions!M253-Transactions!L253+IF(Transactions!A253=2,Transactions!H253,0))*$E261)</f>
        <v>0</v>
      </c>
      <c r="G261" s="30">
        <f>IF($A261="",0,IF(Transactions!A253=2,Transactions!H253*$E261,0))</f>
        <v>0</v>
      </c>
    </row>
    <row r="262" spans="1:7" ht="15" customHeight="1" x14ac:dyDescent="0.15">
      <c r="A262" t="str">
        <f>IF(Transactions!J254="","",Transactions!J254)</f>
        <v/>
      </c>
      <c r="B262" s="297">
        <f ca="1">IF($A262="",TODAY(),Transactions!G254)</f>
        <v>46216</v>
      </c>
      <c r="C262" s="298" t="str">
        <f>IF($A262="","",Transactions!A254)</f>
        <v/>
      </c>
      <c r="D262" s="30">
        <f>IF($A262="",0,Transactions!H254)</f>
        <v>0</v>
      </c>
      <c r="E262" s="300">
        <f>IF($A262="",1,IFERROR(INDEX(Prices[FX to SGD],MATCH($A262,Prices[Key],0)),1))</f>
        <v>1</v>
      </c>
      <c r="F262" s="30">
        <f>IF($A262="",0,(Transactions!M254-Transactions!L254+IF(Transactions!A254=2,Transactions!H254,0))*$E262)</f>
        <v>0</v>
      </c>
      <c r="G262" s="30">
        <f>IF($A262="",0,IF(Transactions!A254=2,Transactions!H254*$E262,0))</f>
        <v>0</v>
      </c>
    </row>
    <row r="263" spans="1:7" ht="15" customHeight="1" x14ac:dyDescent="0.15">
      <c r="A263" t="str">
        <f>IF(Transactions!J255="","",Transactions!J255)</f>
        <v/>
      </c>
      <c r="B263" s="297">
        <f ca="1">IF($A263="",TODAY(),Transactions!G255)</f>
        <v>46216</v>
      </c>
      <c r="C263" s="298" t="str">
        <f>IF($A263="","",Transactions!A255)</f>
        <v/>
      </c>
      <c r="D263" s="30">
        <f>IF($A263="",0,Transactions!H255)</f>
        <v>0</v>
      </c>
      <c r="E263" s="300">
        <f>IF($A263="",1,IFERROR(INDEX(Prices[FX to SGD],MATCH($A263,Prices[Key],0)),1))</f>
        <v>1</v>
      </c>
      <c r="F263" s="30">
        <f>IF($A263="",0,(Transactions!M255-Transactions!L255+IF(Transactions!A255=2,Transactions!H255,0))*$E263)</f>
        <v>0</v>
      </c>
      <c r="G263" s="30">
        <f>IF($A263="",0,IF(Transactions!A255=2,Transactions!H255*$E263,0))</f>
        <v>0</v>
      </c>
    </row>
    <row r="264" spans="1:7" ht="15" customHeight="1" x14ac:dyDescent="0.15">
      <c r="A264" t="str">
        <f>IF(Transactions!J256="","",Transactions!J256)</f>
        <v/>
      </c>
      <c r="B264" s="297">
        <f ca="1">IF($A264="",TODAY(),Transactions!G256)</f>
        <v>46216</v>
      </c>
      <c r="C264" s="298" t="str">
        <f>IF($A264="","",Transactions!A256)</f>
        <v/>
      </c>
      <c r="D264" s="30">
        <f>IF($A264="",0,Transactions!H256)</f>
        <v>0</v>
      </c>
      <c r="E264" s="300">
        <f>IF($A264="",1,IFERROR(INDEX(Prices[FX to SGD],MATCH($A264,Prices[Key],0)),1))</f>
        <v>1</v>
      </c>
      <c r="F264" s="30">
        <f>IF($A264="",0,(Transactions!M256-Transactions!L256+IF(Transactions!A256=2,Transactions!H256,0))*$E264)</f>
        <v>0</v>
      </c>
      <c r="G264" s="30">
        <f>IF($A264="",0,IF(Transactions!A256=2,Transactions!H256*$E264,0))</f>
        <v>0</v>
      </c>
    </row>
    <row r="265" spans="1:7" ht="15" customHeight="1" x14ac:dyDescent="0.15">
      <c r="A265" t="str">
        <f>IF(Transactions!J257="","",Transactions!J257)</f>
        <v/>
      </c>
      <c r="B265" s="297">
        <f ca="1">IF($A265="",TODAY(),Transactions!G257)</f>
        <v>46216</v>
      </c>
      <c r="C265" s="298" t="str">
        <f>IF($A265="","",Transactions!A257)</f>
        <v/>
      </c>
      <c r="D265" s="30">
        <f>IF($A265="",0,Transactions!H257)</f>
        <v>0</v>
      </c>
      <c r="E265" s="300">
        <f>IF($A265="",1,IFERROR(INDEX(Prices[FX to SGD],MATCH($A265,Prices[Key],0)),1))</f>
        <v>1</v>
      </c>
      <c r="F265" s="30">
        <f>IF($A265="",0,(Transactions!M257-Transactions!L257+IF(Transactions!A257=2,Transactions!H257,0))*$E265)</f>
        <v>0</v>
      </c>
      <c r="G265" s="30">
        <f>IF($A265="",0,IF(Transactions!A257=2,Transactions!H257*$E265,0))</f>
        <v>0</v>
      </c>
    </row>
    <row r="266" spans="1:7" ht="15" customHeight="1" x14ac:dyDescent="0.15">
      <c r="A266" t="str">
        <f>IF(Transactions!J258="","",Transactions!J258)</f>
        <v/>
      </c>
      <c r="B266" s="297">
        <f ca="1">IF($A266="",TODAY(),Transactions!G258)</f>
        <v>46216</v>
      </c>
      <c r="C266" s="298" t="str">
        <f>IF($A266="","",Transactions!A258)</f>
        <v/>
      </c>
      <c r="D266" s="30">
        <f>IF($A266="",0,Transactions!H258)</f>
        <v>0</v>
      </c>
      <c r="E266" s="300">
        <f>IF($A266="",1,IFERROR(INDEX(Prices[FX to SGD],MATCH($A266,Prices[Key],0)),1))</f>
        <v>1</v>
      </c>
      <c r="F266" s="30">
        <f>IF($A266="",0,(Transactions!M258-Transactions!L258+IF(Transactions!A258=2,Transactions!H258,0))*$E266)</f>
        <v>0</v>
      </c>
      <c r="G266" s="30">
        <f>IF($A266="",0,IF(Transactions!A258=2,Transactions!H258*$E266,0))</f>
        <v>0</v>
      </c>
    </row>
    <row r="267" spans="1:7" ht="15" customHeight="1" x14ac:dyDescent="0.15">
      <c r="A267" t="str">
        <f>IF(Transactions!J259="","",Transactions!J259)</f>
        <v/>
      </c>
      <c r="B267" s="297">
        <f ca="1">IF($A267="",TODAY(),Transactions!G259)</f>
        <v>46216</v>
      </c>
      <c r="C267" s="298" t="str">
        <f>IF($A267="","",Transactions!A259)</f>
        <v/>
      </c>
      <c r="D267" s="30">
        <f>IF($A267="",0,Transactions!H259)</f>
        <v>0</v>
      </c>
      <c r="E267" s="300">
        <f>IF($A267="",1,IFERROR(INDEX(Prices[FX to SGD],MATCH($A267,Prices[Key],0)),1))</f>
        <v>1</v>
      </c>
      <c r="F267" s="30">
        <f>IF($A267="",0,(Transactions!M259-Transactions!L259+IF(Transactions!A259=2,Transactions!H259,0))*$E267)</f>
        <v>0</v>
      </c>
      <c r="G267" s="30">
        <f>IF($A267="",0,IF(Transactions!A259=2,Transactions!H259*$E267,0))</f>
        <v>0</v>
      </c>
    </row>
    <row r="268" spans="1:7" ht="15" customHeight="1" x14ac:dyDescent="0.15">
      <c r="A268" t="str">
        <f>IF(Transactions!J260="","",Transactions!J260)</f>
        <v/>
      </c>
      <c r="B268" s="297">
        <f ca="1">IF($A268="",TODAY(),Transactions!G260)</f>
        <v>46216</v>
      </c>
      <c r="C268" s="298" t="str">
        <f>IF($A268="","",Transactions!A260)</f>
        <v/>
      </c>
      <c r="D268" s="30">
        <f>IF($A268="",0,Transactions!H260)</f>
        <v>0</v>
      </c>
      <c r="E268" s="300">
        <f>IF($A268="",1,IFERROR(INDEX(Prices[FX to SGD],MATCH($A268,Prices[Key],0)),1))</f>
        <v>1</v>
      </c>
      <c r="F268" s="30">
        <f>IF($A268="",0,(Transactions!M260-Transactions!L260+IF(Transactions!A260=2,Transactions!H260,0))*$E268)</f>
        <v>0</v>
      </c>
      <c r="G268" s="30">
        <f>IF($A268="",0,IF(Transactions!A260=2,Transactions!H260*$E268,0))</f>
        <v>0</v>
      </c>
    </row>
    <row r="269" spans="1:7" ht="15" customHeight="1" x14ac:dyDescent="0.15">
      <c r="A269" t="str">
        <f>IF(Transactions!J261="","",Transactions!J261)</f>
        <v/>
      </c>
      <c r="B269" s="297">
        <f ca="1">IF($A269="",TODAY(),Transactions!G261)</f>
        <v>46216</v>
      </c>
      <c r="C269" s="298" t="str">
        <f>IF($A269="","",Transactions!A261)</f>
        <v/>
      </c>
      <c r="D269" s="30">
        <f>IF($A269="",0,Transactions!H261)</f>
        <v>0</v>
      </c>
      <c r="E269" s="300">
        <f>IF($A269="",1,IFERROR(INDEX(Prices[FX to SGD],MATCH($A269,Prices[Key],0)),1))</f>
        <v>1</v>
      </c>
      <c r="F269" s="30">
        <f>IF($A269="",0,(Transactions!M261-Transactions!L261+IF(Transactions!A261=2,Transactions!H261,0))*$E269)</f>
        <v>0</v>
      </c>
      <c r="G269" s="30">
        <f>IF($A269="",0,IF(Transactions!A261=2,Transactions!H261*$E269,0))</f>
        <v>0</v>
      </c>
    </row>
    <row r="270" spans="1:7" ht="15" customHeight="1" x14ac:dyDescent="0.15">
      <c r="A270" t="str">
        <f>IF(Transactions!J262="","",Transactions!J262)</f>
        <v/>
      </c>
      <c r="B270" s="297">
        <f ca="1">IF($A270="",TODAY(),Transactions!G262)</f>
        <v>46216</v>
      </c>
      <c r="C270" s="298" t="str">
        <f>IF($A270="","",Transactions!A262)</f>
        <v/>
      </c>
      <c r="D270" s="30">
        <f>IF($A270="",0,Transactions!H262)</f>
        <v>0</v>
      </c>
      <c r="E270" s="300">
        <f>IF($A270="",1,IFERROR(INDEX(Prices[FX to SGD],MATCH($A270,Prices[Key],0)),1))</f>
        <v>1</v>
      </c>
      <c r="F270" s="30">
        <f>IF($A270="",0,(Transactions!M262-Transactions!L262+IF(Transactions!A262=2,Transactions!H262,0))*$E270)</f>
        <v>0</v>
      </c>
      <c r="G270" s="30">
        <f>IF($A270="",0,IF(Transactions!A262=2,Transactions!H262*$E270,0))</f>
        <v>0</v>
      </c>
    </row>
    <row r="271" spans="1:7" ht="15" customHeight="1" x14ac:dyDescent="0.15">
      <c r="A271" t="str">
        <f>IF(Transactions!J263="","",Transactions!J263)</f>
        <v/>
      </c>
      <c r="B271" s="297">
        <f ca="1">IF($A271="",TODAY(),Transactions!G263)</f>
        <v>46216</v>
      </c>
      <c r="C271" s="298" t="str">
        <f>IF($A271="","",Transactions!A263)</f>
        <v/>
      </c>
      <c r="D271" s="30">
        <f>IF($A271="",0,Transactions!H263)</f>
        <v>0</v>
      </c>
      <c r="E271" s="300">
        <f>IF($A271="",1,IFERROR(INDEX(Prices[FX to SGD],MATCH($A271,Prices[Key],0)),1))</f>
        <v>1</v>
      </c>
      <c r="F271" s="30">
        <f>IF($A271="",0,(Transactions!M263-Transactions!L263+IF(Transactions!A263=2,Transactions!H263,0))*$E271)</f>
        <v>0</v>
      </c>
      <c r="G271" s="30">
        <f>IF($A271="",0,IF(Transactions!A263=2,Transactions!H263*$E271,0))</f>
        <v>0</v>
      </c>
    </row>
    <row r="272" spans="1:7" ht="15" customHeight="1" x14ac:dyDescent="0.15">
      <c r="A272" t="str">
        <f>IF(Transactions!J264="","",Transactions!J264)</f>
        <v/>
      </c>
      <c r="B272" s="297">
        <f ca="1">IF($A272="",TODAY(),Transactions!G264)</f>
        <v>46216</v>
      </c>
      <c r="C272" s="298" t="str">
        <f>IF($A272="","",Transactions!A264)</f>
        <v/>
      </c>
      <c r="D272" s="30">
        <f>IF($A272="",0,Transactions!H264)</f>
        <v>0</v>
      </c>
      <c r="E272" s="300">
        <f>IF($A272="",1,IFERROR(INDEX(Prices[FX to SGD],MATCH($A272,Prices[Key],0)),1))</f>
        <v>1</v>
      </c>
      <c r="F272" s="30">
        <f>IF($A272="",0,(Transactions!M264-Transactions!L264+IF(Transactions!A264=2,Transactions!H264,0))*$E272)</f>
        <v>0</v>
      </c>
      <c r="G272" s="30">
        <f>IF($A272="",0,IF(Transactions!A264=2,Transactions!H264*$E272,0))</f>
        <v>0</v>
      </c>
    </row>
    <row r="273" spans="1:7" ht="15" customHeight="1" x14ac:dyDescent="0.15">
      <c r="A273" t="str">
        <f>IF(Transactions!J265="","",Transactions!J265)</f>
        <v/>
      </c>
      <c r="B273" s="297">
        <f ca="1">IF($A273="",TODAY(),Transactions!G265)</f>
        <v>46216</v>
      </c>
      <c r="C273" s="298" t="str">
        <f>IF($A273="","",Transactions!A265)</f>
        <v/>
      </c>
      <c r="D273" s="30">
        <f>IF($A273="",0,Transactions!H265)</f>
        <v>0</v>
      </c>
      <c r="E273" s="300">
        <f>IF($A273="",1,IFERROR(INDEX(Prices[FX to SGD],MATCH($A273,Prices[Key],0)),1))</f>
        <v>1</v>
      </c>
      <c r="F273" s="30">
        <f>IF($A273="",0,(Transactions!M265-Transactions!L265+IF(Transactions!A265=2,Transactions!H265,0))*$E273)</f>
        <v>0</v>
      </c>
      <c r="G273" s="30">
        <f>IF($A273="",0,IF(Transactions!A265=2,Transactions!H265*$E273,0))</f>
        <v>0</v>
      </c>
    </row>
    <row r="274" spans="1:7" ht="15" customHeight="1" x14ac:dyDescent="0.15">
      <c r="A274" t="str">
        <f>IF(Transactions!J266="","",Transactions!J266)</f>
        <v/>
      </c>
      <c r="B274" s="297">
        <f ca="1">IF($A274="",TODAY(),Transactions!G266)</f>
        <v>46216</v>
      </c>
      <c r="C274" s="298" t="str">
        <f>IF($A274="","",Transactions!A266)</f>
        <v/>
      </c>
      <c r="D274" s="30">
        <f>IF($A274="",0,Transactions!H266)</f>
        <v>0</v>
      </c>
      <c r="E274" s="300">
        <f>IF($A274="",1,IFERROR(INDEX(Prices[FX to SGD],MATCH($A274,Prices[Key],0)),1))</f>
        <v>1</v>
      </c>
      <c r="F274" s="30">
        <f>IF($A274="",0,(Transactions!M266-Transactions!L266+IF(Transactions!A266=2,Transactions!H266,0))*$E274)</f>
        <v>0</v>
      </c>
      <c r="G274" s="30">
        <f>IF($A274="",0,IF(Transactions!A266=2,Transactions!H266*$E274,0))</f>
        <v>0</v>
      </c>
    </row>
    <row r="275" spans="1:7" ht="15" customHeight="1" x14ac:dyDescent="0.15">
      <c r="A275" t="str">
        <f>IF(Transactions!J267="","",Transactions!J267)</f>
        <v/>
      </c>
      <c r="B275" s="297">
        <f ca="1">IF($A275="",TODAY(),Transactions!G267)</f>
        <v>46216</v>
      </c>
      <c r="C275" s="298" t="str">
        <f>IF($A275="","",Transactions!A267)</f>
        <v/>
      </c>
      <c r="D275" s="30">
        <f>IF($A275="",0,Transactions!H267)</f>
        <v>0</v>
      </c>
      <c r="E275" s="300">
        <f>IF($A275="",1,IFERROR(INDEX(Prices[FX to SGD],MATCH($A275,Prices[Key],0)),1))</f>
        <v>1</v>
      </c>
      <c r="F275" s="30">
        <f>IF($A275="",0,(Transactions!M267-Transactions!L267+IF(Transactions!A267=2,Transactions!H267,0))*$E275)</f>
        <v>0</v>
      </c>
      <c r="G275" s="30">
        <f>IF($A275="",0,IF(Transactions!A267=2,Transactions!H267*$E275,0))</f>
        <v>0</v>
      </c>
    </row>
    <row r="276" spans="1:7" ht="15" customHeight="1" x14ac:dyDescent="0.15">
      <c r="A276" t="str">
        <f>IF(Transactions!J268="","",Transactions!J268)</f>
        <v/>
      </c>
      <c r="B276" s="297">
        <f ca="1">IF($A276="",TODAY(),Transactions!G268)</f>
        <v>46216</v>
      </c>
      <c r="C276" s="298" t="str">
        <f>IF($A276="","",Transactions!A268)</f>
        <v/>
      </c>
      <c r="D276" s="30">
        <f>IF($A276="",0,Transactions!H268)</f>
        <v>0</v>
      </c>
      <c r="E276" s="300">
        <f>IF($A276="",1,IFERROR(INDEX(Prices[FX to SGD],MATCH($A276,Prices[Key],0)),1))</f>
        <v>1</v>
      </c>
      <c r="F276" s="30">
        <f>IF($A276="",0,(Transactions!M268-Transactions!L268+IF(Transactions!A268=2,Transactions!H268,0))*$E276)</f>
        <v>0</v>
      </c>
      <c r="G276" s="30">
        <f>IF($A276="",0,IF(Transactions!A268=2,Transactions!H268*$E276,0))</f>
        <v>0</v>
      </c>
    </row>
    <row r="277" spans="1:7" ht="15" customHeight="1" x14ac:dyDescent="0.15">
      <c r="A277" t="str">
        <f>IF(Transactions!J269="","",Transactions!J269)</f>
        <v/>
      </c>
      <c r="B277" s="297">
        <f ca="1">IF($A277="",TODAY(),Transactions!G269)</f>
        <v>46216</v>
      </c>
      <c r="C277" s="298" t="str">
        <f>IF($A277="","",Transactions!A269)</f>
        <v/>
      </c>
      <c r="D277" s="30">
        <f>IF($A277="",0,Transactions!H269)</f>
        <v>0</v>
      </c>
      <c r="E277" s="300">
        <f>IF($A277="",1,IFERROR(INDEX(Prices[FX to SGD],MATCH($A277,Prices[Key],0)),1))</f>
        <v>1</v>
      </c>
      <c r="F277" s="30">
        <f>IF($A277="",0,(Transactions!M269-Transactions!L269+IF(Transactions!A269=2,Transactions!H269,0))*$E277)</f>
        <v>0</v>
      </c>
      <c r="G277" s="30">
        <f>IF($A277="",0,IF(Transactions!A269=2,Transactions!H269*$E277,0))</f>
        <v>0</v>
      </c>
    </row>
    <row r="278" spans="1:7" ht="15" customHeight="1" x14ac:dyDescent="0.15">
      <c r="A278" t="str">
        <f>IF(Transactions!J270="","",Transactions!J270)</f>
        <v/>
      </c>
      <c r="B278" s="297">
        <f ca="1">IF($A278="",TODAY(),Transactions!G270)</f>
        <v>46216</v>
      </c>
      <c r="C278" s="298" t="str">
        <f>IF($A278="","",Transactions!A270)</f>
        <v/>
      </c>
      <c r="D278" s="30">
        <f>IF($A278="",0,Transactions!H270)</f>
        <v>0</v>
      </c>
      <c r="E278" s="300">
        <f>IF($A278="",1,IFERROR(INDEX(Prices[FX to SGD],MATCH($A278,Prices[Key],0)),1))</f>
        <v>1</v>
      </c>
      <c r="F278" s="30">
        <f>IF($A278="",0,(Transactions!M270-Transactions!L270+IF(Transactions!A270=2,Transactions!H270,0))*$E278)</f>
        <v>0</v>
      </c>
      <c r="G278" s="30">
        <f>IF($A278="",0,IF(Transactions!A270=2,Transactions!H270*$E278,0))</f>
        <v>0</v>
      </c>
    </row>
    <row r="279" spans="1:7" ht="15" customHeight="1" x14ac:dyDescent="0.15">
      <c r="A279" t="str">
        <f>IF(Transactions!J271="","",Transactions!J271)</f>
        <v/>
      </c>
      <c r="B279" s="297">
        <f ca="1">IF($A279="",TODAY(),Transactions!G271)</f>
        <v>46216</v>
      </c>
      <c r="C279" s="298" t="str">
        <f>IF($A279="","",Transactions!A271)</f>
        <v/>
      </c>
      <c r="D279" s="30">
        <f>IF($A279="",0,Transactions!H271)</f>
        <v>0</v>
      </c>
      <c r="E279" s="300">
        <f>IF($A279="",1,IFERROR(INDEX(Prices[FX to SGD],MATCH($A279,Prices[Key],0)),1))</f>
        <v>1</v>
      </c>
      <c r="F279" s="30">
        <f>IF($A279="",0,(Transactions!M271-Transactions!L271+IF(Transactions!A271=2,Transactions!H271,0))*$E279)</f>
        <v>0</v>
      </c>
      <c r="G279" s="30">
        <f>IF($A279="",0,IF(Transactions!A271=2,Transactions!H271*$E279,0))</f>
        <v>0</v>
      </c>
    </row>
    <row r="280" spans="1:7" ht="15" customHeight="1" x14ac:dyDescent="0.15">
      <c r="A280" t="str">
        <f>IF(Transactions!J272="","",Transactions!J272)</f>
        <v/>
      </c>
      <c r="B280" s="297">
        <f ca="1">IF($A280="",TODAY(),Transactions!G272)</f>
        <v>46216</v>
      </c>
      <c r="C280" s="298" t="str">
        <f>IF($A280="","",Transactions!A272)</f>
        <v/>
      </c>
      <c r="D280" s="30">
        <f>IF($A280="",0,Transactions!H272)</f>
        <v>0</v>
      </c>
      <c r="E280" s="300">
        <f>IF($A280="",1,IFERROR(INDEX(Prices[FX to SGD],MATCH($A280,Prices[Key],0)),1))</f>
        <v>1</v>
      </c>
      <c r="F280" s="30">
        <f>IF($A280="",0,(Transactions!M272-Transactions!L272+IF(Transactions!A272=2,Transactions!H272,0))*$E280)</f>
        <v>0</v>
      </c>
      <c r="G280" s="30">
        <f>IF($A280="",0,IF(Transactions!A272=2,Transactions!H272*$E280,0))</f>
        <v>0</v>
      </c>
    </row>
    <row r="281" spans="1:7" ht="15" customHeight="1" x14ac:dyDescent="0.15">
      <c r="A281" t="str">
        <f>IF(Transactions!J273="","",Transactions!J273)</f>
        <v/>
      </c>
      <c r="B281" s="297">
        <f ca="1">IF($A281="",TODAY(),Transactions!G273)</f>
        <v>46216</v>
      </c>
      <c r="C281" s="298" t="str">
        <f>IF($A281="","",Transactions!A273)</f>
        <v/>
      </c>
      <c r="D281" s="30">
        <f>IF($A281="",0,Transactions!H273)</f>
        <v>0</v>
      </c>
      <c r="E281" s="300">
        <f>IF($A281="",1,IFERROR(INDEX(Prices[FX to SGD],MATCH($A281,Prices[Key],0)),1))</f>
        <v>1</v>
      </c>
      <c r="F281" s="30">
        <f>IF($A281="",0,(Transactions!M273-Transactions!L273+IF(Transactions!A273=2,Transactions!H273,0))*$E281)</f>
        <v>0</v>
      </c>
      <c r="G281" s="30">
        <f>IF($A281="",0,IF(Transactions!A273=2,Transactions!H273*$E281,0))</f>
        <v>0</v>
      </c>
    </row>
    <row r="282" spans="1:7" ht="15" customHeight="1" x14ac:dyDescent="0.15">
      <c r="A282" t="str">
        <f>IF(Transactions!J274="","",Transactions!J274)</f>
        <v/>
      </c>
      <c r="B282" s="297">
        <f ca="1">IF($A282="",TODAY(),Transactions!G274)</f>
        <v>46216</v>
      </c>
      <c r="C282" s="298" t="str">
        <f>IF($A282="","",Transactions!A274)</f>
        <v/>
      </c>
      <c r="D282" s="30">
        <f>IF($A282="",0,Transactions!H274)</f>
        <v>0</v>
      </c>
      <c r="E282" s="300">
        <f>IF($A282="",1,IFERROR(INDEX(Prices[FX to SGD],MATCH($A282,Prices[Key],0)),1))</f>
        <v>1</v>
      </c>
      <c r="F282" s="30">
        <f>IF($A282="",0,(Transactions!M274-Transactions!L274+IF(Transactions!A274=2,Transactions!H274,0))*$E282)</f>
        <v>0</v>
      </c>
      <c r="G282" s="30">
        <f>IF($A282="",0,IF(Transactions!A274=2,Transactions!H274*$E282,0))</f>
        <v>0</v>
      </c>
    </row>
    <row r="283" spans="1:7" ht="15" customHeight="1" x14ac:dyDescent="0.15">
      <c r="A283" t="str">
        <f>IF(Transactions!J275="","",Transactions!J275)</f>
        <v/>
      </c>
      <c r="B283" s="297">
        <f ca="1">IF($A283="",TODAY(),Transactions!G275)</f>
        <v>46216</v>
      </c>
      <c r="C283" s="298" t="str">
        <f>IF($A283="","",Transactions!A275)</f>
        <v/>
      </c>
      <c r="D283" s="30">
        <f>IF($A283="",0,Transactions!H275)</f>
        <v>0</v>
      </c>
      <c r="E283" s="300">
        <f>IF($A283="",1,IFERROR(INDEX(Prices[FX to SGD],MATCH($A283,Prices[Key],0)),1))</f>
        <v>1</v>
      </c>
      <c r="F283" s="30">
        <f>IF($A283="",0,(Transactions!M275-Transactions!L275+IF(Transactions!A275=2,Transactions!H275,0))*$E283)</f>
        <v>0</v>
      </c>
      <c r="G283" s="30">
        <f>IF($A283="",0,IF(Transactions!A275=2,Transactions!H275*$E283,0))</f>
        <v>0</v>
      </c>
    </row>
    <row r="284" spans="1:7" ht="15" customHeight="1" x14ac:dyDescent="0.15">
      <c r="A284" t="str">
        <f>IF(Transactions!J276="","",Transactions!J276)</f>
        <v/>
      </c>
      <c r="B284" s="297">
        <f ca="1">IF($A284="",TODAY(),Transactions!G276)</f>
        <v>46216</v>
      </c>
      <c r="C284" s="298" t="str">
        <f>IF($A284="","",Transactions!A276)</f>
        <v/>
      </c>
      <c r="D284" s="30">
        <f>IF($A284="",0,Transactions!H276)</f>
        <v>0</v>
      </c>
      <c r="E284" s="300">
        <f>IF($A284="",1,IFERROR(INDEX(Prices[FX to SGD],MATCH($A284,Prices[Key],0)),1))</f>
        <v>1</v>
      </c>
      <c r="F284" s="30">
        <f>IF($A284="",0,(Transactions!M276-Transactions!L276+IF(Transactions!A276=2,Transactions!H276,0))*$E284)</f>
        <v>0</v>
      </c>
      <c r="G284" s="30">
        <f>IF($A284="",0,IF(Transactions!A276=2,Transactions!H276*$E284,0))</f>
        <v>0</v>
      </c>
    </row>
    <row r="285" spans="1:7" ht="15" customHeight="1" x14ac:dyDescent="0.15">
      <c r="A285" t="str">
        <f>IF(Transactions!J277="","",Transactions!J277)</f>
        <v/>
      </c>
      <c r="B285" s="297">
        <f ca="1">IF($A285="",TODAY(),Transactions!G277)</f>
        <v>46216</v>
      </c>
      <c r="C285" s="298" t="str">
        <f>IF($A285="","",Transactions!A277)</f>
        <v/>
      </c>
      <c r="D285" s="30">
        <f>IF($A285="",0,Transactions!H277)</f>
        <v>0</v>
      </c>
      <c r="E285" s="300">
        <f>IF($A285="",1,IFERROR(INDEX(Prices[FX to SGD],MATCH($A285,Prices[Key],0)),1))</f>
        <v>1</v>
      </c>
      <c r="F285" s="30">
        <f>IF($A285="",0,(Transactions!M277-Transactions!L277+IF(Transactions!A277=2,Transactions!H277,0))*$E285)</f>
        <v>0</v>
      </c>
      <c r="G285" s="30">
        <f>IF($A285="",0,IF(Transactions!A277=2,Transactions!H277*$E285,0))</f>
        <v>0</v>
      </c>
    </row>
    <row r="286" spans="1:7" ht="15" customHeight="1" x14ac:dyDescent="0.15">
      <c r="A286" t="str">
        <f>IF(Transactions!J278="","",Transactions!J278)</f>
        <v/>
      </c>
      <c r="B286" s="297">
        <f ca="1">IF($A286="",TODAY(),Transactions!G278)</f>
        <v>46216</v>
      </c>
      <c r="C286" s="298" t="str">
        <f>IF($A286="","",Transactions!A278)</f>
        <v/>
      </c>
      <c r="D286" s="30">
        <f>IF($A286="",0,Transactions!H278)</f>
        <v>0</v>
      </c>
      <c r="E286" s="300">
        <f>IF($A286="",1,IFERROR(INDEX(Prices[FX to SGD],MATCH($A286,Prices[Key],0)),1))</f>
        <v>1</v>
      </c>
      <c r="F286" s="30">
        <f>IF($A286="",0,(Transactions!M278-Transactions!L278+IF(Transactions!A278=2,Transactions!H278,0))*$E286)</f>
        <v>0</v>
      </c>
      <c r="G286" s="30">
        <f>IF($A286="",0,IF(Transactions!A278=2,Transactions!H278*$E286,0))</f>
        <v>0</v>
      </c>
    </row>
    <row r="287" spans="1:7" ht="15" customHeight="1" x14ac:dyDescent="0.15">
      <c r="A287" t="str">
        <f>IF(Transactions!J279="","",Transactions!J279)</f>
        <v/>
      </c>
      <c r="B287" s="297">
        <f ca="1">IF($A287="",TODAY(),Transactions!G279)</f>
        <v>46216</v>
      </c>
      <c r="C287" s="298" t="str">
        <f>IF($A287="","",Transactions!A279)</f>
        <v/>
      </c>
      <c r="D287" s="30">
        <f>IF($A287="",0,Transactions!H279)</f>
        <v>0</v>
      </c>
      <c r="E287" s="300">
        <f>IF($A287="",1,IFERROR(INDEX(Prices[FX to SGD],MATCH($A287,Prices[Key],0)),1))</f>
        <v>1</v>
      </c>
      <c r="F287" s="30">
        <f>IF($A287="",0,(Transactions!M279-Transactions!L279+IF(Transactions!A279=2,Transactions!H279,0))*$E287)</f>
        <v>0</v>
      </c>
      <c r="G287" s="30">
        <f>IF($A287="",0,IF(Transactions!A279=2,Transactions!H279*$E287,0))</f>
        <v>0</v>
      </c>
    </row>
    <row r="288" spans="1:7" ht="15" customHeight="1" x14ac:dyDescent="0.15">
      <c r="A288" t="str">
        <f>IF(Transactions!J280="","",Transactions!J280)</f>
        <v/>
      </c>
      <c r="B288" s="297">
        <f ca="1">IF($A288="",TODAY(),Transactions!G280)</f>
        <v>46216</v>
      </c>
      <c r="C288" s="298" t="str">
        <f>IF($A288="","",Transactions!A280)</f>
        <v/>
      </c>
      <c r="D288" s="30">
        <f>IF($A288="",0,Transactions!H280)</f>
        <v>0</v>
      </c>
      <c r="E288" s="300">
        <f>IF($A288="",1,IFERROR(INDEX(Prices[FX to SGD],MATCH($A288,Prices[Key],0)),1))</f>
        <v>1</v>
      </c>
      <c r="F288" s="30">
        <f>IF($A288="",0,(Transactions!M280-Transactions!L280+IF(Transactions!A280=2,Transactions!H280,0))*$E288)</f>
        <v>0</v>
      </c>
      <c r="G288" s="30">
        <f>IF($A288="",0,IF(Transactions!A280=2,Transactions!H280*$E288,0))</f>
        <v>0</v>
      </c>
    </row>
    <row r="289" spans="1:7" ht="15" customHeight="1" x14ac:dyDescent="0.15">
      <c r="A289" t="str">
        <f>IF(Transactions!J281="","",Transactions!J281)</f>
        <v/>
      </c>
      <c r="B289" s="297">
        <f ca="1">IF($A289="",TODAY(),Transactions!G281)</f>
        <v>46216</v>
      </c>
      <c r="C289" s="298" t="str">
        <f>IF($A289="","",Transactions!A281)</f>
        <v/>
      </c>
      <c r="D289" s="30">
        <f>IF($A289="",0,Transactions!H281)</f>
        <v>0</v>
      </c>
      <c r="E289" s="300">
        <f>IF($A289="",1,IFERROR(INDEX(Prices[FX to SGD],MATCH($A289,Prices[Key],0)),1))</f>
        <v>1</v>
      </c>
      <c r="F289" s="30">
        <f>IF($A289="",0,(Transactions!M281-Transactions!L281+IF(Transactions!A281=2,Transactions!H281,0))*$E289)</f>
        <v>0</v>
      </c>
      <c r="G289" s="30">
        <f>IF($A289="",0,IF(Transactions!A281=2,Transactions!H281*$E289,0))</f>
        <v>0</v>
      </c>
    </row>
    <row r="290" spans="1:7" ht="15" customHeight="1" x14ac:dyDescent="0.15">
      <c r="A290" t="str">
        <f>IF(Transactions!J282="","",Transactions!J282)</f>
        <v/>
      </c>
      <c r="B290" s="297">
        <f ca="1">IF($A290="",TODAY(),Transactions!G282)</f>
        <v>46216</v>
      </c>
      <c r="C290" s="298" t="str">
        <f>IF($A290="","",Transactions!A282)</f>
        <v/>
      </c>
      <c r="D290" s="30">
        <f>IF($A290="",0,Transactions!H282)</f>
        <v>0</v>
      </c>
      <c r="E290" s="300">
        <f>IF($A290="",1,IFERROR(INDEX(Prices[FX to SGD],MATCH($A290,Prices[Key],0)),1))</f>
        <v>1</v>
      </c>
      <c r="F290" s="30">
        <f>IF($A290="",0,(Transactions!M282-Transactions!L282+IF(Transactions!A282=2,Transactions!H282,0))*$E290)</f>
        <v>0</v>
      </c>
      <c r="G290" s="30">
        <f>IF($A290="",0,IF(Transactions!A282=2,Transactions!H282*$E290,0))</f>
        <v>0</v>
      </c>
    </row>
    <row r="291" spans="1:7" ht="15" customHeight="1" x14ac:dyDescent="0.15">
      <c r="A291" t="str">
        <f>IF(Transactions!J283="","",Transactions!J283)</f>
        <v/>
      </c>
      <c r="B291" s="297">
        <f ca="1">IF($A291="",TODAY(),Transactions!G283)</f>
        <v>46216</v>
      </c>
      <c r="C291" s="298" t="str">
        <f>IF($A291="","",Transactions!A283)</f>
        <v/>
      </c>
      <c r="D291" s="30">
        <f>IF($A291="",0,Transactions!H283)</f>
        <v>0</v>
      </c>
      <c r="E291" s="299">
        <f>IF($A291="",1,IFERROR(INDEX(Prices[FX to SGD],MATCH($A291,Prices[Key],0)),1))</f>
        <v>1</v>
      </c>
      <c r="F291" s="30">
        <f>IF($A291="",0,(Transactions!M283-Transactions!L283+IF(Transactions!A283=2,Transactions!H283,0))*$E291)</f>
        <v>0</v>
      </c>
      <c r="G291" s="30">
        <f>IF($A291="",0,IF(Transactions!A283=2,Transactions!H283*$E291,0))</f>
        <v>0</v>
      </c>
    </row>
    <row r="292" spans="1:7" ht="15" customHeight="1" x14ac:dyDescent="0.15">
      <c r="A292" t="str">
        <f>IF(Transactions!J284="","",Transactions!J284)</f>
        <v/>
      </c>
      <c r="B292" s="297">
        <f ca="1">IF($A292="",TODAY(),Transactions!G284)</f>
        <v>46216</v>
      </c>
      <c r="C292" s="298" t="str">
        <f>IF($A292="","",Transactions!A284)</f>
        <v/>
      </c>
      <c r="D292" s="30">
        <f>IF($A292="",0,Transactions!H284)</f>
        <v>0</v>
      </c>
      <c r="E292" s="299">
        <f>IF($A292="",1,IFERROR(INDEX(Prices[FX to SGD],MATCH($A292,Prices[Key],0)),1))</f>
        <v>1</v>
      </c>
      <c r="F292" s="30">
        <f>IF($A292="",0,(Transactions!M284-Transactions!L284+IF(Transactions!A284=2,Transactions!H284,0))*$E292)</f>
        <v>0</v>
      </c>
      <c r="G292" s="30">
        <f>IF($A292="",0,IF(Transactions!A284=2,Transactions!H284*$E292,0))</f>
        <v>0</v>
      </c>
    </row>
    <row r="293" spans="1:7" ht="15" customHeight="1" x14ac:dyDescent="0.15">
      <c r="A293" t="str">
        <f>IF(Transactions!J285="","",Transactions!J285)</f>
        <v/>
      </c>
      <c r="B293" s="297">
        <f ca="1">IF($A293="",TODAY(),Transactions!G285)</f>
        <v>46216</v>
      </c>
      <c r="C293" s="298" t="str">
        <f>IF($A293="","",Transactions!A285)</f>
        <v/>
      </c>
      <c r="D293" s="30">
        <f>IF($A293="",0,Transactions!H285)</f>
        <v>0</v>
      </c>
      <c r="E293" s="300">
        <f>IF($A293="",1,IFERROR(INDEX(Prices[FX to SGD],MATCH($A293,Prices[Key],0)),1))</f>
        <v>1</v>
      </c>
      <c r="F293" s="30">
        <f>IF($A293="",0,(Transactions!M285-Transactions!L285+IF(Transactions!A285=2,Transactions!H285,0))*$E293)</f>
        <v>0</v>
      </c>
      <c r="G293" s="30">
        <f>IF($A293="",0,IF(Transactions!A285=2,Transactions!H285*$E293,0))</f>
        <v>0</v>
      </c>
    </row>
    <row r="294" spans="1:7" ht="15" customHeight="1" x14ac:dyDescent="0.15">
      <c r="A294" t="str">
        <f>IF(Transactions!J286="","",Transactions!J286)</f>
        <v/>
      </c>
      <c r="B294" s="297">
        <f ca="1">IF($A294="",TODAY(),Transactions!G286)</f>
        <v>46216</v>
      </c>
      <c r="C294" t="str">
        <f>IF($A294="","",Transactions!A286)</f>
        <v/>
      </c>
      <c r="D294" s="30">
        <f>IF($A294="",0,Transactions!H286)</f>
        <v>0</v>
      </c>
      <c r="E294">
        <f>IF($A294="",1,IFERROR(INDEX(Prices[FX to SGD],MATCH($A294,Prices[Key],0)),1))</f>
        <v>1</v>
      </c>
      <c r="F294" s="30">
        <f>IF($A294="",0,(Transactions!M286-Transactions!L286+IF(Transactions!A286=2,Transactions!H286,0))*$E294)</f>
        <v>0</v>
      </c>
      <c r="G294" s="30">
        <f>IF($A294="",0,IF(Transactions!A286=2,Transactions!H286*$E294,0))</f>
        <v>0</v>
      </c>
    </row>
    <row r="295" spans="1:7" ht="15" customHeight="1" x14ac:dyDescent="0.15">
      <c r="A295" t="str">
        <f>IF(Transactions!J287="","",Transactions!J287)</f>
        <v/>
      </c>
      <c r="B295" s="297">
        <f ca="1">IF($A295="",TODAY(),Transactions!G287)</f>
        <v>46216</v>
      </c>
      <c r="C295" t="str">
        <f>IF($A295="","",Transactions!A287)</f>
        <v/>
      </c>
      <c r="D295" s="30">
        <f>IF($A295="",0,Transactions!H287)</f>
        <v>0</v>
      </c>
      <c r="E295">
        <f>IF($A295="",1,IFERROR(INDEX(Prices[FX to SGD],MATCH($A295,Prices[Key],0)),1))</f>
        <v>1</v>
      </c>
      <c r="F295" s="30">
        <f>IF($A295="",0,(Transactions!M287-Transactions!L287+IF(Transactions!A287=2,Transactions!H287,0))*$E295)</f>
        <v>0</v>
      </c>
      <c r="G295" s="30">
        <f>IF($A295="",0,IF(Transactions!A287=2,Transactions!H287*$E295,0))</f>
        <v>0</v>
      </c>
    </row>
    <row r="296" spans="1:7" ht="15" customHeight="1" x14ac:dyDescent="0.15">
      <c r="A296" t="str">
        <f>IF(Transactions!J288="","",Transactions!J288)</f>
        <v/>
      </c>
      <c r="B296" s="297">
        <f ca="1">IF($A296="",TODAY(),Transactions!G288)</f>
        <v>46216</v>
      </c>
      <c r="C296" t="str">
        <f>IF($A296="","",Transactions!A288)</f>
        <v/>
      </c>
      <c r="D296" s="30">
        <f>IF($A296="",0,Transactions!H288)</f>
        <v>0</v>
      </c>
      <c r="E296">
        <f>IF($A296="",1,IFERROR(INDEX(Prices[FX to SGD],MATCH($A296,Prices[Key],0)),1))</f>
        <v>1</v>
      </c>
      <c r="F296" s="30">
        <f>IF($A296="",0,(Transactions!M288-Transactions!L288+IF(Transactions!A288=2,Transactions!H288,0))*$E296)</f>
        <v>0</v>
      </c>
      <c r="G296" s="30">
        <f>IF($A296="",0,IF(Transactions!A288=2,Transactions!H288*$E296,0))</f>
        <v>0</v>
      </c>
    </row>
    <row r="297" spans="1:7" ht="15" customHeight="1" x14ac:dyDescent="0.15">
      <c r="A297" t="str">
        <f>IF(Transactions!J289="","",Transactions!J289)</f>
        <v/>
      </c>
      <c r="B297" s="297">
        <f ca="1">IF($A297="",TODAY(),Transactions!G289)</f>
        <v>46216</v>
      </c>
      <c r="C297" t="str">
        <f>IF($A297="","",Transactions!A289)</f>
        <v/>
      </c>
      <c r="D297" s="30">
        <f>IF($A297="",0,Transactions!H289)</f>
        <v>0</v>
      </c>
      <c r="E297">
        <f>IF($A297="",1,IFERROR(INDEX(Prices[FX to SGD],MATCH($A297,Prices[Key],0)),1))</f>
        <v>1</v>
      </c>
      <c r="F297" s="30">
        <f>IF($A297="",0,(Transactions!M289-Transactions!L289+IF(Transactions!A289=2,Transactions!H289,0))*$E297)</f>
        <v>0</v>
      </c>
      <c r="G297" s="30">
        <f>IF($A297="",0,IF(Transactions!A289=2,Transactions!H289*$E297,0))</f>
        <v>0</v>
      </c>
    </row>
    <row r="298" spans="1:7" ht="15" customHeight="1" x14ac:dyDescent="0.15">
      <c r="A298" t="str">
        <f>IF(Transactions!J290="","",Transactions!J290)</f>
        <v/>
      </c>
      <c r="B298" s="297">
        <f ca="1">IF($A298="",TODAY(),Transactions!G290)</f>
        <v>46216</v>
      </c>
      <c r="C298" t="str">
        <f>IF($A298="","",Transactions!A290)</f>
        <v/>
      </c>
      <c r="D298" s="30">
        <f>IF($A298="",0,Transactions!H290)</f>
        <v>0</v>
      </c>
      <c r="E298">
        <f>IF($A298="",1,IFERROR(INDEX(Prices[FX to SGD],MATCH($A298,Prices[Key],0)),1))</f>
        <v>1</v>
      </c>
      <c r="F298" s="30">
        <f>IF($A298="",0,(Transactions!M290-Transactions!L290+IF(Transactions!A290=2,Transactions!H290,0))*$E298)</f>
        <v>0</v>
      </c>
      <c r="G298" s="30">
        <f>IF($A298="",0,IF(Transactions!A290=2,Transactions!H290*$E298,0))</f>
        <v>0</v>
      </c>
    </row>
    <row r="299" spans="1:7" ht="15" customHeight="1" x14ac:dyDescent="0.15">
      <c r="A299" t="str">
        <f>IF(Transactions!J291="","",Transactions!J291)</f>
        <v/>
      </c>
      <c r="B299" s="297">
        <f ca="1">IF($A299="",TODAY(),Transactions!G291)</f>
        <v>46216</v>
      </c>
      <c r="C299" t="str">
        <f>IF($A299="","",Transactions!A291)</f>
        <v/>
      </c>
      <c r="D299" s="30">
        <f>IF($A299="",0,Transactions!H291)</f>
        <v>0</v>
      </c>
      <c r="E299">
        <f>IF($A299="",1,IFERROR(INDEX(Prices[FX to SGD],MATCH($A299,Prices[Key],0)),1))</f>
        <v>1</v>
      </c>
      <c r="F299" s="30">
        <f>IF($A299="",0,(Transactions!M291-Transactions!L291+IF(Transactions!A291=2,Transactions!H291,0))*$E299)</f>
        <v>0</v>
      </c>
      <c r="G299" s="30">
        <f>IF($A299="",0,IF(Transactions!A291=2,Transactions!H291*$E299,0))</f>
        <v>0</v>
      </c>
    </row>
    <row r="300" spans="1:7" ht="15" customHeight="1" x14ac:dyDescent="0.15">
      <c r="A300" t="str">
        <f>IF(Transactions!J292="","",Transactions!J292)</f>
        <v/>
      </c>
      <c r="B300" s="297">
        <f ca="1">IF($A300="",TODAY(),Transactions!G292)</f>
        <v>46216</v>
      </c>
      <c r="C300" t="str">
        <f>IF($A300="","",Transactions!A292)</f>
        <v/>
      </c>
      <c r="D300" s="30">
        <f>IF($A300="",0,Transactions!H292)</f>
        <v>0</v>
      </c>
      <c r="E300">
        <f>IF($A300="",1,IFERROR(INDEX(Prices[FX to SGD],MATCH($A300,Prices[Key],0)),1))</f>
        <v>1</v>
      </c>
      <c r="F300" s="30">
        <f>IF($A300="",0,(Transactions!M292-Transactions!L292+IF(Transactions!A292=2,Transactions!H292,0))*$E300)</f>
        <v>0</v>
      </c>
      <c r="G300" s="30">
        <f>IF($A300="",0,IF(Transactions!A292=2,Transactions!H292*$E300,0))</f>
        <v>0</v>
      </c>
    </row>
    <row r="301" spans="1:7" ht="15" customHeight="1" x14ac:dyDescent="0.15">
      <c r="A301" t="str">
        <f>IF(Transactions!J293="","",Transactions!J293)</f>
        <v/>
      </c>
      <c r="B301" s="297">
        <f ca="1">IF($A301="",TODAY(),Transactions!G293)</f>
        <v>46216</v>
      </c>
      <c r="C301" t="str">
        <f>IF($A301="","",Transactions!A293)</f>
        <v/>
      </c>
      <c r="D301" s="30">
        <f>IF($A301="",0,Transactions!H293)</f>
        <v>0</v>
      </c>
      <c r="E301">
        <f>IF($A301="",1,IFERROR(INDEX(Prices[FX to SGD],MATCH($A301,Prices[Key],0)),1))</f>
        <v>1</v>
      </c>
      <c r="F301" s="30">
        <f>IF($A301="",0,(Transactions!M293-Transactions!L293+IF(Transactions!A293=2,Transactions!H293,0))*$E301)</f>
        <v>0</v>
      </c>
      <c r="G301" s="30">
        <f>IF($A301="",0,IF(Transactions!A293=2,Transactions!H293*$E301,0))</f>
        <v>0</v>
      </c>
    </row>
    <row r="302" spans="1:7" ht="15" customHeight="1" x14ac:dyDescent="0.15">
      <c r="A302" t="str">
        <f>IF(Transactions!J294="","",Transactions!J294)</f>
        <v/>
      </c>
      <c r="B302" s="297">
        <f ca="1">IF($A302="",TODAY(),Transactions!G294)</f>
        <v>46216</v>
      </c>
      <c r="C302" t="str">
        <f>IF($A302="","",Transactions!A294)</f>
        <v/>
      </c>
      <c r="D302" s="30">
        <f>IF($A302="",0,Transactions!H294)</f>
        <v>0</v>
      </c>
      <c r="E302">
        <f>IF($A302="",1,IFERROR(INDEX(Prices[FX to SGD],MATCH($A302,Prices[Key],0)),1))</f>
        <v>1</v>
      </c>
      <c r="F302" s="30">
        <f>IF($A302="",0,(Transactions!M294-Transactions!L294+IF(Transactions!A294=2,Transactions!H294,0))*$E302)</f>
        <v>0</v>
      </c>
      <c r="G302" s="30">
        <f>IF($A302="",0,IF(Transactions!A294=2,Transactions!H294*$E302,0))</f>
        <v>0</v>
      </c>
    </row>
    <row r="303" spans="1:7" ht="15" customHeight="1" x14ac:dyDescent="0.15">
      <c r="A303" t="str">
        <f>IF(Transactions!J295="","",Transactions!J295)</f>
        <v/>
      </c>
      <c r="B303" s="297">
        <f ca="1">IF($A303="",TODAY(),Transactions!G295)</f>
        <v>46216</v>
      </c>
      <c r="C303" t="str">
        <f>IF($A303="","",Transactions!A295)</f>
        <v/>
      </c>
      <c r="D303" s="30">
        <f>IF($A303="",0,Transactions!H295)</f>
        <v>0</v>
      </c>
      <c r="E303">
        <f>IF($A303="",1,IFERROR(INDEX(Prices[FX to SGD],MATCH($A303,Prices[Key],0)),1))</f>
        <v>1</v>
      </c>
      <c r="F303" s="30">
        <f>IF($A303="",0,(Transactions!M295-Transactions!L295+IF(Transactions!A295=2,Transactions!H295,0))*$E303)</f>
        <v>0</v>
      </c>
      <c r="G303" s="30">
        <f>IF($A303="",0,IF(Transactions!A295=2,Transactions!H295*$E303,0))</f>
        <v>0</v>
      </c>
    </row>
    <row r="304" spans="1:7" ht="15" customHeight="1" x14ac:dyDescent="0.15">
      <c r="A304" t="str">
        <f>IF(Transactions!J296="","",Transactions!J296)</f>
        <v/>
      </c>
      <c r="B304" s="297">
        <f ca="1">IF($A304="",TODAY(),Transactions!G296)</f>
        <v>46216</v>
      </c>
      <c r="C304" t="str">
        <f>IF($A304="","",Transactions!A296)</f>
        <v/>
      </c>
      <c r="D304" s="30">
        <f>IF($A304="",0,Transactions!H296)</f>
        <v>0</v>
      </c>
      <c r="E304">
        <f>IF($A304="",1,IFERROR(INDEX(Prices[FX to SGD],MATCH($A304,Prices[Key],0)),1))</f>
        <v>1</v>
      </c>
      <c r="F304" s="30">
        <f>IF($A304="",0,(Transactions!M296-Transactions!L296+IF(Transactions!A296=2,Transactions!H296,0))*$E304)</f>
        <v>0</v>
      </c>
      <c r="G304" s="30">
        <f>IF($A304="",0,IF(Transactions!A296=2,Transactions!H296*$E304,0))</f>
        <v>0</v>
      </c>
    </row>
    <row r="305" spans="1:7" ht="15" customHeight="1" x14ac:dyDescent="0.15">
      <c r="A305" t="str">
        <f>IF(Transactions!J297="","",Transactions!J297)</f>
        <v/>
      </c>
      <c r="B305" s="297">
        <f ca="1">IF($A305="",TODAY(),Transactions!G297)</f>
        <v>46216</v>
      </c>
      <c r="C305" t="str">
        <f>IF($A305="","",Transactions!A297)</f>
        <v/>
      </c>
      <c r="D305" s="30">
        <f>IF($A305="",0,Transactions!H297)</f>
        <v>0</v>
      </c>
      <c r="E305">
        <f>IF($A305="",1,IFERROR(INDEX(Prices[FX to SGD],MATCH($A305,Prices[Key],0)),1))</f>
        <v>1</v>
      </c>
      <c r="F305" s="30">
        <f>IF($A305="",0,(Transactions!M297-Transactions!L297+IF(Transactions!A297=2,Transactions!H297,0))*$E305)</f>
        <v>0</v>
      </c>
      <c r="G305" s="30">
        <f>IF($A305="",0,IF(Transactions!A297=2,Transactions!H297*$E305,0))</f>
        <v>0</v>
      </c>
    </row>
    <row r="306" spans="1:7" ht="15" customHeight="1" x14ac:dyDescent="0.15">
      <c r="A306" t="str">
        <f>IF(Transactions!J298="","",Transactions!J298)</f>
        <v/>
      </c>
      <c r="B306" s="297">
        <f ca="1">IF($A306="",TODAY(),Transactions!G298)</f>
        <v>46216</v>
      </c>
      <c r="C306" t="str">
        <f>IF($A306="","",Transactions!A298)</f>
        <v/>
      </c>
      <c r="D306" s="30">
        <f>IF($A306="",0,Transactions!H298)</f>
        <v>0</v>
      </c>
      <c r="E306">
        <f>IF($A306="",1,IFERROR(INDEX(Prices[FX to SGD],MATCH($A306,Prices[Key],0)),1))</f>
        <v>1</v>
      </c>
      <c r="F306" s="30">
        <f>IF($A306="",0,(Transactions!M298-Transactions!L298+IF(Transactions!A298=2,Transactions!H298,0))*$E306)</f>
        <v>0</v>
      </c>
      <c r="G306" s="30">
        <f>IF($A306="",0,IF(Transactions!A298=2,Transactions!H298*$E306,0))</f>
        <v>0</v>
      </c>
    </row>
    <row r="307" spans="1:7" ht="15" customHeight="1" x14ac:dyDescent="0.15">
      <c r="A307" t="str">
        <f>IF(Transactions!J299="","",Transactions!J299)</f>
        <v/>
      </c>
      <c r="B307" s="297">
        <f ca="1">IF($A307="",TODAY(),Transactions!G299)</f>
        <v>46216</v>
      </c>
      <c r="C307" t="str">
        <f>IF($A307="","",Transactions!A299)</f>
        <v/>
      </c>
      <c r="D307" s="30">
        <f>IF($A307="",0,Transactions!H299)</f>
        <v>0</v>
      </c>
      <c r="E307">
        <f>IF($A307="",1,IFERROR(INDEX(Prices[FX to SGD],MATCH($A307,Prices[Key],0)),1))</f>
        <v>1</v>
      </c>
      <c r="F307" s="30">
        <f>IF($A307="",0,(Transactions!M299-Transactions!L299+IF(Transactions!A299=2,Transactions!H299,0))*$E307)</f>
        <v>0</v>
      </c>
      <c r="G307" s="30">
        <f>IF($A307="",0,IF(Transactions!A299=2,Transactions!H299*$E307,0))</f>
        <v>0</v>
      </c>
    </row>
    <row r="308" spans="1:7" ht="15" customHeight="1" x14ac:dyDescent="0.15">
      <c r="A308" t="str">
        <f>IF(Transactions!J300="","",Transactions!J300)</f>
        <v/>
      </c>
      <c r="B308" s="297">
        <f ca="1">IF($A308="",TODAY(),Transactions!G300)</f>
        <v>46216</v>
      </c>
      <c r="C308" t="str">
        <f>IF($A308="","",Transactions!A300)</f>
        <v/>
      </c>
      <c r="D308" s="30">
        <f>IF($A308="",0,Transactions!H300)</f>
        <v>0</v>
      </c>
      <c r="E308">
        <f>IF($A308="",1,IFERROR(INDEX(Prices[FX to SGD],MATCH($A308,Prices[Key],0)),1))</f>
        <v>1</v>
      </c>
      <c r="F308" s="30">
        <f>IF($A308="",0,(Transactions!M300-Transactions!L300+IF(Transactions!A300=2,Transactions!H300,0))*$E308)</f>
        <v>0</v>
      </c>
      <c r="G308" s="30">
        <f>IF($A308="",0,IF(Transactions!A300=2,Transactions!H300*$E308,0))</f>
        <v>0</v>
      </c>
    </row>
    <row r="309" spans="1:7" ht="15" customHeight="1" x14ac:dyDescent="0.15">
      <c r="A309" t="str">
        <f>IF(Transactions!J301="","",Transactions!J301)</f>
        <v/>
      </c>
      <c r="B309" s="297">
        <f ca="1">IF($A309="",TODAY(),Transactions!G301)</f>
        <v>46216</v>
      </c>
      <c r="C309" t="str">
        <f>IF($A309="","",Transactions!A301)</f>
        <v/>
      </c>
      <c r="D309" s="30">
        <f>IF($A309="",0,Transactions!H301)</f>
        <v>0</v>
      </c>
      <c r="E309">
        <f>IF($A309="",1,IFERROR(INDEX(Prices[FX to SGD],MATCH($A309,Prices[Key],0)),1))</f>
        <v>1</v>
      </c>
      <c r="F309" s="30">
        <f>IF($A309="",0,(Transactions!M301-Transactions!L301+IF(Transactions!A301=2,Transactions!H301,0))*$E309)</f>
        <v>0</v>
      </c>
      <c r="G309" s="30">
        <f>IF($A309="",0,IF(Transactions!A301=2,Transactions!H301*$E309,0))</f>
        <v>0</v>
      </c>
    </row>
    <row r="310" spans="1:7" ht="15" customHeight="1" x14ac:dyDescent="0.15">
      <c r="A310" t="str">
        <f>IF(Transactions!J302="","",Transactions!J302)</f>
        <v/>
      </c>
      <c r="B310" s="297">
        <f ca="1">IF($A310="",TODAY(),Transactions!G302)</f>
        <v>46216</v>
      </c>
      <c r="C310" t="str">
        <f>IF($A310="","",Transactions!A302)</f>
        <v/>
      </c>
      <c r="D310" s="30">
        <f>IF($A310="",0,Transactions!H302)</f>
        <v>0</v>
      </c>
      <c r="E310">
        <f>IF($A310="",1,IFERROR(INDEX(Prices[FX to SGD],MATCH($A310,Prices[Key],0)),1))</f>
        <v>1</v>
      </c>
      <c r="F310" s="30">
        <f>IF($A310="",0,(Transactions!M302-Transactions!L302+IF(Transactions!A302=2,Transactions!H302,0))*$E310)</f>
        <v>0</v>
      </c>
      <c r="G310" s="30">
        <f>IF($A310="",0,IF(Transactions!A302=2,Transactions!H302*$E310,0))</f>
        <v>0</v>
      </c>
    </row>
    <row r="311" spans="1:7" ht="15" customHeight="1" x14ac:dyDescent="0.15">
      <c r="A311" t="str">
        <f>IF(Transactions!J303="","",Transactions!J303)</f>
        <v/>
      </c>
      <c r="B311" s="297">
        <f ca="1">IF($A311="",TODAY(),Transactions!G303)</f>
        <v>46216</v>
      </c>
      <c r="C311" t="str">
        <f>IF($A311="","",Transactions!A303)</f>
        <v/>
      </c>
      <c r="D311" s="30">
        <f>IF($A311="",0,Transactions!H303)</f>
        <v>0</v>
      </c>
      <c r="E311">
        <f>IF($A311="",1,IFERROR(INDEX(Prices[FX to SGD],MATCH($A311,Prices[Key],0)),1))</f>
        <v>1</v>
      </c>
      <c r="F311" s="30">
        <f>IF($A311="",0,(Transactions!M303-Transactions!L303+IF(Transactions!A303=2,Transactions!H303,0))*$E311)</f>
        <v>0</v>
      </c>
      <c r="G311" s="30">
        <f>IF($A311="",0,IF(Transactions!A303=2,Transactions!H303*$E311,0))</f>
        <v>0</v>
      </c>
    </row>
    <row r="312" spans="1:7" ht="15" customHeight="1" x14ac:dyDescent="0.15">
      <c r="A312" t="str">
        <f>IF(Transactions!J304="","",Transactions!J304)</f>
        <v/>
      </c>
      <c r="B312" s="297">
        <f ca="1">IF($A312="",TODAY(),Transactions!G304)</f>
        <v>46216</v>
      </c>
      <c r="C312" t="str">
        <f>IF($A312="","",Transactions!A304)</f>
        <v/>
      </c>
      <c r="D312" s="30">
        <f>IF($A312="",0,Transactions!H304)</f>
        <v>0</v>
      </c>
      <c r="E312">
        <f>IF($A312="",1,IFERROR(INDEX(Prices[FX to SGD],MATCH($A312,Prices[Key],0)),1))</f>
        <v>1</v>
      </c>
      <c r="F312" s="30">
        <f>IF($A312="",0,(Transactions!M304-Transactions!L304+IF(Transactions!A304=2,Transactions!H304,0))*$E312)</f>
        <v>0</v>
      </c>
      <c r="G312" s="30">
        <f>IF($A312="",0,IF(Transactions!A304=2,Transactions!H304*$E312,0))</f>
        <v>0</v>
      </c>
    </row>
    <row r="313" spans="1:7" ht="15" customHeight="1" x14ac:dyDescent="0.15">
      <c r="A313" t="str">
        <f>IF(Transactions!J305="","",Transactions!J305)</f>
        <v/>
      </c>
      <c r="B313" s="297">
        <f ca="1">IF($A313="",TODAY(),Transactions!G305)</f>
        <v>46216</v>
      </c>
      <c r="C313" t="str">
        <f>IF($A313="","",Transactions!A305)</f>
        <v/>
      </c>
      <c r="D313" s="30">
        <f>IF($A313="",0,Transactions!H305)</f>
        <v>0</v>
      </c>
      <c r="E313">
        <f>IF($A313="",1,IFERROR(INDEX(Prices[FX to SGD],MATCH($A313,Prices[Key],0)),1))</f>
        <v>1</v>
      </c>
      <c r="F313" s="30">
        <f>IF($A313="",0,(Transactions!M305-Transactions!L305+IF(Transactions!A305=2,Transactions!H305,0))*$E313)</f>
        <v>0</v>
      </c>
      <c r="G313" s="30">
        <f>IF($A313="",0,IF(Transactions!A305=2,Transactions!H305*$E313,0))</f>
        <v>0</v>
      </c>
    </row>
    <row r="314" spans="1:7" ht="15" customHeight="1" x14ac:dyDescent="0.15">
      <c r="A314" t="str">
        <f>IF(Transactions!J306="","",Transactions!J306)</f>
        <v/>
      </c>
      <c r="B314" s="297">
        <f ca="1">IF($A314="",TODAY(),Transactions!G306)</f>
        <v>46216</v>
      </c>
      <c r="C314" t="str">
        <f>IF($A314="","",Transactions!A306)</f>
        <v/>
      </c>
      <c r="D314" s="30">
        <f>IF($A314="",0,Transactions!H306)</f>
        <v>0</v>
      </c>
      <c r="E314">
        <f>IF($A314="",1,IFERROR(INDEX(Prices[FX to SGD],MATCH($A314,Prices[Key],0)),1))</f>
        <v>1</v>
      </c>
      <c r="F314" s="30">
        <f>IF($A314="",0,(Transactions!M306-Transactions!L306+IF(Transactions!A306=2,Transactions!H306,0))*$E314)</f>
        <v>0</v>
      </c>
      <c r="G314" s="30">
        <f>IF($A314="",0,IF(Transactions!A306=2,Transactions!H306*$E314,0))</f>
        <v>0</v>
      </c>
    </row>
    <row r="315" spans="1:7" ht="15" customHeight="1" x14ac:dyDescent="0.15">
      <c r="A315" t="str">
        <f>IF(Transactions!J307="","",Transactions!J307)</f>
        <v/>
      </c>
      <c r="B315" s="297">
        <f ca="1">IF($A315="",TODAY(),Transactions!G307)</f>
        <v>46216</v>
      </c>
      <c r="C315" t="str">
        <f>IF($A315="","",Transactions!A307)</f>
        <v/>
      </c>
      <c r="D315" s="30">
        <f>IF($A315="",0,Transactions!H307)</f>
        <v>0</v>
      </c>
      <c r="E315">
        <f>IF($A315="",1,IFERROR(INDEX(Prices[FX to SGD],MATCH($A315,Prices[Key],0)),1))</f>
        <v>1</v>
      </c>
      <c r="F315" s="30">
        <f>IF($A315="",0,(Transactions!M307-Transactions!L307+IF(Transactions!A307=2,Transactions!H307,0))*$E315)</f>
        <v>0</v>
      </c>
      <c r="G315" s="30">
        <f>IF($A315="",0,IF(Transactions!A307=2,Transactions!H307*$E315,0))</f>
        <v>0</v>
      </c>
    </row>
    <row r="316" spans="1:7" ht="15" customHeight="1" x14ac:dyDescent="0.15">
      <c r="A316" t="str">
        <f>IF(Transactions!J308="","",Transactions!J308)</f>
        <v/>
      </c>
      <c r="B316" s="297">
        <f ca="1">IF($A316="",TODAY(),Transactions!G308)</f>
        <v>46216</v>
      </c>
      <c r="C316" t="str">
        <f>IF($A316="","",Transactions!A308)</f>
        <v/>
      </c>
      <c r="D316" s="30">
        <f>IF($A316="",0,Transactions!H308)</f>
        <v>0</v>
      </c>
      <c r="E316">
        <f>IF($A316="",1,IFERROR(INDEX(Prices[FX to SGD],MATCH($A316,Prices[Key],0)),1))</f>
        <v>1</v>
      </c>
      <c r="F316" s="30">
        <f>IF($A316="",0,(Transactions!M308-Transactions!L308+IF(Transactions!A308=2,Transactions!H308,0))*$E316)</f>
        <v>0</v>
      </c>
      <c r="G316" s="30">
        <f>IF($A316="",0,IF(Transactions!A308=2,Transactions!H308*$E316,0))</f>
        <v>0</v>
      </c>
    </row>
    <row r="317" spans="1:7" ht="15" customHeight="1" x14ac:dyDescent="0.15">
      <c r="A317" t="str">
        <f>IF(Transactions!J309="","",Transactions!J309)</f>
        <v/>
      </c>
      <c r="B317" s="297">
        <f ca="1">IF($A317="",TODAY(),Transactions!G309)</f>
        <v>46216</v>
      </c>
      <c r="C317" t="str">
        <f>IF($A317="","",Transactions!A309)</f>
        <v/>
      </c>
      <c r="D317" s="30">
        <f>IF($A317="",0,Transactions!H309)</f>
        <v>0</v>
      </c>
      <c r="E317">
        <f>IF($A317="",1,IFERROR(INDEX(Prices[FX to SGD],MATCH($A317,Prices[Key],0)),1))</f>
        <v>1</v>
      </c>
      <c r="F317" s="30">
        <f>IF($A317="",0,(Transactions!M309-Transactions!L309+IF(Transactions!A309=2,Transactions!H309,0))*$E317)</f>
        <v>0</v>
      </c>
      <c r="G317" s="30">
        <f>IF($A317="",0,IF(Transactions!A309=2,Transactions!H309*$E317,0))</f>
        <v>0</v>
      </c>
    </row>
    <row r="318" spans="1:7" ht="15" customHeight="1" x14ac:dyDescent="0.15">
      <c r="A318" t="str">
        <f>IF(Transactions!J310="","",Transactions!J310)</f>
        <v/>
      </c>
      <c r="B318" s="297">
        <f ca="1">IF($A318="",TODAY(),Transactions!G310)</f>
        <v>46216</v>
      </c>
      <c r="C318" t="str">
        <f>IF($A318="","",Transactions!A310)</f>
        <v/>
      </c>
      <c r="D318" s="30">
        <f>IF($A318="",0,Transactions!H310)</f>
        <v>0</v>
      </c>
      <c r="E318">
        <f>IF($A318="",1,IFERROR(INDEX(Prices[FX to SGD],MATCH($A318,Prices[Key],0)),1))</f>
        <v>1</v>
      </c>
      <c r="F318" s="30">
        <f>IF($A318="",0,(Transactions!M310-Transactions!L310+IF(Transactions!A310=2,Transactions!H310,0))*$E318)</f>
        <v>0</v>
      </c>
      <c r="G318" s="30">
        <f>IF($A318="",0,IF(Transactions!A310=2,Transactions!H310*$E318,0))</f>
        <v>0</v>
      </c>
    </row>
    <row r="319" spans="1:7" ht="15" customHeight="1" x14ac:dyDescent="0.15">
      <c r="A319" t="str">
        <f>IF(Transactions!J311="","",Transactions!J311)</f>
        <v/>
      </c>
      <c r="B319" s="297">
        <f ca="1">IF($A319="",TODAY(),Transactions!G311)</f>
        <v>46216</v>
      </c>
      <c r="C319" t="str">
        <f>IF($A319="","",Transactions!A311)</f>
        <v/>
      </c>
      <c r="D319" s="30">
        <f>IF($A319="",0,Transactions!H311)</f>
        <v>0</v>
      </c>
      <c r="E319">
        <f>IF($A319="",1,IFERROR(INDEX(Prices[FX to SGD],MATCH($A319,Prices[Key],0)),1))</f>
        <v>1</v>
      </c>
      <c r="F319" s="30">
        <f>IF($A319="",0,(Transactions!M311-Transactions!L311+IF(Transactions!A311=2,Transactions!H311,0))*$E319)</f>
        <v>0</v>
      </c>
      <c r="G319" s="30">
        <f>IF($A319="",0,IF(Transactions!A311=2,Transactions!H311*$E319,0))</f>
        <v>0</v>
      </c>
    </row>
    <row r="320" spans="1:7" ht="15" customHeight="1" x14ac:dyDescent="0.15">
      <c r="A320" t="str">
        <f>IF(Transactions!J312="","",Transactions!J312)</f>
        <v/>
      </c>
      <c r="B320" s="297">
        <f ca="1">IF($A320="",TODAY(),Transactions!G312)</f>
        <v>46216</v>
      </c>
      <c r="C320" t="str">
        <f>IF($A320="","",Transactions!A312)</f>
        <v/>
      </c>
      <c r="D320" s="30">
        <f>IF($A320="",0,Transactions!H312)</f>
        <v>0</v>
      </c>
      <c r="E320">
        <f>IF($A320="",1,IFERROR(INDEX(Prices[FX to SGD],MATCH($A320,Prices[Key],0)),1))</f>
        <v>1</v>
      </c>
      <c r="F320" s="30">
        <f>IF($A320="",0,(Transactions!M312-Transactions!L312+IF(Transactions!A312=2,Transactions!H312,0))*$E320)</f>
        <v>0</v>
      </c>
      <c r="G320" s="30">
        <f>IF($A320="",0,IF(Transactions!A312=2,Transactions!H312*$E320,0))</f>
        <v>0</v>
      </c>
    </row>
    <row r="321" spans="1:7" ht="15" customHeight="1" x14ac:dyDescent="0.15">
      <c r="A321" t="str">
        <f>IF(Transactions!J313="","",Transactions!J313)</f>
        <v/>
      </c>
      <c r="B321" s="297">
        <f ca="1">IF($A321="",TODAY(),Transactions!G313)</f>
        <v>46216</v>
      </c>
      <c r="C321" t="str">
        <f>IF($A321="","",Transactions!A313)</f>
        <v/>
      </c>
      <c r="D321" s="30">
        <f>IF($A321="",0,Transactions!H313)</f>
        <v>0</v>
      </c>
      <c r="E321">
        <f>IF($A321="",1,IFERROR(INDEX(Prices[FX to SGD],MATCH($A321,Prices[Key],0)),1))</f>
        <v>1</v>
      </c>
      <c r="F321" s="30">
        <f>IF($A321="",0,(Transactions!M313-Transactions!L313+IF(Transactions!A313=2,Transactions!H313,0))*$E321)</f>
        <v>0</v>
      </c>
      <c r="G321" s="30">
        <f>IF($A321="",0,IF(Transactions!A313=2,Transactions!H313*$E321,0))</f>
        <v>0</v>
      </c>
    </row>
    <row r="322" spans="1:7" ht="15" customHeight="1" x14ac:dyDescent="0.15">
      <c r="A322" t="str">
        <f>IF(Transactions!J314="","",Transactions!J314)</f>
        <v/>
      </c>
      <c r="B322" s="297">
        <f ca="1">IF($A322="",TODAY(),Transactions!G314)</f>
        <v>46216</v>
      </c>
      <c r="C322" t="str">
        <f>IF($A322="","",Transactions!A314)</f>
        <v/>
      </c>
      <c r="D322" s="30">
        <f>IF($A322="",0,Transactions!H314)</f>
        <v>0</v>
      </c>
      <c r="E322">
        <f>IF($A322="",1,IFERROR(INDEX(Prices[FX to SGD],MATCH($A322,Prices[Key],0)),1))</f>
        <v>1</v>
      </c>
      <c r="F322" s="30">
        <f>IF($A322="",0,(Transactions!M314-Transactions!L314+IF(Transactions!A314=2,Transactions!H314,0))*$E322)</f>
        <v>0</v>
      </c>
      <c r="G322" s="30">
        <f>IF($A322="",0,IF(Transactions!A314=2,Transactions!H314*$E322,0))</f>
        <v>0</v>
      </c>
    </row>
    <row r="323" spans="1:7" ht="15" customHeight="1" x14ac:dyDescent="0.15">
      <c r="A323" t="str">
        <f>IF(Transactions!J315="","",Transactions!J315)</f>
        <v/>
      </c>
      <c r="B323" s="297">
        <f ca="1">IF($A323="",TODAY(),Transactions!G315)</f>
        <v>46216</v>
      </c>
      <c r="C323" t="str">
        <f>IF($A323="","",Transactions!A315)</f>
        <v/>
      </c>
      <c r="D323" s="30">
        <f>IF($A323="",0,Transactions!H315)</f>
        <v>0</v>
      </c>
      <c r="E323">
        <f>IF($A323="",1,IFERROR(INDEX(Prices[FX to SGD],MATCH($A323,Prices[Key],0)),1))</f>
        <v>1</v>
      </c>
      <c r="F323" s="30">
        <f>IF($A323="",0,(Transactions!M315-Transactions!L315+IF(Transactions!A315=2,Transactions!H315,0))*$E323)</f>
        <v>0</v>
      </c>
      <c r="G323" s="30">
        <f>IF($A323="",0,IF(Transactions!A315=2,Transactions!H315*$E323,0))</f>
        <v>0</v>
      </c>
    </row>
    <row r="324" spans="1:7" ht="15" customHeight="1" x14ac:dyDescent="0.15">
      <c r="A324" t="str">
        <f>IF(Transactions!J316="","",Transactions!J316)</f>
        <v/>
      </c>
      <c r="B324" s="297">
        <f ca="1">IF($A324="",TODAY(),Transactions!G316)</f>
        <v>46216</v>
      </c>
      <c r="C324" t="str">
        <f>IF($A324="","",Transactions!A316)</f>
        <v/>
      </c>
      <c r="D324" s="30">
        <f>IF($A324="",0,Transactions!H316)</f>
        <v>0</v>
      </c>
      <c r="E324">
        <f>IF($A324="",1,IFERROR(INDEX(Prices[FX to SGD],MATCH($A324,Prices[Key],0)),1))</f>
        <v>1</v>
      </c>
      <c r="F324" s="30">
        <f>IF($A324="",0,(Transactions!M316-Transactions!L316+IF(Transactions!A316=2,Transactions!H316,0))*$E324)</f>
        <v>0</v>
      </c>
      <c r="G324" s="30">
        <f>IF($A324="",0,IF(Transactions!A316=2,Transactions!H316*$E324,0))</f>
        <v>0</v>
      </c>
    </row>
    <row r="325" spans="1:7" ht="15" customHeight="1" x14ac:dyDescent="0.15">
      <c r="A325" t="str">
        <f>IF(Transactions!J317="","",Transactions!J317)</f>
        <v/>
      </c>
      <c r="B325" s="297">
        <f ca="1">IF($A325="",TODAY(),Transactions!G317)</f>
        <v>46216</v>
      </c>
      <c r="C325" t="str">
        <f>IF($A325="","",Transactions!A317)</f>
        <v/>
      </c>
      <c r="D325" s="30">
        <f>IF($A325="",0,Transactions!H317)</f>
        <v>0</v>
      </c>
      <c r="E325">
        <f>IF($A325="",1,IFERROR(INDEX(Prices[FX to SGD],MATCH($A325,Prices[Key],0)),1))</f>
        <v>1</v>
      </c>
      <c r="F325" s="30">
        <f>IF($A325="",0,(Transactions!M317-Transactions!L317+IF(Transactions!A317=2,Transactions!H317,0))*$E325)</f>
        <v>0</v>
      </c>
      <c r="G325" s="30">
        <f>IF($A325="",0,IF(Transactions!A317=2,Transactions!H317*$E325,0))</f>
        <v>0</v>
      </c>
    </row>
    <row r="326" spans="1:7" ht="15" customHeight="1" x14ac:dyDescent="0.15">
      <c r="A326" t="str">
        <f>IF(Transactions!J318="","",Transactions!J318)</f>
        <v/>
      </c>
      <c r="B326" s="297">
        <f ca="1">IF($A326="",TODAY(),Transactions!G318)</f>
        <v>46216</v>
      </c>
      <c r="C326" t="str">
        <f>IF($A326="","",Transactions!A318)</f>
        <v/>
      </c>
      <c r="D326" s="30">
        <f>IF($A326="",0,Transactions!H318)</f>
        <v>0</v>
      </c>
      <c r="E326">
        <f>IF($A326="",1,IFERROR(INDEX(Prices[FX to SGD],MATCH($A326,Prices[Key],0)),1))</f>
        <v>1</v>
      </c>
      <c r="F326" s="30">
        <f>IF($A326="",0,(Transactions!M318-Transactions!L318+IF(Transactions!A318=2,Transactions!H318,0))*$E326)</f>
        <v>0</v>
      </c>
      <c r="G326" s="30">
        <f>IF($A326="",0,IF(Transactions!A318=2,Transactions!H318*$E326,0))</f>
        <v>0</v>
      </c>
    </row>
    <row r="327" spans="1:7" ht="15" customHeight="1" x14ac:dyDescent="0.15">
      <c r="A327" t="str">
        <f>IF(Transactions!J319="","",Transactions!J319)</f>
        <v/>
      </c>
      <c r="B327" s="297">
        <f ca="1">IF($A327="",TODAY(),Transactions!G319)</f>
        <v>46216</v>
      </c>
      <c r="C327" t="str">
        <f>IF($A327="","",Transactions!A319)</f>
        <v/>
      </c>
      <c r="D327" s="30">
        <f>IF($A327="",0,Transactions!H319)</f>
        <v>0</v>
      </c>
      <c r="E327">
        <f>IF($A327="",1,IFERROR(INDEX(Prices[FX to SGD],MATCH($A327,Prices[Key],0)),1))</f>
        <v>1</v>
      </c>
      <c r="F327" s="30">
        <f>IF($A327="",0,(Transactions!M319-Transactions!L319+IF(Transactions!A319=2,Transactions!H319,0))*$E327)</f>
        <v>0</v>
      </c>
      <c r="G327" s="30">
        <f>IF($A327="",0,IF(Transactions!A319=2,Transactions!H319*$E327,0))</f>
        <v>0</v>
      </c>
    </row>
    <row r="328" spans="1:7" ht="15" customHeight="1" x14ac:dyDescent="0.15">
      <c r="A328" t="str">
        <f>IF(Transactions!J320="","",Transactions!J320)</f>
        <v/>
      </c>
      <c r="B328" s="297">
        <f ca="1">IF($A328="",TODAY(),Transactions!G320)</f>
        <v>46216</v>
      </c>
      <c r="C328" t="str">
        <f>IF($A328="","",Transactions!A320)</f>
        <v/>
      </c>
      <c r="D328" s="30">
        <f>IF($A328="",0,Transactions!H320)</f>
        <v>0</v>
      </c>
      <c r="E328">
        <f>IF($A328="",1,IFERROR(INDEX(Prices[FX to SGD],MATCH($A328,Prices[Key],0)),1))</f>
        <v>1</v>
      </c>
      <c r="F328" s="30">
        <f>IF($A328="",0,(Transactions!M320-Transactions!L320+IF(Transactions!A320=2,Transactions!H320,0))*$E328)</f>
        <v>0</v>
      </c>
      <c r="G328" s="30">
        <f>IF($A328="",0,IF(Transactions!A320=2,Transactions!H320*$E328,0))</f>
        <v>0</v>
      </c>
    </row>
    <row r="329" spans="1:7" ht="15" customHeight="1" x14ac:dyDescent="0.15">
      <c r="A329" t="str">
        <f>IF(Transactions!J321="","",Transactions!J321)</f>
        <v/>
      </c>
      <c r="B329" s="297">
        <f ca="1">IF($A329="",TODAY(),Transactions!G321)</f>
        <v>46216</v>
      </c>
      <c r="C329" t="str">
        <f>IF($A329="","",Transactions!A321)</f>
        <v/>
      </c>
      <c r="D329" s="30">
        <f>IF($A329="",0,Transactions!H321)</f>
        <v>0</v>
      </c>
      <c r="E329">
        <f>IF($A329="",1,IFERROR(INDEX(Prices[FX to SGD],MATCH($A329,Prices[Key],0)),1))</f>
        <v>1</v>
      </c>
      <c r="F329" s="30">
        <f>IF($A329="",0,(Transactions!M321-Transactions!L321+IF(Transactions!A321=2,Transactions!H321,0))*$E329)</f>
        <v>0</v>
      </c>
      <c r="G329" s="30">
        <f>IF($A329="",0,IF(Transactions!A321=2,Transactions!H321*$E329,0))</f>
        <v>0</v>
      </c>
    </row>
    <row r="330" spans="1:7" ht="15" customHeight="1" x14ac:dyDescent="0.15">
      <c r="A330" t="str">
        <f>IF(Transactions!J322="","",Transactions!J322)</f>
        <v/>
      </c>
      <c r="B330" s="297">
        <f ca="1">IF($A330="",TODAY(),Transactions!G322)</f>
        <v>46216</v>
      </c>
      <c r="C330" t="str">
        <f>IF($A330="","",Transactions!A322)</f>
        <v/>
      </c>
      <c r="D330" s="30">
        <f>IF($A330="",0,Transactions!H322)</f>
        <v>0</v>
      </c>
      <c r="E330">
        <f>IF($A330="",1,IFERROR(INDEX(Prices[FX to SGD],MATCH($A330,Prices[Key],0)),1))</f>
        <v>1</v>
      </c>
      <c r="F330" s="30">
        <f>IF($A330="",0,(Transactions!M322-Transactions!L322+IF(Transactions!A322=2,Transactions!H322,0))*$E330)</f>
        <v>0</v>
      </c>
      <c r="G330" s="30">
        <f>IF($A330="",0,IF(Transactions!A322=2,Transactions!H322*$E330,0))</f>
        <v>0</v>
      </c>
    </row>
    <row r="331" spans="1:7" ht="15" customHeight="1" x14ac:dyDescent="0.15">
      <c r="A331" t="str">
        <f>IF(Transactions!J323="","",Transactions!J323)</f>
        <v/>
      </c>
      <c r="B331" s="297">
        <f ca="1">IF($A331="",TODAY(),Transactions!G323)</f>
        <v>46216</v>
      </c>
      <c r="C331" t="str">
        <f>IF($A331="","",Transactions!A323)</f>
        <v/>
      </c>
      <c r="D331" s="30">
        <f>IF($A331="",0,Transactions!H323)</f>
        <v>0</v>
      </c>
      <c r="E331">
        <f>IF($A331="",1,IFERROR(INDEX(Prices[FX to SGD],MATCH($A331,Prices[Key],0)),1))</f>
        <v>1</v>
      </c>
      <c r="F331" s="30">
        <f>IF($A331="",0,(Transactions!M323-Transactions!L323+IF(Transactions!A323=2,Transactions!H323,0))*$E331)</f>
        <v>0</v>
      </c>
      <c r="G331" s="30">
        <f>IF($A331="",0,IF(Transactions!A323=2,Transactions!H323*$E331,0))</f>
        <v>0</v>
      </c>
    </row>
    <row r="332" spans="1:7" ht="15" customHeight="1" x14ac:dyDescent="0.15">
      <c r="A332" t="str">
        <f>IF(Transactions!J324="","",Transactions!J324)</f>
        <v/>
      </c>
      <c r="B332" s="297">
        <f ca="1">IF($A332="",TODAY(),Transactions!G324)</f>
        <v>46216</v>
      </c>
      <c r="C332" t="str">
        <f>IF($A332="","",Transactions!A324)</f>
        <v/>
      </c>
      <c r="D332" s="30">
        <f>IF($A332="",0,Transactions!H324)</f>
        <v>0</v>
      </c>
      <c r="E332">
        <f>IF($A332="",1,IFERROR(INDEX(Prices[FX to SGD],MATCH($A332,Prices[Key],0)),1))</f>
        <v>1</v>
      </c>
      <c r="F332" s="30">
        <f>IF($A332="",0,(Transactions!M324-Transactions!L324+IF(Transactions!A324=2,Transactions!H324,0))*$E332)</f>
        <v>0</v>
      </c>
      <c r="G332" s="30">
        <f>IF($A332="",0,IF(Transactions!A324=2,Transactions!H324*$E332,0))</f>
        <v>0</v>
      </c>
    </row>
    <row r="333" spans="1:7" ht="15" customHeight="1" x14ac:dyDescent="0.15">
      <c r="A333" t="str">
        <f>IF(Transactions!J325="","",Transactions!J325)</f>
        <v/>
      </c>
      <c r="B333" s="297">
        <f ca="1">IF($A333="",TODAY(),Transactions!G325)</f>
        <v>46216</v>
      </c>
      <c r="C333" t="str">
        <f>IF($A333="","",Transactions!A325)</f>
        <v/>
      </c>
      <c r="D333" s="30">
        <f>IF($A333="",0,Transactions!H325)</f>
        <v>0</v>
      </c>
      <c r="E333">
        <f>IF($A333="",1,IFERROR(INDEX(Prices[FX to SGD],MATCH($A333,Prices[Key],0)),1))</f>
        <v>1</v>
      </c>
      <c r="F333" s="30">
        <f>IF($A333="",0,(Transactions!M325-Transactions!L325+IF(Transactions!A325=2,Transactions!H325,0))*$E333)</f>
        <v>0</v>
      </c>
      <c r="G333" s="30">
        <f>IF($A333="",0,IF(Transactions!A325=2,Transactions!H325*$E333,0))</f>
        <v>0</v>
      </c>
    </row>
    <row r="334" spans="1:7" ht="15" customHeight="1" x14ac:dyDescent="0.15">
      <c r="A334" t="str">
        <f>IF(Transactions!J326="","",Transactions!J326)</f>
        <v/>
      </c>
      <c r="B334" s="297">
        <f ca="1">IF($A334="",TODAY(),Transactions!G326)</f>
        <v>46216</v>
      </c>
      <c r="C334" t="str">
        <f>IF($A334="","",Transactions!A326)</f>
        <v/>
      </c>
      <c r="D334" s="30">
        <f>IF($A334="",0,Transactions!H326)</f>
        <v>0</v>
      </c>
      <c r="E334">
        <f>IF($A334="",1,IFERROR(INDEX(Prices[FX to SGD],MATCH($A334,Prices[Key],0)),1))</f>
        <v>1</v>
      </c>
      <c r="F334" s="30">
        <f>IF($A334="",0,(Transactions!M326-Transactions!L326+IF(Transactions!A326=2,Transactions!H326,0))*$E334)</f>
        <v>0</v>
      </c>
      <c r="G334" s="30">
        <f>IF($A334="",0,IF(Transactions!A326=2,Transactions!H326*$E334,0))</f>
        <v>0</v>
      </c>
    </row>
    <row r="335" spans="1:7" ht="15" customHeight="1" x14ac:dyDescent="0.15">
      <c r="A335" t="str">
        <f>IF(Transactions!J327="","",Transactions!J327)</f>
        <v/>
      </c>
      <c r="B335" s="297">
        <f ca="1">IF($A335="",TODAY(),Transactions!G327)</f>
        <v>46216</v>
      </c>
      <c r="C335" t="str">
        <f>IF($A335="","",Transactions!A327)</f>
        <v/>
      </c>
      <c r="D335" s="30">
        <f>IF($A335="",0,Transactions!H327)</f>
        <v>0</v>
      </c>
      <c r="E335">
        <f>IF($A335="",1,IFERROR(INDEX(Prices[FX to SGD],MATCH($A335,Prices[Key],0)),1))</f>
        <v>1</v>
      </c>
      <c r="F335" s="30">
        <f>IF($A335="",0,(Transactions!M327-Transactions!L327+IF(Transactions!A327=2,Transactions!H327,0))*$E335)</f>
        <v>0</v>
      </c>
      <c r="G335" s="30">
        <f>IF($A335="",0,IF(Transactions!A327=2,Transactions!H327*$E335,0))</f>
        <v>0</v>
      </c>
    </row>
    <row r="336" spans="1:7" ht="15" customHeight="1" x14ac:dyDescent="0.15">
      <c r="A336" t="str">
        <f>IF(Transactions!J328="","",Transactions!J328)</f>
        <v/>
      </c>
      <c r="B336" s="297">
        <f ca="1">IF($A336="",TODAY(),Transactions!G328)</f>
        <v>46216</v>
      </c>
      <c r="C336" t="str">
        <f>IF($A336="","",Transactions!A328)</f>
        <v/>
      </c>
      <c r="D336" s="30">
        <f>IF($A336="",0,Transactions!H328)</f>
        <v>0</v>
      </c>
      <c r="E336">
        <f>IF($A336="",1,IFERROR(INDEX(Prices[FX to SGD],MATCH($A336,Prices[Key],0)),1))</f>
        <v>1</v>
      </c>
      <c r="F336" s="30">
        <f>IF($A336="",0,(Transactions!M328-Transactions!L328+IF(Transactions!A328=2,Transactions!H328,0))*$E336)</f>
        <v>0</v>
      </c>
      <c r="G336" s="30">
        <f>IF($A336="",0,IF(Transactions!A328=2,Transactions!H328*$E336,0))</f>
        <v>0</v>
      </c>
    </row>
    <row r="337" spans="1:7" ht="15" customHeight="1" x14ac:dyDescent="0.15">
      <c r="A337" t="str">
        <f>IF(Transactions!J329="","",Transactions!J329)</f>
        <v/>
      </c>
      <c r="B337" s="297">
        <f ca="1">IF($A337="",TODAY(),Transactions!G329)</f>
        <v>46216</v>
      </c>
      <c r="C337" t="str">
        <f>IF($A337="","",Transactions!A329)</f>
        <v/>
      </c>
      <c r="D337" s="30">
        <f>IF($A337="",0,Transactions!H329)</f>
        <v>0</v>
      </c>
      <c r="E337">
        <f>IF($A337="",1,IFERROR(INDEX(Prices[FX to SGD],MATCH($A337,Prices[Key],0)),1))</f>
        <v>1</v>
      </c>
      <c r="F337" s="30">
        <f>IF($A337="",0,(Transactions!M329-Transactions!L329+IF(Transactions!A329=2,Transactions!H329,0))*$E337)</f>
        <v>0</v>
      </c>
      <c r="G337" s="30">
        <f>IF($A337="",0,IF(Transactions!A329=2,Transactions!H329*$E337,0))</f>
        <v>0</v>
      </c>
    </row>
    <row r="338" spans="1:7" ht="15" customHeight="1" x14ac:dyDescent="0.15">
      <c r="A338" t="str">
        <f>IF(Transactions!J330="","",Transactions!J330)</f>
        <v/>
      </c>
      <c r="B338" s="297">
        <f ca="1">IF($A338="",TODAY(),Transactions!G330)</f>
        <v>46216</v>
      </c>
      <c r="C338" t="str">
        <f>IF($A338="","",Transactions!A330)</f>
        <v/>
      </c>
      <c r="D338" s="30">
        <f>IF($A338="",0,Transactions!H330)</f>
        <v>0</v>
      </c>
      <c r="E338">
        <f>IF($A338="",1,IFERROR(INDEX(Prices[FX to SGD],MATCH($A338,Prices[Key],0)),1))</f>
        <v>1</v>
      </c>
      <c r="F338" s="30">
        <f>IF($A338="",0,(Transactions!M330-Transactions!L330+IF(Transactions!A330=2,Transactions!H330,0))*$E338)</f>
        <v>0</v>
      </c>
      <c r="G338" s="30">
        <f>IF($A338="",0,IF(Transactions!A330=2,Transactions!H330*$E338,0))</f>
        <v>0</v>
      </c>
    </row>
    <row r="339" spans="1:7" ht="15" customHeight="1" x14ac:dyDescent="0.15">
      <c r="A339" t="str">
        <f>IF(Transactions!J331="","",Transactions!J331)</f>
        <v/>
      </c>
      <c r="B339" s="297">
        <f ca="1">IF($A339="",TODAY(),Transactions!G331)</f>
        <v>46216</v>
      </c>
      <c r="C339" t="str">
        <f>IF($A339="","",Transactions!A331)</f>
        <v/>
      </c>
      <c r="D339" s="30">
        <f>IF($A339="",0,Transactions!H331)</f>
        <v>0</v>
      </c>
      <c r="E339">
        <f>IF($A339="",1,IFERROR(INDEX(Prices[FX to SGD],MATCH($A339,Prices[Key],0)),1))</f>
        <v>1</v>
      </c>
      <c r="F339" s="30">
        <f>IF($A339="",0,(Transactions!M331-Transactions!L331+IF(Transactions!A331=2,Transactions!H331,0))*$E339)</f>
        <v>0</v>
      </c>
      <c r="G339" s="30">
        <f>IF($A339="",0,IF(Transactions!A331=2,Transactions!H331*$E339,0))</f>
        <v>0</v>
      </c>
    </row>
    <row r="340" spans="1:7" ht="15" customHeight="1" x14ac:dyDescent="0.15">
      <c r="A340" t="str">
        <f>IF(Transactions!J332="","",Transactions!J332)</f>
        <v/>
      </c>
      <c r="B340" s="297">
        <f ca="1">IF($A340="",TODAY(),Transactions!G332)</f>
        <v>46216</v>
      </c>
      <c r="C340" t="str">
        <f>IF($A340="","",Transactions!A332)</f>
        <v/>
      </c>
      <c r="D340" s="30">
        <f>IF($A340="",0,Transactions!H332)</f>
        <v>0</v>
      </c>
      <c r="E340">
        <f>IF($A340="",1,IFERROR(INDEX(Prices[FX to SGD],MATCH($A340,Prices[Key],0)),1))</f>
        <v>1</v>
      </c>
      <c r="F340" s="30">
        <f>IF($A340="",0,(Transactions!M332-Transactions!L332+IF(Transactions!A332=2,Transactions!H332,0))*$E340)</f>
        <v>0</v>
      </c>
      <c r="G340" s="30">
        <f>IF($A340="",0,IF(Transactions!A332=2,Transactions!H332*$E340,0))</f>
        <v>0</v>
      </c>
    </row>
    <row r="341" spans="1:7" ht="15" customHeight="1" x14ac:dyDescent="0.15">
      <c r="A341" t="str">
        <f>IF(Transactions!J333="","",Transactions!J333)</f>
        <v/>
      </c>
      <c r="B341" s="297">
        <f ca="1">IF($A341="",TODAY(),Transactions!G333)</f>
        <v>46216</v>
      </c>
      <c r="C341" t="str">
        <f>IF($A341="","",Transactions!A333)</f>
        <v/>
      </c>
      <c r="D341" s="30">
        <f>IF($A341="",0,Transactions!H333)</f>
        <v>0</v>
      </c>
      <c r="E341">
        <f>IF($A341="",1,IFERROR(INDEX(Prices[FX to SGD],MATCH($A341,Prices[Key],0)),1))</f>
        <v>1</v>
      </c>
      <c r="F341" s="30">
        <f>IF($A341="",0,(Transactions!M333-Transactions!L333+IF(Transactions!A333=2,Transactions!H333,0))*$E341)</f>
        <v>0</v>
      </c>
      <c r="G341" s="30">
        <f>IF($A341="",0,IF(Transactions!A333=2,Transactions!H333*$E341,0))</f>
        <v>0</v>
      </c>
    </row>
    <row r="342" spans="1:7" ht="15" customHeight="1" x14ac:dyDescent="0.15">
      <c r="A342" t="str">
        <f>IF(Transactions!J334="","",Transactions!J334)</f>
        <v/>
      </c>
      <c r="B342" s="297">
        <f ca="1">IF($A342="",TODAY(),Transactions!G334)</f>
        <v>46216</v>
      </c>
      <c r="C342" t="str">
        <f>IF($A342="","",Transactions!A334)</f>
        <v/>
      </c>
      <c r="D342" s="30">
        <f>IF($A342="",0,Transactions!H334)</f>
        <v>0</v>
      </c>
      <c r="E342">
        <f>IF($A342="",1,IFERROR(INDEX(Prices[FX to SGD],MATCH($A342,Prices[Key],0)),1))</f>
        <v>1</v>
      </c>
      <c r="F342" s="30">
        <f>IF($A342="",0,(Transactions!M334-Transactions!L334+IF(Transactions!A334=2,Transactions!H334,0))*$E342)</f>
        <v>0</v>
      </c>
      <c r="G342" s="30">
        <f>IF($A342="",0,IF(Transactions!A334=2,Transactions!H334*$E342,0))</f>
        <v>0</v>
      </c>
    </row>
    <row r="343" spans="1:7" ht="15" customHeight="1" x14ac:dyDescent="0.15">
      <c r="A343" t="str">
        <f>IF(Transactions!J335="","",Transactions!J335)</f>
        <v/>
      </c>
      <c r="B343" s="297">
        <f ca="1">IF($A343="",TODAY(),Transactions!G335)</f>
        <v>46216</v>
      </c>
      <c r="C343" t="str">
        <f>IF($A343="","",Transactions!A335)</f>
        <v/>
      </c>
      <c r="D343" s="30">
        <f>IF($A343="",0,Transactions!H335)</f>
        <v>0</v>
      </c>
      <c r="E343">
        <f>IF($A343="",1,IFERROR(INDEX(Prices[FX to SGD],MATCH($A343,Prices[Key],0)),1))</f>
        <v>1</v>
      </c>
      <c r="F343" s="30">
        <f>IF($A343="",0,(Transactions!M335-Transactions!L335+IF(Transactions!A335=2,Transactions!H335,0))*$E343)</f>
        <v>0</v>
      </c>
      <c r="G343" s="30">
        <f>IF($A343="",0,IF(Transactions!A335=2,Transactions!H335*$E343,0))</f>
        <v>0</v>
      </c>
    </row>
    <row r="344" spans="1:7" ht="15" customHeight="1" x14ac:dyDescent="0.15">
      <c r="A344" t="str">
        <f>IF(Transactions!J336="","",Transactions!J336)</f>
        <v/>
      </c>
      <c r="B344" s="297">
        <f ca="1">IF($A344="",TODAY(),Transactions!G336)</f>
        <v>46216</v>
      </c>
      <c r="C344" t="str">
        <f>IF($A344="","",Transactions!A336)</f>
        <v/>
      </c>
      <c r="D344" s="30">
        <f>IF($A344="",0,Transactions!H336)</f>
        <v>0</v>
      </c>
      <c r="E344">
        <f>IF($A344="",1,IFERROR(INDEX(Prices[FX to SGD],MATCH($A344,Prices[Key],0)),1))</f>
        <v>1</v>
      </c>
      <c r="F344" s="30">
        <f>IF($A344="",0,(Transactions!M336-Transactions!L336+IF(Transactions!A336=2,Transactions!H336,0))*$E344)</f>
        <v>0</v>
      </c>
      <c r="G344" s="30">
        <f>IF($A344="",0,IF(Transactions!A336=2,Transactions!H336*$E344,0))</f>
        <v>0</v>
      </c>
    </row>
    <row r="345" spans="1:7" ht="15" customHeight="1" x14ac:dyDescent="0.15">
      <c r="A345" t="str">
        <f>IF(Transactions!J337="","",Transactions!J337)</f>
        <v/>
      </c>
      <c r="B345" s="297">
        <f ca="1">IF($A345="",TODAY(),Transactions!G337)</f>
        <v>46216</v>
      </c>
      <c r="C345" t="str">
        <f>IF($A345="","",Transactions!A337)</f>
        <v/>
      </c>
      <c r="D345" s="30">
        <f>IF($A345="",0,Transactions!H337)</f>
        <v>0</v>
      </c>
      <c r="E345">
        <f>IF($A345="",1,IFERROR(INDEX(Prices[FX to SGD],MATCH($A345,Prices[Key],0)),1))</f>
        <v>1</v>
      </c>
      <c r="F345" s="30">
        <f>IF($A345="",0,(Transactions!M337-Transactions!L337+IF(Transactions!A337=2,Transactions!H337,0))*$E345)</f>
        <v>0</v>
      </c>
      <c r="G345" s="30">
        <f>IF($A345="",0,IF(Transactions!A337=2,Transactions!H337*$E345,0))</f>
        <v>0</v>
      </c>
    </row>
    <row r="346" spans="1:7" ht="15" customHeight="1" x14ac:dyDescent="0.15">
      <c r="A346" t="str">
        <f>IF(Transactions!J338="","",Transactions!J338)</f>
        <v/>
      </c>
      <c r="B346" s="297">
        <f ca="1">IF($A346="",TODAY(),Transactions!G338)</f>
        <v>46216</v>
      </c>
      <c r="C346" t="str">
        <f>IF($A346="","",Transactions!A338)</f>
        <v/>
      </c>
      <c r="D346" s="30">
        <f>IF($A346="",0,Transactions!H338)</f>
        <v>0</v>
      </c>
      <c r="E346">
        <f>IF($A346="",1,IFERROR(INDEX(Prices[FX to SGD],MATCH($A346,Prices[Key],0)),1))</f>
        <v>1</v>
      </c>
      <c r="F346" s="30">
        <f>IF($A346="",0,(Transactions!M338-Transactions!L338+IF(Transactions!A338=2,Transactions!H338,0))*$E346)</f>
        <v>0</v>
      </c>
      <c r="G346" s="30">
        <f>IF($A346="",0,IF(Transactions!A338=2,Transactions!H338*$E346,0))</f>
        <v>0</v>
      </c>
    </row>
    <row r="347" spans="1:7" ht="15" customHeight="1" x14ac:dyDescent="0.15">
      <c r="A347" t="str">
        <f>IF(Transactions!J339="","",Transactions!J339)</f>
        <v/>
      </c>
      <c r="B347" s="297">
        <f ca="1">IF($A347="",TODAY(),Transactions!G339)</f>
        <v>46216</v>
      </c>
      <c r="C347" t="str">
        <f>IF($A347="","",Transactions!A339)</f>
        <v/>
      </c>
      <c r="D347" s="30">
        <f>IF($A347="",0,Transactions!H339)</f>
        <v>0</v>
      </c>
      <c r="E347">
        <f>IF($A347="",1,IFERROR(INDEX(Prices[FX to SGD],MATCH($A347,Prices[Key],0)),1))</f>
        <v>1</v>
      </c>
      <c r="F347" s="30">
        <f>IF($A347="",0,(Transactions!M339-Transactions!L339+IF(Transactions!A339=2,Transactions!H339,0))*$E347)</f>
        <v>0</v>
      </c>
      <c r="G347" s="30">
        <f>IF($A347="",0,IF(Transactions!A339=2,Transactions!H339*$E347,0))</f>
        <v>0</v>
      </c>
    </row>
    <row r="348" spans="1:7" ht="15" customHeight="1" x14ac:dyDescent="0.15">
      <c r="A348" t="str">
        <f>IF(Transactions!J340="","",Transactions!J340)</f>
        <v/>
      </c>
      <c r="B348" s="297">
        <f ca="1">IF($A348="",TODAY(),Transactions!G340)</f>
        <v>46216</v>
      </c>
      <c r="C348" t="str">
        <f>IF($A348="","",Transactions!A340)</f>
        <v/>
      </c>
      <c r="D348" s="30">
        <f>IF($A348="",0,Transactions!H340)</f>
        <v>0</v>
      </c>
      <c r="E348">
        <f>IF($A348="",1,IFERROR(INDEX(Prices[FX to SGD],MATCH($A348,Prices[Key],0)),1))</f>
        <v>1</v>
      </c>
      <c r="F348" s="30">
        <f>IF($A348="",0,(Transactions!M340-Transactions!L340+IF(Transactions!A340=2,Transactions!H340,0))*$E348)</f>
        <v>0</v>
      </c>
      <c r="G348" s="30">
        <f>IF($A348="",0,IF(Transactions!A340=2,Transactions!H340*$E348,0))</f>
        <v>0</v>
      </c>
    </row>
    <row r="349" spans="1:7" ht="15" customHeight="1" x14ac:dyDescent="0.15">
      <c r="A349" t="str">
        <f>IF(Transactions!J341="","",Transactions!J341)</f>
        <v/>
      </c>
      <c r="B349" s="297">
        <f ca="1">IF($A349="",TODAY(),Transactions!G341)</f>
        <v>46216</v>
      </c>
      <c r="C349" t="str">
        <f>IF($A349="","",Transactions!A341)</f>
        <v/>
      </c>
      <c r="D349" s="30">
        <f>IF($A349="",0,Transactions!H341)</f>
        <v>0</v>
      </c>
      <c r="E349">
        <f>IF($A349="",1,IFERROR(INDEX(Prices[FX to SGD],MATCH($A349,Prices[Key],0)),1))</f>
        <v>1</v>
      </c>
      <c r="F349" s="30">
        <f>IF($A349="",0,(Transactions!M341-Transactions!L341+IF(Transactions!A341=2,Transactions!H341,0))*$E349)</f>
        <v>0</v>
      </c>
      <c r="G349" s="30">
        <f>IF($A349="",0,IF(Transactions!A341=2,Transactions!H341*$E349,0))</f>
        <v>0</v>
      </c>
    </row>
    <row r="350" spans="1:7" ht="15" customHeight="1" x14ac:dyDescent="0.15">
      <c r="A350" t="str">
        <f>IF(Transactions!J342="","",Transactions!J342)</f>
        <v/>
      </c>
      <c r="B350" s="297">
        <f ca="1">IF($A350="",TODAY(),Transactions!G342)</f>
        <v>46216</v>
      </c>
      <c r="C350" t="str">
        <f>IF($A350="","",Transactions!A342)</f>
        <v/>
      </c>
      <c r="D350" s="30">
        <f>IF($A350="",0,Transactions!H342)</f>
        <v>0</v>
      </c>
      <c r="E350">
        <f>IF($A350="",1,IFERROR(INDEX(Prices[FX to SGD],MATCH($A350,Prices[Key],0)),1))</f>
        <v>1</v>
      </c>
      <c r="F350" s="30">
        <f>IF($A350="",0,(Transactions!M342-Transactions!L342+IF(Transactions!A342=2,Transactions!H342,0))*$E350)</f>
        <v>0</v>
      </c>
      <c r="G350" s="30">
        <f>IF($A350="",0,IF(Transactions!A342=2,Transactions!H342*$E350,0))</f>
        <v>0</v>
      </c>
    </row>
    <row r="351" spans="1:7" ht="15" customHeight="1" x14ac:dyDescent="0.15">
      <c r="A351" t="str">
        <f>IF(Transactions!J343="","",Transactions!J343)</f>
        <v/>
      </c>
      <c r="B351" s="297">
        <f ca="1">IF($A351="",TODAY(),Transactions!G343)</f>
        <v>46216</v>
      </c>
      <c r="C351" t="str">
        <f>IF($A351="","",Transactions!A343)</f>
        <v/>
      </c>
      <c r="D351" s="30">
        <f>IF($A351="",0,Transactions!H343)</f>
        <v>0</v>
      </c>
      <c r="E351">
        <f>IF($A351="",1,IFERROR(INDEX(Prices[FX to SGD],MATCH($A351,Prices[Key],0)),1))</f>
        <v>1</v>
      </c>
      <c r="F351" s="30">
        <f>IF($A351="",0,(Transactions!M343-Transactions!L343+IF(Transactions!A343=2,Transactions!H343,0))*$E351)</f>
        <v>0</v>
      </c>
      <c r="G351" s="30">
        <f>IF($A351="",0,IF(Transactions!A343=2,Transactions!H343*$E351,0))</f>
        <v>0</v>
      </c>
    </row>
    <row r="352" spans="1:7" ht="15" customHeight="1" x14ac:dyDescent="0.15">
      <c r="A352" t="str">
        <f>IF(Transactions!J344="","",Transactions!J344)</f>
        <v/>
      </c>
      <c r="B352" s="297">
        <f ca="1">IF($A352="",TODAY(),Transactions!G344)</f>
        <v>46216</v>
      </c>
      <c r="C352" t="str">
        <f>IF($A352="","",Transactions!A344)</f>
        <v/>
      </c>
      <c r="D352" s="30">
        <f>IF($A352="",0,Transactions!H344)</f>
        <v>0</v>
      </c>
      <c r="E352">
        <f>IF($A352="",1,IFERROR(INDEX(Prices[FX to SGD],MATCH($A352,Prices[Key],0)),1))</f>
        <v>1</v>
      </c>
      <c r="F352" s="30">
        <f>IF($A352="",0,(Transactions!M344-Transactions!L344+IF(Transactions!A344=2,Transactions!H344,0))*$E352)</f>
        <v>0</v>
      </c>
      <c r="G352" s="30">
        <f>IF($A352="",0,IF(Transactions!A344=2,Transactions!H344*$E352,0))</f>
        <v>0</v>
      </c>
    </row>
    <row r="353" spans="1:7" ht="15" customHeight="1" x14ac:dyDescent="0.15">
      <c r="A353" t="str">
        <f>IF(Transactions!J345="","",Transactions!J345)</f>
        <v/>
      </c>
      <c r="B353" s="297">
        <f ca="1">IF($A353="",TODAY(),Transactions!G345)</f>
        <v>46216</v>
      </c>
      <c r="C353" t="str">
        <f>IF($A353="","",Transactions!A345)</f>
        <v/>
      </c>
      <c r="D353" s="30">
        <f>IF($A353="",0,Transactions!H345)</f>
        <v>0</v>
      </c>
      <c r="E353">
        <f>IF($A353="",1,IFERROR(INDEX(Prices[FX to SGD],MATCH($A353,Prices[Key],0)),1))</f>
        <v>1</v>
      </c>
      <c r="F353" s="30">
        <f>IF($A353="",0,(Transactions!M345-Transactions!L345+IF(Transactions!A345=2,Transactions!H345,0))*$E353)</f>
        <v>0</v>
      </c>
      <c r="G353" s="30">
        <f>IF($A353="",0,IF(Transactions!A345=2,Transactions!H345*$E353,0))</f>
        <v>0</v>
      </c>
    </row>
    <row r="354" spans="1:7" ht="15" customHeight="1" x14ac:dyDescent="0.15">
      <c r="A354" t="str">
        <f>IF(Transactions!J346="","",Transactions!J346)</f>
        <v/>
      </c>
      <c r="B354" s="297">
        <f ca="1">IF($A354="",TODAY(),Transactions!G346)</f>
        <v>46216</v>
      </c>
      <c r="C354" t="str">
        <f>IF($A354="","",Transactions!A346)</f>
        <v/>
      </c>
      <c r="D354" s="30">
        <f>IF($A354="",0,Transactions!H346)</f>
        <v>0</v>
      </c>
      <c r="E354">
        <f>IF($A354="",1,IFERROR(INDEX(Prices[FX to SGD],MATCH($A354,Prices[Key],0)),1))</f>
        <v>1</v>
      </c>
      <c r="F354" s="30">
        <f>IF($A354="",0,(Transactions!M346-Transactions!L346+IF(Transactions!A346=2,Transactions!H346,0))*$E354)</f>
        <v>0</v>
      </c>
      <c r="G354" s="30">
        <f>IF($A354="",0,IF(Transactions!A346=2,Transactions!H346*$E354,0))</f>
        <v>0</v>
      </c>
    </row>
    <row r="355" spans="1:7" ht="15" customHeight="1" x14ac:dyDescent="0.15">
      <c r="A355" t="str">
        <f>IF(Transactions!J347="","",Transactions!J347)</f>
        <v/>
      </c>
      <c r="B355" s="297">
        <f ca="1">IF($A355="",TODAY(),Transactions!G347)</f>
        <v>46216</v>
      </c>
      <c r="C355" t="str">
        <f>IF($A355="","",Transactions!A347)</f>
        <v/>
      </c>
      <c r="D355" s="30">
        <f>IF($A355="",0,Transactions!H347)</f>
        <v>0</v>
      </c>
      <c r="E355">
        <f>IF($A355="",1,IFERROR(INDEX(Prices[FX to SGD],MATCH($A355,Prices[Key],0)),1))</f>
        <v>1</v>
      </c>
      <c r="F355" s="30">
        <f>IF($A355="",0,(Transactions!M347-Transactions!L347+IF(Transactions!A347=2,Transactions!H347,0))*$E355)</f>
        <v>0</v>
      </c>
      <c r="G355" s="30">
        <f>IF($A355="",0,IF(Transactions!A347=2,Transactions!H347*$E355,0))</f>
        <v>0</v>
      </c>
    </row>
    <row r="356" spans="1:7" ht="15" customHeight="1" x14ac:dyDescent="0.15">
      <c r="A356" t="str">
        <f>IF(Transactions!J348="","",Transactions!J348)</f>
        <v/>
      </c>
      <c r="B356" s="297">
        <f ca="1">IF($A356="",TODAY(),Transactions!G348)</f>
        <v>46216</v>
      </c>
      <c r="C356" t="str">
        <f>IF($A356="","",Transactions!A348)</f>
        <v/>
      </c>
      <c r="D356" s="30">
        <f>IF($A356="",0,Transactions!H348)</f>
        <v>0</v>
      </c>
      <c r="E356">
        <f>IF($A356="",1,IFERROR(INDEX(Prices[FX to SGD],MATCH($A356,Prices[Key],0)),1))</f>
        <v>1</v>
      </c>
      <c r="F356" s="30">
        <f>IF($A356="",0,(Transactions!M348-Transactions!L348+IF(Transactions!A348=2,Transactions!H348,0))*$E356)</f>
        <v>0</v>
      </c>
      <c r="G356" s="30">
        <f>IF($A356="",0,IF(Transactions!A348=2,Transactions!H348*$E356,0))</f>
        <v>0</v>
      </c>
    </row>
    <row r="357" spans="1:7" ht="15" customHeight="1" x14ac:dyDescent="0.15">
      <c r="A357" t="str">
        <f>IF(Transactions!J349="","",Transactions!J349)</f>
        <v/>
      </c>
      <c r="B357" s="297">
        <f ca="1">IF($A357="",TODAY(),Transactions!G349)</f>
        <v>46216</v>
      </c>
      <c r="C357" t="str">
        <f>IF($A357="","",Transactions!A349)</f>
        <v/>
      </c>
      <c r="D357" s="30">
        <f>IF($A357="",0,Transactions!H349)</f>
        <v>0</v>
      </c>
      <c r="E357">
        <f>IF($A357="",1,IFERROR(INDEX(Prices[FX to SGD],MATCH($A357,Prices[Key],0)),1))</f>
        <v>1</v>
      </c>
      <c r="F357" s="30">
        <f>IF($A357="",0,(Transactions!M349-Transactions!L349+IF(Transactions!A349=2,Transactions!H349,0))*$E357)</f>
        <v>0</v>
      </c>
      <c r="G357" s="30">
        <f>IF($A357="",0,IF(Transactions!A349=2,Transactions!H349*$E357,0))</f>
        <v>0</v>
      </c>
    </row>
    <row r="358" spans="1:7" ht="15" customHeight="1" x14ac:dyDescent="0.15">
      <c r="A358" t="str">
        <f>IF(Transactions!J350="","",Transactions!J350)</f>
        <v/>
      </c>
      <c r="B358" s="297">
        <f ca="1">IF($A358="",TODAY(),Transactions!G350)</f>
        <v>46216</v>
      </c>
      <c r="C358" t="str">
        <f>IF($A358="","",Transactions!A350)</f>
        <v/>
      </c>
      <c r="D358" s="30">
        <f>IF($A358="",0,Transactions!H350)</f>
        <v>0</v>
      </c>
      <c r="E358">
        <f>IF($A358="",1,IFERROR(INDEX(Prices[FX to SGD],MATCH($A358,Prices[Key],0)),1))</f>
        <v>1</v>
      </c>
      <c r="F358" s="30">
        <f>IF($A358="",0,(Transactions!M350-Transactions!L350+IF(Transactions!A350=2,Transactions!H350,0))*$E358)</f>
        <v>0</v>
      </c>
      <c r="G358" s="30">
        <f>IF($A358="",0,IF(Transactions!A350=2,Transactions!H350*$E358,0))</f>
        <v>0</v>
      </c>
    </row>
    <row r="359" spans="1:7" ht="15" customHeight="1" x14ac:dyDescent="0.15">
      <c r="A359" t="str">
        <f>IF(Transactions!J351="","",Transactions!J351)</f>
        <v/>
      </c>
      <c r="B359" s="297">
        <f ca="1">IF($A359="",TODAY(),Transactions!G351)</f>
        <v>46216</v>
      </c>
      <c r="C359" t="str">
        <f>IF($A359="","",Transactions!A351)</f>
        <v/>
      </c>
      <c r="D359" s="30">
        <f>IF($A359="",0,Transactions!H351)</f>
        <v>0</v>
      </c>
      <c r="E359">
        <f>IF($A359="",1,IFERROR(INDEX(Prices[FX to SGD],MATCH($A359,Prices[Key],0)),1))</f>
        <v>1</v>
      </c>
      <c r="F359" s="30">
        <f>IF($A359="",0,(Transactions!M351-Transactions!L351+IF(Transactions!A351=2,Transactions!H351,0))*$E359)</f>
        <v>0</v>
      </c>
      <c r="G359" s="30">
        <f>IF($A359="",0,IF(Transactions!A351=2,Transactions!H351*$E359,0))</f>
        <v>0</v>
      </c>
    </row>
    <row r="360" spans="1:7" ht="15" customHeight="1" x14ac:dyDescent="0.15">
      <c r="A360" t="str">
        <f>IF(Transactions!J352="","",Transactions!J352)</f>
        <v/>
      </c>
      <c r="B360" s="297">
        <f ca="1">IF($A360="",TODAY(),Transactions!G352)</f>
        <v>46216</v>
      </c>
      <c r="C360" t="str">
        <f>IF($A360="","",Transactions!A352)</f>
        <v/>
      </c>
      <c r="D360" s="30">
        <f>IF($A360="",0,Transactions!H352)</f>
        <v>0</v>
      </c>
      <c r="E360">
        <f>IF($A360="",1,IFERROR(INDEX(Prices[FX to SGD],MATCH($A360,Prices[Key],0)),1))</f>
        <v>1</v>
      </c>
      <c r="F360" s="30">
        <f>IF($A360="",0,(Transactions!M352-Transactions!L352+IF(Transactions!A352=2,Transactions!H352,0))*$E360)</f>
        <v>0</v>
      </c>
      <c r="G360" s="30">
        <f>IF($A360="",0,IF(Transactions!A352=2,Transactions!H352*$E360,0))</f>
        <v>0</v>
      </c>
    </row>
    <row r="361" spans="1:7" ht="15" customHeight="1" x14ac:dyDescent="0.15">
      <c r="A361" t="str">
        <f>IF(Transactions!J353="","",Transactions!J353)</f>
        <v/>
      </c>
      <c r="B361" s="297">
        <f ca="1">IF($A361="",TODAY(),Transactions!G353)</f>
        <v>46216</v>
      </c>
      <c r="C361" t="str">
        <f>IF($A361="","",Transactions!A353)</f>
        <v/>
      </c>
      <c r="D361" s="30">
        <f>IF($A361="",0,Transactions!H353)</f>
        <v>0</v>
      </c>
      <c r="E361">
        <f>IF($A361="",1,IFERROR(INDEX(Prices[FX to SGD],MATCH($A361,Prices[Key],0)),1))</f>
        <v>1</v>
      </c>
      <c r="F361" s="30">
        <f>IF($A361="",0,(Transactions!M353-Transactions!L353+IF(Transactions!A353=2,Transactions!H353,0))*$E361)</f>
        <v>0</v>
      </c>
      <c r="G361" s="30">
        <f>IF($A361="",0,IF(Transactions!A353=2,Transactions!H353*$E361,0))</f>
        <v>0</v>
      </c>
    </row>
    <row r="362" spans="1:7" ht="15" customHeight="1" x14ac:dyDescent="0.15">
      <c r="A362" t="str">
        <f>IF(Transactions!J354="","",Transactions!J354)</f>
        <v/>
      </c>
      <c r="B362" s="297">
        <f ca="1">IF($A362="",TODAY(),Transactions!G354)</f>
        <v>46216</v>
      </c>
      <c r="C362" t="str">
        <f>IF($A362="","",Transactions!A354)</f>
        <v/>
      </c>
      <c r="D362" s="30">
        <f>IF($A362="",0,Transactions!H354)</f>
        <v>0</v>
      </c>
      <c r="E362">
        <f>IF($A362="",1,IFERROR(INDEX(Prices[FX to SGD],MATCH($A362,Prices[Key],0)),1))</f>
        <v>1</v>
      </c>
      <c r="F362" s="30">
        <f>IF($A362="",0,(Transactions!M354-Transactions!L354+IF(Transactions!A354=2,Transactions!H354,0))*$E362)</f>
        <v>0</v>
      </c>
      <c r="G362" s="30">
        <f>IF($A362="",0,IF(Transactions!A354=2,Transactions!H354*$E362,0))</f>
        <v>0</v>
      </c>
    </row>
    <row r="363" spans="1:7" ht="15" customHeight="1" x14ac:dyDescent="0.15">
      <c r="A363" t="str">
        <f>IF(Transactions!J355="","",Transactions!J355)</f>
        <v/>
      </c>
      <c r="B363" s="297">
        <f ca="1">IF($A363="",TODAY(),Transactions!G355)</f>
        <v>46216</v>
      </c>
      <c r="C363" t="str">
        <f>IF($A363="","",Transactions!A355)</f>
        <v/>
      </c>
      <c r="D363" s="30">
        <f>IF($A363="",0,Transactions!H355)</f>
        <v>0</v>
      </c>
      <c r="E363">
        <f>IF($A363="",1,IFERROR(INDEX(Prices[FX to SGD],MATCH($A363,Prices[Key],0)),1))</f>
        <v>1</v>
      </c>
      <c r="F363" s="30">
        <f>IF($A363="",0,(Transactions!M355-Transactions!L355+IF(Transactions!A355=2,Transactions!H355,0))*$E363)</f>
        <v>0</v>
      </c>
      <c r="G363" s="30">
        <f>IF($A363="",0,IF(Transactions!A355=2,Transactions!H355*$E363,0))</f>
        <v>0</v>
      </c>
    </row>
    <row r="364" spans="1:7" ht="15" customHeight="1" x14ac:dyDescent="0.15">
      <c r="A364" t="str">
        <f>IF(Transactions!J356="","",Transactions!J356)</f>
        <v/>
      </c>
      <c r="B364" s="297">
        <f ca="1">IF($A364="",TODAY(),Transactions!G356)</f>
        <v>46216</v>
      </c>
      <c r="C364" t="str">
        <f>IF($A364="","",Transactions!A356)</f>
        <v/>
      </c>
      <c r="D364" s="30">
        <f>IF($A364="",0,Transactions!H356)</f>
        <v>0</v>
      </c>
      <c r="E364">
        <f>IF($A364="",1,IFERROR(INDEX(Prices[FX to SGD],MATCH($A364,Prices[Key],0)),1))</f>
        <v>1</v>
      </c>
      <c r="F364" s="30">
        <f>IF($A364="",0,(Transactions!M356-Transactions!L356+IF(Transactions!A356=2,Transactions!H356,0))*$E364)</f>
        <v>0</v>
      </c>
      <c r="G364" s="30">
        <f>IF($A364="",0,IF(Transactions!A356=2,Transactions!H356*$E364,0))</f>
        <v>0</v>
      </c>
    </row>
    <row r="365" spans="1:7" ht="15" customHeight="1" x14ac:dyDescent="0.15">
      <c r="A365" t="str">
        <f>IF(Transactions!J357="","",Transactions!J357)</f>
        <v/>
      </c>
      <c r="B365" s="297">
        <f ca="1">IF($A365="",TODAY(),Transactions!G357)</f>
        <v>46216</v>
      </c>
      <c r="C365" t="str">
        <f>IF($A365="","",Transactions!A357)</f>
        <v/>
      </c>
      <c r="D365" s="30">
        <f>IF($A365="",0,Transactions!H357)</f>
        <v>0</v>
      </c>
      <c r="E365">
        <f>IF($A365="",1,IFERROR(INDEX(Prices[FX to SGD],MATCH($A365,Prices[Key],0)),1))</f>
        <v>1</v>
      </c>
      <c r="F365" s="30">
        <f>IF($A365="",0,(Transactions!M357-Transactions!L357+IF(Transactions!A357=2,Transactions!H357,0))*$E365)</f>
        <v>0</v>
      </c>
      <c r="G365" s="30">
        <f>IF($A365="",0,IF(Transactions!A357=2,Transactions!H357*$E365,0))</f>
        <v>0</v>
      </c>
    </row>
    <row r="366" spans="1:7" ht="15" customHeight="1" x14ac:dyDescent="0.15">
      <c r="A366" t="str">
        <f>IF(Transactions!J358="","",Transactions!J358)</f>
        <v/>
      </c>
      <c r="B366" s="297">
        <f ca="1">IF($A366="",TODAY(),Transactions!G358)</f>
        <v>46216</v>
      </c>
      <c r="C366" t="str">
        <f>IF($A366="","",Transactions!A358)</f>
        <v/>
      </c>
      <c r="D366" s="30">
        <f>IF($A366="",0,Transactions!H358)</f>
        <v>0</v>
      </c>
      <c r="E366">
        <f>IF($A366="",1,IFERROR(INDEX(Prices[FX to SGD],MATCH($A366,Prices[Key],0)),1))</f>
        <v>1</v>
      </c>
      <c r="F366" s="30">
        <f>IF($A366="",0,(Transactions!M358-Transactions!L358+IF(Transactions!A358=2,Transactions!H358,0))*$E366)</f>
        <v>0</v>
      </c>
      <c r="G366" s="30">
        <f>IF($A366="",0,IF(Transactions!A358=2,Transactions!H358*$E366,0))</f>
        <v>0</v>
      </c>
    </row>
    <row r="367" spans="1:7" ht="15" customHeight="1" x14ac:dyDescent="0.15">
      <c r="A367" t="str">
        <f>IF(Transactions!J359="","",Transactions!J359)</f>
        <v/>
      </c>
      <c r="B367" s="297">
        <f ca="1">IF($A367="",TODAY(),Transactions!G359)</f>
        <v>46216</v>
      </c>
      <c r="C367" t="str">
        <f>IF($A367="","",Transactions!A359)</f>
        <v/>
      </c>
      <c r="D367" s="30">
        <f>IF($A367="",0,Transactions!H359)</f>
        <v>0</v>
      </c>
      <c r="E367">
        <f>IF($A367="",1,IFERROR(INDEX(Prices[FX to SGD],MATCH($A367,Prices[Key],0)),1))</f>
        <v>1</v>
      </c>
      <c r="F367" s="30">
        <f>IF($A367="",0,(Transactions!M359-Transactions!L359+IF(Transactions!A359=2,Transactions!H359,0))*$E367)</f>
        <v>0</v>
      </c>
      <c r="G367" s="30">
        <f>IF($A367="",0,IF(Transactions!A359=2,Transactions!H359*$E367,0))</f>
        <v>0</v>
      </c>
    </row>
    <row r="368" spans="1:7" ht="15" customHeight="1" x14ac:dyDescent="0.15">
      <c r="A368" t="str">
        <f>IF(Transactions!J360="","",Transactions!J360)</f>
        <v/>
      </c>
      <c r="B368" s="297">
        <f ca="1">IF($A368="",TODAY(),Transactions!G360)</f>
        <v>46216</v>
      </c>
      <c r="C368" t="str">
        <f>IF($A368="","",Transactions!A360)</f>
        <v/>
      </c>
      <c r="D368" s="30">
        <f>IF($A368="",0,Transactions!H360)</f>
        <v>0</v>
      </c>
      <c r="E368">
        <f>IF($A368="",1,IFERROR(INDEX(Prices[FX to SGD],MATCH($A368,Prices[Key],0)),1))</f>
        <v>1</v>
      </c>
      <c r="F368" s="30">
        <f>IF($A368="",0,(Transactions!M360-Transactions!L360+IF(Transactions!A360=2,Transactions!H360,0))*$E368)</f>
        <v>0</v>
      </c>
      <c r="G368" s="30">
        <f>IF($A368="",0,IF(Transactions!A360=2,Transactions!H360*$E368,0))</f>
        <v>0</v>
      </c>
    </row>
    <row r="369" spans="1:7" ht="15" customHeight="1" x14ac:dyDescent="0.15">
      <c r="A369" t="str">
        <f>IF(Transactions!J361="","",Transactions!J361)</f>
        <v/>
      </c>
      <c r="B369" s="297">
        <f ca="1">IF($A369="",TODAY(),Transactions!G361)</f>
        <v>46216</v>
      </c>
      <c r="C369" t="str">
        <f>IF($A369="","",Transactions!A361)</f>
        <v/>
      </c>
      <c r="D369" s="30">
        <f>IF($A369="",0,Transactions!H361)</f>
        <v>0</v>
      </c>
      <c r="E369">
        <f>IF($A369="",1,IFERROR(INDEX(Prices[FX to SGD],MATCH($A369,Prices[Key],0)),1))</f>
        <v>1</v>
      </c>
      <c r="F369" s="30">
        <f>IF($A369="",0,(Transactions!M361-Transactions!L361+IF(Transactions!A361=2,Transactions!H361,0))*$E369)</f>
        <v>0</v>
      </c>
      <c r="G369" s="30">
        <f>IF($A369="",0,IF(Transactions!A361=2,Transactions!H361*$E369,0))</f>
        <v>0</v>
      </c>
    </row>
    <row r="370" spans="1:7" ht="15" customHeight="1" x14ac:dyDescent="0.15">
      <c r="A370" t="str">
        <f>IF(Transactions!J362="","",Transactions!J362)</f>
        <v/>
      </c>
      <c r="B370" s="297">
        <f ca="1">IF($A370="",TODAY(),Transactions!G362)</f>
        <v>46216</v>
      </c>
      <c r="C370" t="str">
        <f>IF($A370="","",Transactions!A362)</f>
        <v/>
      </c>
      <c r="D370" s="30">
        <f>IF($A370="",0,Transactions!H362)</f>
        <v>0</v>
      </c>
      <c r="E370">
        <f>IF($A370="",1,IFERROR(INDEX(Prices[FX to SGD],MATCH($A370,Prices[Key],0)),1))</f>
        <v>1</v>
      </c>
      <c r="F370" s="30">
        <f>IF($A370="",0,(Transactions!M362-Transactions!L362+IF(Transactions!A362=2,Transactions!H362,0))*$E370)</f>
        <v>0</v>
      </c>
      <c r="G370" s="30">
        <f>IF($A370="",0,IF(Transactions!A362=2,Transactions!H362*$E370,0))</f>
        <v>0</v>
      </c>
    </row>
    <row r="371" spans="1:7" ht="15" customHeight="1" x14ac:dyDescent="0.15">
      <c r="A371" t="str">
        <f>IF(Transactions!J363="","",Transactions!J363)</f>
        <v/>
      </c>
      <c r="B371" s="297">
        <f ca="1">IF($A371="",TODAY(),Transactions!G363)</f>
        <v>46216</v>
      </c>
      <c r="C371" t="str">
        <f>IF($A371="","",Transactions!A363)</f>
        <v/>
      </c>
      <c r="D371" s="30">
        <f>IF($A371="",0,Transactions!H363)</f>
        <v>0</v>
      </c>
      <c r="E371">
        <f>IF($A371="",1,IFERROR(INDEX(Prices[FX to SGD],MATCH($A371,Prices[Key],0)),1))</f>
        <v>1</v>
      </c>
      <c r="F371" s="30">
        <f>IF($A371="",0,(Transactions!M363-Transactions!L363+IF(Transactions!A363=2,Transactions!H363,0))*$E371)</f>
        <v>0</v>
      </c>
      <c r="G371" s="30">
        <f>IF($A371="",0,IF(Transactions!A363=2,Transactions!H363*$E371,0))</f>
        <v>0</v>
      </c>
    </row>
    <row r="372" spans="1:7" ht="15" customHeight="1" x14ac:dyDescent="0.15">
      <c r="A372" t="str">
        <f>IF(Transactions!J364="","",Transactions!J364)</f>
        <v/>
      </c>
      <c r="B372" s="297">
        <f ca="1">IF($A372="",TODAY(),Transactions!G364)</f>
        <v>46216</v>
      </c>
      <c r="C372" t="str">
        <f>IF($A372="","",Transactions!A364)</f>
        <v/>
      </c>
      <c r="D372" s="30">
        <f>IF($A372="",0,Transactions!H364)</f>
        <v>0</v>
      </c>
      <c r="E372">
        <f>IF($A372="",1,IFERROR(INDEX(Prices[FX to SGD],MATCH($A372,Prices[Key],0)),1))</f>
        <v>1</v>
      </c>
      <c r="F372" s="30">
        <f>IF($A372="",0,(Transactions!M364-Transactions!L364+IF(Transactions!A364=2,Transactions!H364,0))*$E372)</f>
        <v>0</v>
      </c>
      <c r="G372" s="30">
        <f>IF($A372="",0,IF(Transactions!A364=2,Transactions!H364*$E372,0))</f>
        <v>0</v>
      </c>
    </row>
    <row r="373" spans="1:7" ht="15" customHeight="1" x14ac:dyDescent="0.15">
      <c r="A373" t="str">
        <f>IF(Transactions!J365="","",Transactions!J365)</f>
        <v/>
      </c>
      <c r="B373" s="297">
        <f ca="1">IF($A373="",TODAY(),Transactions!G365)</f>
        <v>46216</v>
      </c>
      <c r="C373" t="str">
        <f>IF($A373="","",Transactions!A365)</f>
        <v/>
      </c>
      <c r="D373" s="30">
        <f>IF($A373="",0,Transactions!H365)</f>
        <v>0</v>
      </c>
      <c r="E373">
        <f>IF($A373="",1,IFERROR(INDEX(Prices[FX to SGD],MATCH($A373,Prices[Key],0)),1))</f>
        <v>1</v>
      </c>
      <c r="F373" s="30">
        <f>IF($A373="",0,(Transactions!M365-Transactions!L365+IF(Transactions!A365=2,Transactions!H365,0))*$E373)</f>
        <v>0</v>
      </c>
      <c r="G373" s="30">
        <f>IF($A373="",0,IF(Transactions!A365=2,Transactions!H365*$E373,0))</f>
        <v>0</v>
      </c>
    </row>
    <row r="374" spans="1:7" ht="15" customHeight="1" x14ac:dyDescent="0.15">
      <c r="A374" t="str">
        <f>IF(Transactions!J366="","",Transactions!J366)</f>
        <v/>
      </c>
      <c r="B374" s="297">
        <f ca="1">IF($A374="",TODAY(),Transactions!G366)</f>
        <v>46216</v>
      </c>
      <c r="C374" t="str">
        <f>IF($A374="","",Transactions!A366)</f>
        <v/>
      </c>
      <c r="D374" s="30">
        <f>IF($A374="",0,Transactions!H366)</f>
        <v>0</v>
      </c>
      <c r="E374">
        <f>IF($A374="",1,IFERROR(INDEX(Prices[FX to SGD],MATCH($A374,Prices[Key],0)),1))</f>
        <v>1</v>
      </c>
      <c r="F374" s="30">
        <f>IF($A374="",0,(Transactions!M366-Transactions!L366+IF(Transactions!A366=2,Transactions!H366,0))*$E374)</f>
        <v>0</v>
      </c>
      <c r="G374" s="30">
        <f>IF($A374="",0,IF(Transactions!A366=2,Transactions!H366*$E374,0))</f>
        <v>0</v>
      </c>
    </row>
    <row r="375" spans="1:7" ht="15" customHeight="1" x14ac:dyDescent="0.15">
      <c r="A375" t="str">
        <f>IF(Transactions!J367="","",Transactions!J367)</f>
        <v/>
      </c>
      <c r="B375" s="297">
        <f ca="1">IF($A375="",TODAY(),Transactions!G367)</f>
        <v>46216</v>
      </c>
      <c r="C375" t="str">
        <f>IF($A375="","",Transactions!A367)</f>
        <v/>
      </c>
      <c r="D375" s="30">
        <f>IF($A375="",0,Transactions!H367)</f>
        <v>0</v>
      </c>
      <c r="E375">
        <f>IF($A375="",1,IFERROR(INDEX(Prices[FX to SGD],MATCH($A375,Prices[Key],0)),1))</f>
        <v>1</v>
      </c>
      <c r="F375" s="30">
        <f>IF($A375="",0,(Transactions!M367-Transactions!L367+IF(Transactions!A367=2,Transactions!H367,0))*$E375)</f>
        <v>0</v>
      </c>
      <c r="G375" s="30">
        <f>IF($A375="",0,IF(Transactions!A367=2,Transactions!H367*$E375,0))</f>
        <v>0</v>
      </c>
    </row>
    <row r="376" spans="1:7" ht="15" customHeight="1" x14ac:dyDescent="0.15">
      <c r="A376" t="str">
        <f>IF(Transactions!J368="","",Transactions!J368)</f>
        <v/>
      </c>
      <c r="B376" s="297">
        <f ca="1">IF($A376="",TODAY(),Transactions!G368)</f>
        <v>46216</v>
      </c>
      <c r="C376" t="str">
        <f>IF($A376="","",Transactions!A368)</f>
        <v/>
      </c>
      <c r="D376" s="30">
        <f>IF($A376="",0,Transactions!H368)</f>
        <v>0</v>
      </c>
      <c r="E376">
        <f>IF($A376="",1,IFERROR(INDEX(Prices[FX to SGD],MATCH($A376,Prices[Key],0)),1))</f>
        <v>1</v>
      </c>
      <c r="F376" s="30">
        <f>IF($A376="",0,(Transactions!M368-Transactions!L368+IF(Transactions!A368=2,Transactions!H368,0))*$E376)</f>
        <v>0</v>
      </c>
      <c r="G376" s="30">
        <f>IF($A376="",0,IF(Transactions!A368=2,Transactions!H368*$E376,0))</f>
        <v>0</v>
      </c>
    </row>
    <row r="377" spans="1:7" ht="15" customHeight="1" x14ac:dyDescent="0.15">
      <c r="A377" t="str">
        <f>IF(Transactions!J369="","",Transactions!J369)</f>
        <v/>
      </c>
      <c r="B377" s="297">
        <f ca="1">IF($A377="",TODAY(),Transactions!G369)</f>
        <v>46216</v>
      </c>
      <c r="C377" t="str">
        <f>IF($A377="","",Transactions!A369)</f>
        <v/>
      </c>
      <c r="D377" s="30">
        <f>IF($A377="",0,Transactions!H369)</f>
        <v>0</v>
      </c>
      <c r="E377">
        <f>IF($A377="",1,IFERROR(INDEX(Prices[FX to SGD],MATCH($A377,Prices[Key],0)),1))</f>
        <v>1</v>
      </c>
      <c r="F377" s="30">
        <f>IF($A377="",0,(Transactions!M369-Transactions!L369+IF(Transactions!A369=2,Transactions!H369,0))*$E377)</f>
        <v>0</v>
      </c>
      <c r="G377" s="30">
        <f>IF($A377="",0,IF(Transactions!A369=2,Transactions!H369*$E377,0))</f>
        <v>0</v>
      </c>
    </row>
    <row r="378" spans="1:7" ht="15" customHeight="1" x14ac:dyDescent="0.15">
      <c r="A378" t="str">
        <f>IF(Transactions!J370="","",Transactions!J370)</f>
        <v/>
      </c>
      <c r="B378" s="297">
        <f ca="1">IF($A378="",TODAY(),Transactions!G370)</f>
        <v>46216</v>
      </c>
      <c r="C378" t="str">
        <f>IF($A378="","",Transactions!A370)</f>
        <v/>
      </c>
      <c r="D378" s="30">
        <f>IF($A378="",0,Transactions!H370)</f>
        <v>0</v>
      </c>
      <c r="E378">
        <f>IF($A378="",1,IFERROR(INDEX(Prices[FX to SGD],MATCH($A378,Prices[Key],0)),1))</f>
        <v>1</v>
      </c>
      <c r="F378" s="30">
        <f>IF($A378="",0,(Transactions!M370-Transactions!L370+IF(Transactions!A370=2,Transactions!H370,0))*$E378)</f>
        <v>0</v>
      </c>
      <c r="G378" s="30">
        <f>IF($A378="",0,IF(Transactions!A370=2,Transactions!H370*$E378,0))</f>
        <v>0</v>
      </c>
    </row>
    <row r="379" spans="1:7" ht="15" customHeight="1" x14ac:dyDescent="0.15">
      <c r="A379" t="str">
        <f>IF(Transactions!J371="","",Transactions!J371)</f>
        <v/>
      </c>
      <c r="B379" s="297">
        <f ca="1">IF($A379="",TODAY(),Transactions!G371)</f>
        <v>46216</v>
      </c>
      <c r="C379" t="str">
        <f>IF($A379="","",Transactions!A371)</f>
        <v/>
      </c>
      <c r="D379" s="30">
        <f>IF($A379="",0,Transactions!H371)</f>
        <v>0</v>
      </c>
      <c r="E379">
        <f>IF($A379="",1,IFERROR(INDEX(Prices[FX to SGD],MATCH($A379,Prices[Key],0)),1))</f>
        <v>1</v>
      </c>
      <c r="F379" s="30">
        <f>IF($A379="",0,(Transactions!M371-Transactions!L371+IF(Transactions!A371=2,Transactions!H371,0))*$E379)</f>
        <v>0</v>
      </c>
      <c r="G379" s="30">
        <f>IF($A379="",0,IF(Transactions!A371=2,Transactions!H371*$E379,0))</f>
        <v>0</v>
      </c>
    </row>
    <row r="380" spans="1:7" ht="15" customHeight="1" x14ac:dyDescent="0.15">
      <c r="A380" t="str">
        <f>IF(Transactions!J372="","",Transactions!J372)</f>
        <v/>
      </c>
      <c r="B380" s="297">
        <f ca="1">IF($A380="",TODAY(),Transactions!G372)</f>
        <v>46216</v>
      </c>
      <c r="C380" t="str">
        <f>IF($A380="","",Transactions!A372)</f>
        <v/>
      </c>
      <c r="D380" s="30">
        <f>IF($A380="",0,Transactions!H372)</f>
        <v>0</v>
      </c>
      <c r="E380">
        <f>IF($A380="",1,IFERROR(INDEX(Prices[FX to SGD],MATCH($A380,Prices[Key],0)),1))</f>
        <v>1</v>
      </c>
      <c r="F380" s="30">
        <f>IF($A380="",0,(Transactions!M372-Transactions!L372+IF(Transactions!A372=2,Transactions!H372,0))*$E380)</f>
        <v>0</v>
      </c>
      <c r="G380" s="30">
        <f>IF($A380="",0,IF(Transactions!A372=2,Transactions!H372*$E380,0))</f>
        <v>0</v>
      </c>
    </row>
    <row r="381" spans="1:7" ht="15" customHeight="1" x14ac:dyDescent="0.15">
      <c r="A381" t="str">
        <f>IF(Transactions!J373="","",Transactions!J373)</f>
        <v/>
      </c>
      <c r="B381" s="297">
        <f ca="1">IF($A381="",TODAY(),Transactions!G373)</f>
        <v>46216</v>
      </c>
      <c r="C381" t="str">
        <f>IF($A381="","",Transactions!A373)</f>
        <v/>
      </c>
      <c r="D381" s="30">
        <f>IF($A381="",0,Transactions!H373)</f>
        <v>0</v>
      </c>
      <c r="E381">
        <f>IF($A381="",1,IFERROR(INDEX(Prices[FX to SGD],MATCH($A381,Prices[Key],0)),1))</f>
        <v>1</v>
      </c>
      <c r="F381" s="30">
        <f>IF($A381="",0,(Transactions!M373-Transactions!L373+IF(Transactions!A373=2,Transactions!H373,0))*$E381)</f>
        <v>0</v>
      </c>
      <c r="G381" s="30">
        <f>IF($A381="",0,IF(Transactions!A373=2,Transactions!H373*$E381,0))</f>
        <v>0</v>
      </c>
    </row>
    <row r="382" spans="1:7" ht="15" customHeight="1" x14ac:dyDescent="0.15">
      <c r="A382" t="str">
        <f>IF(Transactions!J374="","",Transactions!J374)</f>
        <v/>
      </c>
      <c r="B382" s="297">
        <f ca="1">IF($A382="",TODAY(),Transactions!G374)</f>
        <v>46216</v>
      </c>
      <c r="C382" t="str">
        <f>IF($A382="","",Transactions!A374)</f>
        <v/>
      </c>
      <c r="D382" s="30">
        <f>IF($A382="",0,Transactions!H374)</f>
        <v>0</v>
      </c>
      <c r="E382">
        <f>IF($A382="",1,IFERROR(INDEX(Prices[FX to SGD],MATCH($A382,Prices[Key],0)),1))</f>
        <v>1</v>
      </c>
      <c r="F382" s="30">
        <f>IF($A382="",0,(Transactions!M374-Transactions!L374+IF(Transactions!A374=2,Transactions!H374,0))*$E382)</f>
        <v>0</v>
      </c>
      <c r="G382" s="30">
        <f>IF($A382="",0,IF(Transactions!A374=2,Transactions!H374*$E382,0))</f>
        <v>0</v>
      </c>
    </row>
    <row r="383" spans="1:7" ht="15" customHeight="1" x14ac:dyDescent="0.15">
      <c r="A383" t="str">
        <f>IF(Transactions!J375="","",Transactions!J375)</f>
        <v/>
      </c>
      <c r="B383" s="297">
        <f ca="1">IF($A383="",TODAY(),Transactions!G375)</f>
        <v>46216</v>
      </c>
      <c r="C383" t="str">
        <f>IF($A383="","",Transactions!A375)</f>
        <v/>
      </c>
      <c r="D383" s="30">
        <f>IF($A383="",0,Transactions!H375)</f>
        <v>0</v>
      </c>
      <c r="E383">
        <f>IF($A383="",1,IFERROR(INDEX(Prices[FX to SGD],MATCH($A383,Prices[Key],0)),1))</f>
        <v>1</v>
      </c>
      <c r="F383" s="30">
        <f>IF($A383="",0,(Transactions!M375-Transactions!L375+IF(Transactions!A375=2,Transactions!H375,0))*$E383)</f>
        <v>0</v>
      </c>
      <c r="G383" s="30">
        <f>IF($A383="",0,IF(Transactions!A375=2,Transactions!H375*$E383,0))</f>
        <v>0</v>
      </c>
    </row>
    <row r="384" spans="1:7" ht="15" customHeight="1" x14ac:dyDescent="0.15">
      <c r="A384" t="str">
        <f>IF(Transactions!J376="","",Transactions!J376)</f>
        <v/>
      </c>
      <c r="B384" s="297">
        <f ca="1">IF($A384="",TODAY(),Transactions!G376)</f>
        <v>46216</v>
      </c>
      <c r="C384" t="str">
        <f>IF($A384="","",Transactions!A376)</f>
        <v/>
      </c>
      <c r="D384" s="30">
        <f>IF($A384="",0,Transactions!H376)</f>
        <v>0</v>
      </c>
      <c r="E384">
        <f>IF($A384="",1,IFERROR(INDEX(Prices[FX to SGD],MATCH($A384,Prices[Key],0)),1))</f>
        <v>1</v>
      </c>
      <c r="F384" s="30">
        <f>IF($A384="",0,(Transactions!M376-Transactions!L376+IF(Transactions!A376=2,Transactions!H376,0))*$E384)</f>
        <v>0</v>
      </c>
      <c r="G384" s="30">
        <f>IF($A384="",0,IF(Transactions!A376=2,Transactions!H376*$E384,0))</f>
        <v>0</v>
      </c>
    </row>
    <row r="385" spans="1:7" ht="15" customHeight="1" x14ac:dyDescent="0.15">
      <c r="A385" t="str">
        <f>IF(Transactions!J377="","",Transactions!J377)</f>
        <v/>
      </c>
      <c r="B385" s="297">
        <f ca="1">IF($A385="",TODAY(),Transactions!G377)</f>
        <v>46216</v>
      </c>
      <c r="C385" t="str">
        <f>IF($A385="","",Transactions!A377)</f>
        <v/>
      </c>
      <c r="D385" s="30">
        <f>IF($A385="",0,Transactions!H377)</f>
        <v>0</v>
      </c>
      <c r="E385">
        <f>IF($A385="",1,IFERROR(INDEX(Prices[FX to SGD],MATCH($A385,Prices[Key],0)),1))</f>
        <v>1</v>
      </c>
      <c r="F385" s="30">
        <f>IF($A385="",0,(Transactions!M377-Transactions!L377+IF(Transactions!A377=2,Transactions!H377,0))*$E385)</f>
        <v>0</v>
      </c>
      <c r="G385" s="30">
        <f>IF($A385="",0,IF(Transactions!A377=2,Transactions!H377*$E385,0))</f>
        <v>0</v>
      </c>
    </row>
    <row r="386" spans="1:7" ht="15" customHeight="1" x14ac:dyDescent="0.15">
      <c r="A386" t="str">
        <f>IF(Transactions!J378="","",Transactions!J378)</f>
        <v/>
      </c>
      <c r="B386" s="297">
        <f ca="1">IF($A386="",TODAY(),Transactions!G378)</f>
        <v>46216</v>
      </c>
      <c r="C386" t="str">
        <f>IF($A386="","",Transactions!A378)</f>
        <v/>
      </c>
      <c r="D386" s="30">
        <f>IF($A386="",0,Transactions!H378)</f>
        <v>0</v>
      </c>
      <c r="E386">
        <f>IF($A386="",1,IFERROR(INDEX(Prices[FX to SGD],MATCH($A386,Prices[Key],0)),1))</f>
        <v>1</v>
      </c>
      <c r="F386" s="30">
        <f>IF($A386="",0,(Transactions!M378-Transactions!L378+IF(Transactions!A378=2,Transactions!H378,0))*$E386)</f>
        <v>0</v>
      </c>
      <c r="G386" s="30">
        <f>IF($A386="",0,IF(Transactions!A378=2,Transactions!H378*$E386,0))</f>
        <v>0</v>
      </c>
    </row>
    <row r="387" spans="1:7" ht="15" customHeight="1" x14ac:dyDescent="0.15">
      <c r="A387" t="str">
        <f>IF(Transactions!J379="","",Transactions!J379)</f>
        <v/>
      </c>
      <c r="B387" s="297">
        <f ca="1">IF($A387="",TODAY(),Transactions!G379)</f>
        <v>46216</v>
      </c>
      <c r="C387" t="str">
        <f>IF($A387="","",Transactions!A379)</f>
        <v/>
      </c>
      <c r="D387" s="30">
        <f>IF($A387="",0,Transactions!H379)</f>
        <v>0</v>
      </c>
      <c r="E387">
        <f>IF($A387="",1,IFERROR(INDEX(Prices[FX to SGD],MATCH($A387,Prices[Key],0)),1))</f>
        <v>1</v>
      </c>
      <c r="F387" s="30">
        <f>IF($A387="",0,(Transactions!M379-Transactions!L379+IF(Transactions!A379=2,Transactions!H379,0))*$E387)</f>
        <v>0</v>
      </c>
      <c r="G387" s="30">
        <f>IF($A387="",0,IF(Transactions!A379=2,Transactions!H379*$E387,0))</f>
        <v>0</v>
      </c>
    </row>
    <row r="388" spans="1:7" ht="15" customHeight="1" x14ac:dyDescent="0.15">
      <c r="A388" t="str">
        <f>IF(Transactions!J380="","",Transactions!J380)</f>
        <v/>
      </c>
      <c r="B388" s="297">
        <f ca="1">IF($A388="",TODAY(),Transactions!G380)</f>
        <v>46216</v>
      </c>
      <c r="C388" t="str">
        <f>IF($A388="","",Transactions!A380)</f>
        <v/>
      </c>
      <c r="D388" s="30">
        <f>IF($A388="",0,Transactions!H380)</f>
        <v>0</v>
      </c>
      <c r="E388">
        <f>IF($A388="",1,IFERROR(INDEX(Prices[FX to SGD],MATCH($A388,Prices[Key],0)),1))</f>
        <v>1</v>
      </c>
      <c r="F388" s="30">
        <f>IF($A388="",0,(Transactions!M380-Transactions!L380+IF(Transactions!A380=2,Transactions!H380,0))*$E388)</f>
        <v>0</v>
      </c>
      <c r="G388" s="30">
        <f>IF($A388="",0,IF(Transactions!A380=2,Transactions!H380*$E388,0))</f>
        <v>0</v>
      </c>
    </row>
    <row r="389" spans="1:7" ht="15" customHeight="1" x14ac:dyDescent="0.15">
      <c r="A389" t="str">
        <f>IF(Transactions!J381="","",Transactions!J381)</f>
        <v/>
      </c>
      <c r="B389" s="297">
        <f ca="1">IF($A389="",TODAY(),Transactions!G381)</f>
        <v>46216</v>
      </c>
      <c r="C389" t="str">
        <f>IF($A389="","",Transactions!A381)</f>
        <v/>
      </c>
      <c r="D389" s="30">
        <f>IF($A389="",0,Transactions!H381)</f>
        <v>0</v>
      </c>
      <c r="E389">
        <f>IF($A389="",1,IFERROR(INDEX(Prices[FX to SGD],MATCH($A389,Prices[Key],0)),1))</f>
        <v>1</v>
      </c>
      <c r="F389" s="30">
        <f>IF($A389="",0,(Transactions!M381-Transactions!L381+IF(Transactions!A381=2,Transactions!H381,0))*$E389)</f>
        <v>0</v>
      </c>
      <c r="G389" s="30">
        <f>IF($A389="",0,IF(Transactions!A381=2,Transactions!H381*$E389,0))</f>
        <v>0</v>
      </c>
    </row>
    <row r="390" spans="1:7" ht="15" customHeight="1" x14ac:dyDescent="0.15">
      <c r="A390" t="str">
        <f>IF(Transactions!J382="","",Transactions!J382)</f>
        <v/>
      </c>
      <c r="B390" s="297">
        <f ca="1">IF($A390="",TODAY(),Transactions!G382)</f>
        <v>46216</v>
      </c>
      <c r="C390" t="str">
        <f>IF($A390="","",Transactions!A382)</f>
        <v/>
      </c>
      <c r="D390" s="30">
        <f>IF($A390="",0,Transactions!H382)</f>
        <v>0</v>
      </c>
      <c r="E390">
        <f>IF($A390="",1,IFERROR(INDEX(Prices[FX to SGD],MATCH($A390,Prices[Key],0)),1))</f>
        <v>1</v>
      </c>
      <c r="F390" s="30">
        <f>IF($A390="",0,(Transactions!M382-Transactions!L382+IF(Transactions!A382=2,Transactions!H382,0))*$E390)</f>
        <v>0</v>
      </c>
      <c r="G390" s="30">
        <f>IF($A390="",0,IF(Transactions!A382=2,Transactions!H382*$E390,0))</f>
        <v>0</v>
      </c>
    </row>
    <row r="391" spans="1:7" ht="15" customHeight="1" x14ac:dyDescent="0.15">
      <c r="A391" t="str">
        <f>IF(Transactions!J383="","",Transactions!J383)</f>
        <v/>
      </c>
      <c r="B391" s="297">
        <f ca="1">IF($A391="",TODAY(),Transactions!G383)</f>
        <v>46216</v>
      </c>
      <c r="C391" t="str">
        <f>IF($A391="","",Transactions!A383)</f>
        <v/>
      </c>
      <c r="D391" s="30">
        <f>IF($A391="",0,Transactions!H383)</f>
        <v>0</v>
      </c>
      <c r="E391">
        <f>IF($A391="",1,IFERROR(INDEX(Prices[FX to SGD],MATCH($A391,Prices[Key],0)),1))</f>
        <v>1</v>
      </c>
      <c r="F391" s="30">
        <f>IF($A391="",0,(Transactions!M383-Transactions!L383+IF(Transactions!A383=2,Transactions!H383,0))*$E391)</f>
        <v>0</v>
      </c>
      <c r="G391" s="30">
        <f>IF($A391="",0,IF(Transactions!A383=2,Transactions!H383*$E391,0))</f>
        <v>0</v>
      </c>
    </row>
    <row r="392" spans="1:7" ht="15" customHeight="1" x14ac:dyDescent="0.15">
      <c r="A392" t="str">
        <f>IF(Transactions!J384="","",Transactions!J384)</f>
        <v/>
      </c>
      <c r="B392" s="297">
        <f ca="1">IF($A392="",TODAY(),Transactions!G384)</f>
        <v>46216</v>
      </c>
      <c r="C392" t="str">
        <f>IF($A392="","",Transactions!A384)</f>
        <v/>
      </c>
      <c r="D392" s="30">
        <f>IF($A392="",0,Transactions!H384)</f>
        <v>0</v>
      </c>
      <c r="E392">
        <f>IF($A392="",1,IFERROR(INDEX(Prices[FX to SGD],MATCH($A392,Prices[Key],0)),1))</f>
        <v>1</v>
      </c>
      <c r="F392" s="30">
        <f>IF($A392="",0,(Transactions!M384-Transactions!L384+IF(Transactions!A384=2,Transactions!H384,0))*$E392)</f>
        <v>0</v>
      </c>
      <c r="G392" s="30">
        <f>IF($A392="",0,IF(Transactions!A384=2,Transactions!H384*$E392,0))</f>
        <v>0</v>
      </c>
    </row>
    <row r="393" spans="1:7" ht="15" customHeight="1" x14ac:dyDescent="0.15">
      <c r="A393" t="str">
        <f>IF(Transactions!J385="","",Transactions!J385)</f>
        <v/>
      </c>
      <c r="B393" s="297">
        <f ca="1">IF($A393="",TODAY(),Transactions!G385)</f>
        <v>46216</v>
      </c>
      <c r="C393" t="str">
        <f>IF($A393="","",Transactions!A385)</f>
        <v/>
      </c>
      <c r="D393" s="30">
        <f>IF($A393="",0,Transactions!H385)</f>
        <v>0</v>
      </c>
      <c r="E393">
        <f>IF($A393="",1,IFERROR(INDEX(Prices[FX to SGD],MATCH($A393,Prices[Key],0)),1))</f>
        <v>1</v>
      </c>
      <c r="F393" s="30">
        <f>IF($A393="",0,(Transactions!M385-Transactions!L385+IF(Transactions!A385=2,Transactions!H385,0))*$E393)</f>
        <v>0</v>
      </c>
      <c r="G393" s="30">
        <f>IF($A393="",0,IF(Transactions!A385=2,Transactions!H385*$E393,0))</f>
        <v>0</v>
      </c>
    </row>
    <row r="394" spans="1:7" ht="15" customHeight="1" x14ac:dyDescent="0.15">
      <c r="A394" t="str">
        <f>IF(Transactions!J386="","",Transactions!J386)</f>
        <v/>
      </c>
      <c r="B394" s="297">
        <f ca="1">IF($A394="",TODAY(),Transactions!G386)</f>
        <v>46216</v>
      </c>
      <c r="C394" t="str">
        <f>IF($A394="","",Transactions!A386)</f>
        <v/>
      </c>
      <c r="D394" s="30">
        <f>IF($A394="",0,Transactions!H386)</f>
        <v>0</v>
      </c>
      <c r="E394">
        <f>IF($A394="",1,IFERROR(INDEX(Prices[FX to SGD],MATCH($A394,Prices[Key],0)),1))</f>
        <v>1</v>
      </c>
      <c r="F394" s="30">
        <f>IF($A394="",0,(Transactions!M386-Transactions!L386+IF(Transactions!A386=2,Transactions!H386,0))*$E394)</f>
        <v>0</v>
      </c>
      <c r="G394" s="30">
        <f>IF($A394="",0,IF(Transactions!A386=2,Transactions!H386*$E394,0))</f>
        <v>0</v>
      </c>
    </row>
    <row r="395" spans="1:7" ht="15" customHeight="1" x14ac:dyDescent="0.15">
      <c r="A395" t="str">
        <f>IF(Transactions!J387="","",Transactions!J387)</f>
        <v/>
      </c>
      <c r="B395" s="297">
        <f ca="1">IF($A395="",TODAY(),Transactions!G387)</f>
        <v>46216</v>
      </c>
      <c r="C395" t="str">
        <f>IF($A395="","",Transactions!A387)</f>
        <v/>
      </c>
      <c r="D395" s="30">
        <f>IF($A395="",0,Transactions!H387)</f>
        <v>0</v>
      </c>
      <c r="E395">
        <f>IF($A395="",1,IFERROR(INDEX(Prices[FX to SGD],MATCH($A395,Prices[Key],0)),1))</f>
        <v>1</v>
      </c>
      <c r="F395" s="30">
        <f>IF($A395="",0,(Transactions!M387-Transactions!L387+IF(Transactions!A387=2,Transactions!H387,0))*$E395)</f>
        <v>0</v>
      </c>
      <c r="G395" s="30">
        <f>IF($A395="",0,IF(Transactions!A387=2,Transactions!H387*$E395,0))</f>
        <v>0</v>
      </c>
    </row>
    <row r="396" spans="1:7" ht="15" customHeight="1" x14ac:dyDescent="0.15">
      <c r="A396" t="str">
        <f>IF(Transactions!J388="","",Transactions!J388)</f>
        <v/>
      </c>
      <c r="B396" s="297">
        <f ca="1">IF($A396="",TODAY(),Transactions!G388)</f>
        <v>46216</v>
      </c>
      <c r="C396" t="str">
        <f>IF($A396="","",Transactions!A388)</f>
        <v/>
      </c>
      <c r="D396" s="30">
        <f>IF($A396="",0,Transactions!H388)</f>
        <v>0</v>
      </c>
      <c r="E396">
        <f>IF($A396="",1,IFERROR(INDEX(Prices[FX to SGD],MATCH($A396,Prices[Key],0)),1))</f>
        <v>1</v>
      </c>
      <c r="F396" s="30">
        <f>IF($A396="",0,(Transactions!M388-Transactions!L388+IF(Transactions!A388=2,Transactions!H388,0))*$E396)</f>
        <v>0</v>
      </c>
      <c r="G396" s="30">
        <f>IF($A396="",0,IF(Transactions!A388=2,Transactions!H388*$E396,0))</f>
        <v>0</v>
      </c>
    </row>
    <row r="397" spans="1:7" ht="15" customHeight="1" x14ac:dyDescent="0.15">
      <c r="A397" t="str">
        <f>IF(Transactions!J389="","",Transactions!J389)</f>
        <v/>
      </c>
      <c r="B397" s="297">
        <f ca="1">IF($A397="",TODAY(),Transactions!G389)</f>
        <v>46216</v>
      </c>
      <c r="C397" t="str">
        <f>IF($A397="","",Transactions!A389)</f>
        <v/>
      </c>
      <c r="D397" s="30">
        <f>IF($A397="",0,Transactions!H389)</f>
        <v>0</v>
      </c>
      <c r="E397">
        <f>IF($A397="",1,IFERROR(INDEX(Prices[FX to SGD],MATCH($A397,Prices[Key],0)),1))</f>
        <v>1</v>
      </c>
      <c r="F397" s="30">
        <f>IF($A397="",0,(Transactions!M389-Transactions!L389+IF(Transactions!A389=2,Transactions!H389,0))*$E397)</f>
        <v>0</v>
      </c>
      <c r="G397" s="30">
        <f>IF($A397="",0,IF(Transactions!A389=2,Transactions!H389*$E397,0))</f>
        <v>0</v>
      </c>
    </row>
    <row r="398" spans="1:7" ht="15" customHeight="1" x14ac:dyDescent="0.15">
      <c r="A398" t="str">
        <f>IF(Transactions!J390="","",Transactions!J390)</f>
        <v/>
      </c>
      <c r="B398" s="297">
        <f ca="1">IF($A398="",TODAY(),Transactions!G390)</f>
        <v>46216</v>
      </c>
      <c r="C398" t="str">
        <f>IF($A398="","",Transactions!A390)</f>
        <v/>
      </c>
      <c r="D398" s="30">
        <f>IF($A398="",0,Transactions!H390)</f>
        <v>0</v>
      </c>
      <c r="E398">
        <f>IF($A398="",1,IFERROR(INDEX(Prices[FX to SGD],MATCH($A398,Prices[Key],0)),1))</f>
        <v>1</v>
      </c>
      <c r="F398" s="30">
        <f>IF($A398="",0,(Transactions!M390-Transactions!L390+IF(Transactions!A390=2,Transactions!H390,0))*$E398)</f>
        <v>0</v>
      </c>
      <c r="G398" s="30">
        <f>IF($A398="",0,IF(Transactions!A390=2,Transactions!H390*$E398,0))</f>
        <v>0</v>
      </c>
    </row>
    <row r="399" spans="1:7" ht="15" customHeight="1" x14ac:dyDescent="0.15">
      <c r="A399" t="str">
        <f>IF(Transactions!J391="","",Transactions!J391)</f>
        <v/>
      </c>
      <c r="B399" s="297">
        <f ca="1">IF($A399="",TODAY(),Transactions!G391)</f>
        <v>46216</v>
      </c>
      <c r="C399" t="str">
        <f>IF($A399="","",Transactions!A391)</f>
        <v/>
      </c>
      <c r="D399" s="30">
        <f>IF($A399="",0,Transactions!H391)</f>
        <v>0</v>
      </c>
      <c r="E399">
        <f>IF($A399="",1,IFERROR(INDEX(Prices[FX to SGD],MATCH($A399,Prices[Key],0)),1))</f>
        <v>1</v>
      </c>
      <c r="F399" s="30">
        <f>IF($A399="",0,(Transactions!M391-Transactions!L391+IF(Transactions!A391=2,Transactions!H391,0))*$E399)</f>
        <v>0</v>
      </c>
      <c r="G399" s="30">
        <f>IF($A399="",0,IF(Transactions!A391=2,Transactions!H391*$E399,0))</f>
        <v>0</v>
      </c>
    </row>
    <row r="400" spans="1:7" ht="15" customHeight="1" x14ac:dyDescent="0.15">
      <c r="A400" t="str">
        <f>IF(Transactions!J392="","",Transactions!J392)</f>
        <v/>
      </c>
      <c r="B400" s="297">
        <f ca="1">IF($A400="",TODAY(),Transactions!G392)</f>
        <v>46216</v>
      </c>
      <c r="C400" t="str">
        <f>IF($A400="","",Transactions!A392)</f>
        <v/>
      </c>
      <c r="D400" s="30">
        <f>IF($A400="",0,Transactions!H392)</f>
        <v>0</v>
      </c>
      <c r="E400">
        <f>IF($A400="",1,IFERROR(INDEX(Prices[FX to SGD],MATCH($A400,Prices[Key],0)),1))</f>
        <v>1</v>
      </c>
      <c r="F400" s="30">
        <f>IF($A400="",0,(Transactions!M392-Transactions!L392+IF(Transactions!A392=2,Transactions!H392,0))*$E400)</f>
        <v>0</v>
      </c>
      <c r="G400" s="30">
        <f>IF($A400="",0,IF(Transactions!A392=2,Transactions!H392*$E400,0))</f>
        <v>0</v>
      </c>
    </row>
    <row r="401" spans="1:7" ht="15" customHeight="1" x14ac:dyDescent="0.15">
      <c r="A401" t="str">
        <f>IF(Transactions!J393="","",Transactions!J393)</f>
        <v/>
      </c>
      <c r="B401" s="297">
        <f ca="1">IF($A401="",TODAY(),Transactions!G393)</f>
        <v>46216</v>
      </c>
      <c r="C401" t="str">
        <f>IF($A401="","",Transactions!A393)</f>
        <v/>
      </c>
      <c r="D401" s="30">
        <f>IF($A401="",0,Transactions!H393)</f>
        <v>0</v>
      </c>
      <c r="E401">
        <f>IF($A401="",1,IFERROR(INDEX(Prices[FX to SGD],MATCH($A401,Prices[Key],0)),1))</f>
        <v>1</v>
      </c>
      <c r="F401" s="30">
        <f>IF($A401="",0,(Transactions!M393-Transactions!L393+IF(Transactions!A393=2,Transactions!H393,0))*$E401)</f>
        <v>0</v>
      </c>
      <c r="G401" s="30">
        <f>IF($A401="",0,IF(Transactions!A393=2,Transactions!H393*$E401,0))</f>
        <v>0</v>
      </c>
    </row>
    <row r="402" spans="1:7" ht="15" customHeight="1" x14ac:dyDescent="0.15">
      <c r="A402" t="str">
        <f>IF(Transactions!J394="","",Transactions!J394)</f>
        <v/>
      </c>
      <c r="B402" s="297">
        <f ca="1">IF($A402="",TODAY(),Transactions!G394)</f>
        <v>46216</v>
      </c>
      <c r="C402" t="str">
        <f>IF($A402="","",Transactions!A394)</f>
        <v/>
      </c>
      <c r="D402" s="30">
        <f>IF($A402="",0,Transactions!H394)</f>
        <v>0</v>
      </c>
      <c r="E402">
        <f>IF($A402="",1,IFERROR(INDEX(Prices[FX to SGD],MATCH($A402,Prices[Key],0)),1))</f>
        <v>1</v>
      </c>
      <c r="F402" s="30">
        <f>IF($A402="",0,(Transactions!M394-Transactions!L394+IF(Transactions!A394=2,Transactions!H394,0))*$E402)</f>
        <v>0</v>
      </c>
      <c r="G402" s="30">
        <f>IF($A402="",0,IF(Transactions!A394=2,Transactions!H394*$E402,0))</f>
        <v>0</v>
      </c>
    </row>
    <row r="403" spans="1:7" ht="15" customHeight="1" x14ac:dyDescent="0.15">
      <c r="A403" t="str">
        <f>IF(Transactions!J395="","",Transactions!J395)</f>
        <v/>
      </c>
      <c r="B403" s="297">
        <f ca="1">IF($A403="",TODAY(),Transactions!G395)</f>
        <v>46216</v>
      </c>
      <c r="C403" t="str">
        <f>IF($A403="","",Transactions!A395)</f>
        <v/>
      </c>
      <c r="D403" s="30">
        <f>IF($A403="",0,Transactions!H395)</f>
        <v>0</v>
      </c>
      <c r="E403">
        <f>IF($A403="",1,IFERROR(INDEX(Prices[FX to SGD],MATCH($A403,Prices[Key],0)),1))</f>
        <v>1</v>
      </c>
      <c r="F403" s="30">
        <f>IF($A403="",0,(Transactions!M395-Transactions!L395+IF(Transactions!A395=2,Transactions!H395,0))*$E403)</f>
        <v>0</v>
      </c>
      <c r="G403" s="30">
        <f>IF($A403="",0,IF(Transactions!A395=2,Transactions!H395*$E403,0))</f>
        <v>0</v>
      </c>
    </row>
    <row r="404" spans="1:7" ht="15" customHeight="1" x14ac:dyDescent="0.15">
      <c r="A404" t="str">
        <f>IF(Transactions!J396="","",Transactions!J396)</f>
        <v/>
      </c>
      <c r="B404" s="297">
        <f ca="1">IF($A404="",TODAY(),Transactions!G396)</f>
        <v>46216</v>
      </c>
      <c r="C404" t="str">
        <f>IF($A404="","",Transactions!A396)</f>
        <v/>
      </c>
      <c r="D404" s="30">
        <f>IF($A404="",0,Transactions!H396)</f>
        <v>0</v>
      </c>
      <c r="E404">
        <f>IF($A404="",1,IFERROR(INDEX(Prices[FX to SGD],MATCH($A404,Prices[Key],0)),1))</f>
        <v>1</v>
      </c>
      <c r="F404" s="30">
        <f>IF($A404="",0,(Transactions!M396-Transactions!L396+IF(Transactions!A396=2,Transactions!H396,0))*$E404)</f>
        <v>0</v>
      </c>
      <c r="G404" s="30">
        <f>IF($A404="",0,IF(Transactions!A396=2,Transactions!H396*$E404,0))</f>
        <v>0</v>
      </c>
    </row>
    <row r="405" spans="1:7" ht="15" customHeight="1" x14ac:dyDescent="0.15">
      <c r="A405" t="str">
        <f>IF(Transactions!J397="","",Transactions!J397)</f>
        <v/>
      </c>
      <c r="B405" s="297">
        <f ca="1">IF($A405="",TODAY(),Transactions!G397)</f>
        <v>46216</v>
      </c>
      <c r="C405" t="str">
        <f>IF($A405="","",Transactions!A397)</f>
        <v/>
      </c>
      <c r="D405" s="30">
        <f>IF($A405="",0,Transactions!H397)</f>
        <v>0</v>
      </c>
      <c r="E405">
        <f>IF($A405="",1,IFERROR(INDEX(Prices[FX to SGD],MATCH($A405,Prices[Key],0)),1))</f>
        <v>1</v>
      </c>
      <c r="F405" s="30">
        <f>IF($A405="",0,(Transactions!M397-Transactions!L397+IF(Transactions!A397=2,Transactions!H397,0))*$E405)</f>
        <v>0</v>
      </c>
      <c r="G405" s="30">
        <f>IF($A405="",0,IF(Transactions!A397=2,Transactions!H397*$E405,0))</f>
        <v>0</v>
      </c>
    </row>
    <row r="406" spans="1:7" ht="15" customHeight="1" x14ac:dyDescent="0.15">
      <c r="A406" t="str">
        <f>IF(Transactions!J398="","",Transactions!J398)</f>
        <v/>
      </c>
      <c r="B406" s="297">
        <f ca="1">IF($A406="",TODAY(),Transactions!G398)</f>
        <v>46216</v>
      </c>
      <c r="C406" t="str">
        <f>IF($A406="","",Transactions!A398)</f>
        <v/>
      </c>
      <c r="D406" s="30">
        <f>IF($A406="",0,Transactions!H398)</f>
        <v>0</v>
      </c>
      <c r="E406">
        <f>IF($A406="",1,IFERROR(INDEX(Prices[FX to SGD],MATCH($A406,Prices[Key],0)),1))</f>
        <v>1</v>
      </c>
      <c r="F406" s="30">
        <f>IF($A406="",0,(Transactions!M398-Transactions!L398+IF(Transactions!A398=2,Transactions!H398,0))*$E406)</f>
        <v>0</v>
      </c>
      <c r="G406" s="30">
        <f>IF($A406="",0,IF(Transactions!A398=2,Transactions!H398*$E406,0))</f>
        <v>0</v>
      </c>
    </row>
    <row r="407" spans="1:7" ht="15" customHeight="1" x14ac:dyDescent="0.15">
      <c r="A407" t="str">
        <f>IF(Transactions!J399="","",Transactions!J399)</f>
        <v/>
      </c>
      <c r="B407" s="297">
        <f ca="1">IF($A407="",TODAY(),Transactions!G399)</f>
        <v>46216</v>
      </c>
      <c r="C407" t="str">
        <f>IF($A407="","",Transactions!A399)</f>
        <v/>
      </c>
      <c r="D407" s="30">
        <f>IF($A407="",0,Transactions!H399)</f>
        <v>0</v>
      </c>
      <c r="E407">
        <f>IF($A407="",1,IFERROR(INDEX(Prices[FX to SGD],MATCH($A407,Prices[Key],0)),1))</f>
        <v>1</v>
      </c>
      <c r="F407" s="30">
        <f>IF($A407="",0,(Transactions!M399-Transactions!L399+IF(Transactions!A399=2,Transactions!H399,0))*$E407)</f>
        <v>0</v>
      </c>
      <c r="G407" s="30">
        <f>IF($A407="",0,IF(Transactions!A399=2,Transactions!H399*$E407,0))</f>
        <v>0</v>
      </c>
    </row>
    <row r="408" spans="1:7" ht="15" customHeight="1" x14ac:dyDescent="0.15">
      <c r="A408" t="str">
        <f>IF(Transactions!J400="","",Transactions!J400)</f>
        <v/>
      </c>
      <c r="B408" s="297">
        <f ca="1">IF($A408="",TODAY(),Transactions!G400)</f>
        <v>46216</v>
      </c>
      <c r="C408" t="str">
        <f>IF($A408="","",Transactions!A400)</f>
        <v/>
      </c>
      <c r="D408" s="30">
        <f>IF($A408="",0,Transactions!H400)</f>
        <v>0</v>
      </c>
      <c r="E408">
        <f>IF($A408="",1,IFERROR(INDEX(Prices[FX to SGD],MATCH($A408,Prices[Key],0)),1))</f>
        <v>1</v>
      </c>
      <c r="F408" s="30">
        <f>IF($A408="",0,(Transactions!M400-Transactions!L400+IF(Transactions!A400=2,Transactions!H400,0))*$E408)</f>
        <v>0</v>
      </c>
      <c r="G408" s="30">
        <f>IF($A408="",0,IF(Transactions!A400=2,Transactions!H400*$E408,0))</f>
        <v>0</v>
      </c>
    </row>
    <row r="409" spans="1:7" ht="15" customHeight="1" x14ac:dyDescent="0.15">
      <c r="A409" t="str">
        <f>IF(Transactions!J401="","",Transactions!J401)</f>
        <v/>
      </c>
      <c r="B409" s="297">
        <f ca="1">IF($A409="",TODAY(),Transactions!G401)</f>
        <v>46216</v>
      </c>
      <c r="C409" t="str">
        <f>IF($A409="","",Transactions!A401)</f>
        <v/>
      </c>
      <c r="D409" s="30">
        <f>IF($A409="",0,Transactions!H401)</f>
        <v>0</v>
      </c>
      <c r="E409">
        <f>IF($A409="",1,IFERROR(INDEX(Prices[FX to SGD],MATCH($A409,Prices[Key],0)),1))</f>
        <v>1</v>
      </c>
      <c r="F409" s="30">
        <f>IF($A409="",0,(Transactions!M401-Transactions!L401+IF(Transactions!A401=2,Transactions!H401,0))*$E409)</f>
        <v>0</v>
      </c>
      <c r="G409" s="30">
        <f>IF($A409="",0,IF(Transactions!A401=2,Transactions!H401*$E409,0))</f>
        <v>0</v>
      </c>
    </row>
    <row r="410" spans="1:7" ht="15" customHeight="1" x14ac:dyDescent="0.15">
      <c r="A410" t="str">
        <f>IF(Transactions!J402="","",Transactions!J402)</f>
        <v/>
      </c>
      <c r="B410" s="297">
        <f ca="1">IF($A410="",TODAY(),Transactions!G402)</f>
        <v>46216</v>
      </c>
      <c r="C410" t="str">
        <f>IF($A410="","",Transactions!A402)</f>
        <v/>
      </c>
      <c r="D410" s="30">
        <f>IF($A410="",0,Transactions!H402)</f>
        <v>0</v>
      </c>
      <c r="E410">
        <f>IF($A410="",1,IFERROR(INDEX(Prices[FX to SGD],MATCH($A410,Prices[Key],0)),1))</f>
        <v>1</v>
      </c>
      <c r="F410" s="30">
        <f>IF($A410="",0,(Transactions!M402-Transactions!L402+IF(Transactions!A402=2,Transactions!H402,0))*$E410)</f>
        <v>0</v>
      </c>
      <c r="G410" s="30">
        <f>IF($A410="",0,IF(Transactions!A402=2,Transactions!H402*$E410,0))</f>
        <v>0</v>
      </c>
    </row>
    <row r="411" spans="1:7" ht="15" customHeight="1" x14ac:dyDescent="0.15">
      <c r="A411" t="str">
        <f>IF(Transactions!J403="","",Transactions!J403)</f>
        <v/>
      </c>
      <c r="B411" s="297">
        <f ca="1">IF($A411="",TODAY(),Transactions!G403)</f>
        <v>46216</v>
      </c>
      <c r="C411" t="str">
        <f>IF($A411="","",Transactions!A403)</f>
        <v/>
      </c>
      <c r="D411" s="30">
        <f>IF($A411="",0,Transactions!H403)</f>
        <v>0</v>
      </c>
      <c r="E411">
        <f>IF($A411="",1,IFERROR(INDEX(Prices[FX to SGD],MATCH($A411,Prices[Key],0)),1))</f>
        <v>1</v>
      </c>
      <c r="F411" s="30">
        <f>IF($A411="",0,(Transactions!M403-Transactions!L403+IF(Transactions!A403=2,Transactions!H403,0))*$E411)</f>
        <v>0</v>
      </c>
      <c r="G411" s="30">
        <f>IF($A411="",0,IF(Transactions!A403=2,Transactions!H403*$E411,0))</f>
        <v>0</v>
      </c>
    </row>
    <row r="412" spans="1:7" ht="15" customHeight="1" x14ac:dyDescent="0.15">
      <c r="A412" t="str">
        <f>IF(Transactions!J404="","",Transactions!J404)</f>
        <v/>
      </c>
      <c r="B412" s="297">
        <f ca="1">IF($A412="",TODAY(),Transactions!G404)</f>
        <v>46216</v>
      </c>
      <c r="C412" t="str">
        <f>IF($A412="","",Transactions!A404)</f>
        <v/>
      </c>
      <c r="D412" s="30">
        <f>IF($A412="",0,Transactions!H404)</f>
        <v>0</v>
      </c>
      <c r="E412">
        <f>IF($A412="",1,IFERROR(INDEX(Prices[FX to SGD],MATCH($A412,Prices[Key],0)),1))</f>
        <v>1</v>
      </c>
      <c r="F412" s="30">
        <f>IF($A412="",0,(Transactions!M404-Transactions!L404+IF(Transactions!A404=2,Transactions!H404,0))*$E412)</f>
        <v>0</v>
      </c>
      <c r="G412" s="30">
        <f>IF($A412="",0,IF(Transactions!A404=2,Transactions!H404*$E412,0))</f>
        <v>0</v>
      </c>
    </row>
    <row r="413" spans="1:7" ht="15" customHeight="1" x14ac:dyDescent="0.15">
      <c r="A413" t="str">
        <f>IF(Transactions!J405="","",Transactions!J405)</f>
        <v/>
      </c>
      <c r="B413" s="297">
        <f ca="1">IF($A413="",TODAY(),Transactions!G405)</f>
        <v>46216</v>
      </c>
      <c r="C413" t="str">
        <f>IF($A413="","",Transactions!A405)</f>
        <v/>
      </c>
      <c r="D413" s="30">
        <f>IF($A413="",0,Transactions!H405)</f>
        <v>0</v>
      </c>
      <c r="E413">
        <f>IF($A413="",1,IFERROR(INDEX(Prices[FX to SGD],MATCH($A413,Prices[Key],0)),1))</f>
        <v>1</v>
      </c>
      <c r="F413" s="30">
        <f>IF($A413="",0,(Transactions!M405-Transactions!L405+IF(Transactions!A405=2,Transactions!H405,0))*$E413)</f>
        <v>0</v>
      </c>
      <c r="G413" s="30">
        <f>IF($A413="",0,IF(Transactions!A405=2,Transactions!H405*$E413,0))</f>
        <v>0</v>
      </c>
    </row>
    <row r="414" spans="1:7" ht="15" customHeight="1" x14ac:dyDescent="0.15">
      <c r="A414" t="str">
        <f>IF(Transactions!J406="","",Transactions!J406)</f>
        <v/>
      </c>
      <c r="B414" s="297">
        <f ca="1">IF($A414="",TODAY(),Transactions!G406)</f>
        <v>46216</v>
      </c>
      <c r="C414" t="str">
        <f>IF($A414="","",Transactions!A406)</f>
        <v/>
      </c>
      <c r="D414" s="30">
        <f>IF($A414="",0,Transactions!H406)</f>
        <v>0</v>
      </c>
      <c r="E414">
        <f>IF($A414="",1,IFERROR(INDEX(Prices[FX to SGD],MATCH($A414,Prices[Key],0)),1))</f>
        <v>1</v>
      </c>
      <c r="F414" s="30">
        <f>IF($A414="",0,(Transactions!M406-Transactions!L406+IF(Transactions!A406=2,Transactions!H406,0))*$E414)</f>
        <v>0</v>
      </c>
      <c r="G414" s="30">
        <f>IF($A414="",0,IF(Transactions!A406=2,Transactions!H406*$E414,0))</f>
        <v>0</v>
      </c>
    </row>
    <row r="415" spans="1:7" ht="15" customHeight="1" x14ac:dyDescent="0.15">
      <c r="A415" t="str">
        <f>IF(Transactions!J407="","",Transactions!J407)</f>
        <v/>
      </c>
      <c r="B415" s="297">
        <f ca="1">IF($A415="",TODAY(),Transactions!G407)</f>
        <v>46216</v>
      </c>
      <c r="C415" t="str">
        <f>IF($A415="","",Transactions!A407)</f>
        <v/>
      </c>
      <c r="D415" s="30">
        <f>IF($A415="",0,Transactions!H407)</f>
        <v>0</v>
      </c>
      <c r="E415">
        <f>IF($A415="",1,IFERROR(INDEX(Prices[FX to SGD],MATCH($A415,Prices[Key],0)),1))</f>
        <v>1</v>
      </c>
      <c r="F415" s="30">
        <f>IF($A415="",0,(Transactions!M407-Transactions!L407+IF(Transactions!A407=2,Transactions!H407,0))*$E415)</f>
        <v>0</v>
      </c>
      <c r="G415" s="30">
        <f>IF($A415="",0,IF(Transactions!A407=2,Transactions!H407*$E415,0))</f>
        <v>0</v>
      </c>
    </row>
    <row r="416" spans="1:7" ht="15" customHeight="1" x14ac:dyDescent="0.15">
      <c r="A416" t="str">
        <f>IF(Transactions!J408="","",Transactions!J408)</f>
        <v/>
      </c>
      <c r="B416" s="297">
        <f ca="1">IF($A416="",TODAY(),Transactions!G408)</f>
        <v>46216</v>
      </c>
      <c r="C416" t="str">
        <f>IF($A416="","",Transactions!A408)</f>
        <v/>
      </c>
      <c r="D416" s="30">
        <f>IF($A416="",0,Transactions!H408)</f>
        <v>0</v>
      </c>
      <c r="E416">
        <f>IF($A416="",1,IFERROR(INDEX(Prices[FX to SGD],MATCH($A416,Prices[Key],0)),1))</f>
        <v>1</v>
      </c>
      <c r="F416" s="30">
        <f>IF($A416="",0,(Transactions!M408-Transactions!L408+IF(Transactions!A408=2,Transactions!H408,0))*$E416)</f>
        <v>0</v>
      </c>
      <c r="G416" s="30">
        <f>IF($A416="",0,IF(Transactions!A408=2,Transactions!H408*$E416,0))</f>
        <v>0</v>
      </c>
    </row>
    <row r="417" spans="1:7" ht="15" customHeight="1" x14ac:dyDescent="0.15">
      <c r="A417" t="str">
        <f>IF(Transactions!J409="","",Transactions!J409)</f>
        <v/>
      </c>
      <c r="B417" s="297">
        <f ca="1">IF($A417="",TODAY(),Transactions!G409)</f>
        <v>46216</v>
      </c>
      <c r="C417" t="str">
        <f>IF($A417="","",Transactions!A409)</f>
        <v/>
      </c>
      <c r="D417" s="30">
        <f>IF($A417="",0,Transactions!H409)</f>
        <v>0</v>
      </c>
      <c r="E417">
        <f>IF($A417="",1,IFERROR(INDEX(Prices[FX to SGD],MATCH($A417,Prices[Key],0)),1))</f>
        <v>1</v>
      </c>
      <c r="F417" s="30">
        <f>IF($A417="",0,(Transactions!M409-Transactions!L409+IF(Transactions!A409=2,Transactions!H409,0))*$E417)</f>
        <v>0</v>
      </c>
      <c r="G417" s="30">
        <f>IF($A417="",0,IF(Transactions!A409=2,Transactions!H409*$E417,0))</f>
        <v>0</v>
      </c>
    </row>
    <row r="418" spans="1:7" ht="15" customHeight="1" x14ac:dyDescent="0.15">
      <c r="A418" t="str">
        <f>IF(Transactions!J410="","",Transactions!J410)</f>
        <v/>
      </c>
      <c r="B418" s="297">
        <f ca="1">IF($A418="",TODAY(),Transactions!G410)</f>
        <v>46216</v>
      </c>
      <c r="C418" t="str">
        <f>IF($A418="","",Transactions!A410)</f>
        <v/>
      </c>
      <c r="D418" s="30">
        <f>IF($A418="",0,Transactions!H410)</f>
        <v>0</v>
      </c>
      <c r="E418">
        <f>IF($A418="",1,IFERROR(INDEX(Prices[FX to SGD],MATCH($A418,Prices[Key],0)),1))</f>
        <v>1</v>
      </c>
      <c r="F418" s="30">
        <f>IF($A418="",0,(Transactions!M410-Transactions!L410+IF(Transactions!A410=2,Transactions!H410,0))*$E418)</f>
        <v>0</v>
      </c>
      <c r="G418" s="30">
        <f>IF($A418="",0,IF(Transactions!A410=2,Transactions!H410*$E418,0))</f>
        <v>0</v>
      </c>
    </row>
    <row r="419" spans="1:7" ht="15" customHeight="1" x14ac:dyDescent="0.15">
      <c r="A419" t="str">
        <f>IF(Transactions!J411="","",Transactions!J411)</f>
        <v/>
      </c>
      <c r="B419" s="297">
        <f ca="1">IF($A419="",TODAY(),Transactions!G411)</f>
        <v>46216</v>
      </c>
      <c r="C419" t="str">
        <f>IF($A419="","",Transactions!A411)</f>
        <v/>
      </c>
      <c r="D419" s="30">
        <f>IF($A419="",0,Transactions!H411)</f>
        <v>0</v>
      </c>
      <c r="E419">
        <f>IF($A419="",1,IFERROR(INDEX(Prices[FX to SGD],MATCH($A419,Prices[Key],0)),1))</f>
        <v>1</v>
      </c>
      <c r="F419" s="30">
        <f>IF($A419="",0,(Transactions!M411-Transactions!L411+IF(Transactions!A411=2,Transactions!H411,0))*$E419)</f>
        <v>0</v>
      </c>
      <c r="G419" s="30">
        <f>IF($A419="",0,IF(Transactions!A411=2,Transactions!H411*$E419,0))</f>
        <v>0</v>
      </c>
    </row>
    <row r="420" spans="1:7" ht="15" customHeight="1" x14ac:dyDescent="0.15">
      <c r="A420" t="str">
        <f>IF(Transactions!J412="","",Transactions!J412)</f>
        <v/>
      </c>
      <c r="B420" s="297">
        <f ca="1">IF($A420="",TODAY(),Transactions!G412)</f>
        <v>46216</v>
      </c>
      <c r="C420" t="str">
        <f>IF($A420="","",Transactions!A412)</f>
        <v/>
      </c>
      <c r="D420" s="30">
        <f>IF($A420="",0,Transactions!H412)</f>
        <v>0</v>
      </c>
      <c r="E420">
        <f>IF($A420="",1,IFERROR(INDEX(Prices[FX to SGD],MATCH($A420,Prices[Key],0)),1))</f>
        <v>1</v>
      </c>
      <c r="F420" s="30">
        <f>IF($A420="",0,(Transactions!M412-Transactions!L412+IF(Transactions!A412=2,Transactions!H412,0))*$E420)</f>
        <v>0</v>
      </c>
      <c r="G420" s="30">
        <f>IF($A420="",0,IF(Transactions!A412=2,Transactions!H412*$E420,0))</f>
        <v>0</v>
      </c>
    </row>
    <row r="421" spans="1:7" ht="15" customHeight="1" x14ac:dyDescent="0.15">
      <c r="A421" t="str">
        <f>IF(Transactions!J413="","",Transactions!J413)</f>
        <v/>
      </c>
      <c r="B421" s="297">
        <f ca="1">IF($A421="",TODAY(),Transactions!G413)</f>
        <v>46216</v>
      </c>
      <c r="C421" t="str">
        <f>IF($A421="","",Transactions!A413)</f>
        <v/>
      </c>
      <c r="D421" s="30">
        <f>IF($A421="",0,Transactions!H413)</f>
        <v>0</v>
      </c>
      <c r="E421">
        <f>IF($A421="",1,IFERROR(INDEX(Prices[FX to SGD],MATCH($A421,Prices[Key],0)),1))</f>
        <v>1</v>
      </c>
      <c r="F421" s="30">
        <f>IF($A421="",0,(Transactions!M413-Transactions!L413+IF(Transactions!A413=2,Transactions!H413,0))*$E421)</f>
        <v>0</v>
      </c>
      <c r="G421" s="30">
        <f>IF($A421="",0,IF(Transactions!A413=2,Transactions!H413*$E421,0))</f>
        <v>0</v>
      </c>
    </row>
    <row r="422" spans="1:7" ht="15" customHeight="1" x14ac:dyDescent="0.15">
      <c r="A422" t="str">
        <f>IF(Transactions!J414="","",Transactions!J414)</f>
        <v/>
      </c>
      <c r="B422" s="297">
        <f ca="1">IF($A422="",TODAY(),Transactions!G414)</f>
        <v>46216</v>
      </c>
      <c r="C422" t="str">
        <f>IF($A422="","",Transactions!A414)</f>
        <v/>
      </c>
      <c r="D422" s="30">
        <f>IF($A422="",0,Transactions!H414)</f>
        <v>0</v>
      </c>
      <c r="E422">
        <f>IF($A422="",1,IFERROR(INDEX(Prices[FX to SGD],MATCH($A422,Prices[Key],0)),1))</f>
        <v>1</v>
      </c>
      <c r="F422" s="30">
        <f>IF($A422="",0,(Transactions!M414-Transactions!L414+IF(Transactions!A414=2,Transactions!H414,0))*$E422)</f>
        <v>0</v>
      </c>
      <c r="G422" s="30">
        <f>IF($A422="",0,IF(Transactions!A414=2,Transactions!H414*$E422,0))</f>
        <v>0</v>
      </c>
    </row>
    <row r="423" spans="1:7" ht="15" customHeight="1" x14ac:dyDescent="0.15">
      <c r="A423" t="str">
        <f>IF(Transactions!J415="","",Transactions!J415)</f>
        <v/>
      </c>
      <c r="B423" s="297">
        <f ca="1">IF($A423="",TODAY(),Transactions!G415)</f>
        <v>46216</v>
      </c>
      <c r="C423" t="str">
        <f>IF($A423="","",Transactions!A415)</f>
        <v/>
      </c>
      <c r="D423" s="30">
        <f>IF($A423="",0,Transactions!H415)</f>
        <v>0</v>
      </c>
      <c r="E423">
        <f>IF($A423="",1,IFERROR(INDEX(Prices[FX to SGD],MATCH($A423,Prices[Key],0)),1))</f>
        <v>1</v>
      </c>
      <c r="F423" s="30">
        <f>IF($A423="",0,(Transactions!M415-Transactions!L415+IF(Transactions!A415=2,Transactions!H415,0))*$E423)</f>
        <v>0</v>
      </c>
      <c r="G423" s="30">
        <f>IF($A423="",0,IF(Transactions!A415=2,Transactions!H415*$E423,0))</f>
        <v>0</v>
      </c>
    </row>
    <row r="424" spans="1:7" ht="15" customHeight="1" x14ac:dyDescent="0.15">
      <c r="A424" t="str">
        <f>IF(Transactions!J416="","",Transactions!J416)</f>
        <v/>
      </c>
      <c r="B424" s="297">
        <f ca="1">IF($A424="",TODAY(),Transactions!G416)</f>
        <v>46216</v>
      </c>
      <c r="C424" t="str">
        <f>IF($A424="","",Transactions!A416)</f>
        <v/>
      </c>
      <c r="D424" s="30">
        <f>IF($A424="",0,Transactions!H416)</f>
        <v>0</v>
      </c>
      <c r="E424">
        <f>IF($A424="",1,IFERROR(INDEX(Prices[FX to SGD],MATCH($A424,Prices[Key],0)),1))</f>
        <v>1</v>
      </c>
      <c r="F424" s="30">
        <f>IF($A424="",0,(Transactions!M416-Transactions!L416+IF(Transactions!A416=2,Transactions!H416,0))*$E424)</f>
        <v>0</v>
      </c>
      <c r="G424" s="30">
        <f>IF($A424="",0,IF(Transactions!A416=2,Transactions!H416*$E424,0))</f>
        <v>0</v>
      </c>
    </row>
    <row r="425" spans="1:7" ht="15" customHeight="1" x14ac:dyDescent="0.15">
      <c r="A425" t="str">
        <f>IF(Transactions!J417="","",Transactions!J417)</f>
        <v/>
      </c>
      <c r="B425" s="297">
        <f ca="1">IF($A425="",TODAY(),Transactions!G417)</f>
        <v>46216</v>
      </c>
      <c r="C425" t="str">
        <f>IF($A425="","",Transactions!A417)</f>
        <v/>
      </c>
      <c r="D425" s="30">
        <f>IF($A425="",0,Transactions!H417)</f>
        <v>0</v>
      </c>
      <c r="E425">
        <f>IF($A425="",1,IFERROR(INDEX(Prices[FX to SGD],MATCH($A425,Prices[Key],0)),1))</f>
        <v>1</v>
      </c>
      <c r="F425" s="30">
        <f>IF($A425="",0,(Transactions!M417-Transactions!L417+IF(Transactions!A417=2,Transactions!H417,0))*$E425)</f>
        <v>0</v>
      </c>
      <c r="G425" s="30">
        <f>IF($A425="",0,IF(Transactions!A417=2,Transactions!H417*$E425,0))</f>
        <v>0</v>
      </c>
    </row>
    <row r="426" spans="1:7" ht="15" customHeight="1" x14ac:dyDescent="0.15">
      <c r="A426" t="str">
        <f>IF(Transactions!J418="","",Transactions!J418)</f>
        <v/>
      </c>
      <c r="B426" s="297">
        <f ca="1">IF($A426="",TODAY(),Transactions!G418)</f>
        <v>46216</v>
      </c>
      <c r="C426" t="str">
        <f>IF($A426="","",Transactions!A418)</f>
        <v/>
      </c>
      <c r="D426" s="30">
        <f>IF($A426="",0,Transactions!H418)</f>
        <v>0</v>
      </c>
      <c r="E426">
        <f>IF($A426="",1,IFERROR(INDEX(Prices[FX to SGD],MATCH($A426,Prices[Key],0)),1))</f>
        <v>1</v>
      </c>
      <c r="F426" s="30">
        <f>IF($A426="",0,(Transactions!M418-Transactions!L418+IF(Transactions!A418=2,Transactions!H418,0))*$E426)</f>
        <v>0</v>
      </c>
      <c r="G426" s="30">
        <f>IF($A426="",0,IF(Transactions!A418=2,Transactions!H418*$E426,0))</f>
        <v>0</v>
      </c>
    </row>
    <row r="427" spans="1:7" ht="15" customHeight="1" x14ac:dyDescent="0.15">
      <c r="A427" t="str">
        <f>IF(Transactions!J419="","",Transactions!J419)</f>
        <v/>
      </c>
      <c r="B427" s="297">
        <f ca="1">IF($A427="",TODAY(),Transactions!G419)</f>
        <v>46216</v>
      </c>
      <c r="C427" t="str">
        <f>IF($A427="","",Transactions!A419)</f>
        <v/>
      </c>
      <c r="D427" s="30">
        <f>IF($A427="",0,Transactions!H419)</f>
        <v>0</v>
      </c>
      <c r="E427">
        <f>IF($A427="",1,IFERROR(INDEX(Prices[FX to SGD],MATCH($A427,Prices[Key],0)),1))</f>
        <v>1</v>
      </c>
      <c r="F427" s="30">
        <f>IF($A427="",0,(Transactions!M419-Transactions!L419+IF(Transactions!A419=2,Transactions!H419,0))*$E427)</f>
        <v>0</v>
      </c>
      <c r="G427" s="30">
        <f>IF($A427="",0,IF(Transactions!A419=2,Transactions!H419*$E427,0))</f>
        <v>0</v>
      </c>
    </row>
    <row r="428" spans="1:7" ht="15" customHeight="1" x14ac:dyDescent="0.15">
      <c r="A428" t="str">
        <f>IF(Transactions!J420="","",Transactions!J420)</f>
        <v/>
      </c>
      <c r="B428" s="297">
        <f ca="1">IF($A428="",TODAY(),Transactions!G420)</f>
        <v>46216</v>
      </c>
      <c r="C428" t="str">
        <f>IF($A428="","",Transactions!A420)</f>
        <v/>
      </c>
      <c r="D428" s="30">
        <f>IF($A428="",0,Transactions!H420)</f>
        <v>0</v>
      </c>
      <c r="E428">
        <f>IF($A428="",1,IFERROR(INDEX(Prices[FX to SGD],MATCH($A428,Prices[Key],0)),1))</f>
        <v>1</v>
      </c>
      <c r="F428" s="30">
        <f>IF($A428="",0,(Transactions!M420-Transactions!L420+IF(Transactions!A420=2,Transactions!H420,0))*$E428)</f>
        <v>0</v>
      </c>
      <c r="G428" s="30">
        <f>IF($A428="",0,IF(Transactions!A420=2,Transactions!H420*$E428,0))</f>
        <v>0</v>
      </c>
    </row>
    <row r="429" spans="1:7" ht="15" customHeight="1" x14ac:dyDescent="0.15">
      <c r="A429" t="str">
        <f>IF(Transactions!J421="","",Transactions!J421)</f>
        <v/>
      </c>
      <c r="B429" s="297">
        <f ca="1">IF($A429="",TODAY(),Transactions!G421)</f>
        <v>46216</v>
      </c>
      <c r="C429" t="str">
        <f>IF($A429="","",Transactions!A421)</f>
        <v/>
      </c>
      <c r="D429" s="30">
        <f>IF($A429="",0,Transactions!H421)</f>
        <v>0</v>
      </c>
      <c r="E429">
        <f>IF($A429="",1,IFERROR(INDEX(Prices[FX to SGD],MATCH($A429,Prices[Key],0)),1))</f>
        <v>1</v>
      </c>
      <c r="F429" s="30">
        <f>IF($A429="",0,(Transactions!M421-Transactions!L421+IF(Transactions!A421=2,Transactions!H421,0))*$E429)</f>
        <v>0</v>
      </c>
      <c r="G429" s="30">
        <f>IF($A429="",0,IF(Transactions!A421=2,Transactions!H421*$E429,0))</f>
        <v>0</v>
      </c>
    </row>
    <row r="430" spans="1:7" ht="15" customHeight="1" x14ac:dyDescent="0.15">
      <c r="A430" t="str">
        <f>IF(Transactions!J422="","",Transactions!J422)</f>
        <v/>
      </c>
      <c r="B430" s="297">
        <f ca="1">IF($A430="",TODAY(),Transactions!G422)</f>
        <v>46216</v>
      </c>
      <c r="C430" t="str">
        <f>IF($A430="","",Transactions!A422)</f>
        <v/>
      </c>
      <c r="D430" s="30">
        <f>IF($A430="",0,Transactions!H422)</f>
        <v>0</v>
      </c>
      <c r="E430">
        <f>IF($A430="",1,IFERROR(INDEX(Prices[FX to SGD],MATCH($A430,Prices[Key],0)),1))</f>
        <v>1</v>
      </c>
      <c r="F430" s="30">
        <f>IF($A430="",0,(Transactions!M422-Transactions!L422+IF(Transactions!A422=2,Transactions!H422,0))*$E430)</f>
        <v>0</v>
      </c>
      <c r="G430" s="30">
        <f>IF($A430="",0,IF(Transactions!A422=2,Transactions!H422*$E430,0))</f>
        <v>0</v>
      </c>
    </row>
    <row r="431" spans="1:7" ht="15" customHeight="1" x14ac:dyDescent="0.15">
      <c r="A431" t="str">
        <f>IF(Transactions!J423="","",Transactions!J423)</f>
        <v/>
      </c>
      <c r="B431" s="297">
        <f ca="1">IF($A431="",TODAY(),Transactions!G423)</f>
        <v>46216</v>
      </c>
      <c r="C431" t="str">
        <f>IF($A431="","",Transactions!A423)</f>
        <v/>
      </c>
      <c r="D431" s="30">
        <f>IF($A431="",0,Transactions!H423)</f>
        <v>0</v>
      </c>
      <c r="E431">
        <f>IF($A431="",1,IFERROR(INDEX(Prices[FX to SGD],MATCH($A431,Prices[Key],0)),1))</f>
        <v>1</v>
      </c>
      <c r="F431" s="30">
        <f>IF($A431="",0,(Transactions!M423-Transactions!L423+IF(Transactions!A423=2,Transactions!H423,0))*$E431)</f>
        <v>0</v>
      </c>
      <c r="G431" s="30">
        <f>IF($A431="",0,IF(Transactions!A423=2,Transactions!H423*$E431,0))</f>
        <v>0</v>
      </c>
    </row>
    <row r="432" spans="1:7" ht="15" customHeight="1" x14ac:dyDescent="0.15">
      <c r="A432" t="str">
        <f>IF(Transactions!J424="","",Transactions!J424)</f>
        <v/>
      </c>
      <c r="B432" s="297">
        <f ca="1">IF($A432="",TODAY(),Transactions!G424)</f>
        <v>46216</v>
      </c>
      <c r="C432" t="str">
        <f>IF($A432="","",Transactions!A424)</f>
        <v/>
      </c>
      <c r="D432" s="30">
        <f>IF($A432="",0,Transactions!H424)</f>
        <v>0</v>
      </c>
      <c r="E432">
        <f>IF($A432="",1,IFERROR(INDEX(Prices[FX to SGD],MATCH($A432,Prices[Key],0)),1))</f>
        <v>1</v>
      </c>
      <c r="F432" s="30">
        <f>IF($A432="",0,(Transactions!M424-Transactions!L424+IF(Transactions!A424=2,Transactions!H424,0))*$E432)</f>
        <v>0</v>
      </c>
      <c r="G432" s="30">
        <f>IF($A432="",0,IF(Transactions!A424=2,Transactions!H424*$E432,0))</f>
        <v>0</v>
      </c>
    </row>
    <row r="433" spans="1:7" ht="15" customHeight="1" x14ac:dyDescent="0.15">
      <c r="A433" t="str">
        <f>IF(Transactions!J425="","",Transactions!J425)</f>
        <v/>
      </c>
      <c r="B433" s="297">
        <f ca="1">IF($A433="",TODAY(),Transactions!G425)</f>
        <v>46216</v>
      </c>
      <c r="C433" t="str">
        <f>IF($A433="","",Transactions!A425)</f>
        <v/>
      </c>
      <c r="D433" s="30">
        <f>IF($A433="",0,Transactions!H425)</f>
        <v>0</v>
      </c>
      <c r="E433">
        <f>IF($A433="",1,IFERROR(INDEX(Prices[FX to SGD],MATCH($A433,Prices[Key],0)),1))</f>
        <v>1</v>
      </c>
      <c r="F433" s="30">
        <f>IF($A433="",0,(Transactions!M425-Transactions!L425+IF(Transactions!A425=2,Transactions!H425,0))*$E433)</f>
        <v>0</v>
      </c>
      <c r="G433" s="30">
        <f>IF($A433="",0,IF(Transactions!A425=2,Transactions!H425*$E433,0))</f>
        <v>0</v>
      </c>
    </row>
    <row r="434" spans="1:7" ht="15" customHeight="1" x14ac:dyDescent="0.15">
      <c r="A434" t="str">
        <f>IF(Transactions!J426="","",Transactions!J426)</f>
        <v/>
      </c>
      <c r="B434" s="297">
        <f ca="1">IF($A434="",TODAY(),Transactions!G426)</f>
        <v>46216</v>
      </c>
      <c r="C434" t="str">
        <f>IF($A434="","",Transactions!A426)</f>
        <v/>
      </c>
      <c r="D434" s="30">
        <f>IF($A434="",0,Transactions!H426)</f>
        <v>0</v>
      </c>
      <c r="E434">
        <f>IF($A434="",1,IFERROR(INDEX(Prices[FX to SGD],MATCH($A434,Prices[Key],0)),1))</f>
        <v>1</v>
      </c>
      <c r="F434" s="30">
        <f>IF($A434="",0,(Transactions!M426-Transactions!L426+IF(Transactions!A426=2,Transactions!H426,0))*$E434)</f>
        <v>0</v>
      </c>
      <c r="G434" s="30">
        <f>IF($A434="",0,IF(Transactions!A426=2,Transactions!H426*$E434,0))</f>
        <v>0</v>
      </c>
    </row>
    <row r="435" spans="1:7" ht="15" customHeight="1" x14ac:dyDescent="0.15">
      <c r="A435" t="str">
        <f>IF(Transactions!J427="","",Transactions!J427)</f>
        <v/>
      </c>
      <c r="B435" s="297">
        <f ca="1">IF($A435="",TODAY(),Transactions!G427)</f>
        <v>46216</v>
      </c>
      <c r="C435" t="str">
        <f>IF($A435="","",Transactions!A427)</f>
        <v/>
      </c>
      <c r="D435" s="30">
        <f>IF($A435="",0,Transactions!H427)</f>
        <v>0</v>
      </c>
      <c r="E435">
        <f>IF($A435="",1,IFERROR(INDEX(Prices[FX to SGD],MATCH($A435,Prices[Key],0)),1))</f>
        <v>1</v>
      </c>
      <c r="F435" s="30">
        <f>IF($A435="",0,(Transactions!M427-Transactions!L427+IF(Transactions!A427=2,Transactions!H427,0))*$E435)</f>
        <v>0</v>
      </c>
      <c r="G435" s="30">
        <f>IF($A435="",0,IF(Transactions!A427=2,Transactions!H427*$E435,0))</f>
        <v>0</v>
      </c>
    </row>
    <row r="436" spans="1:7" ht="15" customHeight="1" x14ac:dyDescent="0.15">
      <c r="A436" t="str">
        <f>IF(Transactions!J428="","",Transactions!J428)</f>
        <v/>
      </c>
      <c r="B436" s="297">
        <f ca="1">IF($A436="",TODAY(),Transactions!G428)</f>
        <v>46216</v>
      </c>
      <c r="C436" t="str">
        <f>IF($A436="","",Transactions!A428)</f>
        <v/>
      </c>
      <c r="D436" s="30">
        <f>IF($A436="",0,Transactions!H428)</f>
        <v>0</v>
      </c>
      <c r="E436">
        <f>IF($A436="",1,IFERROR(INDEX(Prices[FX to SGD],MATCH($A436,Prices[Key],0)),1))</f>
        <v>1</v>
      </c>
      <c r="F436" s="30">
        <f>IF($A436="",0,(Transactions!M428-Transactions!L428+IF(Transactions!A428=2,Transactions!H428,0))*$E436)</f>
        <v>0</v>
      </c>
      <c r="G436" s="30">
        <f>IF($A436="",0,IF(Transactions!A428=2,Transactions!H428*$E436,0))</f>
        <v>0</v>
      </c>
    </row>
    <row r="437" spans="1:7" ht="15" customHeight="1" x14ac:dyDescent="0.15">
      <c r="A437" t="str">
        <f>IF(Transactions!J429="","",Transactions!J429)</f>
        <v/>
      </c>
      <c r="B437" s="297">
        <f ca="1">IF($A437="",TODAY(),Transactions!G429)</f>
        <v>46216</v>
      </c>
      <c r="C437" t="str">
        <f>IF($A437="","",Transactions!A429)</f>
        <v/>
      </c>
      <c r="D437" s="30">
        <f>IF($A437="",0,Transactions!H429)</f>
        <v>0</v>
      </c>
      <c r="E437">
        <f>IF($A437="",1,IFERROR(INDEX(Prices[FX to SGD],MATCH($A437,Prices[Key],0)),1))</f>
        <v>1</v>
      </c>
      <c r="F437" s="30">
        <f>IF($A437="",0,(Transactions!M429-Transactions!L429+IF(Transactions!A429=2,Transactions!H429,0))*$E437)</f>
        <v>0</v>
      </c>
      <c r="G437" s="30">
        <f>IF($A437="",0,IF(Transactions!A429=2,Transactions!H429*$E437,0))</f>
        <v>0</v>
      </c>
    </row>
    <row r="438" spans="1:7" ht="15" customHeight="1" x14ac:dyDescent="0.15">
      <c r="A438" t="str">
        <f>IF(Transactions!J430="","",Transactions!J430)</f>
        <v/>
      </c>
      <c r="B438" s="297">
        <f ca="1">IF($A438="",TODAY(),Transactions!G430)</f>
        <v>46216</v>
      </c>
      <c r="C438" t="str">
        <f>IF($A438="","",Transactions!A430)</f>
        <v/>
      </c>
      <c r="D438" s="30">
        <f>IF($A438="",0,Transactions!H430)</f>
        <v>0</v>
      </c>
      <c r="E438">
        <f>IF($A438="",1,IFERROR(INDEX(Prices[FX to SGD],MATCH($A438,Prices[Key],0)),1))</f>
        <v>1</v>
      </c>
      <c r="F438" s="30">
        <f>IF($A438="",0,(Transactions!M430-Transactions!L430+IF(Transactions!A430=2,Transactions!H430,0))*$E438)</f>
        <v>0</v>
      </c>
      <c r="G438" s="30">
        <f>IF($A438="",0,IF(Transactions!A430=2,Transactions!H430*$E438,0))</f>
        <v>0</v>
      </c>
    </row>
    <row r="439" spans="1:7" ht="15" customHeight="1" x14ac:dyDescent="0.15">
      <c r="A439" t="str">
        <f>IF(Transactions!J431="","",Transactions!J431)</f>
        <v/>
      </c>
      <c r="B439" s="297">
        <f ca="1">IF($A439="",TODAY(),Transactions!G431)</f>
        <v>46216</v>
      </c>
      <c r="C439" t="str">
        <f>IF($A439="","",Transactions!A431)</f>
        <v/>
      </c>
      <c r="D439" s="30">
        <f>IF($A439="",0,Transactions!H431)</f>
        <v>0</v>
      </c>
      <c r="E439">
        <f>IF($A439="",1,IFERROR(INDEX(Prices[FX to SGD],MATCH($A439,Prices[Key],0)),1))</f>
        <v>1</v>
      </c>
      <c r="F439" s="30">
        <f>IF($A439="",0,(Transactions!M431-Transactions!L431+IF(Transactions!A431=2,Transactions!H431,0))*$E439)</f>
        <v>0</v>
      </c>
      <c r="G439" s="30">
        <f>IF($A439="",0,IF(Transactions!A431=2,Transactions!H431*$E439,0))</f>
        <v>0</v>
      </c>
    </row>
    <row r="440" spans="1:7" ht="15" customHeight="1" x14ac:dyDescent="0.15">
      <c r="A440" t="str">
        <f>IF(Transactions!J432="","",Transactions!J432)</f>
        <v/>
      </c>
      <c r="B440" s="297">
        <f ca="1">IF($A440="",TODAY(),Transactions!G432)</f>
        <v>46216</v>
      </c>
      <c r="C440" t="str">
        <f>IF($A440="","",Transactions!A432)</f>
        <v/>
      </c>
      <c r="D440" s="30">
        <f>IF($A440="",0,Transactions!H432)</f>
        <v>0</v>
      </c>
      <c r="E440">
        <f>IF($A440="",1,IFERROR(INDEX(Prices[FX to SGD],MATCH($A440,Prices[Key],0)),1))</f>
        <v>1</v>
      </c>
      <c r="F440" s="30">
        <f>IF($A440="",0,(Transactions!M432-Transactions!L432+IF(Transactions!A432=2,Transactions!H432,0))*$E440)</f>
        <v>0</v>
      </c>
      <c r="G440" s="30">
        <f>IF($A440="",0,IF(Transactions!A432=2,Transactions!H432*$E440,0))</f>
        <v>0</v>
      </c>
    </row>
    <row r="441" spans="1:7" ht="15" customHeight="1" x14ac:dyDescent="0.15">
      <c r="A441" t="str">
        <f>IF(Transactions!J433="","",Transactions!J433)</f>
        <v/>
      </c>
      <c r="B441" s="297">
        <f ca="1">IF($A441="",TODAY(),Transactions!G433)</f>
        <v>46216</v>
      </c>
      <c r="C441" t="str">
        <f>IF($A441="","",Transactions!A433)</f>
        <v/>
      </c>
      <c r="D441" s="30">
        <f>IF($A441="",0,Transactions!H433)</f>
        <v>0</v>
      </c>
      <c r="E441">
        <f>IF($A441="",1,IFERROR(INDEX(Prices[FX to SGD],MATCH($A441,Prices[Key],0)),1))</f>
        <v>1</v>
      </c>
      <c r="F441" s="30">
        <f>IF($A441="",0,(Transactions!M433-Transactions!L433+IF(Transactions!A433=2,Transactions!H433,0))*$E441)</f>
        <v>0</v>
      </c>
      <c r="G441" s="30">
        <f>IF($A441="",0,IF(Transactions!A433=2,Transactions!H433*$E441,0))</f>
        <v>0</v>
      </c>
    </row>
    <row r="442" spans="1:7" ht="15" customHeight="1" x14ac:dyDescent="0.15">
      <c r="A442" t="str">
        <f>IF(Transactions!J434="","",Transactions!J434)</f>
        <v/>
      </c>
      <c r="B442" s="297">
        <f ca="1">IF($A442="",TODAY(),Transactions!G434)</f>
        <v>46216</v>
      </c>
      <c r="C442" t="str">
        <f>IF($A442="","",Transactions!A434)</f>
        <v/>
      </c>
      <c r="D442" s="30">
        <f>IF($A442="",0,Transactions!H434)</f>
        <v>0</v>
      </c>
      <c r="E442">
        <f>IF($A442="",1,IFERROR(INDEX(Prices[FX to SGD],MATCH($A442,Prices[Key],0)),1))</f>
        <v>1</v>
      </c>
      <c r="F442" s="30">
        <f>IF($A442="",0,(Transactions!M434-Transactions!L434+IF(Transactions!A434=2,Transactions!H434,0))*$E442)</f>
        <v>0</v>
      </c>
      <c r="G442" s="30">
        <f>IF($A442="",0,IF(Transactions!A434=2,Transactions!H434*$E442,0))</f>
        <v>0</v>
      </c>
    </row>
    <row r="443" spans="1:7" ht="15" customHeight="1" x14ac:dyDescent="0.15">
      <c r="A443" t="str">
        <f>IF(Transactions!J435="","",Transactions!J435)</f>
        <v/>
      </c>
      <c r="B443" s="297">
        <f ca="1">IF($A443="",TODAY(),Transactions!G435)</f>
        <v>46216</v>
      </c>
      <c r="C443" t="str">
        <f>IF($A443="","",Transactions!A435)</f>
        <v/>
      </c>
      <c r="D443" s="30">
        <f>IF($A443="",0,Transactions!H435)</f>
        <v>0</v>
      </c>
      <c r="E443">
        <f>IF($A443="",1,IFERROR(INDEX(Prices[FX to SGD],MATCH($A443,Prices[Key],0)),1))</f>
        <v>1</v>
      </c>
      <c r="F443" s="30">
        <f>IF($A443="",0,(Transactions!M435-Transactions!L435+IF(Transactions!A435=2,Transactions!H435,0))*$E443)</f>
        <v>0</v>
      </c>
      <c r="G443" s="30">
        <f>IF($A443="",0,IF(Transactions!A435=2,Transactions!H435*$E443,0))</f>
        <v>0</v>
      </c>
    </row>
    <row r="444" spans="1:7" ht="15" customHeight="1" x14ac:dyDescent="0.15">
      <c r="A444" t="str">
        <f>IF(Transactions!J436="","",Transactions!J436)</f>
        <v/>
      </c>
      <c r="B444" s="297">
        <f ca="1">IF($A444="",TODAY(),Transactions!G436)</f>
        <v>46216</v>
      </c>
      <c r="C444" t="str">
        <f>IF($A444="","",Transactions!A436)</f>
        <v/>
      </c>
      <c r="D444" s="30">
        <f>IF($A444="",0,Transactions!H436)</f>
        <v>0</v>
      </c>
      <c r="E444">
        <f>IF($A444="",1,IFERROR(INDEX(Prices[FX to SGD],MATCH($A444,Prices[Key],0)),1))</f>
        <v>1</v>
      </c>
      <c r="F444" s="30">
        <f>IF($A444="",0,(Transactions!M436-Transactions!L436+IF(Transactions!A436=2,Transactions!H436,0))*$E444)</f>
        <v>0</v>
      </c>
      <c r="G444" s="30">
        <f>IF($A444="",0,IF(Transactions!A436=2,Transactions!H436*$E444,0))</f>
        <v>0</v>
      </c>
    </row>
    <row r="445" spans="1:7" ht="15" customHeight="1" x14ac:dyDescent="0.15">
      <c r="A445" t="str">
        <f>IF(Transactions!J437="","",Transactions!J437)</f>
        <v/>
      </c>
      <c r="B445" s="297">
        <f ca="1">IF($A445="",TODAY(),Transactions!G437)</f>
        <v>46216</v>
      </c>
      <c r="C445" t="str">
        <f>IF($A445="","",Transactions!A437)</f>
        <v/>
      </c>
      <c r="D445" s="30">
        <f>IF($A445="",0,Transactions!H437)</f>
        <v>0</v>
      </c>
      <c r="E445">
        <f>IF($A445="",1,IFERROR(INDEX(Prices[FX to SGD],MATCH($A445,Prices[Key],0)),1))</f>
        <v>1</v>
      </c>
      <c r="F445" s="30">
        <f>IF($A445="",0,(Transactions!M437-Transactions!L437+IF(Transactions!A437=2,Transactions!H437,0))*$E445)</f>
        <v>0</v>
      </c>
      <c r="G445" s="30">
        <f>IF($A445="",0,IF(Transactions!A437=2,Transactions!H437*$E445,0))</f>
        <v>0</v>
      </c>
    </row>
    <row r="446" spans="1:7" ht="15" customHeight="1" x14ac:dyDescent="0.15">
      <c r="A446" t="str">
        <f>IF(Transactions!J438="","",Transactions!J438)</f>
        <v/>
      </c>
      <c r="B446" s="297">
        <f ca="1">IF($A446="",TODAY(),Transactions!G438)</f>
        <v>46216</v>
      </c>
      <c r="C446" t="str">
        <f>IF($A446="","",Transactions!A438)</f>
        <v/>
      </c>
      <c r="D446" s="30">
        <f>IF($A446="",0,Transactions!H438)</f>
        <v>0</v>
      </c>
      <c r="E446">
        <f>IF($A446="",1,IFERROR(INDEX(Prices[FX to SGD],MATCH($A446,Prices[Key],0)),1))</f>
        <v>1</v>
      </c>
      <c r="F446" s="30">
        <f>IF($A446="",0,(Transactions!M438-Transactions!L438+IF(Transactions!A438=2,Transactions!H438,0))*$E446)</f>
        <v>0</v>
      </c>
      <c r="G446" s="30">
        <f>IF($A446="",0,IF(Transactions!A438=2,Transactions!H438*$E446,0))</f>
        <v>0</v>
      </c>
    </row>
    <row r="447" spans="1:7" ht="15" customHeight="1" x14ac:dyDescent="0.15">
      <c r="A447" t="str">
        <f>IF(Transactions!J439="","",Transactions!J439)</f>
        <v/>
      </c>
      <c r="B447" s="297">
        <f ca="1">IF($A447="",TODAY(),Transactions!G439)</f>
        <v>46216</v>
      </c>
      <c r="C447" t="str">
        <f>IF($A447="","",Transactions!A439)</f>
        <v/>
      </c>
      <c r="D447" s="30">
        <f>IF($A447="",0,Transactions!H439)</f>
        <v>0</v>
      </c>
      <c r="E447">
        <f>IF($A447="",1,IFERROR(INDEX(Prices[FX to SGD],MATCH($A447,Prices[Key],0)),1))</f>
        <v>1</v>
      </c>
      <c r="F447" s="30">
        <f>IF($A447="",0,(Transactions!M439-Transactions!L439+IF(Transactions!A439=2,Transactions!H439,0))*$E447)</f>
        <v>0</v>
      </c>
      <c r="G447" s="30">
        <f>IF($A447="",0,IF(Transactions!A439=2,Transactions!H439*$E447,0))</f>
        <v>0</v>
      </c>
    </row>
    <row r="448" spans="1:7" ht="15" customHeight="1" x14ac:dyDescent="0.15">
      <c r="A448" t="str">
        <f>IF(Transactions!J440="","",Transactions!J440)</f>
        <v/>
      </c>
      <c r="B448" s="297">
        <f ca="1">IF($A448="",TODAY(),Transactions!G440)</f>
        <v>46216</v>
      </c>
      <c r="C448" t="str">
        <f>IF($A448="","",Transactions!A440)</f>
        <v/>
      </c>
      <c r="D448" s="30">
        <f>IF($A448="",0,Transactions!H440)</f>
        <v>0</v>
      </c>
      <c r="E448">
        <f>IF($A448="",1,IFERROR(INDEX(Prices[FX to SGD],MATCH($A448,Prices[Key],0)),1))</f>
        <v>1</v>
      </c>
      <c r="F448" s="30">
        <f>IF($A448="",0,(Transactions!M440-Transactions!L440+IF(Transactions!A440=2,Transactions!H440,0))*$E448)</f>
        <v>0</v>
      </c>
      <c r="G448" s="30">
        <f>IF($A448="",0,IF(Transactions!A440=2,Transactions!H440*$E448,0))</f>
        <v>0</v>
      </c>
    </row>
    <row r="449" spans="1:7" ht="15" customHeight="1" x14ac:dyDescent="0.15">
      <c r="A449" t="str">
        <f>IF(Transactions!J441="","",Transactions!J441)</f>
        <v/>
      </c>
      <c r="B449" s="297">
        <f ca="1">IF($A449="",TODAY(),Transactions!G441)</f>
        <v>46216</v>
      </c>
      <c r="C449" t="str">
        <f>IF($A449="","",Transactions!A441)</f>
        <v/>
      </c>
      <c r="D449" s="30">
        <f>IF($A449="",0,Transactions!H441)</f>
        <v>0</v>
      </c>
      <c r="E449">
        <f>IF($A449="",1,IFERROR(INDEX(Prices[FX to SGD],MATCH($A449,Prices[Key],0)),1))</f>
        <v>1</v>
      </c>
      <c r="F449" s="30">
        <f>IF($A449="",0,(Transactions!M441-Transactions!L441+IF(Transactions!A441=2,Transactions!H441,0))*$E449)</f>
        <v>0</v>
      </c>
      <c r="G449" s="30">
        <f>IF($A449="",0,IF(Transactions!A441=2,Transactions!H441*$E449,0))</f>
        <v>0</v>
      </c>
    </row>
    <row r="450" spans="1:7" ht="15" customHeight="1" x14ac:dyDescent="0.15">
      <c r="A450" t="str">
        <f>IF(Transactions!J442="","",Transactions!J442)</f>
        <v/>
      </c>
      <c r="B450" s="297">
        <f ca="1">IF($A450="",TODAY(),Transactions!G442)</f>
        <v>46216</v>
      </c>
      <c r="C450" t="str">
        <f>IF($A450="","",Transactions!A442)</f>
        <v/>
      </c>
      <c r="D450" s="30">
        <f>IF($A450="",0,Transactions!H442)</f>
        <v>0</v>
      </c>
      <c r="E450">
        <f>IF($A450="",1,IFERROR(INDEX(Prices[FX to SGD],MATCH($A450,Prices[Key],0)),1))</f>
        <v>1</v>
      </c>
      <c r="F450" s="30">
        <f>IF($A450="",0,(Transactions!M442-Transactions!L442+IF(Transactions!A442=2,Transactions!H442,0))*$E450)</f>
        <v>0</v>
      </c>
      <c r="G450" s="30">
        <f>IF($A450="",0,IF(Transactions!A442=2,Transactions!H442*$E450,0))</f>
        <v>0</v>
      </c>
    </row>
    <row r="451" spans="1:7" ht="15" customHeight="1" x14ac:dyDescent="0.15">
      <c r="A451" t="str">
        <f>IF(Transactions!J443="","",Transactions!J443)</f>
        <v/>
      </c>
      <c r="B451" s="297">
        <f ca="1">IF($A451="",TODAY(),Transactions!G443)</f>
        <v>46216</v>
      </c>
      <c r="C451" t="str">
        <f>IF($A451="","",Transactions!A443)</f>
        <v/>
      </c>
      <c r="D451" s="30">
        <f>IF($A451="",0,Transactions!H443)</f>
        <v>0</v>
      </c>
      <c r="E451">
        <f>IF($A451="",1,IFERROR(INDEX(Prices[FX to SGD],MATCH($A451,Prices[Key],0)),1))</f>
        <v>1</v>
      </c>
      <c r="F451" s="30">
        <f>IF($A451="",0,(Transactions!M443-Transactions!L443+IF(Transactions!A443=2,Transactions!H443,0))*$E451)</f>
        <v>0</v>
      </c>
      <c r="G451" s="30">
        <f>IF($A451="",0,IF(Transactions!A443=2,Transactions!H443*$E451,0))</f>
        <v>0</v>
      </c>
    </row>
    <row r="452" spans="1:7" ht="15" customHeight="1" x14ac:dyDescent="0.15">
      <c r="A452" t="str">
        <f>IF(Transactions!J444="","",Transactions!J444)</f>
        <v/>
      </c>
      <c r="B452" s="297">
        <f ca="1">IF($A452="",TODAY(),Transactions!G444)</f>
        <v>46216</v>
      </c>
      <c r="C452" t="str">
        <f>IF($A452="","",Transactions!A444)</f>
        <v/>
      </c>
      <c r="D452" s="30">
        <f>IF($A452="",0,Transactions!H444)</f>
        <v>0</v>
      </c>
      <c r="E452">
        <f>IF($A452="",1,IFERROR(INDEX(Prices[FX to SGD],MATCH($A452,Prices[Key],0)),1))</f>
        <v>1</v>
      </c>
      <c r="F452" s="30">
        <f>IF($A452="",0,(Transactions!M444-Transactions!L444+IF(Transactions!A444=2,Transactions!H444,0))*$E452)</f>
        <v>0</v>
      </c>
      <c r="G452" s="30">
        <f>IF($A452="",0,IF(Transactions!A444=2,Transactions!H444*$E452,0))</f>
        <v>0</v>
      </c>
    </row>
    <row r="453" spans="1:7" ht="15" customHeight="1" x14ac:dyDescent="0.15">
      <c r="A453" t="str">
        <f>IF(Transactions!J445="","",Transactions!J445)</f>
        <v/>
      </c>
      <c r="B453" s="297">
        <f ca="1">IF($A453="",TODAY(),Transactions!G445)</f>
        <v>46216</v>
      </c>
      <c r="C453" t="str">
        <f>IF($A453="","",Transactions!A445)</f>
        <v/>
      </c>
      <c r="D453" s="30">
        <f>IF($A453="",0,Transactions!H445)</f>
        <v>0</v>
      </c>
      <c r="E453">
        <f>IF($A453="",1,IFERROR(INDEX(Prices[FX to SGD],MATCH($A453,Prices[Key],0)),1))</f>
        <v>1</v>
      </c>
      <c r="F453" s="30">
        <f>IF($A453="",0,(Transactions!M445-Transactions!L445+IF(Transactions!A445=2,Transactions!H445,0))*$E453)</f>
        <v>0</v>
      </c>
      <c r="G453" s="30">
        <f>IF($A453="",0,IF(Transactions!A445=2,Transactions!H445*$E453,0))</f>
        <v>0</v>
      </c>
    </row>
    <row r="454" spans="1:7" ht="15" customHeight="1" x14ac:dyDescent="0.15">
      <c r="A454" t="str">
        <f>IF(Transactions!J446="","",Transactions!J446)</f>
        <v/>
      </c>
      <c r="B454" s="297">
        <f ca="1">IF($A454="",TODAY(),Transactions!G446)</f>
        <v>46216</v>
      </c>
      <c r="C454" t="str">
        <f>IF($A454="","",Transactions!A446)</f>
        <v/>
      </c>
      <c r="D454" s="30">
        <f>IF($A454="",0,Transactions!H446)</f>
        <v>0</v>
      </c>
      <c r="E454">
        <f>IF($A454="",1,IFERROR(INDEX(Prices[FX to SGD],MATCH($A454,Prices[Key],0)),1))</f>
        <v>1</v>
      </c>
      <c r="F454" s="30">
        <f>IF($A454="",0,(Transactions!M446-Transactions!L446+IF(Transactions!A446=2,Transactions!H446,0))*$E454)</f>
        <v>0</v>
      </c>
      <c r="G454" s="30">
        <f>IF($A454="",0,IF(Transactions!A446=2,Transactions!H446*$E454,0))</f>
        <v>0</v>
      </c>
    </row>
    <row r="455" spans="1:7" ht="15" customHeight="1" x14ac:dyDescent="0.15">
      <c r="A455" t="str">
        <f>IF(Transactions!J447="","",Transactions!J447)</f>
        <v/>
      </c>
      <c r="B455" s="297">
        <f ca="1">IF($A455="",TODAY(),Transactions!G447)</f>
        <v>46216</v>
      </c>
      <c r="C455" t="str">
        <f>IF($A455="","",Transactions!A447)</f>
        <v/>
      </c>
      <c r="D455" s="30">
        <f>IF($A455="",0,Transactions!H447)</f>
        <v>0</v>
      </c>
      <c r="E455">
        <f>IF($A455="",1,IFERROR(INDEX(Prices[FX to SGD],MATCH($A455,Prices[Key],0)),1))</f>
        <v>1</v>
      </c>
      <c r="F455" s="30">
        <f>IF($A455="",0,(Transactions!M447-Transactions!L447+IF(Transactions!A447=2,Transactions!H447,0))*$E455)</f>
        <v>0</v>
      </c>
      <c r="G455" s="30">
        <f>IF($A455="",0,IF(Transactions!A447=2,Transactions!H447*$E455,0))</f>
        <v>0</v>
      </c>
    </row>
    <row r="456" spans="1:7" ht="15" customHeight="1" x14ac:dyDescent="0.15">
      <c r="A456" t="str">
        <f>IF(Transactions!J448="","",Transactions!J448)</f>
        <v/>
      </c>
      <c r="B456" s="297">
        <f ca="1">IF($A456="",TODAY(),Transactions!G448)</f>
        <v>46216</v>
      </c>
      <c r="C456" t="str">
        <f>IF($A456="","",Transactions!A448)</f>
        <v/>
      </c>
      <c r="D456" s="30">
        <f>IF($A456="",0,Transactions!H448)</f>
        <v>0</v>
      </c>
      <c r="E456">
        <f>IF($A456="",1,IFERROR(INDEX(Prices[FX to SGD],MATCH($A456,Prices[Key],0)),1))</f>
        <v>1</v>
      </c>
      <c r="F456" s="30">
        <f>IF($A456="",0,(Transactions!M448-Transactions!L448+IF(Transactions!A448=2,Transactions!H448,0))*$E456)</f>
        <v>0</v>
      </c>
      <c r="G456" s="30">
        <f>IF($A456="",0,IF(Transactions!A448=2,Transactions!H448*$E456,0))</f>
        <v>0</v>
      </c>
    </row>
    <row r="457" spans="1:7" ht="15" customHeight="1" x14ac:dyDescent="0.15">
      <c r="A457" t="str">
        <f>IF(Transactions!J449="","",Transactions!J449)</f>
        <v/>
      </c>
      <c r="B457" s="297">
        <f ca="1">IF($A457="",TODAY(),Transactions!G449)</f>
        <v>46216</v>
      </c>
      <c r="C457" t="str">
        <f>IF($A457="","",Transactions!A449)</f>
        <v/>
      </c>
      <c r="D457" s="30">
        <f>IF($A457="",0,Transactions!H449)</f>
        <v>0</v>
      </c>
      <c r="E457">
        <f>IF($A457="",1,IFERROR(INDEX(Prices[FX to SGD],MATCH($A457,Prices[Key],0)),1))</f>
        <v>1</v>
      </c>
      <c r="F457" s="30">
        <f>IF($A457="",0,(Transactions!M449-Transactions!L449+IF(Transactions!A449=2,Transactions!H449,0))*$E457)</f>
        <v>0</v>
      </c>
      <c r="G457" s="30">
        <f>IF($A457="",0,IF(Transactions!A449=2,Transactions!H449*$E457,0))</f>
        <v>0</v>
      </c>
    </row>
    <row r="458" spans="1:7" ht="15" customHeight="1" x14ac:dyDescent="0.15">
      <c r="A458" t="str">
        <f>IF(Transactions!J450="","",Transactions!J450)</f>
        <v/>
      </c>
      <c r="B458" s="297">
        <f ca="1">IF($A458="",TODAY(),Transactions!G450)</f>
        <v>46216</v>
      </c>
      <c r="C458" t="str">
        <f>IF($A458="","",Transactions!A450)</f>
        <v/>
      </c>
      <c r="D458" s="30">
        <f>IF($A458="",0,Transactions!H450)</f>
        <v>0</v>
      </c>
      <c r="E458">
        <f>IF($A458="",1,IFERROR(INDEX(Prices[FX to SGD],MATCH($A458,Prices[Key],0)),1))</f>
        <v>1</v>
      </c>
      <c r="F458" s="30">
        <f>IF($A458="",0,(Transactions!M450-Transactions!L450+IF(Transactions!A450=2,Transactions!H450,0))*$E458)</f>
        <v>0</v>
      </c>
      <c r="G458" s="30">
        <f>IF($A458="",0,IF(Transactions!A450=2,Transactions!H450*$E458,0))</f>
        <v>0</v>
      </c>
    </row>
    <row r="459" spans="1:7" ht="15" customHeight="1" x14ac:dyDescent="0.15">
      <c r="A459" t="str">
        <f>IF(Transactions!J451="","",Transactions!J451)</f>
        <v/>
      </c>
      <c r="B459" s="297">
        <f ca="1">IF($A459="",TODAY(),Transactions!G451)</f>
        <v>46216</v>
      </c>
      <c r="C459" t="str">
        <f>IF($A459="","",Transactions!A451)</f>
        <v/>
      </c>
      <c r="D459" s="30">
        <f>IF($A459="",0,Transactions!H451)</f>
        <v>0</v>
      </c>
      <c r="E459">
        <f>IF($A459="",1,IFERROR(INDEX(Prices[FX to SGD],MATCH($A459,Prices[Key],0)),1))</f>
        <v>1</v>
      </c>
      <c r="F459" s="30">
        <f>IF($A459="",0,(Transactions!M451-Transactions!L451+IF(Transactions!A451=2,Transactions!H451,0))*$E459)</f>
        <v>0</v>
      </c>
      <c r="G459" s="30">
        <f>IF($A459="",0,IF(Transactions!A451=2,Transactions!H451*$E459,0))</f>
        <v>0</v>
      </c>
    </row>
    <row r="460" spans="1:7" ht="15" customHeight="1" x14ac:dyDescent="0.15">
      <c r="A460" t="str">
        <f>IF(Transactions!J452="","",Transactions!J452)</f>
        <v/>
      </c>
      <c r="B460" s="297">
        <f ca="1">IF($A460="",TODAY(),Transactions!G452)</f>
        <v>46216</v>
      </c>
      <c r="C460" t="str">
        <f>IF($A460="","",Transactions!A452)</f>
        <v/>
      </c>
      <c r="D460" s="30">
        <f>IF($A460="",0,Transactions!H452)</f>
        <v>0</v>
      </c>
      <c r="E460">
        <f>IF($A460="",1,IFERROR(INDEX(Prices[FX to SGD],MATCH($A460,Prices[Key],0)),1))</f>
        <v>1</v>
      </c>
      <c r="F460" s="30">
        <f>IF($A460="",0,(Transactions!M452-Transactions!L452+IF(Transactions!A452=2,Transactions!H452,0))*$E460)</f>
        <v>0</v>
      </c>
      <c r="G460" s="30">
        <f>IF($A460="",0,IF(Transactions!A452=2,Transactions!H452*$E460,0))</f>
        <v>0</v>
      </c>
    </row>
    <row r="461" spans="1:7" ht="15" customHeight="1" x14ac:dyDescent="0.15">
      <c r="A461" t="str">
        <f>IF(Transactions!J453="","",Transactions!J453)</f>
        <v/>
      </c>
      <c r="B461" s="297">
        <f ca="1">IF($A461="",TODAY(),Transactions!G453)</f>
        <v>46216</v>
      </c>
      <c r="C461" t="str">
        <f>IF($A461="","",Transactions!A453)</f>
        <v/>
      </c>
      <c r="D461" s="30">
        <f>IF($A461="",0,Transactions!H453)</f>
        <v>0</v>
      </c>
      <c r="E461">
        <f>IF($A461="",1,IFERROR(INDEX(Prices[FX to SGD],MATCH($A461,Prices[Key],0)),1))</f>
        <v>1</v>
      </c>
      <c r="F461" s="30">
        <f>IF($A461="",0,(Transactions!M453-Transactions!L453+IF(Transactions!A453=2,Transactions!H453,0))*$E461)</f>
        <v>0</v>
      </c>
      <c r="G461" s="30">
        <f>IF($A461="",0,IF(Transactions!A453=2,Transactions!H453*$E461,0))</f>
        <v>0</v>
      </c>
    </row>
    <row r="462" spans="1:7" ht="15" customHeight="1" x14ac:dyDescent="0.15">
      <c r="A462" t="str">
        <f>IF(Transactions!J454="","",Transactions!J454)</f>
        <v/>
      </c>
      <c r="B462" s="297">
        <f ca="1">IF($A462="",TODAY(),Transactions!G454)</f>
        <v>46216</v>
      </c>
      <c r="C462" t="str">
        <f>IF($A462="","",Transactions!A454)</f>
        <v/>
      </c>
      <c r="D462" s="30">
        <f>IF($A462="",0,Transactions!H454)</f>
        <v>0</v>
      </c>
      <c r="E462">
        <f>IF($A462="",1,IFERROR(INDEX(Prices[FX to SGD],MATCH($A462,Prices[Key],0)),1))</f>
        <v>1</v>
      </c>
      <c r="F462" s="30">
        <f>IF($A462="",0,(Transactions!M454-Transactions!L454+IF(Transactions!A454=2,Transactions!H454,0))*$E462)</f>
        <v>0</v>
      </c>
      <c r="G462" s="30">
        <f>IF($A462="",0,IF(Transactions!A454=2,Transactions!H454*$E462,0))</f>
        <v>0</v>
      </c>
    </row>
    <row r="463" spans="1:7" ht="15" customHeight="1" x14ac:dyDescent="0.15">
      <c r="A463" t="str">
        <f>IF(Transactions!J455="","",Transactions!J455)</f>
        <v/>
      </c>
      <c r="B463" s="297">
        <f ca="1">IF($A463="",TODAY(),Transactions!G455)</f>
        <v>46216</v>
      </c>
      <c r="C463" t="str">
        <f>IF($A463="","",Transactions!A455)</f>
        <v/>
      </c>
      <c r="D463" s="30">
        <f>IF($A463="",0,Transactions!H455)</f>
        <v>0</v>
      </c>
      <c r="E463">
        <f>IF($A463="",1,IFERROR(INDEX(Prices[FX to SGD],MATCH($A463,Prices[Key],0)),1))</f>
        <v>1</v>
      </c>
      <c r="F463" s="30">
        <f>IF($A463="",0,(Transactions!M455-Transactions!L455+IF(Transactions!A455=2,Transactions!H455,0))*$E463)</f>
        <v>0</v>
      </c>
      <c r="G463" s="30">
        <f>IF($A463="",0,IF(Transactions!A455=2,Transactions!H455*$E463,0))</f>
        <v>0</v>
      </c>
    </row>
    <row r="464" spans="1:7" ht="15" customHeight="1" x14ac:dyDescent="0.15">
      <c r="A464" t="str">
        <f>IF(Transactions!J456="","",Transactions!J456)</f>
        <v/>
      </c>
      <c r="B464" s="297">
        <f ca="1">IF($A464="",TODAY(),Transactions!G456)</f>
        <v>46216</v>
      </c>
      <c r="C464" t="str">
        <f>IF($A464="","",Transactions!A456)</f>
        <v/>
      </c>
      <c r="D464" s="30">
        <f>IF($A464="",0,Transactions!H456)</f>
        <v>0</v>
      </c>
      <c r="E464">
        <f>IF($A464="",1,IFERROR(INDEX(Prices[FX to SGD],MATCH($A464,Prices[Key],0)),1))</f>
        <v>1</v>
      </c>
      <c r="F464" s="30">
        <f>IF($A464="",0,(Transactions!M456-Transactions!L456+IF(Transactions!A456=2,Transactions!H456,0))*$E464)</f>
        <v>0</v>
      </c>
      <c r="G464" s="30">
        <f>IF($A464="",0,IF(Transactions!A456=2,Transactions!H456*$E464,0))</f>
        <v>0</v>
      </c>
    </row>
    <row r="465" spans="1:7" ht="15" customHeight="1" x14ac:dyDescent="0.15">
      <c r="A465" t="str">
        <f>IF(Transactions!J457="","",Transactions!J457)</f>
        <v/>
      </c>
      <c r="B465" s="297">
        <f ca="1">IF($A465="",TODAY(),Transactions!G457)</f>
        <v>46216</v>
      </c>
      <c r="C465" t="str">
        <f>IF($A465="","",Transactions!A457)</f>
        <v/>
      </c>
      <c r="D465" s="30">
        <f>IF($A465="",0,Transactions!H457)</f>
        <v>0</v>
      </c>
      <c r="E465">
        <f>IF($A465="",1,IFERROR(INDEX(Prices[FX to SGD],MATCH($A465,Prices[Key],0)),1))</f>
        <v>1</v>
      </c>
      <c r="F465" s="30">
        <f>IF($A465="",0,(Transactions!M457-Transactions!L457+IF(Transactions!A457=2,Transactions!H457,0))*$E465)</f>
        <v>0</v>
      </c>
      <c r="G465" s="30">
        <f>IF($A465="",0,IF(Transactions!A457=2,Transactions!H457*$E465,0))</f>
        <v>0</v>
      </c>
    </row>
    <row r="466" spans="1:7" ht="15" customHeight="1" x14ac:dyDescent="0.15">
      <c r="A466" t="str">
        <f>IF(Transactions!J458="","",Transactions!J458)</f>
        <v/>
      </c>
      <c r="B466" s="297">
        <f ca="1">IF($A466="",TODAY(),Transactions!G458)</f>
        <v>46216</v>
      </c>
      <c r="C466" t="str">
        <f>IF($A466="","",Transactions!A458)</f>
        <v/>
      </c>
      <c r="D466" s="30">
        <f>IF($A466="",0,Transactions!H458)</f>
        <v>0</v>
      </c>
      <c r="E466">
        <f>IF($A466="",1,IFERROR(INDEX(Prices[FX to SGD],MATCH($A466,Prices[Key],0)),1))</f>
        <v>1</v>
      </c>
      <c r="F466" s="30">
        <f>IF($A466="",0,(Transactions!M458-Transactions!L458+IF(Transactions!A458=2,Transactions!H458,0))*$E466)</f>
        <v>0</v>
      </c>
      <c r="G466" s="30">
        <f>IF($A466="",0,IF(Transactions!A458=2,Transactions!H458*$E466,0))</f>
        <v>0</v>
      </c>
    </row>
    <row r="467" spans="1:7" ht="15" customHeight="1" x14ac:dyDescent="0.15">
      <c r="A467" t="str">
        <f>IF(Transactions!J459="","",Transactions!J459)</f>
        <v/>
      </c>
      <c r="B467" s="297">
        <f ca="1">IF($A467="",TODAY(),Transactions!G459)</f>
        <v>46216</v>
      </c>
      <c r="C467" t="str">
        <f>IF($A467="","",Transactions!A459)</f>
        <v/>
      </c>
      <c r="D467" s="30">
        <f>IF($A467="",0,Transactions!H459)</f>
        <v>0</v>
      </c>
      <c r="E467">
        <f>IF($A467="",1,IFERROR(INDEX(Prices[FX to SGD],MATCH($A467,Prices[Key],0)),1))</f>
        <v>1</v>
      </c>
      <c r="F467" s="30">
        <f>IF($A467="",0,(Transactions!M459-Transactions!L459+IF(Transactions!A459=2,Transactions!H459,0))*$E467)</f>
        <v>0</v>
      </c>
      <c r="G467" s="30">
        <f>IF($A467="",0,IF(Transactions!A459=2,Transactions!H459*$E467,0))</f>
        <v>0</v>
      </c>
    </row>
    <row r="468" spans="1:7" ht="15" customHeight="1" x14ac:dyDescent="0.15">
      <c r="A468" t="str">
        <f>IF(Transactions!J460="","",Transactions!J460)</f>
        <v/>
      </c>
      <c r="B468" s="297">
        <f ca="1">IF($A468="",TODAY(),Transactions!G460)</f>
        <v>46216</v>
      </c>
      <c r="C468" t="str">
        <f>IF($A468="","",Transactions!A460)</f>
        <v/>
      </c>
      <c r="D468" s="30">
        <f>IF($A468="",0,Transactions!H460)</f>
        <v>0</v>
      </c>
      <c r="E468">
        <f>IF($A468="",1,IFERROR(INDEX(Prices[FX to SGD],MATCH($A468,Prices[Key],0)),1))</f>
        <v>1</v>
      </c>
      <c r="F468" s="30">
        <f>IF($A468="",0,(Transactions!M460-Transactions!L460+IF(Transactions!A460=2,Transactions!H460,0))*$E468)</f>
        <v>0</v>
      </c>
      <c r="G468" s="30">
        <f>IF($A468="",0,IF(Transactions!A460=2,Transactions!H460*$E468,0))</f>
        <v>0</v>
      </c>
    </row>
    <row r="469" spans="1:7" ht="15" customHeight="1" x14ac:dyDescent="0.15">
      <c r="A469" t="str">
        <f>IF(Transactions!J461="","",Transactions!J461)</f>
        <v/>
      </c>
      <c r="B469" s="297">
        <f ca="1">IF($A469="",TODAY(),Transactions!G461)</f>
        <v>46216</v>
      </c>
      <c r="C469" t="str">
        <f>IF($A469="","",Transactions!A461)</f>
        <v/>
      </c>
      <c r="D469" s="30">
        <f>IF($A469="",0,Transactions!H461)</f>
        <v>0</v>
      </c>
      <c r="E469">
        <f>IF($A469="",1,IFERROR(INDEX(Prices[FX to SGD],MATCH($A469,Prices[Key],0)),1))</f>
        <v>1</v>
      </c>
      <c r="F469" s="30">
        <f>IF($A469="",0,(Transactions!M461-Transactions!L461+IF(Transactions!A461=2,Transactions!H461,0))*$E469)</f>
        <v>0</v>
      </c>
      <c r="G469" s="30">
        <f>IF($A469="",0,IF(Transactions!A461=2,Transactions!H461*$E469,0))</f>
        <v>0</v>
      </c>
    </row>
    <row r="470" spans="1:7" ht="15" customHeight="1" x14ac:dyDescent="0.15">
      <c r="A470" t="str">
        <f>IF(Transactions!J462="","",Transactions!J462)</f>
        <v/>
      </c>
      <c r="B470" s="297">
        <f ca="1">IF($A470="",TODAY(),Transactions!G462)</f>
        <v>46216</v>
      </c>
      <c r="C470" t="str">
        <f>IF($A470="","",Transactions!A462)</f>
        <v/>
      </c>
      <c r="D470" s="30">
        <f>IF($A470="",0,Transactions!H462)</f>
        <v>0</v>
      </c>
      <c r="E470">
        <f>IF($A470="",1,IFERROR(INDEX(Prices[FX to SGD],MATCH($A470,Prices[Key],0)),1))</f>
        <v>1</v>
      </c>
      <c r="F470" s="30">
        <f>IF($A470="",0,(Transactions!M462-Transactions!L462+IF(Transactions!A462=2,Transactions!H462,0))*$E470)</f>
        <v>0</v>
      </c>
      <c r="G470" s="30">
        <f>IF($A470="",0,IF(Transactions!A462=2,Transactions!H462*$E470,0))</f>
        <v>0</v>
      </c>
    </row>
    <row r="471" spans="1:7" ht="15" customHeight="1" x14ac:dyDescent="0.15">
      <c r="A471" t="str">
        <f>IF(Transactions!J463="","",Transactions!J463)</f>
        <v/>
      </c>
      <c r="B471" s="297">
        <f ca="1">IF($A471="",TODAY(),Transactions!G463)</f>
        <v>46216</v>
      </c>
      <c r="C471" t="str">
        <f>IF($A471="","",Transactions!A463)</f>
        <v/>
      </c>
      <c r="D471" s="30">
        <f>IF($A471="",0,Transactions!H463)</f>
        <v>0</v>
      </c>
      <c r="E471">
        <f>IF($A471="",1,IFERROR(INDEX(Prices[FX to SGD],MATCH($A471,Prices[Key],0)),1))</f>
        <v>1</v>
      </c>
      <c r="F471" s="30">
        <f>IF($A471="",0,(Transactions!M463-Transactions!L463+IF(Transactions!A463=2,Transactions!H463,0))*$E471)</f>
        <v>0</v>
      </c>
      <c r="G471" s="30">
        <f>IF($A471="",0,IF(Transactions!A463=2,Transactions!H463*$E471,0))</f>
        <v>0</v>
      </c>
    </row>
    <row r="472" spans="1:7" ht="15" customHeight="1" x14ac:dyDescent="0.15">
      <c r="A472" t="str">
        <f>IF(Transactions!J464="","",Transactions!J464)</f>
        <v/>
      </c>
      <c r="B472" s="297">
        <f ca="1">IF($A472="",TODAY(),Transactions!G464)</f>
        <v>46216</v>
      </c>
      <c r="C472" t="str">
        <f>IF($A472="","",Transactions!A464)</f>
        <v/>
      </c>
      <c r="D472" s="30">
        <f>IF($A472="",0,Transactions!H464)</f>
        <v>0</v>
      </c>
      <c r="E472">
        <f>IF($A472="",1,IFERROR(INDEX(Prices[FX to SGD],MATCH($A472,Prices[Key],0)),1))</f>
        <v>1</v>
      </c>
      <c r="F472" s="30">
        <f>IF($A472="",0,(Transactions!M464-Transactions!L464+IF(Transactions!A464=2,Transactions!H464,0))*$E472)</f>
        <v>0</v>
      </c>
      <c r="G472" s="30">
        <f>IF($A472="",0,IF(Transactions!A464=2,Transactions!H464*$E472,0))</f>
        <v>0</v>
      </c>
    </row>
    <row r="473" spans="1:7" ht="15" customHeight="1" x14ac:dyDescent="0.15">
      <c r="A473" t="str">
        <f>IF(Transactions!J465="","",Transactions!J465)</f>
        <v/>
      </c>
      <c r="B473" s="297">
        <f ca="1">IF($A473="",TODAY(),Transactions!G465)</f>
        <v>46216</v>
      </c>
      <c r="C473" t="str">
        <f>IF($A473="","",Transactions!A465)</f>
        <v/>
      </c>
      <c r="D473" s="30">
        <f>IF($A473="",0,Transactions!H465)</f>
        <v>0</v>
      </c>
      <c r="E473">
        <f>IF($A473="",1,IFERROR(INDEX(Prices[FX to SGD],MATCH($A473,Prices[Key],0)),1))</f>
        <v>1</v>
      </c>
      <c r="F473" s="30">
        <f>IF($A473="",0,(Transactions!M465-Transactions!L465+IF(Transactions!A465=2,Transactions!H465,0))*$E473)</f>
        <v>0</v>
      </c>
      <c r="G473" s="30">
        <f>IF($A473="",0,IF(Transactions!A465=2,Transactions!H465*$E473,0))</f>
        <v>0</v>
      </c>
    </row>
    <row r="474" spans="1:7" ht="15" customHeight="1" x14ac:dyDescent="0.15">
      <c r="A474" t="str">
        <f>IF(Transactions!J466="","",Transactions!J466)</f>
        <v/>
      </c>
      <c r="B474" s="297">
        <f ca="1">IF($A474="",TODAY(),Transactions!G466)</f>
        <v>46216</v>
      </c>
      <c r="C474" t="str">
        <f>IF($A474="","",Transactions!A466)</f>
        <v/>
      </c>
      <c r="D474" s="30">
        <f>IF($A474="",0,Transactions!H466)</f>
        <v>0</v>
      </c>
      <c r="E474">
        <f>IF($A474="",1,IFERROR(INDEX(Prices[FX to SGD],MATCH($A474,Prices[Key],0)),1))</f>
        <v>1</v>
      </c>
      <c r="F474" s="30">
        <f>IF($A474="",0,(Transactions!M466-Transactions!L466+IF(Transactions!A466=2,Transactions!H466,0))*$E474)</f>
        <v>0</v>
      </c>
      <c r="G474" s="30">
        <f>IF($A474="",0,IF(Transactions!A466=2,Transactions!H466*$E474,0))</f>
        <v>0</v>
      </c>
    </row>
    <row r="475" spans="1:7" ht="15" customHeight="1" x14ac:dyDescent="0.15">
      <c r="A475" t="str">
        <f>IF(Transactions!J467="","",Transactions!J467)</f>
        <v/>
      </c>
      <c r="B475" s="297">
        <f ca="1">IF($A475="",TODAY(),Transactions!G467)</f>
        <v>46216</v>
      </c>
      <c r="C475" t="str">
        <f>IF($A475="","",Transactions!A467)</f>
        <v/>
      </c>
      <c r="D475" s="30">
        <f>IF($A475="",0,Transactions!H467)</f>
        <v>0</v>
      </c>
      <c r="E475">
        <f>IF($A475="",1,IFERROR(INDEX(Prices[FX to SGD],MATCH($A475,Prices[Key],0)),1))</f>
        <v>1</v>
      </c>
      <c r="F475" s="30">
        <f>IF($A475="",0,(Transactions!M467-Transactions!L467+IF(Transactions!A467=2,Transactions!H467,0))*$E475)</f>
        <v>0</v>
      </c>
      <c r="G475" s="30">
        <f>IF($A475="",0,IF(Transactions!A467=2,Transactions!H467*$E475,0))</f>
        <v>0</v>
      </c>
    </row>
    <row r="476" spans="1:7" ht="15" customHeight="1" x14ac:dyDescent="0.15">
      <c r="A476" t="str">
        <f>IF(Transactions!J468="","",Transactions!J468)</f>
        <v/>
      </c>
      <c r="B476" s="297">
        <f ca="1">IF($A476="",TODAY(),Transactions!G468)</f>
        <v>46216</v>
      </c>
      <c r="C476" t="str">
        <f>IF($A476="","",Transactions!A468)</f>
        <v/>
      </c>
      <c r="D476" s="30">
        <f>IF($A476="",0,Transactions!H468)</f>
        <v>0</v>
      </c>
      <c r="E476">
        <f>IF($A476="",1,IFERROR(INDEX(Prices[FX to SGD],MATCH($A476,Prices[Key],0)),1))</f>
        <v>1</v>
      </c>
      <c r="F476" s="30">
        <f>IF($A476="",0,(Transactions!M468-Transactions!L468+IF(Transactions!A468=2,Transactions!H468,0))*$E476)</f>
        <v>0</v>
      </c>
      <c r="G476" s="30">
        <f>IF($A476="",0,IF(Transactions!A468=2,Transactions!H468*$E476,0))</f>
        <v>0</v>
      </c>
    </row>
    <row r="477" spans="1:7" ht="15" customHeight="1" x14ac:dyDescent="0.15">
      <c r="A477" t="str">
        <f>IF(Transactions!J469="","",Transactions!J469)</f>
        <v/>
      </c>
      <c r="B477" s="297">
        <f ca="1">IF($A477="",TODAY(),Transactions!G469)</f>
        <v>46216</v>
      </c>
      <c r="C477" t="str">
        <f>IF($A477="","",Transactions!A469)</f>
        <v/>
      </c>
      <c r="D477" s="30">
        <f>IF($A477="",0,Transactions!H469)</f>
        <v>0</v>
      </c>
      <c r="E477">
        <f>IF($A477="",1,IFERROR(INDEX(Prices[FX to SGD],MATCH($A477,Prices[Key],0)),1))</f>
        <v>1</v>
      </c>
      <c r="F477" s="30">
        <f>IF($A477="",0,(Transactions!M469-Transactions!L469+IF(Transactions!A469=2,Transactions!H469,0))*$E477)</f>
        <v>0</v>
      </c>
      <c r="G477" s="30">
        <f>IF($A477="",0,IF(Transactions!A469=2,Transactions!H469*$E477,0))</f>
        <v>0</v>
      </c>
    </row>
    <row r="478" spans="1:7" ht="15" customHeight="1" x14ac:dyDescent="0.15">
      <c r="A478" t="str">
        <f>IF(Transactions!J470="","",Transactions!J470)</f>
        <v/>
      </c>
      <c r="B478" s="297">
        <f ca="1">IF($A478="",TODAY(),Transactions!G470)</f>
        <v>46216</v>
      </c>
      <c r="C478" t="str">
        <f>IF($A478="","",Transactions!A470)</f>
        <v/>
      </c>
      <c r="D478" s="30">
        <f>IF($A478="",0,Transactions!H470)</f>
        <v>0</v>
      </c>
      <c r="E478">
        <f>IF($A478="",1,IFERROR(INDEX(Prices[FX to SGD],MATCH($A478,Prices[Key],0)),1))</f>
        <v>1</v>
      </c>
      <c r="F478" s="30">
        <f>IF($A478="",0,(Transactions!M470-Transactions!L470+IF(Transactions!A470=2,Transactions!H470,0))*$E478)</f>
        <v>0</v>
      </c>
      <c r="G478" s="30">
        <f>IF($A478="",0,IF(Transactions!A470=2,Transactions!H470*$E478,0))</f>
        <v>0</v>
      </c>
    </row>
    <row r="479" spans="1:7" ht="15" customHeight="1" x14ac:dyDescent="0.15">
      <c r="A479" t="str">
        <f>IF(Transactions!J471="","",Transactions!J471)</f>
        <v/>
      </c>
      <c r="B479" s="297">
        <f ca="1">IF($A479="",TODAY(),Transactions!G471)</f>
        <v>46216</v>
      </c>
      <c r="C479" t="str">
        <f>IF($A479="","",Transactions!A471)</f>
        <v/>
      </c>
      <c r="D479" s="30">
        <f>IF($A479="",0,Transactions!H471)</f>
        <v>0</v>
      </c>
      <c r="E479">
        <f>IF($A479="",1,IFERROR(INDEX(Prices[FX to SGD],MATCH($A479,Prices[Key],0)),1))</f>
        <v>1</v>
      </c>
      <c r="F479" s="30">
        <f>IF($A479="",0,(Transactions!M471-Transactions!L471+IF(Transactions!A471=2,Transactions!H471,0))*$E479)</f>
        <v>0</v>
      </c>
      <c r="G479" s="30">
        <f>IF($A479="",0,IF(Transactions!A471=2,Transactions!H471*$E479,0))</f>
        <v>0</v>
      </c>
    </row>
    <row r="480" spans="1:7" ht="15" customHeight="1" x14ac:dyDescent="0.15">
      <c r="A480" t="str">
        <f>IF(Transactions!J472="","",Transactions!J472)</f>
        <v/>
      </c>
      <c r="B480" s="297">
        <f ca="1">IF($A480="",TODAY(),Transactions!G472)</f>
        <v>46216</v>
      </c>
      <c r="C480" t="str">
        <f>IF($A480="","",Transactions!A472)</f>
        <v/>
      </c>
      <c r="D480" s="30">
        <f>IF($A480="",0,Transactions!H472)</f>
        <v>0</v>
      </c>
      <c r="E480">
        <f>IF($A480="",1,IFERROR(INDEX(Prices[FX to SGD],MATCH($A480,Prices[Key],0)),1))</f>
        <v>1</v>
      </c>
      <c r="F480" s="30">
        <f>IF($A480="",0,(Transactions!M472-Transactions!L472+IF(Transactions!A472=2,Transactions!H472,0))*$E480)</f>
        <v>0</v>
      </c>
      <c r="G480" s="30">
        <f>IF($A480="",0,IF(Transactions!A472=2,Transactions!H472*$E480,0))</f>
        <v>0</v>
      </c>
    </row>
    <row r="481" spans="1:7" ht="15" customHeight="1" x14ac:dyDescent="0.15">
      <c r="A481" t="str">
        <f>IF(Transactions!J473="","",Transactions!J473)</f>
        <v/>
      </c>
      <c r="B481" s="297">
        <f ca="1">IF($A481="",TODAY(),Transactions!G473)</f>
        <v>46216</v>
      </c>
      <c r="C481" t="str">
        <f>IF($A481="","",Transactions!A473)</f>
        <v/>
      </c>
      <c r="D481" s="30">
        <f>IF($A481="",0,Transactions!H473)</f>
        <v>0</v>
      </c>
      <c r="E481">
        <f>IF($A481="",1,IFERROR(INDEX(Prices[FX to SGD],MATCH($A481,Prices[Key],0)),1))</f>
        <v>1</v>
      </c>
      <c r="F481" s="30">
        <f>IF($A481="",0,(Transactions!M473-Transactions!L473+IF(Transactions!A473=2,Transactions!H473,0))*$E481)</f>
        <v>0</v>
      </c>
      <c r="G481" s="30">
        <f>IF($A481="",0,IF(Transactions!A473=2,Transactions!H473*$E481,0))</f>
        <v>0</v>
      </c>
    </row>
    <row r="482" spans="1:7" ht="15" customHeight="1" x14ac:dyDescent="0.15">
      <c r="A482" t="str">
        <f>IF(Transactions!J474="","",Transactions!J474)</f>
        <v/>
      </c>
      <c r="B482" s="297">
        <f ca="1">IF($A482="",TODAY(),Transactions!G474)</f>
        <v>46216</v>
      </c>
      <c r="C482" t="str">
        <f>IF($A482="","",Transactions!A474)</f>
        <v/>
      </c>
      <c r="D482" s="30">
        <f>IF($A482="",0,Transactions!H474)</f>
        <v>0</v>
      </c>
      <c r="E482">
        <f>IF($A482="",1,IFERROR(INDEX(Prices[FX to SGD],MATCH($A482,Prices[Key],0)),1))</f>
        <v>1</v>
      </c>
      <c r="F482" s="30">
        <f>IF($A482="",0,(Transactions!M474-Transactions!L474+IF(Transactions!A474=2,Transactions!H474,0))*$E482)</f>
        <v>0</v>
      </c>
      <c r="G482" s="30">
        <f>IF($A482="",0,IF(Transactions!A474=2,Transactions!H474*$E482,0))</f>
        <v>0</v>
      </c>
    </row>
    <row r="483" spans="1:7" ht="15" customHeight="1" x14ac:dyDescent="0.15">
      <c r="A483" t="str">
        <f>IF(Transactions!J475="","",Transactions!J475)</f>
        <v/>
      </c>
      <c r="B483" s="297">
        <f ca="1">IF($A483="",TODAY(),Transactions!G475)</f>
        <v>46216</v>
      </c>
      <c r="C483" t="str">
        <f>IF($A483="","",Transactions!A475)</f>
        <v/>
      </c>
      <c r="D483" s="30">
        <f>IF($A483="",0,Transactions!H475)</f>
        <v>0</v>
      </c>
      <c r="E483">
        <f>IF($A483="",1,IFERROR(INDEX(Prices[FX to SGD],MATCH($A483,Prices[Key],0)),1))</f>
        <v>1</v>
      </c>
      <c r="F483" s="30">
        <f>IF($A483="",0,(Transactions!M475-Transactions!L475+IF(Transactions!A475=2,Transactions!H475,0))*$E483)</f>
        <v>0</v>
      </c>
      <c r="G483" s="30">
        <f>IF($A483="",0,IF(Transactions!A475=2,Transactions!H475*$E483,0))</f>
        <v>0</v>
      </c>
    </row>
    <row r="484" spans="1:7" ht="15" customHeight="1" x14ac:dyDescent="0.15">
      <c r="A484" t="str">
        <f>IF(Transactions!J476="","",Transactions!J476)</f>
        <v/>
      </c>
      <c r="B484" s="297">
        <f ca="1">IF($A484="",TODAY(),Transactions!G476)</f>
        <v>46216</v>
      </c>
      <c r="C484" t="str">
        <f>IF($A484="","",Transactions!A476)</f>
        <v/>
      </c>
      <c r="D484" s="30">
        <f>IF($A484="",0,Transactions!H476)</f>
        <v>0</v>
      </c>
      <c r="E484">
        <f>IF($A484="",1,IFERROR(INDEX(Prices[FX to SGD],MATCH($A484,Prices[Key],0)),1))</f>
        <v>1</v>
      </c>
      <c r="F484" s="30">
        <f>IF($A484="",0,(Transactions!M476-Transactions!L476+IF(Transactions!A476=2,Transactions!H476,0))*$E484)</f>
        <v>0</v>
      </c>
      <c r="G484" s="30">
        <f>IF($A484="",0,IF(Transactions!A476=2,Transactions!H476*$E484,0))</f>
        <v>0</v>
      </c>
    </row>
    <row r="485" spans="1:7" ht="15" customHeight="1" x14ac:dyDescent="0.15">
      <c r="A485" t="str">
        <f>IF(Transactions!J477="","",Transactions!J477)</f>
        <v/>
      </c>
      <c r="B485" s="297">
        <f ca="1">IF($A485="",TODAY(),Transactions!G477)</f>
        <v>46216</v>
      </c>
      <c r="C485" t="str">
        <f>IF($A485="","",Transactions!A477)</f>
        <v/>
      </c>
      <c r="D485" s="30">
        <f>IF($A485="",0,Transactions!H477)</f>
        <v>0</v>
      </c>
      <c r="E485">
        <f>IF($A485="",1,IFERROR(INDEX(Prices[FX to SGD],MATCH($A485,Prices[Key],0)),1))</f>
        <v>1</v>
      </c>
      <c r="F485" s="30">
        <f>IF($A485="",0,(Transactions!M477-Transactions!L477+IF(Transactions!A477=2,Transactions!H477,0))*$E485)</f>
        <v>0</v>
      </c>
      <c r="G485" s="30">
        <f>IF($A485="",0,IF(Transactions!A477=2,Transactions!H477*$E485,0))</f>
        <v>0</v>
      </c>
    </row>
    <row r="486" spans="1:7" ht="15" customHeight="1" x14ac:dyDescent="0.15">
      <c r="A486" t="str">
        <f>IF(Transactions!J478="","",Transactions!J478)</f>
        <v/>
      </c>
      <c r="B486" s="297">
        <f ca="1">IF($A486="",TODAY(),Transactions!G478)</f>
        <v>46216</v>
      </c>
      <c r="C486" t="str">
        <f>IF($A486="","",Transactions!A478)</f>
        <v/>
      </c>
      <c r="D486" s="30">
        <f>IF($A486="",0,Transactions!H478)</f>
        <v>0</v>
      </c>
      <c r="E486">
        <f>IF($A486="",1,IFERROR(INDEX(Prices[FX to SGD],MATCH($A486,Prices[Key],0)),1))</f>
        <v>1</v>
      </c>
      <c r="F486" s="30">
        <f>IF($A486="",0,(Transactions!M478-Transactions!L478+IF(Transactions!A478=2,Transactions!H478,0))*$E486)</f>
        <v>0</v>
      </c>
      <c r="G486" s="30">
        <f>IF($A486="",0,IF(Transactions!A478=2,Transactions!H478*$E486,0))</f>
        <v>0</v>
      </c>
    </row>
    <row r="487" spans="1:7" ht="15" customHeight="1" x14ac:dyDescent="0.15">
      <c r="A487" t="str">
        <f>IF(Transactions!J479="","",Transactions!J479)</f>
        <v/>
      </c>
      <c r="B487" s="297">
        <f ca="1">IF($A487="",TODAY(),Transactions!G479)</f>
        <v>46216</v>
      </c>
      <c r="C487" t="str">
        <f>IF($A487="","",Transactions!A479)</f>
        <v/>
      </c>
      <c r="D487" s="30">
        <f>IF($A487="",0,Transactions!H479)</f>
        <v>0</v>
      </c>
      <c r="E487">
        <f>IF($A487="",1,IFERROR(INDEX(Prices[FX to SGD],MATCH($A487,Prices[Key],0)),1))</f>
        <v>1</v>
      </c>
      <c r="F487" s="30">
        <f>IF($A487="",0,(Transactions!M479-Transactions!L479+IF(Transactions!A479=2,Transactions!H479,0))*$E487)</f>
        <v>0</v>
      </c>
      <c r="G487" s="30">
        <f>IF($A487="",0,IF(Transactions!A479=2,Transactions!H479*$E487,0))</f>
        <v>0</v>
      </c>
    </row>
    <row r="488" spans="1:7" ht="15" customHeight="1" x14ac:dyDescent="0.15">
      <c r="A488" t="str">
        <f>IF(Transactions!J480="","",Transactions!J480)</f>
        <v/>
      </c>
      <c r="B488" s="297">
        <f ca="1">IF($A488="",TODAY(),Transactions!G480)</f>
        <v>46216</v>
      </c>
      <c r="C488" t="str">
        <f>IF($A488="","",Transactions!A480)</f>
        <v/>
      </c>
      <c r="D488" s="30">
        <f>IF($A488="",0,Transactions!H480)</f>
        <v>0</v>
      </c>
      <c r="E488">
        <f>IF($A488="",1,IFERROR(INDEX(Prices[FX to SGD],MATCH($A488,Prices[Key],0)),1))</f>
        <v>1</v>
      </c>
      <c r="F488" s="30">
        <f>IF($A488="",0,(Transactions!M480-Transactions!L480+IF(Transactions!A480=2,Transactions!H480,0))*$E488)</f>
        <v>0</v>
      </c>
      <c r="G488" s="30">
        <f>IF($A488="",0,IF(Transactions!A480=2,Transactions!H480*$E488,0))</f>
        <v>0</v>
      </c>
    </row>
    <row r="489" spans="1:7" ht="15" customHeight="1" x14ac:dyDescent="0.15">
      <c r="A489" t="str">
        <f>IF(Transactions!J481="","",Transactions!J481)</f>
        <v/>
      </c>
      <c r="B489" s="297">
        <f ca="1">IF($A489="",TODAY(),Transactions!G481)</f>
        <v>46216</v>
      </c>
      <c r="C489" t="str">
        <f>IF($A489="","",Transactions!A481)</f>
        <v/>
      </c>
      <c r="D489" s="30">
        <f>IF($A489="",0,Transactions!H481)</f>
        <v>0</v>
      </c>
      <c r="E489">
        <f>IF($A489="",1,IFERROR(INDEX(Prices[FX to SGD],MATCH($A489,Prices[Key],0)),1))</f>
        <v>1</v>
      </c>
      <c r="F489" s="30">
        <f>IF($A489="",0,(Transactions!M481-Transactions!L481+IF(Transactions!A481=2,Transactions!H481,0))*$E489)</f>
        <v>0</v>
      </c>
      <c r="G489" s="30">
        <f>IF($A489="",0,IF(Transactions!A481=2,Transactions!H481*$E489,0))</f>
        <v>0</v>
      </c>
    </row>
    <row r="490" spans="1:7" ht="15" customHeight="1" x14ac:dyDescent="0.15">
      <c r="A490" t="str">
        <f>IF(Transactions!J482="","",Transactions!J482)</f>
        <v/>
      </c>
      <c r="B490" s="297">
        <f ca="1">IF($A490="",TODAY(),Transactions!G482)</f>
        <v>46216</v>
      </c>
      <c r="C490" t="str">
        <f>IF($A490="","",Transactions!A482)</f>
        <v/>
      </c>
      <c r="D490" s="30">
        <f>IF($A490="",0,Transactions!H482)</f>
        <v>0</v>
      </c>
      <c r="E490">
        <f>IF($A490="",1,IFERROR(INDEX(Prices[FX to SGD],MATCH($A490,Prices[Key],0)),1))</f>
        <v>1</v>
      </c>
      <c r="F490" s="30">
        <f>IF($A490="",0,(Transactions!M482-Transactions!L482+IF(Transactions!A482=2,Transactions!H482,0))*$E490)</f>
        <v>0</v>
      </c>
      <c r="G490" s="30">
        <f>IF($A490="",0,IF(Transactions!A482=2,Transactions!H482*$E490,0))</f>
        <v>0</v>
      </c>
    </row>
    <row r="491" spans="1:7" ht="15" customHeight="1" x14ac:dyDescent="0.15">
      <c r="A491" t="str">
        <f>IF(Transactions!J483="","",Transactions!J483)</f>
        <v/>
      </c>
      <c r="B491" s="297">
        <f ca="1">IF($A491="",TODAY(),Transactions!G483)</f>
        <v>46216</v>
      </c>
      <c r="C491" t="str">
        <f>IF($A491="","",Transactions!A483)</f>
        <v/>
      </c>
      <c r="D491" s="30">
        <f>IF($A491="",0,Transactions!H483)</f>
        <v>0</v>
      </c>
      <c r="E491">
        <f>IF($A491="",1,IFERROR(INDEX(Prices[FX to SGD],MATCH($A491,Prices[Key],0)),1))</f>
        <v>1</v>
      </c>
      <c r="F491" s="30">
        <f>IF($A491="",0,(Transactions!M483-Transactions!L483+IF(Transactions!A483=2,Transactions!H483,0))*$E491)</f>
        <v>0</v>
      </c>
      <c r="G491" s="30">
        <f>IF($A491="",0,IF(Transactions!A483=2,Transactions!H483*$E491,0))</f>
        <v>0</v>
      </c>
    </row>
    <row r="492" spans="1:7" ht="15" customHeight="1" x14ac:dyDescent="0.15">
      <c r="A492" t="str">
        <f>IF(Transactions!J484="","",Transactions!J484)</f>
        <v/>
      </c>
      <c r="B492" s="297">
        <f ca="1">IF($A492="",TODAY(),Transactions!G484)</f>
        <v>46216</v>
      </c>
      <c r="C492" t="str">
        <f>IF($A492="","",Transactions!A484)</f>
        <v/>
      </c>
      <c r="D492" s="30">
        <f>IF($A492="",0,Transactions!H484)</f>
        <v>0</v>
      </c>
      <c r="E492">
        <f>IF($A492="",1,IFERROR(INDEX(Prices[FX to SGD],MATCH($A492,Prices[Key],0)),1))</f>
        <v>1</v>
      </c>
      <c r="F492" s="30">
        <f>IF($A492="",0,(Transactions!M484-Transactions!L484+IF(Transactions!A484=2,Transactions!H484,0))*$E492)</f>
        <v>0</v>
      </c>
      <c r="G492" s="30">
        <f>IF($A492="",0,IF(Transactions!A484=2,Transactions!H484*$E492,0))</f>
        <v>0</v>
      </c>
    </row>
    <row r="493" spans="1:7" ht="15" customHeight="1" x14ac:dyDescent="0.15">
      <c r="A493" t="str">
        <f>IF(Transactions!J485="","",Transactions!J485)</f>
        <v/>
      </c>
      <c r="B493" s="297">
        <f ca="1">IF($A493="",TODAY(),Transactions!G485)</f>
        <v>46216</v>
      </c>
      <c r="C493" t="str">
        <f>IF($A493="","",Transactions!A485)</f>
        <v/>
      </c>
      <c r="D493" s="30">
        <f>IF($A493="",0,Transactions!H485)</f>
        <v>0</v>
      </c>
      <c r="E493">
        <f>IF($A493="",1,IFERROR(INDEX(Prices[FX to SGD],MATCH($A493,Prices[Key],0)),1))</f>
        <v>1</v>
      </c>
      <c r="F493" s="30">
        <f>IF($A493="",0,(Transactions!M485-Transactions!L485+IF(Transactions!A485=2,Transactions!H485,0))*$E493)</f>
        <v>0</v>
      </c>
      <c r="G493" s="30">
        <f>IF($A493="",0,IF(Transactions!A485=2,Transactions!H485*$E493,0))</f>
        <v>0</v>
      </c>
    </row>
    <row r="494" spans="1:7" ht="15" customHeight="1" x14ac:dyDescent="0.15">
      <c r="A494" t="str">
        <f>IF(Transactions!J486="","",Transactions!J486)</f>
        <v/>
      </c>
      <c r="B494" s="297">
        <f ca="1">IF($A494="",TODAY(),Transactions!G486)</f>
        <v>46216</v>
      </c>
      <c r="C494" t="str">
        <f>IF($A494="","",Transactions!A486)</f>
        <v/>
      </c>
      <c r="D494" s="30">
        <f>IF($A494="",0,Transactions!H486)</f>
        <v>0</v>
      </c>
      <c r="E494">
        <f>IF($A494="",1,IFERROR(INDEX(Prices[FX to SGD],MATCH($A494,Prices[Key],0)),1))</f>
        <v>1</v>
      </c>
      <c r="F494" s="30">
        <f>IF($A494="",0,(Transactions!M486-Transactions!L486+IF(Transactions!A486=2,Transactions!H486,0))*$E494)</f>
        <v>0</v>
      </c>
      <c r="G494" s="30">
        <f>IF($A494="",0,IF(Transactions!A486=2,Transactions!H486*$E494,0))</f>
        <v>0</v>
      </c>
    </row>
    <row r="495" spans="1:7" ht="15" customHeight="1" x14ac:dyDescent="0.15">
      <c r="A495" t="str">
        <f>IF(Transactions!J487="","",Transactions!J487)</f>
        <v/>
      </c>
      <c r="B495" s="297">
        <f ca="1">IF($A495="",TODAY(),Transactions!G487)</f>
        <v>46216</v>
      </c>
      <c r="C495" t="str">
        <f>IF($A495="","",Transactions!A487)</f>
        <v/>
      </c>
      <c r="D495" s="30">
        <f>IF($A495="",0,Transactions!H487)</f>
        <v>0</v>
      </c>
      <c r="E495">
        <f>IF($A495="",1,IFERROR(INDEX(Prices[FX to SGD],MATCH($A495,Prices[Key],0)),1))</f>
        <v>1</v>
      </c>
      <c r="F495" s="30">
        <f>IF($A495="",0,(Transactions!M487-Transactions!L487+IF(Transactions!A487=2,Transactions!H487,0))*$E495)</f>
        <v>0</v>
      </c>
      <c r="G495" s="30">
        <f>IF($A495="",0,IF(Transactions!A487=2,Transactions!H487*$E495,0))</f>
        <v>0</v>
      </c>
    </row>
    <row r="496" spans="1:7" ht="15" customHeight="1" x14ac:dyDescent="0.15">
      <c r="A496" t="str">
        <f>IF(Transactions!J488="","",Transactions!J488)</f>
        <v/>
      </c>
      <c r="B496" s="297">
        <f ca="1">IF($A496="",TODAY(),Transactions!G488)</f>
        <v>46216</v>
      </c>
      <c r="C496" t="str">
        <f>IF($A496="","",Transactions!A488)</f>
        <v/>
      </c>
      <c r="D496" s="30">
        <f>IF($A496="",0,Transactions!H488)</f>
        <v>0</v>
      </c>
      <c r="E496">
        <f>IF($A496="",1,IFERROR(INDEX(Prices[FX to SGD],MATCH($A496,Prices[Key],0)),1))</f>
        <v>1</v>
      </c>
      <c r="F496" s="30">
        <f>IF($A496="",0,(Transactions!M488-Transactions!L488+IF(Transactions!A488=2,Transactions!H488,0))*$E496)</f>
        <v>0</v>
      </c>
      <c r="G496" s="30">
        <f>IF($A496="",0,IF(Transactions!A488=2,Transactions!H488*$E496,0))</f>
        <v>0</v>
      </c>
    </row>
    <row r="497" spans="1:7" ht="15" customHeight="1" x14ac:dyDescent="0.15">
      <c r="A497" t="str">
        <f>IF(Transactions!J489="","",Transactions!J489)</f>
        <v/>
      </c>
      <c r="B497" s="297">
        <f ca="1">IF($A497="",TODAY(),Transactions!G489)</f>
        <v>46216</v>
      </c>
      <c r="C497" t="str">
        <f>IF($A497="","",Transactions!A489)</f>
        <v/>
      </c>
      <c r="D497" s="30">
        <f>IF($A497="",0,Transactions!H489)</f>
        <v>0</v>
      </c>
      <c r="E497">
        <f>IF($A497="",1,IFERROR(INDEX(Prices[FX to SGD],MATCH($A497,Prices[Key],0)),1))</f>
        <v>1</v>
      </c>
      <c r="F497" s="30">
        <f>IF($A497="",0,(Transactions!M489-Transactions!L489+IF(Transactions!A489=2,Transactions!H489,0))*$E497)</f>
        <v>0</v>
      </c>
      <c r="G497" s="30">
        <f>IF($A497="",0,IF(Transactions!A489=2,Transactions!H489*$E497,0))</f>
        <v>0</v>
      </c>
    </row>
    <row r="498" spans="1:7" ht="15" customHeight="1" x14ac:dyDescent="0.15">
      <c r="A498" t="str">
        <f>IF(Transactions!J490="","",Transactions!J490)</f>
        <v/>
      </c>
      <c r="B498" s="297">
        <f ca="1">IF($A498="",TODAY(),Transactions!G490)</f>
        <v>46216</v>
      </c>
      <c r="C498" t="str">
        <f>IF($A498="","",Transactions!A490)</f>
        <v/>
      </c>
      <c r="D498" s="30">
        <f>IF($A498="",0,Transactions!H490)</f>
        <v>0</v>
      </c>
      <c r="E498">
        <f>IF($A498="",1,IFERROR(INDEX(Prices[FX to SGD],MATCH($A498,Prices[Key],0)),1))</f>
        <v>1</v>
      </c>
      <c r="F498" s="30">
        <f>IF($A498="",0,(Transactions!M490-Transactions!L490+IF(Transactions!A490=2,Transactions!H490,0))*$E498)</f>
        <v>0</v>
      </c>
      <c r="G498" s="30">
        <f>IF($A498="",0,IF(Transactions!A490=2,Transactions!H490*$E498,0))</f>
        <v>0</v>
      </c>
    </row>
    <row r="499" spans="1:7" ht="15" customHeight="1" x14ac:dyDescent="0.15">
      <c r="A499" t="str">
        <f>IF(Transactions!J491="","",Transactions!J491)</f>
        <v/>
      </c>
      <c r="B499" s="297">
        <f ca="1">IF($A499="",TODAY(),Transactions!G491)</f>
        <v>46216</v>
      </c>
      <c r="C499" t="str">
        <f>IF($A499="","",Transactions!A491)</f>
        <v/>
      </c>
      <c r="D499" s="30">
        <f>IF($A499="",0,Transactions!H491)</f>
        <v>0</v>
      </c>
      <c r="E499">
        <f>IF($A499="",1,IFERROR(INDEX(Prices[FX to SGD],MATCH($A499,Prices[Key],0)),1))</f>
        <v>1</v>
      </c>
      <c r="F499" s="30">
        <f>IF($A499="",0,(Transactions!M491-Transactions!L491+IF(Transactions!A491=2,Transactions!H491,0))*$E499)</f>
        <v>0</v>
      </c>
      <c r="G499" s="30">
        <f>IF($A499="",0,IF(Transactions!A491=2,Transactions!H491*$E499,0))</f>
        <v>0</v>
      </c>
    </row>
    <row r="500" spans="1:7" ht="15" customHeight="1" x14ac:dyDescent="0.15">
      <c r="A500" t="str">
        <f>IF(Transactions!J492="","",Transactions!J492)</f>
        <v/>
      </c>
      <c r="B500" s="297">
        <f ca="1">IF($A500="",TODAY(),Transactions!G492)</f>
        <v>46216</v>
      </c>
      <c r="C500" t="str">
        <f>IF($A500="","",Transactions!A492)</f>
        <v/>
      </c>
      <c r="D500" s="30">
        <f>IF($A500="",0,Transactions!H492)</f>
        <v>0</v>
      </c>
      <c r="E500">
        <f>IF($A500="",1,IFERROR(INDEX(Prices[FX to SGD],MATCH($A500,Prices[Key],0)),1))</f>
        <v>1</v>
      </c>
      <c r="F500" s="30">
        <f>IF($A500="",0,(Transactions!M492-Transactions!L492+IF(Transactions!A492=2,Transactions!H492,0))*$E500)</f>
        <v>0</v>
      </c>
      <c r="G500" s="30">
        <f>IF($A500="",0,IF(Transactions!A492=2,Transactions!H492*$E500,0))</f>
        <v>0</v>
      </c>
    </row>
    <row r="501" spans="1:7" ht="15" customHeight="1" x14ac:dyDescent="0.15">
      <c r="A501" t="str">
        <f>IF(Transactions!J493="","",Transactions!J493)</f>
        <v/>
      </c>
      <c r="B501" s="297">
        <f ca="1">IF($A501="",TODAY(),Transactions!G493)</f>
        <v>46216</v>
      </c>
      <c r="C501" t="str">
        <f>IF($A501="","",Transactions!A493)</f>
        <v/>
      </c>
      <c r="D501" s="30">
        <f>IF($A501="",0,Transactions!H493)</f>
        <v>0</v>
      </c>
      <c r="E501">
        <f>IF($A501="",1,IFERROR(INDEX(Prices[FX to SGD],MATCH($A501,Prices[Key],0)),1))</f>
        <v>1</v>
      </c>
      <c r="F501" s="30">
        <f>IF($A501="",0,(Transactions!M493-Transactions!L493+IF(Transactions!A493=2,Transactions!H493,0))*$E501)</f>
        <v>0</v>
      </c>
      <c r="G501" s="30">
        <f>IF($A501="",0,IF(Transactions!A493=2,Transactions!H493*$E501,0))</f>
        <v>0</v>
      </c>
    </row>
    <row r="502" spans="1:7" ht="15" customHeight="1" x14ac:dyDescent="0.15">
      <c r="A502" t="str">
        <f>IF(Transactions!J494="","",Transactions!J494)</f>
        <v/>
      </c>
      <c r="B502" s="297">
        <f ca="1">IF($A502="",TODAY(),Transactions!G494)</f>
        <v>46216</v>
      </c>
      <c r="C502" t="str">
        <f>IF($A502="","",Transactions!A494)</f>
        <v/>
      </c>
      <c r="D502" s="30">
        <f>IF($A502="",0,Transactions!H494)</f>
        <v>0</v>
      </c>
      <c r="E502">
        <f>IF($A502="",1,IFERROR(INDEX(Prices[FX to SGD],MATCH($A502,Prices[Key],0)),1))</f>
        <v>1</v>
      </c>
      <c r="F502" s="30">
        <f>IF($A502="",0,(Transactions!M494-Transactions!L494+IF(Transactions!A494=2,Transactions!H494,0))*$E502)</f>
        <v>0</v>
      </c>
      <c r="G502" s="30">
        <f>IF($A502="",0,IF(Transactions!A494=2,Transactions!H494*$E502,0))</f>
        <v>0</v>
      </c>
    </row>
    <row r="503" spans="1:7" ht="15" customHeight="1" x14ac:dyDescent="0.15">
      <c r="A503" t="str">
        <f>IF(Transactions!J495="","",Transactions!J495)</f>
        <v/>
      </c>
      <c r="B503" s="297">
        <f ca="1">IF($A503="",TODAY(),Transactions!G495)</f>
        <v>46216</v>
      </c>
      <c r="C503" t="str">
        <f>IF($A503="","",Transactions!A495)</f>
        <v/>
      </c>
      <c r="D503" s="30">
        <f>IF($A503="",0,Transactions!H495)</f>
        <v>0</v>
      </c>
      <c r="E503">
        <f>IF($A503="",1,IFERROR(INDEX(Prices[FX to SGD],MATCH($A503,Prices[Key],0)),1))</f>
        <v>1</v>
      </c>
      <c r="F503" s="30">
        <f>IF($A503="",0,(Transactions!M495-Transactions!L495+IF(Transactions!A495=2,Transactions!H495,0))*$E503)</f>
        <v>0</v>
      </c>
      <c r="G503" s="30">
        <f>IF($A503="",0,IF(Transactions!A495=2,Transactions!H495*$E503,0))</f>
        <v>0</v>
      </c>
    </row>
    <row r="504" spans="1:7" ht="15" customHeight="1" x14ac:dyDescent="0.15">
      <c r="A504" t="str">
        <f>IF(Transactions!J496="","",Transactions!J496)</f>
        <v/>
      </c>
      <c r="B504" s="297">
        <f ca="1">IF($A504="",TODAY(),Transactions!G496)</f>
        <v>46216</v>
      </c>
      <c r="C504" t="str">
        <f>IF($A504="","",Transactions!A496)</f>
        <v/>
      </c>
      <c r="D504" s="30">
        <f>IF($A504="",0,Transactions!H496)</f>
        <v>0</v>
      </c>
      <c r="E504">
        <f>IF($A504="",1,IFERROR(INDEX(Prices[FX to SGD],MATCH($A504,Prices[Key],0)),1))</f>
        <v>1</v>
      </c>
      <c r="F504" s="30">
        <f>IF($A504="",0,(Transactions!M496-Transactions!L496+IF(Transactions!A496=2,Transactions!H496,0))*$E504)</f>
        <v>0</v>
      </c>
      <c r="G504" s="30">
        <f>IF($A504="",0,IF(Transactions!A496=2,Transactions!H496*$E504,0))</f>
        <v>0</v>
      </c>
    </row>
    <row r="505" spans="1:7" ht="15" customHeight="1" x14ac:dyDescent="0.15">
      <c r="A505" t="str">
        <f>IF(Transactions!J497="","",Transactions!J497)</f>
        <v/>
      </c>
      <c r="B505" s="297">
        <f ca="1">IF($A505="",TODAY(),Transactions!G497)</f>
        <v>46216</v>
      </c>
      <c r="C505" t="str">
        <f>IF($A505="","",Transactions!A497)</f>
        <v/>
      </c>
      <c r="D505" s="30">
        <f>IF($A505="",0,Transactions!H497)</f>
        <v>0</v>
      </c>
      <c r="E505">
        <f>IF($A505="",1,IFERROR(INDEX(Prices[FX to SGD],MATCH($A505,Prices[Key],0)),1))</f>
        <v>1</v>
      </c>
      <c r="F505" s="30">
        <f>IF($A505="",0,(Transactions!M497-Transactions!L497+IF(Transactions!A497=2,Transactions!H497,0))*$E505)</f>
        <v>0</v>
      </c>
      <c r="G505" s="30">
        <f>IF($A505="",0,IF(Transactions!A497=2,Transactions!H497*$E505,0))</f>
        <v>0</v>
      </c>
    </row>
    <row r="506" spans="1:7" ht="15" customHeight="1" x14ac:dyDescent="0.15">
      <c r="A506" t="str">
        <f>IF(Transactions!J498="","",Transactions!J498)</f>
        <v/>
      </c>
      <c r="B506" s="297">
        <f ca="1">IF($A506="",TODAY(),Transactions!G498)</f>
        <v>46216</v>
      </c>
      <c r="C506" t="str">
        <f>IF($A506="","",Transactions!A498)</f>
        <v/>
      </c>
      <c r="D506" s="30">
        <f>IF($A506="",0,Transactions!H498)</f>
        <v>0</v>
      </c>
      <c r="E506">
        <f>IF($A506="",1,IFERROR(INDEX(Prices[FX to SGD],MATCH($A506,Prices[Key],0)),1))</f>
        <v>1</v>
      </c>
      <c r="F506" s="30">
        <f>IF($A506="",0,(Transactions!M498-Transactions!L498+IF(Transactions!A498=2,Transactions!H498,0))*$E506)</f>
        <v>0</v>
      </c>
      <c r="G506" s="30">
        <f>IF($A506="",0,IF(Transactions!A498=2,Transactions!H498*$E506,0))</f>
        <v>0</v>
      </c>
    </row>
    <row r="507" spans="1:7" ht="15" customHeight="1" x14ac:dyDescent="0.15">
      <c r="A507" t="str">
        <f>IF(Transactions!J499="","",Transactions!J499)</f>
        <v/>
      </c>
      <c r="B507" s="297">
        <f ca="1">IF($A507="",TODAY(),Transactions!G499)</f>
        <v>46216</v>
      </c>
      <c r="C507" t="str">
        <f>IF($A507="","",Transactions!A499)</f>
        <v/>
      </c>
      <c r="D507" s="30">
        <f>IF($A507="",0,Transactions!H499)</f>
        <v>0</v>
      </c>
      <c r="E507">
        <f>IF($A507="",1,IFERROR(INDEX(Prices[FX to SGD],MATCH($A507,Prices[Key],0)),1))</f>
        <v>1</v>
      </c>
      <c r="F507" s="30">
        <f>IF($A507="",0,(Transactions!M499-Transactions!L499+IF(Transactions!A499=2,Transactions!H499,0))*$E507)</f>
        <v>0</v>
      </c>
      <c r="G507" s="30">
        <f>IF($A507="",0,IF(Transactions!A499=2,Transactions!H499*$E507,0))</f>
        <v>0</v>
      </c>
    </row>
    <row r="508" spans="1:7" ht="15" customHeight="1" x14ac:dyDescent="0.15">
      <c r="A508" t="str">
        <f>IF(Transactions!J500="","",Transactions!J500)</f>
        <v/>
      </c>
      <c r="B508" s="297">
        <f ca="1">IF($A508="",TODAY(),Transactions!G500)</f>
        <v>46216</v>
      </c>
      <c r="C508" t="str">
        <f>IF($A508="","",Transactions!A500)</f>
        <v/>
      </c>
      <c r="D508" s="30">
        <f>IF($A508="",0,Transactions!H500)</f>
        <v>0</v>
      </c>
      <c r="E508">
        <f>IF($A508="",1,IFERROR(INDEX(Prices[FX to SGD],MATCH($A508,Prices[Key],0)),1))</f>
        <v>1</v>
      </c>
      <c r="F508" s="30">
        <f>IF($A508="",0,(Transactions!M500-Transactions!L500+IF(Transactions!A500=2,Transactions!H500,0))*$E508)</f>
        <v>0</v>
      </c>
      <c r="G508" s="30">
        <f>IF($A508="",0,IF(Transactions!A500=2,Transactions!H500*$E508,0))</f>
        <v>0</v>
      </c>
    </row>
    <row r="509" spans="1:7" ht="15" customHeight="1" x14ac:dyDescent="0.15">
      <c r="A509" t="str">
        <f>IF(Transactions!J501="","",Transactions!J501)</f>
        <v/>
      </c>
      <c r="B509" s="297">
        <f ca="1">IF($A509="",TODAY(),Transactions!G501)</f>
        <v>46216</v>
      </c>
      <c r="C509" t="str">
        <f>IF($A509="","",Transactions!A501)</f>
        <v/>
      </c>
      <c r="D509" s="30">
        <f>IF($A509="",0,Transactions!H501)</f>
        <v>0</v>
      </c>
      <c r="E509">
        <f>IF($A509="",1,IFERROR(INDEX(Prices[FX to SGD],MATCH($A509,Prices[Key],0)),1))</f>
        <v>1</v>
      </c>
      <c r="F509" s="30">
        <f>IF($A509="",0,(Transactions!M501-Transactions!L501+IF(Transactions!A501=2,Transactions!H501,0))*$E509)</f>
        <v>0</v>
      </c>
      <c r="G509" s="30">
        <f>IF($A509="",0,IF(Transactions!A501=2,Transactions!H501*$E509,0))</f>
        <v>0</v>
      </c>
    </row>
    <row r="510" spans="1:7" ht="15" customHeight="1" x14ac:dyDescent="0.15">
      <c r="A510" t="str">
        <f>IF(Transactions!J502="","",Transactions!J502)</f>
        <v/>
      </c>
      <c r="B510" s="297">
        <f ca="1">IF($A510="",TODAY(),Transactions!G502)</f>
        <v>46216</v>
      </c>
      <c r="C510" t="str">
        <f>IF($A510="","",Transactions!A502)</f>
        <v/>
      </c>
      <c r="D510" s="30">
        <f>IF($A510="",0,Transactions!H502)</f>
        <v>0</v>
      </c>
      <c r="E510">
        <f>IF($A510="",1,IFERROR(INDEX(Prices[FX to SGD],MATCH($A510,Prices[Key],0)),1))</f>
        <v>1</v>
      </c>
      <c r="F510" s="30">
        <f>IF($A510="",0,(Transactions!M502-Transactions!L502+IF(Transactions!A502=2,Transactions!H502,0))*$E510)</f>
        <v>0</v>
      </c>
      <c r="G510" s="30">
        <f>IF($A510="",0,IF(Transactions!A502=2,Transactions!H502*$E510,0))</f>
        <v>0</v>
      </c>
    </row>
    <row r="511" spans="1:7" ht="15" customHeight="1" x14ac:dyDescent="0.15">
      <c r="A511" t="str">
        <f>IF(Transactions!J503="","",Transactions!J503)</f>
        <v/>
      </c>
      <c r="B511" s="297">
        <f ca="1">IF($A511="",TODAY(),Transactions!G503)</f>
        <v>46216</v>
      </c>
      <c r="C511" t="str">
        <f>IF($A511="","",Transactions!A503)</f>
        <v/>
      </c>
      <c r="D511" s="30">
        <f>IF($A511="",0,Transactions!H503)</f>
        <v>0</v>
      </c>
      <c r="E511">
        <f>IF($A511="",1,IFERROR(INDEX(Prices[FX to SGD],MATCH($A511,Prices[Key],0)),1))</f>
        <v>1</v>
      </c>
      <c r="F511" s="30">
        <f>IF($A511="",0,(Transactions!M503-Transactions!L503+IF(Transactions!A503=2,Transactions!H503,0))*$E511)</f>
        <v>0</v>
      </c>
      <c r="G511" s="30">
        <f>IF($A511="",0,IF(Transactions!A503=2,Transactions!H503*$E511,0))</f>
        <v>0</v>
      </c>
    </row>
    <row r="512" spans="1:7" ht="15" customHeight="1" x14ac:dyDescent="0.15">
      <c r="A512" t="str">
        <f>IF(Transactions!J504="","",Transactions!J504)</f>
        <v/>
      </c>
      <c r="B512" s="297">
        <f ca="1">IF($A512="",TODAY(),Transactions!G504)</f>
        <v>46216</v>
      </c>
      <c r="C512" t="str">
        <f>IF($A512="","",Transactions!A504)</f>
        <v/>
      </c>
      <c r="D512" s="30">
        <f>IF($A512="",0,Transactions!H504)</f>
        <v>0</v>
      </c>
      <c r="E512">
        <f>IF($A512="",1,IFERROR(INDEX(Prices[FX to SGD],MATCH($A512,Prices[Key],0)),1))</f>
        <v>1</v>
      </c>
      <c r="F512" s="30">
        <f>IF($A512="",0,(Transactions!M504-Transactions!L504+IF(Transactions!A504=2,Transactions!H504,0))*$E512)</f>
        <v>0</v>
      </c>
      <c r="G512" s="30">
        <f>IF($A512="",0,IF(Transactions!A504=2,Transactions!H504*$E512,0))</f>
        <v>0</v>
      </c>
    </row>
    <row r="513" spans="1:7" ht="15" customHeight="1" x14ac:dyDescent="0.15">
      <c r="A513" t="str">
        <f>IF(Transactions!J505="","",Transactions!J505)</f>
        <v/>
      </c>
      <c r="B513" s="297">
        <f ca="1">IF($A513="",TODAY(),Transactions!G505)</f>
        <v>46216</v>
      </c>
      <c r="C513" t="str">
        <f>IF($A513="","",Transactions!A505)</f>
        <v/>
      </c>
      <c r="D513" s="30">
        <f>IF($A513="",0,Transactions!H505)</f>
        <v>0</v>
      </c>
      <c r="E513">
        <f>IF($A513="",1,IFERROR(INDEX(Prices[FX to SGD],MATCH($A513,Prices[Key],0)),1))</f>
        <v>1</v>
      </c>
      <c r="F513" s="30">
        <f>IF($A513="",0,(Transactions!M505-Transactions!L505+IF(Transactions!A505=2,Transactions!H505,0))*$E513)</f>
        <v>0</v>
      </c>
      <c r="G513" s="30">
        <f>IF($A513="",0,IF(Transactions!A505=2,Transactions!H505*$E513,0))</f>
        <v>0</v>
      </c>
    </row>
    <row r="514" spans="1:7" ht="15" customHeight="1" x14ac:dyDescent="0.15">
      <c r="A514" t="str">
        <f>IF(Transactions!J506="","",Transactions!J506)</f>
        <v/>
      </c>
      <c r="B514" s="297">
        <f ca="1">IF($A514="",TODAY(),Transactions!G506)</f>
        <v>46216</v>
      </c>
      <c r="C514" t="str">
        <f>IF($A514="","",Transactions!A506)</f>
        <v/>
      </c>
      <c r="D514" s="30">
        <f>IF($A514="",0,Transactions!H506)</f>
        <v>0</v>
      </c>
      <c r="E514">
        <f>IF($A514="",1,IFERROR(INDEX(Prices[FX to SGD],MATCH($A514,Prices[Key],0)),1))</f>
        <v>1</v>
      </c>
      <c r="F514" s="30">
        <f>IF($A514="",0,(Transactions!M506-Transactions!L506+IF(Transactions!A506=2,Transactions!H506,0))*$E514)</f>
        <v>0</v>
      </c>
      <c r="G514" s="30">
        <f>IF($A514="",0,IF(Transactions!A506=2,Transactions!H506*$E514,0))</f>
        <v>0</v>
      </c>
    </row>
    <row r="515" spans="1:7" ht="15" customHeight="1" x14ac:dyDescent="0.15">
      <c r="A515" t="str">
        <f>IF(Transactions!J507="","",Transactions!J507)</f>
        <v/>
      </c>
      <c r="B515" s="297">
        <f ca="1">IF($A515="",TODAY(),Transactions!G507)</f>
        <v>46216</v>
      </c>
      <c r="C515" t="str">
        <f>IF($A515="","",Transactions!A507)</f>
        <v/>
      </c>
      <c r="D515" s="30">
        <f>IF($A515="",0,Transactions!H507)</f>
        <v>0</v>
      </c>
      <c r="E515">
        <f>IF($A515="",1,IFERROR(INDEX(Prices[FX to SGD],MATCH($A515,Prices[Key],0)),1))</f>
        <v>1</v>
      </c>
      <c r="F515" s="30">
        <f>IF($A515="",0,(Transactions!M507-Transactions!L507+IF(Transactions!A507=2,Transactions!H507,0))*$E515)</f>
        <v>0</v>
      </c>
      <c r="G515" s="30">
        <f>IF($A515="",0,IF(Transactions!A507=2,Transactions!H507*$E515,0))</f>
        <v>0</v>
      </c>
    </row>
    <row r="516" spans="1:7" ht="15" customHeight="1" x14ac:dyDescent="0.15">
      <c r="A516" t="str">
        <f>IF(Transactions!J508="","",Transactions!J508)</f>
        <v/>
      </c>
      <c r="B516" s="297">
        <f ca="1">IF($A516="",TODAY(),Transactions!G508)</f>
        <v>46216</v>
      </c>
      <c r="C516" t="str">
        <f>IF($A516="","",Transactions!A508)</f>
        <v/>
      </c>
      <c r="D516" s="30">
        <f>IF($A516="",0,Transactions!H508)</f>
        <v>0</v>
      </c>
      <c r="E516">
        <f>IF($A516="",1,IFERROR(INDEX(Prices[FX to SGD],MATCH($A516,Prices[Key],0)),1))</f>
        <v>1</v>
      </c>
      <c r="F516" s="30">
        <f>IF($A516="",0,(Transactions!M508-Transactions!L508+IF(Transactions!A508=2,Transactions!H508,0))*$E516)</f>
        <v>0</v>
      </c>
      <c r="G516" s="30">
        <f>IF($A516="",0,IF(Transactions!A508=2,Transactions!H508*$E516,0))</f>
        <v>0</v>
      </c>
    </row>
    <row r="517" spans="1:7" ht="15" customHeight="1" x14ac:dyDescent="0.15">
      <c r="A517" t="str">
        <f>IF(Transactions!J509="","",Transactions!J509)</f>
        <v/>
      </c>
      <c r="B517" s="297">
        <f ca="1">IF($A517="",TODAY(),Transactions!G509)</f>
        <v>46216</v>
      </c>
      <c r="C517" t="str">
        <f>IF($A517="","",Transactions!A509)</f>
        <v/>
      </c>
      <c r="D517" s="30">
        <f>IF($A517="",0,Transactions!H509)</f>
        <v>0</v>
      </c>
      <c r="E517">
        <f>IF($A517="",1,IFERROR(INDEX(Prices[FX to SGD],MATCH($A517,Prices[Key],0)),1))</f>
        <v>1</v>
      </c>
      <c r="F517" s="30">
        <f>IF($A517="",0,(Transactions!M509-Transactions!L509+IF(Transactions!A509=2,Transactions!H509,0))*$E517)</f>
        <v>0</v>
      </c>
      <c r="G517" s="30">
        <f>IF($A517="",0,IF(Transactions!A509=2,Transactions!H509*$E517,0))</f>
        <v>0</v>
      </c>
    </row>
    <row r="518" spans="1:7" ht="15" customHeight="1" x14ac:dyDescent="0.15">
      <c r="A518" t="str">
        <f>IF(Transactions!J510="","",Transactions!J510)</f>
        <v/>
      </c>
      <c r="B518" s="297">
        <f ca="1">IF($A518="",TODAY(),Transactions!G510)</f>
        <v>46216</v>
      </c>
      <c r="C518" t="str">
        <f>IF($A518="","",Transactions!A510)</f>
        <v/>
      </c>
      <c r="D518" s="30">
        <f>IF($A518="",0,Transactions!H510)</f>
        <v>0</v>
      </c>
      <c r="E518">
        <f>IF($A518="",1,IFERROR(INDEX(Prices[FX to SGD],MATCH($A518,Prices[Key],0)),1))</f>
        <v>1</v>
      </c>
      <c r="F518" s="30">
        <f>IF($A518="",0,(Transactions!M510-Transactions!L510+IF(Transactions!A510=2,Transactions!H510,0))*$E518)</f>
        <v>0</v>
      </c>
      <c r="G518" s="30">
        <f>IF($A518="",0,IF(Transactions!A510=2,Transactions!H510*$E518,0))</f>
        <v>0</v>
      </c>
    </row>
    <row r="519" spans="1:7" ht="15" customHeight="1" x14ac:dyDescent="0.15">
      <c r="A519" t="str">
        <f>IF(Transactions!J511="","",Transactions!J511)</f>
        <v/>
      </c>
      <c r="B519" s="297">
        <f ca="1">IF($A519="",TODAY(),Transactions!G511)</f>
        <v>46216</v>
      </c>
      <c r="C519" t="str">
        <f>IF($A519="","",Transactions!A511)</f>
        <v/>
      </c>
      <c r="D519" s="30">
        <f>IF($A519="",0,Transactions!H511)</f>
        <v>0</v>
      </c>
      <c r="E519">
        <f>IF($A519="",1,IFERROR(INDEX(Prices[FX to SGD],MATCH($A519,Prices[Key],0)),1))</f>
        <v>1</v>
      </c>
      <c r="F519" s="30">
        <f>IF($A519="",0,(Transactions!M511-Transactions!L511+IF(Transactions!A511=2,Transactions!H511,0))*$E519)</f>
        <v>0</v>
      </c>
      <c r="G519" s="30">
        <f>IF($A519="",0,IF(Transactions!A511=2,Transactions!H511*$E519,0))</f>
        <v>0</v>
      </c>
    </row>
    <row r="520" spans="1:7" ht="15" customHeight="1" x14ac:dyDescent="0.15">
      <c r="A520" t="str">
        <f>IF(Transactions!J512="","",Transactions!J512)</f>
        <v/>
      </c>
      <c r="B520" s="297">
        <f ca="1">IF($A520="",TODAY(),Transactions!G512)</f>
        <v>46216</v>
      </c>
      <c r="C520" t="str">
        <f>IF($A520="","",Transactions!A512)</f>
        <v/>
      </c>
      <c r="D520" s="30">
        <f>IF($A520="",0,Transactions!H512)</f>
        <v>0</v>
      </c>
      <c r="E520">
        <f>IF($A520="",1,IFERROR(INDEX(Prices[FX to SGD],MATCH($A520,Prices[Key],0)),1))</f>
        <v>1</v>
      </c>
      <c r="F520" s="30">
        <f>IF($A520="",0,(Transactions!M512-Transactions!L512+IF(Transactions!A512=2,Transactions!H512,0))*$E520)</f>
        <v>0</v>
      </c>
      <c r="G520" s="30">
        <f>IF($A520="",0,IF(Transactions!A512=2,Transactions!H512*$E520,0))</f>
        <v>0</v>
      </c>
    </row>
    <row r="521" spans="1:7" ht="15" customHeight="1" x14ac:dyDescent="0.15">
      <c r="A521" t="str">
        <f>IF(Transactions!J513="","",Transactions!J513)</f>
        <v/>
      </c>
      <c r="B521" s="297">
        <f ca="1">IF($A521="",TODAY(),Transactions!G513)</f>
        <v>46216</v>
      </c>
      <c r="C521" t="str">
        <f>IF($A521="","",Transactions!A513)</f>
        <v/>
      </c>
      <c r="D521" s="30">
        <f>IF($A521="",0,Transactions!H513)</f>
        <v>0</v>
      </c>
      <c r="E521">
        <f>IF($A521="",1,IFERROR(INDEX(Prices[FX to SGD],MATCH($A521,Prices[Key],0)),1))</f>
        <v>1</v>
      </c>
      <c r="F521" s="30">
        <f>IF($A521="",0,(Transactions!M513-Transactions!L513+IF(Transactions!A513=2,Transactions!H513,0))*$E521)</f>
        <v>0</v>
      </c>
      <c r="G521" s="30">
        <f>IF($A521="",0,IF(Transactions!A513=2,Transactions!H513*$E521,0))</f>
        <v>0</v>
      </c>
    </row>
    <row r="522" spans="1:7" ht="15" customHeight="1" x14ac:dyDescent="0.15">
      <c r="A522" t="str">
        <f>IF(Transactions!J514="","",Transactions!J514)</f>
        <v/>
      </c>
      <c r="B522" s="297">
        <f ca="1">IF($A522="",TODAY(),Transactions!G514)</f>
        <v>46216</v>
      </c>
      <c r="C522" t="str">
        <f>IF($A522="","",Transactions!A514)</f>
        <v/>
      </c>
      <c r="D522" s="30">
        <f>IF($A522="",0,Transactions!H514)</f>
        <v>0</v>
      </c>
      <c r="E522">
        <f>IF($A522="",1,IFERROR(INDEX(Prices[FX to SGD],MATCH($A522,Prices[Key],0)),1))</f>
        <v>1</v>
      </c>
      <c r="F522" s="30">
        <f>IF($A522="",0,(Transactions!M514-Transactions!L514+IF(Transactions!A514=2,Transactions!H514,0))*$E522)</f>
        <v>0</v>
      </c>
      <c r="G522" s="30">
        <f>IF($A522="",0,IF(Transactions!A514=2,Transactions!H514*$E522,0))</f>
        <v>0</v>
      </c>
    </row>
    <row r="523" spans="1:7" ht="15" customHeight="1" x14ac:dyDescent="0.15">
      <c r="A523" t="str">
        <f>IF(Transactions!J515="","",Transactions!J515)</f>
        <v/>
      </c>
      <c r="B523" s="297">
        <f ca="1">IF($A523="",TODAY(),Transactions!G515)</f>
        <v>46216</v>
      </c>
      <c r="C523" t="str">
        <f>IF($A523="","",Transactions!A515)</f>
        <v/>
      </c>
      <c r="D523" s="30">
        <f>IF($A523="",0,Transactions!H515)</f>
        <v>0</v>
      </c>
      <c r="E523">
        <f>IF($A523="",1,IFERROR(INDEX(Prices[FX to SGD],MATCH($A523,Prices[Key],0)),1))</f>
        <v>1</v>
      </c>
      <c r="F523" s="30">
        <f>IF($A523="",0,(Transactions!M515-Transactions!L515+IF(Transactions!A515=2,Transactions!H515,0))*$E523)</f>
        <v>0</v>
      </c>
      <c r="G523" s="30">
        <f>IF($A523="",0,IF(Transactions!A515=2,Transactions!H515*$E523,0))</f>
        <v>0</v>
      </c>
    </row>
    <row r="524" spans="1:7" ht="15" customHeight="1" x14ac:dyDescent="0.15">
      <c r="A524" t="str">
        <f>IF(Transactions!J516="","",Transactions!J516)</f>
        <v/>
      </c>
      <c r="B524" s="297">
        <f ca="1">IF($A524="",TODAY(),Transactions!G516)</f>
        <v>46216</v>
      </c>
      <c r="C524" t="str">
        <f>IF($A524="","",Transactions!A516)</f>
        <v/>
      </c>
      <c r="D524" s="30">
        <f>IF($A524="",0,Transactions!H516)</f>
        <v>0</v>
      </c>
      <c r="E524">
        <f>IF($A524="",1,IFERROR(INDEX(Prices[FX to SGD],MATCH($A524,Prices[Key],0)),1))</f>
        <v>1</v>
      </c>
      <c r="F524" s="30">
        <f>IF($A524="",0,(Transactions!M516-Transactions!L516+IF(Transactions!A516=2,Transactions!H516,0))*$E524)</f>
        <v>0</v>
      </c>
      <c r="G524" s="30">
        <f>IF($A524="",0,IF(Transactions!A516=2,Transactions!H516*$E524,0))</f>
        <v>0</v>
      </c>
    </row>
    <row r="525" spans="1:7" ht="15" customHeight="1" x14ac:dyDescent="0.15">
      <c r="A525" t="str">
        <f>IF(Transactions!J517="","",Transactions!J517)</f>
        <v/>
      </c>
      <c r="B525" s="297">
        <f ca="1">IF($A525="",TODAY(),Transactions!G517)</f>
        <v>46216</v>
      </c>
      <c r="C525" t="str">
        <f>IF($A525="","",Transactions!A517)</f>
        <v/>
      </c>
      <c r="D525" s="30">
        <f>IF($A525="",0,Transactions!H517)</f>
        <v>0</v>
      </c>
      <c r="E525">
        <f>IF($A525="",1,IFERROR(INDEX(Prices[FX to SGD],MATCH($A525,Prices[Key],0)),1))</f>
        <v>1</v>
      </c>
      <c r="F525" s="30">
        <f>IF($A525="",0,(Transactions!M517-Transactions!L517+IF(Transactions!A517=2,Transactions!H517,0))*$E525)</f>
        <v>0</v>
      </c>
      <c r="G525" s="30">
        <f>IF($A525="",0,IF(Transactions!A517=2,Transactions!H517*$E525,0))</f>
        <v>0</v>
      </c>
    </row>
    <row r="526" spans="1:7" ht="15" customHeight="1" x14ac:dyDescent="0.15">
      <c r="A526" t="str">
        <f>IF(Transactions!J518="","",Transactions!J518)</f>
        <v/>
      </c>
      <c r="B526" s="297">
        <f ca="1">IF($A526="",TODAY(),Transactions!G518)</f>
        <v>46216</v>
      </c>
      <c r="C526" t="str">
        <f>IF($A526="","",Transactions!A518)</f>
        <v/>
      </c>
      <c r="D526" s="30">
        <f>IF($A526="",0,Transactions!H518)</f>
        <v>0</v>
      </c>
      <c r="E526">
        <f>IF($A526="",1,IFERROR(INDEX(Prices[FX to SGD],MATCH($A526,Prices[Key],0)),1))</f>
        <v>1</v>
      </c>
      <c r="F526" s="30">
        <f>IF($A526="",0,(Transactions!M518-Transactions!L518+IF(Transactions!A518=2,Transactions!H518,0))*$E526)</f>
        <v>0</v>
      </c>
      <c r="G526" s="30">
        <f>IF($A526="",0,IF(Transactions!A518=2,Transactions!H518*$E526,0))</f>
        <v>0</v>
      </c>
    </row>
    <row r="527" spans="1:7" ht="15" customHeight="1" x14ac:dyDescent="0.15">
      <c r="A527" t="str">
        <f>IF(Transactions!J519="","",Transactions!J519)</f>
        <v/>
      </c>
      <c r="B527" s="297">
        <f ca="1">IF($A527="",TODAY(),Transactions!G519)</f>
        <v>46216</v>
      </c>
      <c r="C527" t="str">
        <f>IF($A527="","",Transactions!A519)</f>
        <v/>
      </c>
      <c r="D527" s="30">
        <f>IF($A527="",0,Transactions!H519)</f>
        <v>0</v>
      </c>
      <c r="E527">
        <f>IF($A527="",1,IFERROR(INDEX(Prices[FX to SGD],MATCH($A527,Prices[Key],0)),1))</f>
        <v>1</v>
      </c>
      <c r="F527" s="30">
        <f>IF($A527="",0,(Transactions!M519-Transactions!L519+IF(Transactions!A519=2,Transactions!H519,0))*$E527)</f>
        <v>0</v>
      </c>
      <c r="G527" s="30">
        <f>IF($A527="",0,IF(Transactions!A519=2,Transactions!H519*$E527,0))</f>
        <v>0</v>
      </c>
    </row>
    <row r="528" spans="1:7" ht="15" customHeight="1" x14ac:dyDescent="0.15">
      <c r="A528" t="str">
        <f>IF(Transactions!J520="","",Transactions!J520)</f>
        <v/>
      </c>
      <c r="B528" s="297">
        <f ca="1">IF($A528="",TODAY(),Transactions!G520)</f>
        <v>46216</v>
      </c>
      <c r="C528" t="str">
        <f>IF($A528="","",Transactions!A520)</f>
        <v/>
      </c>
      <c r="D528" s="30">
        <f>IF($A528="",0,Transactions!H520)</f>
        <v>0</v>
      </c>
      <c r="E528">
        <f>IF($A528="",1,IFERROR(INDEX(Prices[FX to SGD],MATCH($A528,Prices[Key],0)),1))</f>
        <v>1</v>
      </c>
      <c r="F528" s="30">
        <f>IF($A528="",0,(Transactions!M520-Transactions!L520+IF(Transactions!A520=2,Transactions!H520,0))*$E528)</f>
        <v>0</v>
      </c>
      <c r="G528" s="30">
        <f>IF($A528="",0,IF(Transactions!A520=2,Transactions!H520*$E528,0))</f>
        <v>0</v>
      </c>
    </row>
    <row r="529" spans="1:7" ht="15" customHeight="1" x14ac:dyDescent="0.15">
      <c r="A529" t="str">
        <f>IF(Transactions!J521="","",Transactions!J521)</f>
        <v/>
      </c>
      <c r="B529" s="297">
        <f ca="1">IF($A529="",TODAY(),Transactions!G521)</f>
        <v>46216</v>
      </c>
      <c r="C529" t="str">
        <f>IF($A529="","",Transactions!A521)</f>
        <v/>
      </c>
      <c r="D529" s="30">
        <f>IF($A529="",0,Transactions!H521)</f>
        <v>0</v>
      </c>
      <c r="E529">
        <f>IF($A529="",1,IFERROR(INDEX(Prices[FX to SGD],MATCH($A529,Prices[Key],0)),1))</f>
        <v>1</v>
      </c>
      <c r="F529" s="30">
        <f>IF($A529="",0,(Transactions!M521-Transactions!L521+IF(Transactions!A521=2,Transactions!H521,0))*$E529)</f>
        <v>0</v>
      </c>
      <c r="G529" s="30">
        <f>IF($A529="",0,IF(Transactions!A521=2,Transactions!H521*$E529,0))</f>
        <v>0</v>
      </c>
    </row>
    <row r="530" spans="1:7" ht="15" customHeight="1" x14ac:dyDescent="0.15">
      <c r="A530" t="str">
        <f>IF(Transactions!J522="","",Transactions!J522)</f>
        <v/>
      </c>
      <c r="B530" s="297">
        <f ca="1">IF($A530="",TODAY(),Transactions!G522)</f>
        <v>46216</v>
      </c>
      <c r="C530" t="str">
        <f>IF($A530="","",Transactions!A522)</f>
        <v/>
      </c>
      <c r="D530" s="30">
        <f>IF($A530="",0,Transactions!H522)</f>
        <v>0</v>
      </c>
      <c r="E530">
        <f>IF($A530="",1,IFERROR(INDEX(Prices[FX to SGD],MATCH($A530,Prices[Key],0)),1))</f>
        <v>1</v>
      </c>
      <c r="F530" s="30">
        <f>IF($A530="",0,(Transactions!M522-Transactions!L522+IF(Transactions!A522=2,Transactions!H522,0))*$E530)</f>
        <v>0</v>
      </c>
      <c r="G530" s="30">
        <f>IF($A530="",0,IF(Transactions!A522=2,Transactions!H522*$E530,0))</f>
        <v>0</v>
      </c>
    </row>
    <row r="531" spans="1:7" ht="15" customHeight="1" x14ac:dyDescent="0.15">
      <c r="A531" t="str">
        <f>IF(Transactions!J523="","",Transactions!J523)</f>
        <v/>
      </c>
      <c r="B531" s="297">
        <f ca="1">IF($A531="",TODAY(),Transactions!G523)</f>
        <v>46216</v>
      </c>
      <c r="C531" t="str">
        <f>IF($A531="","",Transactions!A523)</f>
        <v/>
      </c>
      <c r="D531" s="30">
        <f>IF($A531="",0,Transactions!H523)</f>
        <v>0</v>
      </c>
      <c r="E531">
        <f>IF($A531="",1,IFERROR(INDEX(Prices[FX to SGD],MATCH($A531,Prices[Key],0)),1))</f>
        <v>1</v>
      </c>
      <c r="F531" s="30">
        <f>IF($A531="",0,(Transactions!M523-Transactions!L523+IF(Transactions!A523=2,Transactions!H523,0))*$E531)</f>
        <v>0</v>
      </c>
      <c r="G531" s="30">
        <f>IF($A531="",0,IF(Transactions!A523=2,Transactions!H523*$E531,0))</f>
        <v>0</v>
      </c>
    </row>
    <row r="532" spans="1:7" ht="15" customHeight="1" x14ac:dyDescent="0.15">
      <c r="A532" t="str">
        <f>IF(Transactions!J524="","",Transactions!J524)</f>
        <v/>
      </c>
      <c r="B532" s="297">
        <f ca="1">IF($A532="",TODAY(),Transactions!G524)</f>
        <v>46216</v>
      </c>
      <c r="C532" t="str">
        <f>IF($A532="","",Transactions!A524)</f>
        <v/>
      </c>
      <c r="D532" s="30">
        <f>IF($A532="",0,Transactions!H524)</f>
        <v>0</v>
      </c>
      <c r="E532">
        <f>IF($A532="",1,IFERROR(INDEX(Prices[FX to SGD],MATCH($A532,Prices[Key],0)),1))</f>
        <v>1</v>
      </c>
      <c r="F532" s="30">
        <f>IF($A532="",0,(Transactions!M524-Transactions!L524+IF(Transactions!A524=2,Transactions!H524,0))*$E532)</f>
        <v>0</v>
      </c>
      <c r="G532" s="30">
        <f>IF($A532="",0,IF(Transactions!A524=2,Transactions!H524*$E532,0))</f>
        <v>0</v>
      </c>
    </row>
    <row r="533" spans="1:7" ht="15" customHeight="1" x14ac:dyDescent="0.15">
      <c r="A533" t="str">
        <f>IF(Transactions!J525="","",Transactions!J525)</f>
        <v/>
      </c>
      <c r="B533" s="297">
        <f ca="1">IF($A533="",TODAY(),Transactions!G525)</f>
        <v>46216</v>
      </c>
      <c r="C533" t="str">
        <f>IF($A533="","",Transactions!A525)</f>
        <v/>
      </c>
      <c r="D533" s="30">
        <f>IF($A533="",0,Transactions!H525)</f>
        <v>0</v>
      </c>
      <c r="E533">
        <f>IF($A533="",1,IFERROR(INDEX(Prices[FX to SGD],MATCH($A533,Prices[Key],0)),1))</f>
        <v>1</v>
      </c>
      <c r="F533" s="30">
        <f>IF($A533="",0,(Transactions!M525-Transactions!L525+IF(Transactions!A525=2,Transactions!H525,0))*$E533)</f>
        <v>0</v>
      </c>
      <c r="G533" s="30">
        <f>IF($A533="",0,IF(Transactions!A525=2,Transactions!H525*$E533,0))</f>
        <v>0</v>
      </c>
    </row>
    <row r="534" spans="1:7" ht="15" customHeight="1" x14ac:dyDescent="0.15">
      <c r="A534" t="str">
        <f>IF(Transactions!J526="","",Transactions!J526)</f>
        <v/>
      </c>
      <c r="B534" s="297">
        <f ca="1">IF($A534="",TODAY(),Transactions!G526)</f>
        <v>46216</v>
      </c>
      <c r="C534" t="str">
        <f>IF($A534="","",Transactions!A526)</f>
        <v/>
      </c>
      <c r="D534" s="30">
        <f>IF($A534="",0,Transactions!H526)</f>
        <v>0</v>
      </c>
      <c r="E534">
        <f>IF($A534="",1,IFERROR(INDEX(Prices[FX to SGD],MATCH($A534,Prices[Key],0)),1))</f>
        <v>1</v>
      </c>
      <c r="F534" s="30">
        <f>IF($A534="",0,(Transactions!M526-Transactions!L526+IF(Transactions!A526=2,Transactions!H526,0))*$E534)</f>
        <v>0</v>
      </c>
      <c r="G534" s="30">
        <f>IF($A534="",0,IF(Transactions!A526=2,Transactions!H526*$E534,0))</f>
        <v>0</v>
      </c>
    </row>
    <row r="535" spans="1:7" ht="15" customHeight="1" x14ac:dyDescent="0.15">
      <c r="A535" t="str">
        <f>IF(Transactions!J527="","",Transactions!J527)</f>
        <v/>
      </c>
      <c r="B535" s="297">
        <f ca="1">IF($A535="",TODAY(),Transactions!G527)</f>
        <v>46216</v>
      </c>
      <c r="C535" t="str">
        <f>IF($A535="","",Transactions!A527)</f>
        <v/>
      </c>
      <c r="D535" s="30">
        <f>IF($A535="",0,Transactions!H527)</f>
        <v>0</v>
      </c>
      <c r="E535">
        <f>IF($A535="",1,IFERROR(INDEX(Prices[FX to SGD],MATCH($A535,Prices[Key],0)),1))</f>
        <v>1</v>
      </c>
      <c r="F535" s="30">
        <f>IF($A535="",0,(Transactions!M527-Transactions!L527+IF(Transactions!A527=2,Transactions!H527,0))*$E535)</f>
        <v>0</v>
      </c>
      <c r="G535" s="30">
        <f>IF($A535="",0,IF(Transactions!A527=2,Transactions!H527*$E535,0))</f>
        <v>0</v>
      </c>
    </row>
    <row r="536" spans="1:7" ht="15" customHeight="1" x14ac:dyDescent="0.15">
      <c r="A536" t="str">
        <f>IF(Transactions!J528="","",Transactions!J528)</f>
        <v/>
      </c>
      <c r="B536" s="297">
        <f ca="1">IF($A536="",TODAY(),Transactions!G528)</f>
        <v>46216</v>
      </c>
      <c r="C536" t="str">
        <f>IF($A536="","",Transactions!A528)</f>
        <v/>
      </c>
      <c r="D536" s="30">
        <f>IF($A536="",0,Transactions!H528)</f>
        <v>0</v>
      </c>
      <c r="E536">
        <f>IF($A536="",1,IFERROR(INDEX(Prices[FX to SGD],MATCH($A536,Prices[Key],0)),1))</f>
        <v>1</v>
      </c>
      <c r="F536" s="30">
        <f>IF($A536="",0,(Transactions!M528-Transactions!L528+IF(Transactions!A528=2,Transactions!H528,0))*$E536)</f>
        <v>0</v>
      </c>
      <c r="G536" s="30">
        <f>IF($A536="",0,IF(Transactions!A528=2,Transactions!H528*$E536,0))</f>
        <v>0</v>
      </c>
    </row>
    <row r="537" spans="1:7" ht="15" customHeight="1" x14ac:dyDescent="0.15">
      <c r="A537" t="str">
        <f>IF(Transactions!J529="","",Transactions!J529)</f>
        <v/>
      </c>
      <c r="B537" s="297">
        <f ca="1">IF($A537="",TODAY(),Transactions!G529)</f>
        <v>46216</v>
      </c>
      <c r="C537" t="str">
        <f>IF($A537="","",Transactions!A529)</f>
        <v/>
      </c>
      <c r="D537" s="30">
        <f>IF($A537="",0,Transactions!H529)</f>
        <v>0</v>
      </c>
      <c r="E537">
        <f>IF($A537="",1,IFERROR(INDEX(Prices[FX to SGD],MATCH($A537,Prices[Key],0)),1))</f>
        <v>1</v>
      </c>
      <c r="F537" s="30">
        <f>IF($A537="",0,(Transactions!M529-Transactions!L529+IF(Transactions!A529=2,Transactions!H529,0))*$E537)</f>
        <v>0</v>
      </c>
      <c r="G537" s="30">
        <f>IF($A537="",0,IF(Transactions!A529=2,Transactions!H529*$E537,0))</f>
        <v>0</v>
      </c>
    </row>
    <row r="538" spans="1:7" ht="15" customHeight="1" x14ac:dyDescent="0.15">
      <c r="A538" t="str">
        <f>IF(Transactions!J530="","",Transactions!J530)</f>
        <v/>
      </c>
      <c r="B538" s="297">
        <f ca="1">IF($A538="",TODAY(),Transactions!G530)</f>
        <v>46216</v>
      </c>
      <c r="C538" t="str">
        <f>IF($A538="","",Transactions!A530)</f>
        <v/>
      </c>
      <c r="D538" s="30">
        <f>IF($A538="",0,Transactions!H530)</f>
        <v>0</v>
      </c>
      <c r="E538">
        <f>IF($A538="",1,IFERROR(INDEX(Prices[FX to SGD],MATCH($A538,Prices[Key],0)),1))</f>
        <v>1</v>
      </c>
      <c r="F538" s="30">
        <f>IF($A538="",0,(Transactions!M530-Transactions!L530+IF(Transactions!A530=2,Transactions!H530,0))*$E538)</f>
        <v>0</v>
      </c>
      <c r="G538" s="30">
        <f>IF($A538="",0,IF(Transactions!A530=2,Transactions!H530*$E538,0))</f>
        <v>0</v>
      </c>
    </row>
    <row r="539" spans="1:7" ht="15" customHeight="1" x14ac:dyDescent="0.15">
      <c r="A539" t="str">
        <f>IF(Transactions!J531="","",Transactions!J531)</f>
        <v/>
      </c>
      <c r="B539" s="297">
        <f ca="1">IF($A539="",TODAY(),Transactions!G531)</f>
        <v>46216</v>
      </c>
      <c r="C539" t="str">
        <f>IF($A539="","",Transactions!A531)</f>
        <v/>
      </c>
      <c r="D539" s="30">
        <f>IF($A539="",0,Transactions!H531)</f>
        <v>0</v>
      </c>
      <c r="E539">
        <f>IF($A539="",1,IFERROR(INDEX(Prices[FX to SGD],MATCH($A539,Prices[Key],0)),1))</f>
        <v>1</v>
      </c>
      <c r="F539" s="30">
        <f>IF($A539="",0,(Transactions!M531-Transactions!L531+IF(Transactions!A531=2,Transactions!H531,0))*$E539)</f>
        <v>0</v>
      </c>
      <c r="G539" s="30">
        <f>IF($A539="",0,IF(Transactions!A531=2,Transactions!H531*$E539,0))</f>
        <v>0</v>
      </c>
    </row>
    <row r="540" spans="1:7" ht="15" customHeight="1" x14ac:dyDescent="0.15">
      <c r="A540" t="str">
        <f>IF(Transactions!J532="","",Transactions!J532)</f>
        <v/>
      </c>
      <c r="B540" s="297">
        <f ca="1">IF($A540="",TODAY(),Transactions!G532)</f>
        <v>46216</v>
      </c>
      <c r="C540" t="str">
        <f>IF($A540="","",Transactions!A532)</f>
        <v/>
      </c>
      <c r="D540" s="30">
        <f>IF($A540="",0,Transactions!H532)</f>
        <v>0</v>
      </c>
      <c r="E540">
        <f>IF($A540="",1,IFERROR(INDEX(Prices[FX to SGD],MATCH($A540,Prices[Key],0)),1))</f>
        <v>1</v>
      </c>
      <c r="F540" s="30">
        <f>IF($A540="",0,(Transactions!M532-Transactions!L532+IF(Transactions!A532=2,Transactions!H532,0))*$E540)</f>
        <v>0</v>
      </c>
      <c r="G540" s="30">
        <f>IF($A540="",0,IF(Transactions!A532=2,Transactions!H532*$E540,0))</f>
        <v>0</v>
      </c>
    </row>
    <row r="541" spans="1:7" ht="15" customHeight="1" x14ac:dyDescent="0.15">
      <c r="A541" t="str">
        <f>IF(Transactions!J533="","",Transactions!J533)</f>
        <v/>
      </c>
      <c r="B541" s="297">
        <f ca="1">IF($A541="",TODAY(),Transactions!G533)</f>
        <v>46216</v>
      </c>
      <c r="C541" t="str">
        <f>IF($A541="","",Transactions!A533)</f>
        <v/>
      </c>
      <c r="D541" s="30">
        <f>IF($A541="",0,Transactions!H533)</f>
        <v>0</v>
      </c>
      <c r="E541">
        <f>IF($A541="",1,IFERROR(INDEX(Prices[FX to SGD],MATCH($A541,Prices[Key],0)),1))</f>
        <v>1</v>
      </c>
      <c r="F541" s="30">
        <f>IF($A541="",0,(Transactions!M533-Transactions!L533+IF(Transactions!A533=2,Transactions!H533,0))*$E541)</f>
        <v>0</v>
      </c>
      <c r="G541" s="30">
        <f>IF($A541="",0,IF(Transactions!A533=2,Transactions!H533*$E541,0))</f>
        <v>0</v>
      </c>
    </row>
    <row r="542" spans="1:7" ht="15" customHeight="1" x14ac:dyDescent="0.15">
      <c r="A542" t="str">
        <f>IF(Transactions!J534="","",Transactions!J534)</f>
        <v/>
      </c>
      <c r="B542" s="297">
        <f ca="1">IF($A542="",TODAY(),Transactions!G534)</f>
        <v>46216</v>
      </c>
      <c r="C542" t="str">
        <f>IF($A542="","",Transactions!A534)</f>
        <v/>
      </c>
      <c r="D542" s="30">
        <f>IF($A542="",0,Transactions!H534)</f>
        <v>0</v>
      </c>
      <c r="E542">
        <f>IF($A542="",1,IFERROR(INDEX(Prices[FX to SGD],MATCH($A542,Prices[Key],0)),1))</f>
        <v>1</v>
      </c>
      <c r="F542" s="30">
        <f>IF($A542="",0,(Transactions!M534-Transactions!L534+IF(Transactions!A534=2,Transactions!H534,0))*$E542)</f>
        <v>0</v>
      </c>
      <c r="G542" s="30">
        <f>IF($A542="",0,IF(Transactions!A534=2,Transactions!H534*$E542,0))</f>
        <v>0</v>
      </c>
    </row>
    <row r="543" spans="1:7" ht="15" customHeight="1" x14ac:dyDescent="0.15">
      <c r="A543" t="str">
        <f>IF(Transactions!J535="","",Transactions!J535)</f>
        <v/>
      </c>
      <c r="B543" s="297">
        <f ca="1">IF($A543="",TODAY(),Transactions!G535)</f>
        <v>46216</v>
      </c>
      <c r="C543" t="str">
        <f>IF($A543="","",Transactions!A535)</f>
        <v/>
      </c>
      <c r="D543" s="30">
        <f>IF($A543="",0,Transactions!H535)</f>
        <v>0</v>
      </c>
      <c r="E543">
        <f>IF($A543="",1,IFERROR(INDEX(Prices[FX to SGD],MATCH($A543,Prices[Key],0)),1))</f>
        <v>1</v>
      </c>
      <c r="F543" s="30">
        <f>IF($A543="",0,(Transactions!M535-Transactions!L535+IF(Transactions!A535=2,Transactions!H535,0))*$E543)</f>
        <v>0</v>
      </c>
      <c r="G543" s="30">
        <f>IF($A543="",0,IF(Transactions!A535=2,Transactions!H535*$E543,0))</f>
        <v>0</v>
      </c>
    </row>
    <row r="544" spans="1:7" ht="15" customHeight="1" x14ac:dyDescent="0.15">
      <c r="A544" t="str">
        <f>IF(Transactions!J536="","",Transactions!J536)</f>
        <v/>
      </c>
      <c r="B544" s="297">
        <f ca="1">IF($A544="",TODAY(),Transactions!G536)</f>
        <v>46216</v>
      </c>
      <c r="C544" t="str">
        <f>IF($A544="","",Transactions!A536)</f>
        <v/>
      </c>
      <c r="D544" s="30">
        <f>IF($A544="",0,Transactions!H536)</f>
        <v>0</v>
      </c>
      <c r="E544">
        <f>IF($A544="",1,IFERROR(INDEX(Prices[FX to SGD],MATCH($A544,Prices[Key],0)),1))</f>
        <v>1</v>
      </c>
      <c r="F544" s="30">
        <f>IF($A544="",0,(Transactions!M536-Transactions!L536+IF(Transactions!A536=2,Transactions!H536,0))*$E544)</f>
        <v>0</v>
      </c>
      <c r="G544" s="30">
        <f>IF($A544="",0,IF(Transactions!A536=2,Transactions!H536*$E544,0))</f>
        <v>0</v>
      </c>
    </row>
    <row r="545" spans="1:7" ht="15" customHeight="1" x14ac:dyDescent="0.15">
      <c r="A545" t="str">
        <f>IF(Transactions!J537="","",Transactions!J537)</f>
        <v/>
      </c>
      <c r="B545" s="297">
        <f ca="1">IF($A545="",TODAY(),Transactions!G537)</f>
        <v>46216</v>
      </c>
      <c r="C545" t="str">
        <f>IF($A545="","",Transactions!A537)</f>
        <v/>
      </c>
      <c r="D545" s="30">
        <f>IF($A545="",0,Transactions!H537)</f>
        <v>0</v>
      </c>
      <c r="E545">
        <f>IF($A545="",1,IFERROR(INDEX(Prices[FX to SGD],MATCH($A545,Prices[Key],0)),1))</f>
        <v>1</v>
      </c>
      <c r="F545" s="30">
        <f>IF($A545="",0,(Transactions!M537-Transactions!L537+IF(Transactions!A537=2,Transactions!H537,0))*$E545)</f>
        <v>0</v>
      </c>
      <c r="G545" s="30">
        <f>IF($A545="",0,IF(Transactions!A537=2,Transactions!H537*$E545,0))</f>
        <v>0</v>
      </c>
    </row>
    <row r="546" spans="1:7" ht="15" customHeight="1" x14ac:dyDescent="0.15">
      <c r="A546" t="str">
        <f>IF(Transactions!J538="","",Transactions!J538)</f>
        <v/>
      </c>
      <c r="B546" s="297">
        <f ca="1">IF($A546="",TODAY(),Transactions!G538)</f>
        <v>46216</v>
      </c>
      <c r="C546" t="str">
        <f>IF($A546="","",Transactions!A538)</f>
        <v/>
      </c>
      <c r="D546" s="30">
        <f>IF($A546="",0,Transactions!H538)</f>
        <v>0</v>
      </c>
      <c r="E546">
        <f>IF($A546="",1,IFERROR(INDEX(Prices[FX to SGD],MATCH($A546,Prices[Key],0)),1))</f>
        <v>1</v>
      </c>
      <c r="F546" s="30">
        <f>IF($A546="",0,(Transactions!M538-Transactions!L538+IF(Transactions!A538=2,Transactions!H538,0))*$E546)</f>
        <v>0</v>
      </c>
      <c r="G546" s="30">
        <f>IF($A546="",0,IF(Transactions!A538=2,Transactions!H538*$E546,0))</f>
        <v>0</v>
      </c>
    </row>
    <row r="547" spans="1:7" ht="15" customHeight="1" x14ac:dyDescent="0.15">
      <c r="A547" t="str">
        <f>IF(Transactions!J539="","",Transactions!J539)</f>
        <v/>
      </c>
      <c r="B547" s="297">
        <f ca="1">IF($A547="",TODAY(),Transactions!G539)</f>
        <v>46216</v>
      </c>
      <c r="C547" t="str">
        <f>IF($A547="","",Transactions!A539)</f>
        <v/>
      </c>
      <c r="D547" s="30">
        <f>IF($A547="",0,Transactions!H539)</f>
        <v>0</v>
      </c>
      <c r="E547">
        <f>IF($A547="",1,IFERROR(INDEX(Prices[FX to SGD],MATCH($A547,Prices[Key],0)),1))</f>
        <v>1</v>
      </c>
      <c r="F547" s="30">
        <f>IF($A547="",0,(Transactions!M539-Transactions!L539+IF(Transactions!A539=2,Transactions!H539,0))*$E547)</f>
        <v>0</v>
      </c>
      <c r="G547" s="30">
        <f>IF($A547="",0,IF(Transactions!A539=2,Transactions!H539*$E547,0))</f>
        <v>0</v>
      </c>
    </row>
    <row r="548" spans="1:7" ht="15" customHeight="1" x14ac:dyDescent="0.15">
      <c r="A548" t="str">
        <f>IF(Transactions!J540="","",Transactions!J540)</f>
        <v/>
      </c>
      <c r="B548" s="297">
        <f ca="1">IF($A548="",TODAY(),Transactions!G540)</f>
        <v>46216</v>
      </c>
      <c r="C548" t="str">
        <f>IF($A548="","",Transactions!A540)</f>
        <v/>
      </c>
      <c r="D548" s="30">
        <f>IF($A548="",0,Transactions!H540)</f>
        <v>0</v>
      </c>
      <c r="E548">
        <f>IF($A548="",1,IFERROR(INDEX(Prices[FX to SGD],MATCH($A548,Prices[Key],0)),1))</f>
        <v>1</v>
      </c>
      <c r="F548" s="30">
        <f>IF($A548="",0,(Transactions!M540-Transactions!L540+IF(Transactions!A540=2,Transactions!H540,0))*$E548)</f>
        <v>0</v>
      </c>
      <c r="G548" s="30">
        <f>IF($A548="",0,IF(Transactions!A540=2,Transactions!H540*$E548,0))</f>
        <v>0</v>
      </c>
    </row>
    <row r="549" spans="1:7" ht="15" customHeight="1" x14ac:dyDescent="0.15">
      <c r="A549" t="str">
        <f>IF(Transactions!J541="","",Transactions!J541)</f>
        <v/>
      </c>
      <c r="B549" s="297">
        <f ca="1">IF($A549="",TODAY(),Transactions!G541)</f>
        <v>46216</v>
      </c>
      <c r="C549" t="str">
        <f>IF($A549="","",Transactions!A541)</f>
        <v/>
      </c>
      <c r="D549" s="30">
        <f>IF($A549="",0,Transactions!H541)</f>
        <v>0</v>
      </c>
      <c r="E549">
        <f>IF($A549="",1,IFERROR(INDEX(Prices[FX to SGD],MATCH($A549,Prices[Key],0)),1))</f>
        <v>1</v>
      </c>
      <c r="F549" s="30">
        <f>IF($A549="",0,(Transactions!M541-Transactions!L541+IF(Transactions!A541=2,Transactions!H541,0))*$E549)</f>
        <v>0</v>
      </c>
      <c r="G549" s="30">
        <f>IF($A549="",0,IF(Transactions!A541=2,Transactions!H541*$E549,0))</f>
        <v>0</v>
      </c>
    </row>
    <row r="550" spans="1:7" ht="15" customHeight="1" x14ac:dyDescent="0.15">
      <c r="A550" t="str">
        <f>IF(Transactions!J542="","",Transactions!J542)</f>
        <v/>
      </c>
      <c r="B550" s="297">
        <f ca="1">IF($A550="",TODAY(),Transactions!G542)</f>
        <v>46216</v>
      </c>
      <c r="C550" t="str">
        <f>IF($A550="","",Transactions!A542)</f>
        <v/>
      </c>
      <c r="D550" s="30">
        <f>IF($A550="",0,Transactions!H542)</f>
        <v>0</v>
      </c>
      <c r="E550">
        <f>IF($A550="",1,IFERROR(INDEX(Prices[FX to SGD],MATCH($A550,Prices[Key],0)),1))</f>
        <v>1</v>
      </c>
      <c r="F550" s="30">
        <f>IF($A550="",0,(Transactions!M542-Transactions!L542+IF(Transactions!A542=2,Transactions!H542,0))*$E550)</f>
        <v>0</v>
      </c>
      <c r="G550" s="30">
        <f>IF($A550="",0,IF(Transactions!A542=2,Transactions!H542*$E550,0))</f>
        <v>0</v>
      </c>
    </row>
    <row r="551" spans="1:7" ht="15" customHeight="1" x14ac:dyDescent="0.15">
      <c r="A551" t="str">
        <f>IF(Transactions!J543="","",Transactions!J543)</f>
        <v/>
      </c>
      <c r="B551" s="297">
        <f ca="1">IF($A551="",TODAY(),Transactions!G543)</f>
        <v>46216</v>
      </c>
      <c r="C551" t="str">
        <f>IF($A551="","",Transactions!A543)</f>
        <v/>
      </c>
      <c r="D551" s="30">
        <f>IF($A551="",0,Transactions!H543)</f>
        <v>0</v>
      </c>
      <c r="E551">
        <f>IF($A551="",1,IFERROR(INDEX(Prices[FX to SGD],MATCH($A551,Prices[Key],0)),1))</f>
        <v>1</v>
      </c>
      <c r="F551" s="30">
        <f>IF($A551="",0,(Transactions!M543-Transactions!L543+IF(Transactions!A543=2,Transactions!H543,0))*$E551)</f>
        <v>0</v>
      </c>
      <c r="G551" s="30">
        <f>IF($A551="",0,IF(Transactions!A543=2,Transactions!H543*$E551,0))</f>
        <v>0</v>
      </c>
    </row>
    <row r="552" spans="1:7" ht="15" customHeight="1" x14ac:dyDescent="0.15">
      <c r="A552" t="str">
        <f>IF(Transactions!J544="","",Transactions!J544)</f>
        <v/>
      </c>
      <c r="B552" s="297">
        <f ca="1">IF($A552="",TODAY(),Transactions!G544)</f>
        <v>46216</v>
      </c>
      <c r="C552" t="str">
        <f>IF($A552="","",Transactions!A544)</f>
        <v/>
      </c>
      <c r="D552" s="30">
        <f>IF($A552="",0,Transactions!H544)</f>
        <v>0</v>
      </c>
      <c r="E552">
        <f>IF($A552="",1,IFERROR(INDEX(Prices[FX to SGD],MATCH($A552,Prices[Key],0)),1))</f>
        <v>1</v>
      </c>
      <c r="F552" s="30">
        <f>IF($A552="",0,(Transactions!M544-Transactions!L544+IF(Transactions!A544=2,Transactions!H544,0))*$E552)</f>
        <v>0</v>
      </c>
      <c r="G552" s="30">
        <f>IF($A552="",0,IF(Transactions!A544=2,Transactions!H544*$E552,0))</f>
        <v>0</v>
      </c>
    </row>
    <row r="553" spans="1:7" ht="15" customHeight="1" x14ac:dyDescent="0.15">
      <c r="A553" t="str">
        <f>IF(Transactions!J545="","",Transactions!J545)</f>
        <v/>
      </c>
      <c r="B553" s="297">
        <f ca="1">IF($A553="",TODAY(),Transactions!G545)</f>
        <v>46216</v>
      </c>
      <c r="C553" t="str">
        <f>IF($A553="","",Transactions!A545)</f>
        <v/>
      </c>
      <c r="D553" s="30">
        <f>IF($A553="",0,Transactions!H545)</f>
        <v>0</v>
      </c>
      <c r="E553">
        <f>IF($A553="",1,IFERROR(INDEX(Prices[FX to SGD],MATCH($A553,Prices[Key],0)),1))</f>
        <v>1</v>
      </c>
      <c r="F553" s="30">
        <f>IF($A553="",0,(Transactions!M545-Transactions!L545+IF(Transactions!A545=2,Transactions!H545,0))*$E553)</f>
        <v>0</v>
      </c>
      <c r="G553" s="30">
        <f>IF($A553="",0,IF(Transactions!A545=2,Transactions!H545*$E553,0))</f>
        <v>0</v>
      </c>
    </row>
    <row r="554" spans="1:7" ht="15" customHeight="1" x14ac:dyDescent="0.15">
      <c r="A554" t="str">
        <f>IF(Transactions!J546="","",Transactions!J546)</f>
        <v/>
      </c>
      <c r="B554" s="297">
        <f ca="1">IF($A554="",TODAY(),Transactions!G546)</f>
        <v>46216</v>
      </c>
      <c r="C554" t="str">
        <f>IF($A554="","",Transactions!A546)</f>
        <v/>
      </c>
      <c r="D554" s="30">
        <f>IF($A554="",0,Transactions!H546)</f>
        <v>0</v>
      </c>
      <c r="E554">
        <f>IF($A554="",1,IFERROR(INDEX(Prices[FX to SGD],MATCH($A554,Prices[Key],0)),1))</f>
        <v>1</v>
      </c>
      <c r="F554" s="30">
        <f>IF($A554="",0,(Transactions!M546-Transactions!L546+IF(Transactions!A546=2,Transactions!H546,0))*$E554)</f>
        <v>0</v>
      </c>
      <c r="G554" s="30">
        <f>IF($A554="",0,IF(Transactions!A546=2,Transactions!H546*$E554,0))</f>
        <v>0</v>
      </c>
    </row>
    <row r="555" spans="1:7" ht="15" customHeight="1" x14ac:dyDescent="0.15">
      <c r="A555" t="str">
        <f>IF(Transactions!J547="","",Transactions!J547)</f>
        <v/>
      </c>
      <c r="B555" s="297">
        <f ca="1">IF($A555="",TODAY(),Transactions!G547)</f>
        <v>46216</v>
      </c>
      <c r="C555" t="str">
        <f>IF($A555="","",Transactions!A547)</f>
        <v/>
      </c>
      <c r="D555" s="30">
        <f>IF($A555="",0,Transactions!H547)</f>
        <v>0</v>
      </c>
      <c r="E555">
        <f>IF($A555="",1,IFERROR(INDEX(Prices[FX to SGD],MATCH($A555,Prices[Key],0)),1))</f>
        <v>1</v>
      </c>
      <c r="F555" s="30">
        <f>IF($A555="",0,(Transactions!M547-Transactions!L547+IF(Transactions!A547=2,Transactions!H547,0))*$E555)</f>
        <v>0</v>
      </c>
      <c r="G555" s="30">
        <f>IF($A555="",0,IF(Transactions!A547=2,Transactions!H547*$E555,0))</f>
        <v>0</v>
      </c>
    </row>
    <row r="556" spans="1:7" ht="15" customHeight="1" x14ac:dyDescent="0.15">
      <c r="A556" t="str">
        <f>IF(Transactions!J548="","",Transactions!J548)</f>
        <v/>
      </c>
      <c r="B556" s="297">
        <f ca="1">IF($A556="",TODAY(),Transactions!G548)</f>
        <v>46216</v>
      </c>
      <c r="C556" t="str">
        <f>IF($A556="","",Transactions!A548)</f>
        <v/>
      </c>
      <c r="D556" s="30">
        <f>IF($A556="",0,Transactions!H548)</f>
        <v>0</v>
      </c>
      <c r="E556">
        <f>IF($A556="",1,IFERROR(INDEX(Prices[FX to SGD],MATCH($A556,Prices[Key],0)),1))</f>
        <v>1</v>
      </c>
      <c r="F556" s="30">
        <f>IF($A556="",0,(Transactions!M548-Transactions!L548+IF(Transactions!A548=2,Transactions!H548,0))*$E556)</f>
        <v>0</v>
      </c>
      <c r="G556" s="30">
        <f>IF($A556="",0,IF(Transactions!A548=2,Transactions!H548*$E556,0))</f>
        <v>0</v>
      </c>
    </row>
    <row r="557" spans="1:7" ht="15" customHeight="1" x14ac:dyDescent="0.15">
      <c r="A557" t="str">
        <f>IF(Transactions!J549="","",Transactions!J549)</f>
        <v/>
      </c>
      <c r="B557" s="297">
        <f ca="1">IF($A557="",TODAY(),Transactions!G549)</f>
        <v>46216</v>
      </c>
      <c r="C557" t="str">
        <f>IF($A557="","",Transactions!A549)</f>
        <v/>
      </c>
      <c r="D557" s="30">
        <f>IF($A557="",0,Transactions!H549)</f>
        <v>0</v>
      </c>
      <c r="E557">
        <f>IF($A557="",1,IFERROR(INDEX(Prices[FX to SGD],MATCH($A557,Prices[Key],0)),1))</f>
        <v>1</v>
      </c>
      <c r="F557" s="30">
        <f>IF($A557="",0,(Transactions!M549-Transactions!L549+IF(Transactions!A549=2,Transactions!H549,0))*$E557)</f>
        <v>0</v>
      </c>
      <c r="G557" s="30">
        <f>IF($A557="",0,IF(Transactions!A549=2,Transactions!H549*$E557,0))</f>
        <v>0</v>
      </c>
    </row>
    <row r="558" spans="1:7" ht="15" customHeight="1" x14ac:dyDescent="0.15">
      <c r="A558" t="str">
        <f>IF(Transactions!J550="","",Transactions!J550)</f>
        <v/>
      </c>
      <c r="B558" s="297">
        <f ca="1">IF($A558="",TODAY(),Transactions!G550)</f>
        <v>46216</v>
      </c>
      <c r="C558" t="str">
        <f>IF($A558="","",Transactions!A550)</f>
        <v/>
      </c>
      <c r="D558" s="30">
        <f>IF($A558="",0,Transactions!H550)</f>
        <v>0</v>
      </c>
      <c r="E558">
        <f>IF($A558="",1,IFERROR(INDEX(Prices[FX to SGD],MATCH($A558,Prices[Key],0)),1))</f>
        <v>1</v>
      </c>
      <c r="F558" s="30">
        <f>IF($A558="",0,(Transactions!M550-Transactions!L550+IF(Transactions!A550=2,Transactions!H550,0))*$E558)</f>
        <v>0</v>
      </c>
      <c r="G558" s="30">
        <f>IF($A558="",0,IF(Transactions!A550=2,Transactions!H550*$E558,0))</f>
        <v>0</v>
      </c>
    </row>
    <row r="559" spans="1:7" ht="15" customHeight="1" x14ac:dyDescent="0.15">
      <c r="A559" t="str">
        <f>IF(Transactions!J551="","",Transactions!J551)</f>
        <v/>
      </c>
      <c r="B559" s="297">
        <f ca="1">IF($A559="",TODAY(),Transactions!G551)</f>
        <v>46216</v>
      </c>
      <c r="C559" t="str">
        <f>IF($A559="","",Transactions!A551)</f>
        <v/>
      </c>
      <c r="D559" s="30">
        <f>IF($A559="",0,Transactions!H551)</f>
        <v>0</v>
      </c>
      <c r="E559">
        <f>IF($A559="",1,IFERROR(INDEX(Prices[FX to SGD],MATCH($A559,Prices[Key],0)),1))</f>
        <v>1</v>
      </c>
      <c r="F559" s="30">
        <f>IF($A559="",0,(Transactions!M551-Transactions!L551+IF(Transactions!A551=2,Transactions!H551,0))*$E559)</f>
        <v>0</v>
      </c>
      <c r="G559" s="30">
        <f>IF($A559="",0,IF(Transactions!A551=2,Transactions!H551*$E559,0))</f>
        <v>0</v>
      </c>
    </row>
    <row r="560" spans="1:7" ht="15" customHeight="1" x14ac:dyDescent="0.15">
      <c r="A560" t="str">
        <f>IF(Transactions!J552="","",Transactions!J552)</f>
        <v/>
      </c>
      <c r="B560" s="297">
        <f ca="1">IF($A560="",TODAY(),Transactions!G552)</f>
        <v>46216</v>
      </c>
      <c r="C560" t="str">
        <f>IF($A560="","",Transactions!A552)</f>
        <v/>
      </c>
      <c r="D560" s="30">
        <f>IF($A560="",0,Transactions!H552)</f>
        <v>0</v>
      </c>
      <c r="E560">
        <f>IF($A560="",1,IFERROR(INDEX(Prices[FX to SGD],MATCH($A560,Prices[Key],0)),1))</f>
        <v>1</v>
      </c>
      <c r="F560" s="30">
        <f>IF($A560="",0,(Transactions!M552-Transactions!L552+IF(Transactions!A552=2,Transactions!H552,0))*$E560)</f>
        <v>0</v>
      </c>
      <c r="G560" s="30">
        <f>IF($A560="",0,IF(Transactions!A552=2,Transactions!H552*$E560,0))</f>
        <v>0</v>
      </c>
    </row>
    <row r="561" spans="1:7" ht="15" customHeight="1" x14ac:dyDescent="0.15">
      <c r="A561" t="str">
        <f>IF(Transactions!J553="","",Transactions!J553)</f>
        <v/>
      </c>
      <c r="B561" s="297">
        <f ca="1">IF($A561="",TODAY(),Transactions!G553)</f>
        <v>46216</v>
      </c>
      <c r="C561" t="str">
        <f>IF($A561="","",Transactions!A553)</f>
        <v/>
      </c>
      <c r="D561" s="30">
        <f>IF($A561="",0,Transactions!H553)</f>
        <v>0</v>
      </c>
      <c r="E561">
        <f>IF($A561="",1,IFERROR(INDEX(Prices[FX to SGD],MATCH($A561,Prices[Key],0)),1))</f>
        <v>1</v>
      </c>
      <c r="F561" s="30">
        <f>IF($A561="",0,(Transactions!M553-Transactions!L553+IF(Transactions!A553=2,Transactions!H553,0))*$E561)</f>
        <v>0</v>
      </c>
      <c r="G561" s="30">
        <f>IF($A561="",0,IF(Transactions!A553=2,Transactions!H553*$E561,0))</f>
        <v>0</v>
      </c>
    </row>
    <row r="562" spans="1:7" ht="15" customHeight="1" x14ac:dyDescent="0.15">
      <c r="A562" t="str">
        <f>IF(Transactions!J554="","",Transactions!J554)</f>
        <v/>
      </c>
      <c r="B562" s="297">
        <f ca="1">IF($A562="",TODAY(),Transactions!G554)</f>
        <v>46216</v>
      </c>
      <c r="C562" t="str">
        <f>IF($A562="","",Transactions!A554)</f>
        <v/>
      </c>
      <c r="D562" s="30">
        <f>IF($A562="",0,Transactions!H554)</f>
        <v>0</v>
      </c>
      <c r="E562">
        <f>IF($A562="",1,IFERROR(INDEX(Prices[FX to SGD],MATCH($A562,Prices[Key],0)),1))</f>
        <v>1</v>
      </c>
      <c r="F562" s="30">
        <f>IF($A562="",0,(Transactions!M554-Transactions!L554+IF(Transactions!A554=2,Transactions!H554,0))*$E562)</f>
        <v>0</v>
      </c>
      <c r="G562" s="30">
        <f>IF($A562="",0,IF(Transactions!A554=2,Transactions!H554*$E562,0))</f>
        <v>0</v>
      </c>
    </row>
    <row r="563" spans="1:7" ht="15" customHeight="1" x14ac:dyDescent="0.15">
      <c r="A563" t="str">
        <f>IF(Transactions!J555="","",Transactions!J555)</f>
        <v/>
      </c>
      <c r="B563" s="297">
        <f ca="1">IF($A563="",TODAY(),Transactions!G555)</f>
        <v>46216</v>
      </c>
      <c r="C563" t="str">
        <f>IF($A563="","",Transactions!A555)</f>
        <v/>
      </c>
      <c r="D563" s="30">
        <f>IF($A563="",0,Transactions!H555)</f>
        <v>0</v>
      </c>
      <c r="E563">
        <f>IF($A563="",1,IFERROR(INDEX(Prices[FX to SGD],MATCH($A563,Prices[Key],0)),1))</f>
        <v>1</v>
      </c>
      <c r="F563" s="30">
        <f>IF($A563="",0,(Transactions!M555-Transactions!L555+IF(Transactions!A555=2,Transactions!H555,0))*$E563)</f>
        <v>0</v>
      </c>
      <c r="G563" s="30">
        <f>IF($A563="",0,IF(Transactions!A555=2,Transactions!H555*$E563,0))</f>
        <v>0</v>
      </c>
    </row>
    <row r="564" spans="1:7" ht="15" customHeight="1" x14ac:dyDescent="0.15">
      <c r="A564" t="str">
        <f>IF(Transactions!J556="","",Transactions!J556)</f>
        <v/>
      </c>
      <c r="B564" s="297">
        <f ca="1">IF($A564="",TODAY(),Transactions!G556)</f>
        <v>46216</v>
      </c>
      <c r="C564" t="str">
        <f>IF($A564="","",Transactions!A556)</f>
        <v/>
      </c>
      <c r="D564" s="30">
        <f>IF($A564="",0,Transactions!H556)</f>
        <v>0</v>
      </c>
      <c r="E564">
        <f>IF($A564="",1,IFERROR(INDEX(Prices[FX to SGD],MATCH($A564,Prices[Key],0)),1))</f>
        <v>1</v>
      </c>
      <c r="F564" s="30">
        <f>IF($A564="",0,(Transactions!M556-Transactions!L556+IF(Transactions!A556=2,Transactions!H556,0))*$E564)</f>
        <v>0</v>
      </c>
      <c r="G564" s="30">
        <f>IF($A564="",0,IF(Transactions!A556=2,Transactions!H556*$E564,0))</f>
        <v>0</v>
      </c>
    </row>
    <row r="565" spans="1:7" ht="15" customHeight="1" x14ac:dyDescent="0.15">
      <c r="A565" t="str">
        <f>IF(Transactions!J557="","",Transactions!J557)</f>
        <v/>
      </c>
      <c r="B565" s="297">
        <f ca="1">IF($A565="",TODAY(),Transactions!G557)</f>
        <v>46216</v>
      </c>
      <c r="C565" t="str">
        <f>IF($A565="","",Transactions!A557)</f>
        <v/>
      </c>
      <c r="D565" s="30">
        <f>IF($A565="",0,Transactions!H557)</f>
        <v>0</v>
      </c>
      <c r="E565">
        <f>IF($A565="",1,IFERROR(INDEX(Prices[FX to SGD],MATCH($A565,Prices[Key],0)),1))</f>
        <v>1</v>
      </c>
      <c r="F565" s="30">
        <f>IF($A565="",0,(Transactions!M557-Transactions!L557+IF(Transactions!A557=2,Transactions!H557,0))*$E565)</f>
        <v>0</v>
      </c>
      <c r="G565" s="30">
        <f>IF($A565="",0,IF(Transactions!A557=2,Transactions!H557*$E565,0))</f>
        <v>0</v>
      </c>
    </row>
    <row r="566" spans="1:7" ht="15" customHeight="1" x14ac:dyDescent="0.15">
      <c r="A566" t="str">
        <f>IF(Transactions!J558="","",Transactions!J558)</f>
        <v/>
      </c>
      <c r="B566" s="297">
        <f ca="1">IF($A566="",TODAY(),Transactions!G558)</f>
        <v>46216</v>
      </c>
      <c r="C566" t="str">
        <f>IF($A566="","",Transactions!A558)</f>
        <v/>
      </c>
      <c r="D566" s="30">
        <f>IF($A566="",0,Transactions!H558)</f>
        <v>0</v>
      </c>
      <c r="E566">
        <f>IF($A566="",1,IFERROR(INDEX(Prices[FX to SGD],MATCH($A566,Prices[Key],0)),1))</f>
        <v>1</v>
      </c>
      <c r="F566" s="30">
        <f>IF($A566="",0,(Transactions!M558-Transactions!L558+IF(Transactions!A558=2,Transactions!H558,0))*$E566)</f>
        <v>0</v>
      </c>
      <c r="G566" s="30">
        <f>IF($A566="",0,IF(Transactions!A558=2,Transactions!H558*$E566,0))</f>
        <v>0</v>
      </c>
    </row>
    <row r="567" spans="1:7" ht="15" customHeight="1" x14ac:dyDescent="0.15">
      <c r="A567" t="str">
        <f>IF(Transactions!J559="","",Transactions!J559)</f>
        <v/>
      </c>
      <c r="B567" s="297">
        <f ca="1">IF($A567="",TODAY(),Transactions!G559)</f>
        <v>46216</v>
      </c>
      <c r="C567" t="str">
        <f>IF($A567="","",Transactions!A559)</f>
        <v/>
      </c>
      <c r="D567" s="30">
        <f>IF($A567="",0,Transactions!H559)</f>
        <v>0</v>
      </c>
      <c r="E567">
        <f>IF($A567="",1,IFERROR(INDEX(Prices[FX to SGD],MATCH($A567,Prices[Key],0)),1))</f>
        <v>1</v>
      </c>
      <c r="F567" s="30">
        <f>IF($A567="",0,(Transactions!M559-Transactions!L559+IF(Transactions!A559=2,Transactions!H559,0))*$E567)</f>
        <v>0</v>
      </c>
      <c r="G567" s="30">
        <f>IF($A567="",0,IF(Transactions!A559=2,Transactions!H559*$E567,0))</f>
        <v>0</v>
      </c>
    </row>
    <row r="568" spans="1:7" ht="15" customHeight="1" x14ac:dyDescent="0.15">
      <c r="A568" t="str">
        <f>IF(Transactions!J560="","",Transactions!J560)</f>
        <v/>
      </c>
      <c r="B568" s="297">
        <f ca="1">IF($A568="",TODAY(),Transactions!G560)</f>
        <v>46216</v>
      </c>
      <c r="C568" t="str">
        <f>IF($A568="","",Transactions!A560)</f>
        <v/>
      </c>
      <c r="D568" s="30">
        <f>IF($A568="",0,Transactions!H560)</f>
        <v>0</v>
      </c>
      <c r="E568">
        <f>IF($A568="",1,IFERROR(INDEX(Prices[FX to SGD],MATCH($A568,Prices[Key],0)),1))</f>
        <v>1</v>
      </c>
      <c r="F568" s="30">
        <f>IF($A568="",0,(Transactions!M560-Transactions!L560+IF(Transactions!A560=2,Transactions!H560,0))*$E568)</f>
        <v>0</v>
      </c>
      <c r="G568" s="30">
        <f>IF($A568="",0,IF(Transactions!A560=2,Transactions!H560*$E568,0))</f>
        <v>0</v>
      </c>
    </row>
    <row r="569" spans="1:7" ht="15" customHeight="1" x14ac:dyDescent="0.15">
      <c r="A569" t="str">
        <f>IF(Transactions!J561="","",Transactions!J561)</f>
        <v/>
      </c>
      <c r="B569" s="297">
        <f ca="1">IF($A569="",TODAY(),Transactions!G561)</f>
        <v>46216</v>
      </c>
      <c r="C569" t="str">
        <f>IF($A569="","",Transactions!A561)</f>
        <v/>
      </c>
      <c r="D569" s="30">
        <f>IF($A569="",0,Transactions!H561)</f>
        <v>0</v>
      </c>
      <c r="E569">
        <f>IF($A569="",1,IFERROR(INDEX(Prices[FX to SGD],MATCH($A569,Prices[Key],0)),1))</f>
        <v>1</v>
      </c>
      <c r="F569" s="30">
        <f>IF($A569="",0,(Transactions!M561-Transactions!L561+IF(Transactions!A561=2,Transactions!H561,0))*$E569)</f>
        <v>0</v>
      </c>
      <c r="G569" s="30">
        <f>IF($A569="",0,IF(Transactions!A561=2,Transactions!H561*$E569,0))</f>
        <v>0</v>
      </c>
    </row>
    <row r="570" spans="1:7" ht="15" customHeight="1" x14ac:dyDescent="0.15">
      <c r="A570" t="str">
        <f>IF(Transactions!J562="","",Transactions!J562)</f>
        <v/>
      </c>
      <c r="B570" s="297">
        <f ca="1">IF($A570="",TODAY(),Transactions!G562)</f>
        <v>46216</v>
      </c>
      <c r="C570" t="str">
        <f>IF($A570="","",Transactions!A562)</f>
        <v/>
      </c>
      <c r="D570" s="30">
        <f>IF($A570="",0,Transactions!H562)</f>
        <v>0</v>
      </c>
      <c r="E570">
        <f>IF($A570="",1,IFERROR(INDEX(Prices[FX to SGD],MATCH($A570,Prices[Key],0)),1))</f>
        <v>1</v>
      </c>
      <c r="F570" s="30">
        <f>IF($A570="",0,(Transactions!M562-Transactions!L562+IF(Transactions!A562=2,Transactions!H562,0))*$E570)</f>
        <v>0</v>
      </c>
      <c r="G570" s="30">
        <f>IF($A570="",0,IF(Transactions!A562=2,Transactions!H562*$E570,0))</f>
        <v>0</v>
      </c>
    </row>
    <row r="571" spans="1:7" ht="15" customHeight="1" x14ac:dyDescent="0.15">
      <c r="A571" t="str">
        <f>IF(Transactions!J563="","",Transactions!J563)</f>
        <v/>
      </c>
      <c r="B571" s="297">
        <f ca="1">IF($A571="",TODAY(),Transactions!G563)</f>
        <v>46216</v>
      </c>
      <c r="C571" t="str">
        <f>IF($A571="","",Transactions!A563)</f>
        <v/>
      </c>
      <c r="D571" s="30">
        <f>IF($A571="",0,Transactions!H563)</f>
        <v>0</v>
      </c>
      <c r="E571">
        <f>IF($A571="",1,IFERROR(INDEX(Prices[FX to SGD],MATCH($A571,Prices[Key],0)),1))</f>
        <v>1</v>
      </c>
      <c r="F571" s="30">
        <f>IF($A571="",0,(Transactions!M563-Transactions!L563+IF(Transactions!A563=2,Transactions!H563,0))*$E571)</f>
        <v>0</v>
      </c>
      <c r="G571" s="30">
        <f>IF($A571="",0,IF(Transactions!A563=2,Transactions!H563*$E571,0))</f>
        <v>0</v>
      </c>
    </row>
    <row r="572" spans="1:7" ht="15" customHeight="1" x14ac:dyDescent="0.15">
      <c r="A572" t="str">
        <f>IF(Transactions!J564="","",Transactions!J564)</f>
        <v/>
      </c>
      <c r="B572" s="297">
        <f ca="1">IF($A572="",TODAY(),Transactions!G564)</f>
        <v>46216</v>
      </c>
      <c r="C572" t="str">
        <f>IF($A572="","",Transactions!A564)</f>
        <v/>
      </c>
      <c r="D572" s="30">
        <f>IF($A572="",0,Transactions!H564)</f>
        <v>0</v>
      </c>
      <c r="E572">
        <f>IF($A572="",1,IFERROR(INDEX(Prices[FX to SGD],MATCH($A572,Prices[Key],0)),1))</f>
        <v>1</v>
      </c>
      <c r="F572" s="30">
        <f>IF($A572="",0,(Transactions!M564-Transactions!L564+IF(Transactions!A564=2,Transactions!H564,0))*$E572)</f>
        <v>0</v>
      </c>
      <c r="G572" s="30">
        <f>IF($A572="",0,IF(Transactions!A564=2,Transactions!H564*$E572,0))</f>
        <v>0</v>
      </c>
    </row>
    <row r="573" spans="1:7" ht="15" customHeight="1" x14ac:dyDescent="0.15">
      <c r="A573" t="str">
        <f>IF(Transactions!J565="","",Transactions!J565)</f>
        <v/>
      </c>
      <c r="B573" s="297">
        <f ca="1">IF($A573="",TODAY(),Transactions!G565)</f>
        <v>46216</v>
      </c>
      <c r="C573" t="str">
        <f>IF($A573="","",Transactions!A565)</f>
        <v/>
      </c>
      <c r="D573" s="30">
        <f>IF($A573="",0,Transactions!H565)</f>
        <v>0</v>
      </c>
      <c r="E573">
        <f>IF($A573="",1,IFERROR(INDEX(Prices[FX to SGD],MATCH($A573,Prices[Key],0)),1))</f>
        <v>1</v>
      </c>
      <c r="F573" s="30">
        <f>IF($A573="",0,(Transactions!M565-Transactions!L565+IF(Transactions!A565=2,Transactions!H565,0))*$E573)</f>
        <v>0</v>
      </c>
      <c r="G573" s="30">
        <f>IF($A573="",0,IF(Transactions!A565=2,Transactions!H565*$E573,0))</f>
        <v>0</v>
      </c>
    </row>
    <row r="574" spans="1:7" ht="15" customHeight="1" x14ac:dyDescent="0.15">
      <c r="A574" t="str">
        <f>IF(Transactions!J566="","",Transactions!J566)</f>
        <v/>
      </c>
      <c r="B574" s="297">
        <f ca="1">IF($A574="",TODAY(),Transactions!G566)</f>
        <v>46216</v>
      </c>
      <c r="C574" t="str">
        <f>IF($A574="","",Transactions!A566)</f>
        <v/>
      </c>
      <c r="D574" s="30">
        <f>IF($A574="",0,Transactions!H566)</f>
        <v>0</v>
      </c>
      <c r="E574">
        <f>IF($A574="",1,IFERROR(INDEX(Prices[FX to SGD],MATCH($A574,Prices[Key],0)),1))</f>
        <v>1</v>
      </c>
      <c r="F574" s="30">
        <f>IF($A574="",0,(Transactions!M566-Transactions!L566+IF(Transactions!A566=2,Transactions!H566,0))*$E574)</f>
        <v>0</v>
      </c>
      <c r="G574" s="30">
        <f>IF($A574="",0,IF(Transactions!A566=2,Transactions!H566*$E574,0))</f>
        <v>0</v>
      </c>
    </row>
    <row r="575" spans="1:7" ht="15" customHeight="1" x14ac:dyDescent="0.15">
      <c r="A575" t="str">
        <f>IF(Transactions!J567="","",Transactions!J567)</f>
        <v/>
      </c>
      <c r="B575" s="297">
        <f ca="1">IF($A575="",TODAY(),Transactions!G567)</f>
        <v>46216</v>
      </c>
      <c r="C575" t="str">
        <f>IF($A575="","",Transactions!A567)</f>
        <v/>
      </c>
      <c r="D575" s="30">
        <f>IF($A575="",0,Transactions!H567)</f>
        <v>0</v>
      </c>
      <c r="E575">
        <f>IF($A575="",1,IFERROR(INDEX(Prices[FX to SGD],MATCH($A575,Prices[Key],0)),1))</f>
        <v>1</v>
      </c>
      <c r="F575" s="30">
        <f>IF($A575="",0,(Transactions!M567-Transactions!L567+IF(Transactions!A567=2,Transactions!H567,0))*$E575)</f>
        <v>0</v>
      </c>
      <c r="G575" s="30">
        <f>IF($A575="",0,IF(Transactions!A567=2,Transactions!H567*$E575,0))</f>
        <v>0</v>
      </c>
    </row>
    <row r="576" spans="1:7" ht="15" customHeight="1" x14ac:dyDescent="0.15">
      <c r="A576" t="str">
        <f>IF(Transactions!J568="","",Transactions!J568)</f>
        <v/>
      </c>
      <c r="B576" s="297">
        <f ca="1">IF($A576="",TODAY(),Transactions!G568)</f>
        <v>46216</v>
      </c>
      <c r="C576" t="str">
        <f>IF($A576="","",Transactions!A568)</f>
        <v/>
      </c>
      <c r="D576" s="30">
        <f>IF($A576="",0,Transactions!H568)</f>
        <v>0</v>
      </c>
      <c r="E576">
        <f>IF($A576="",1,IFERROR(INDEX(Prices[FX to SGD],MATCH($A576,Prices[Key],0)),1))</f>
        <v>1</v>
      </c>
      <c r="F576" s="30">
        <f>IF($A576="",0,(Transactions!M568-Transactions!L568+IF(Transactions!A568=2,Transactions!H568,0))*$E576)</f>
        <v>0</v>
      </c>
      <c r="G576" s="30">
        <f>IF($A576="",0,IF(Transactions!A568=2,Transactions!H568*$E576,0))</f>
        <v>0</v>
      </c>
    </row>
    <row r="577" spans="1:7" ht="15" customHeight="1" x14ac:dyDescent="0.15">
      <c r="A577" t="str">
        <f>IF(Transactions!J569="","",Transactions!J569)</f>
        <v/>
      </c>
      <c r="B577" s="297">
        <f ca="1">IF($A577="",TODAY(),Transactions!G569)</f>
        <v>46216</v>
      </c>
      <c r="C577" t="str">
        <f>IF($A577="","",Transactions!A569)</f>
        <v/>
      </c>
      <c r="D577" s="30">
        <f>IF($A577="",0,Transactions!H569)</f>
        <v>0</v>
      </c>
      <c r="E577">
        <f>IF($A577="",1,IFERROR(INDEX(Prices[FX to SGD],MATCH($A577,Prices[Key],0)),1))</f>
        <v>1</v>
      </c>
      <c r="F577" s="30">
        <f>IF($A577="",0,(Transactions!M569-Transactions!L569+IF(Transactions!A569=2,Transactions!H569,0))*$E577)</f>
        <v>0</v>
      </c>
      <c r="G577" s="30">
        <f>IF($A577="",0,IF(Transactions!A569=2,Transactions!H569*$E577,0))</f>
        <v>0</v>
      </c>
    </row>
    <row r="578" spans="1:7" ht="15" customHeight="1" x14ac:dyDescent="0.15">
      <c r="A578" t="str">
        <f>IF(Transactions!J570="","",Transactions!J570)</f>
        <v/>
      </c>
      <c r="B578" s="297">
        <f ca="1">IF($A578="",TODAY(),Transactions!G570)</f>
        <v>46216</v>
      </c>
      <c r="C578" t="str">
        <f>IF($A578="","",Transactions!A570)</f>
        <v/>
      </c>
      <c r="D578" s="30">
        <f>IF($A578="",0,Transactions!H570)</f>
        <v>0</v>
      </c>
      <c r="E578">
        <f>IF($A578="",1,IFERROR(INDEX(Prices[FX to SGD],MATCH($A578,Prices[Key],0)),1))</f>
        <v>1</v>
      </c>
      <c r="F578" s="30">
        <f>IF($A578="",0,(Transactions!M570-Transactions!L570+IF(Transactions!A570=2,Transactions!H570,0))*$E578)</f>
        <v>0</v>
      </c>
      <c r="G578" s="30">
        <f>IF($A578="",0,IF(Transactions!A570=2,Transactions!H570*$E578,0))</f>
        <v>0</v>
      </c>
    </row>
    <row r="579" spans="1:7" ht="15" customHeight="1" x14ac:dyDescent="0.15">
      <c r="A579" t="str">
        <f>IF(Transactions!J571="","",Transactions!J571)</f>
        <v/>
      </c>
      <c r="B579" s="297">
        <f ca="1">IF($A579="",TODAY(),Transactions!G571)</f>
        <v>46216</v>
      </c>
      <c r="C579" t="str">
        <f>IF($A579="","",Transactions!A571)</f>
        <v/>
      </c>
      <c r="D579" s="30">
        <f>IF($A579="",0,Transactions!H571)</f>
        <v>0</v>
      </c>
      <c r="E579">
        <f>IF($A579="",1,IFERROR(INDEX(Prices[FX to SGD],MATCH($A579,Prices[Key],0)),1))</f>
        <v>1</v>
      </c>
      <c r="F579" s="30">
        <f>IF($A579="",0,(Transactions!M571-Transactions!L571+IF(Transactions!A571=2,Transactions!H571,0))*$E579)</f>
        <v>0</v>
      </c>
      <c r="G579" s="30">
        <f>IF($A579="",0,IF(Transactions!A571=2,Transactions!H571*$E579,0))</f>
        <v>0</v>
      </c>
    </row>
    <row r="580" spans="1:7" ht="15" customHeight="1" x14ac:dyDescent="0.15">
      <c r="A580" t="str">
        <f>IF(Transactions!J572="","",Transactions!J572)</f>
        <v/>
      </c>
      <c r="B580" s="297">
        <f ca="1">IF($A580="",TODAY(),Transactions!G572)</f>
        <v>46216</v>
      </c>
      <c r="C580" t="str">
        <f>IF($A580="","",Transactions!A572)</f>
        <v/>
      </c>
      <c r="D580" s="30">
        <f>IF($A580="",0,Transactions!H572)</f>
        <v>0</v>
      </c>
      <c r="E580">
        <f>IF($A580="",1,IFERROR(INDEX(Prices[FX to SGD],MATCH($A580,Prices[Key],0)),1))</f>
        <v>1</v>
      </c>
      <c r="F580" s="30">
        <f>IF($A580="",0,(Transactions!M572-Transactions!L572+IF(Transactions!A572=2,Transactions!H572,0))*$E580)</f>
        <v>0</v>
      </c>
      <c r="G580" s="30">
        <f>IF($A580="",0,IF(Transactions!A572=2,Transactions!H572*$E580,0))</f>
        <v>0</v>
      </c>
    </row>
    <row r="581" spans="1:7" ht="15" customHeight="1" x14ac:dyDescent="0.15">
      <c r="A581" t="str">
        <f>IF(Transactions!J573="","",Transactions!J573)</f>
        <v/>
      </c>
      <c r="B581" s="297">
        <f ca="1">IF($A581="",TODAY(),Transactions!G573)</f>
        <v>46216</v>
      </c>
      <c r="C581" t="str">
        <f>IF($A581="","",Transactions!A573)</f>
        <v/>
      </c>
      <c r="D581" s="30">
        <f>IF($A581="",0,Transactions!H573)</f>
        <v>0</v>
      </c>
      <c r="E581">
        <f>IF($A581="",1,IFERROR(INDEX(Prices[FX to SGD],MATCH($A581,Prices[Key],0)),1))</f>
        <v>1</v>
      </c>
      <c r="F581" s="30">
        <f>IF($A581="",0,(Transactions!M573-Transactions!L573+IF(Transactions!A573=2,Transactions!H573,0))*$E581)</f>
        <v>0</v>
      </c>
      <c r="G581" s="30">
        <f>IF($A581="",0,IF(Transactions!A573=2,Transactions!H573*$E581,0))</f>
        <v>0</v>
      </c>
    </row>
    <row r="582" spans="1:7" ht="15" customHeight="1" x14ac:dyDescent="0.15">
      <c r="A582" t="str">
        <f>IF(Transactions!J574="","",Transactions!J574)</f>
        <v/>
      </c>
      <c r="B582" s="297">
        <f ca="1">IF($A582="",TODAY(),Transactions!G574)</f>
        <v>46216</v>
      </c>
      <c r="C582" t="str">
        <f>IF($A582="","",Transactions!A574)</f>
        <v/>
      </c>
      <c r="D582" s="30">
        <f>IF($A582="",0,Transactions!H574)</f>
        <v>0</v>
      </c>
      <c r="E582">
        <f>IF($A582="",1,IFERROR(INDEX(Prices[FX to SGD],MATCH($A582,Prices[Key],0)),1))</f>
        <v>1</v>
      </c>
      <c r="F582" s="30">
        <f>IF($A582="",0,(Transactions!M574-Transactions!L574+IF(Transactions!A574=2,Transactions!H574,0))*$E582)</f>
        <v>0</v>
      </c>
      <c r="G582" s="30">
        <f>IF($A582="",0,IF(Transactions!A574=2,Transactions!H574*$E582,0))</f>
        <v>0</v>
      </c>
    </row>
    <row r="583" spans="1:7" ht="15" customHeight="1" x14ac:dyDescent="0.15">
      <c r="A583" t="str">
        <f>IF(Transactions!J575="","",Transactions!J575)</f>
        <v/>
      </c>
      <c r="B583" s="297">
        <f ca="1">IF($A583="",TODAY(),Transactions!G575)</f>
        <v>46216</v>
      </c>
      <c r="C583" t="str">
        <f>IF($A583="","",Transactions!A575)</f>
        <v/>
      </c>
      <c r="D583" s="30">
        <f>IF($A583="",0,Transactions!H575)</f>
        <v>0</v>
      </c>
      <c r="E583">
        <f>IF($A583="",1,IFERROR(INDEX(Prices[FX to SGD],MATCH($A583,Prices[Key],0)),1))</f>
        <v>1</v>
      </c>
      <c r="F583" s="30">
        <f>IF($A583="",0,(Transactions!M575-Transactions!L575+IF(Transactions!A575=2,Transactions!H575,0))*$E583)</f>
        <v>0</v>
      </c>
      <c r="G583" s="30">
        <f>IF($A583="",0,IF(Transactions!A575=2,Transactions!H575*$E583,0))</f>
        <v>0</v>
      </c>
    </row>
    <row r="584" spans="1:7" ht="15" customHeight="1" x14ac:dyDescent="0.15">
      <c r="A584" t="str">
        <f>IF(Transactions!J576="","",Transactions!J576)</f>
        <v/>
      </c>
      <c r="B584" s="297">
        <f ca="1">IF($A584="",TODAY(),Transactions!G576)</f>
        <v>46216</v>
      </c>
      <c r="C584" t="str">
        <f>IF($A584="","",Transactions!A576)</f>
        <v/>
      </c>
      <c r="D584" s="30">
        <f>IF($A584="",0,Transactions!H576)</f>
        <v>0</v>
      </c>
      <c r="E584">
        <f>IF($A584="",1,IFERROR(INDEX(Prices[FX to SGD],MATCH($A584,Prices[Key],0)),1))</f>
        <v>1</v>
      </c>
      <c r="F584" s="30">
        <f>IF($A584="",0,(Transactions!M576-Transactions!L576+IF(Transactions!A576=2,Transactions!H576,0))*$E584)</f>
        <v>0</v>
      </c>
      <c r="G584" s="30">
        <f>IF($A584="",0,IF(Transactions!A576=2,Transactions!H576*$E584,0))</f>
        <v>0</v>
      </c>
    </row>
    <row r="585" spans="1:7" ht="15" customHeight="1" x14ac:dyDescent="0.15">
      <c r="A585" t="str">
        <f>IF(Transactions!J577="","",Transactions!J577)</f>
        <v/>
      </c>
      <c r="B585" s="297">
        <f ca="1">IF($A585="",TODAY(),Transactions!G577)</f>
        <v>46216</v>
      </c>
      <c r="C585" t="str">
        <f>IF($A585="","",Transactions!A577)</f>
        <v/>
      </c>
      <c r="D585" s="30">
        <f>IF($A585="",0,Transactions!H577)</f>
        <v>0</v>
      </c>
      <c r="E585">
        <f>IF($A585="",1,IFERROR(INDEX(Prices[FX to SGD],MATCH($A585,Prices[Key],0)),1))</f>
        <v>1</v>
      </c>
      <c r="F585" s="30">
        <f>IF($A585="",0,(Transactions!M577-Transactions!L577+IF(Transactions!A577=2,Transactions!H577,0))*$E585)</f>
        <v>0</v>
      </c>
      <c r="G585" s="30">
        <f>IF($A585="",0,IF(Transactions!A577=2,Transactions!H577*$E585,0))</f>
        <v>0</v>
      </c>
    </row>
    <row r="586" spans="1:7" ht="15" customHeight="1" x14ac:dyDescent="0.15">
      <c r="A586" t="str">
        <f>IF(Transactions!J578="","",Transactions!J578)</f>
        <v/>
      </c>
      <c r="B586" s="297">
        <f ca="1">IF($A586="",TODAY(),Transactions!G578)</f>
        <v>46216</v>
      </c>
      <c r="C586" t="str">
        <f>IF($A586="","",Transactions!A578)</f>
        <v/>
      </c>
      <c r="D586" s="30">
        <f>IF($A586="",0,Transactions!H578)</f>
        <v>0</v>
      </c>
      <c r="E586">
        <f>IF($A586="",1,IFERROR(INDEX(Prices[FX to SGD],MATCH($A586,Prices[Key],0)),1))</f>
        <v>1</v>
      </c>
      <c r="F586" s="30">
        <f>IF($A586="",0,(Transactions!M578-Transactions!L578+IF(Transactions!A578=2,Transactions!H578,0))*$E586)</f>
        <v>0</v>
      </c>
      <c r="G586" s="30">
        <f>IF($A586="",0,IF(Transactions!A578=2,Transactions!H578*$E586,0))</f>
        <v>0</v>
      </c>
    </row>
    <row r="587" spans="1:7" ht="15" customHeight="1" x14ac:dyDescent="0.15">
      <c r="A587" t="str">
        <f>IF(Transactions!J579="","",Transactions!J579)</f>
        <v/>
      </c>
      <c r="B587" s="297">
        <f ca="1">IF($A587="",TODAY(),Transactions!G579)</f>
        <v>46216</v>
      </c>
      <c r="C587" t="str">
        <f>IF($A587="","",Transactions!A579)</f>
        <v/>
      </c>
      <c r="D587" s="30">
        <f>IF($A587="",0,Transactions!H579)</f>
        <v>0</v>
      </c>
      <c r="E587">
        <f>IF($A587="",1,IFERROR(INDEX(Prices[FX to SGD],MATCH($A587,Prices[Key],0)),1))</f>
        <v>1</v>
      </c>
      <c r="F587" s="30">
        <f>IF($A587="",0,(Transactions!M579-Transactions!L579+IF(Transactions!A579=2,Transactions!H579,0))*$E587)</f>
        <v>0</v>
      </c>
      <c r="G587" s="30">
        <f>IF($A587="",0,IF(Transactions!A579=2,Transactions!H579*$E587,0))</f>
        <v>0</v>
      </c>
    </row>
    <row r="588" spans="1:7" ht="15" customHeight="1" x14ac:dyDescent="0.15">
      <c r="A588" t="str">
        <f>IF(Transactions!J580="","",Transactions!J580)</f>
        <v/>
      </c>
      <c r="B588" s="297">
        <f ca="1">IF($A588="",TODAY(),Transactions!G580)</f>
        <v>46216</v>
      </c>
      <c r="C588" t="str">
        <f>IF($A588="","",Transactions!A580)</f>
        <v/>
      </c>
      <c r="D588" s="30">
        <f>IF($A588="",0,Transactions!H580)</f>
        <v>0</v>
      </c>
      <c r="E588">
        <f>IF($A588="",1,IFERROR(INDEX(Prices[FX to SGD],MATCH($A588,Prices[Key],0)),1))</f>
        <v>1</v>
      </c>
      <c r="F588" s="30">
        <f>IF($A588="",0,(Transactions!M580-Transactions!L580+IF(Transactions!A580=2,Transactions!H580,0))*$E588)</f>
        <v>0</v>
      </c>
      <c r="G588" s="30">
        <f>IF($A588="",0,IF(Transactions!A580=2,Transactions!H580*$E588,0))</f>
        <v>0</v>
      </c>
    </row>
    <row r="589" spans="1:7" ht="15" customHeight="1" x14ac:dyDescent="0.15">
      <c r="A589" t="str">
        <f>IF(Transactions!J581="","",Transactions!J581)</f>
        <v/>
      </c>
      <c r="B589" s="297">
        <f ca="1">IF($A589="",TODAY(),Transactions!G581)</f>
        <v>46216</v>
      </c>
      <c r="C589" t="str">
        <f>IF($A589="","",Transactions!A581)</f>
        <v/>
      </c>
      <c r="D589" s="30">
        <f>IF($A589="",0,Transactions!H581)</f>
        <v>0</v>
      </c>
      <c r="E589">
        <f>IF($A589="",1,IFERROR(INDEX(Prices[FX to SGD],MATCH($A589,Prices[Key],0)),1))</f>
        <v>1</v>
      </c>
      <c r="F589" s="30">
        <f>IF($A589="",0,(Transactions!M581-Transactions!L581+IF(Transactions!A581=2,Transactions!H581,0))*$E589)</f>
        <v>0</v>
      </c>
      <c r="G589" s="30">
        <f>IF($A589="",0,IF(Transactions!A581=2,Transactions!H581*$E589,0))</f>
        <v>0</v>
      </c>
    </row>
    <row r="590" spans="1:7" ht="15" customHeight="1" x14ac:dyDescent="0.15">
      <c r="A590" t="str">
        <f>IF(Transactions!J582="","",Transactions!J582)</f>
        <v/>
      </c>
      <c r="B590" s="297">
        <f ca="1">IF($A590="",TODAY(),Transactions!G582)</f>
        <v>46216</v>
      </c>
      <c r="C590" t="str">
        <f>IF($A590="","",Transactions!A582)</f>
        <v/>
      </c>
      <c r="D590" s="30">
        <f>IF($A590="",0,Transactions!H582)</f>
        <v>0</v>
      </c>
      <c r="E590">
        <f>IF($A590="",1,IFERROR(INDEX(Prices[FX to SGD],MATCH($A590,Prices[Key],0)),1))</f>
        <v>1</v>
      </c>
      <c r="F590" s="30">
        <f>IF($A590="",0,(Transactions!M582-Transactions!L582+IF(Transactions!A582=2,Transactions!H582,0))*$E590)</f>
        <v>0</v>
      </c>
      <c r="G590" s="30">
        <f>IF($A590="",0,IF(Transactions!A582=2,Transactions!H582*$E590,0))</f>
        <v>0</v>
      </c>
    </row>
    <row r="591" spans="1:7" ht="15" customHeight="1" x14ac:dyDescent="0.15">
      <c r="A591" t="str">
        <f>IF(Transactions!J583="","",Transactions!J583)</f>
        <v/>
      </c>
      <c r="B591" s="297">
        <f ca="1">IF($A591="",TODAY(),Transactions!G583)</f>
        <v>46216</v>
      </c>
      <c r="C591" t="str">
        <f>IF($A591="","",Transactions!A583)</f>
        <v/>
      </c>
      <c r="D591" s="30">
        <f>IF($A591="",0,Transactions!H583)</f>
        <v>0</v>
      </c>
      <c r="E591">
        <f>IF($A591="",1,IFERROR(INDEX(Prices[FX to SGD],MATCH($A591,Prices[Key],0)),1))</f>
        <v>1</v>
      </c>
      <c r="F591" s="30">
        <f>IF($A591="",0,(Transactions!M583-Transactions!L583+IF(Transactions!A583=2,Transactions!H583,0))*$E591)</f>
        <v>0</v>
      </c>
      <c r="G591" s="30">
        <f>IF($A591="",0,IF(Transactions!A583=2,Transactions!H583*$E591,0))</f>
        <v>0</v>
      </c>
    </row>
    <row r="592" spans="1:7" ht="15" customHeight="1" x14ac:dyDescent="0.15">
      <c r="A592" t="str">
        <f>IF(Transactions!J584="","",Transactions!J584)</f>
        <v/>
      </c>
      <c r="B592" s="297">
        <f ca="1">IF($A592="",TODAY(),Transactions!G584)</f>
        <v>46216</v>
      </c>
      <c r="C592" t="str">
        <f>IF($A592="","",Transactions!A584)</f>
        <v/>
      </c>
      <c r="D592" s="30">
        <f>IF($A592="",0,Transactions!H584)</f>
        <v>0</v>
      </c>
      <c r="E592">
        <f>IF($A592="",1,IFERROR(INDEX(Prices[FX to SGD],MATCH($A592,Prices[Key],0)),1))</f>
        <v>1</v>
      </c>
      <c r="F592" s="30">
        <f>IF($A592="",0,(Transactions!M584-Transactions!L584+IF(Transactions!A584=2,Transactions!H584,0))*$E592)</f>
        <v>0</v>
      </c>
      <c r="G592" s="30">
        <f>IF($A592="",0,IF(Transactions!A584=2,Transactions!H584*$E592,0))</f>
        <v>0</v>
      </c>
    </row>
    <row r="593" spans="1:7" ht="15" customHeight="1" x14ac:dyDescent="0.15">
      <c r="A593" t="str">
        <f>IF(Transactions!J585="","",Transactions!J585)</f>
        <v/>
      </c>
      <c r="B593" s="297">
        <f ca="1">IF($A593="",TODAY(),Transactions!G585)</f>
        <v>46216</v>
      </c>
      <c r="C593" t="str">
        <f>IF($A593="","",Transactions!A585)</f>
        <v/>
      </c>
      <c r="D593" s="30">
        <f>IF($A593="",0,Transactions!H585)</f>
        <v>0</v>
      </c>
      <c r="E593">
        <f>IF($A593="",1,IFERROR(INDEX(Prices[FX to SGD],MATCH($A593,Prices[Key],0)),1))</f>
        <v>1</v>
      </c>
      <c r="F593" s="30">
        <f>IF($A593="",0,(Transactions!M585-Transactions!L585+IF(Transactions!A585=2,Transactions!H585,0))*$E593)</f>
        <v>0</v>
      </c>
      <c r="G593" s="30">
        <f>IF($A593="",0,IF(Transactions!A585=2,Transactions!H585*$E593,0))</f>
        <v>0</v>
      </c>
    </row>
    <row r="594" spans="1:7" ht="15" customHeight="1" x14ac:dyDescent="0.15">
      <c r="A594" t="str">
        <f>IF(Transactions!J586="","",Transactions!J586)</f>
        <v/>
      </c>
      <c r="B594" s="297">
        <f ca="1">IF($A594="",TODAY(),Transactions!G586)</f>
        <v>46216</v>
      </c>
      <c r="C594" t="str">
        <f>IF($A594="","",Transactions!A586)</f>
        <v/>
      </c>
      <c r="D594" s="30">
        <f>IF($A594="",0,Transactions!H586)</f>
        <v>0</v>
      </c>
      <c r="E594">
        <f>IF($A594="",1,IFERROR(INDEX(Prices[FX to SGD],MATCH($A594,Prices[Key],0)),1))</f>
        <v>1</v>
      </c>
      <c r="F594" s="30">
        <f>IF($A594="",0,(Transactions!M586-Transactions!L586+IF(Transactions!A586=2,Transactions!H586,0))*$E594)</f>
        <v>0</v>
      </c>
      <c r="G594" s="30">
        <f>IF($A594="",0,IF(Transactions!A586=2,Transactions!H586*$E594,0))</f>
        <v>0</v>
      </c>
    </row>
    <row r="595" spans="1:7" ht="15" customHeight="1" x14ac:dyDescent="0.15">
      <c r="A595" t="str">
        <f>IF(Transactions!J587="","",Transactions!J587)</f>
        <v/>
      </c>
      <c r="B595" s="297">
        <f ca="1">IF($A595="",TODAY(),Transactions!G587)</f>
        <v>46216</v>
      </c>
      <c r="C595" t="str">
        <f>IF($A595="","",Transactions!A587)</f>
        <v/>
      </c>
      <c r="D595" s="30">
        <f>IF($A595="",0,Transactions!H587)</f>
        <v>0</v>
      </c>
      <c r="E595">
        <f>IF($A595="",1,IFERROR(INDEX(Prices[FX to SGD],MATCH($A595,Prices[Key],0)),1))</f>
        <v>1</v>
      </c>
      <c r="F595" s="30">
        <f>IF($A595="",0,(Transactions!M587-Transactions!L587+IF(Transactions!A587=2,Transactions!H587,0))*$E595)</f>
        <v>0</v>
      </c>
      <c r="G595" s="30">
        <f>IF($A595="",0,IF(Transactions!A587=2,Transactions!H587*$E595,0))</f>
        <v>0</v>
      </c>
    </row>
    <row r="596" spans="1:7" ht="15" customHeight="1" x14ac:dyDescent="0.15">
      <c r="A596" t="str">
        <f>IF(Transactions!J588="","",Transactions!J588)</f>
        <v/>
      </c>
      <c r="B596" s="297">
        <f ca="1">IF($A596="",TODAY(),Transactions!G588)</f>
        <v>46216</v>
      </c>
      <c r="C596" t="str">
        <f>IF($A596="","",Transactions!A588)</f>
        <v/>
      </c>
      <c r="D596" s="30">
        <f>IF($A596="",0,Transactions!H588)</f>
        <v>0</v>
      </c>
      <c r="E596">
        <f>IF($A596="",1,IFERROR(INDEX(Prices[FX to SGD],MATCH($A596,Prices[Key],0)),1))</f>
        <v>1</v>
      </c>
      <c r="F596" s="30">
        <f>IF($A596="",0,(Transactions!M588-Transactions!L588+IF(Transactions!A588=2,Transactions!H588,0))*$E596)</f>
        <v>0</v>
      </c>
      <c r="G596" s="30">
        <f>IF($A596="",0,IF(Transactions!A588=2,Transactions!H588*$E596,0))</f>
        <v>0</v>
      </c>
    </row>
    <row r="597" spans="1:7" ht="15" customHeight="1" x14ac:dyDescent="0.15">
      <c r="A597" t="str">
        <f>IF(Transactions!J589="","",Transactions!J589)</f>
        <v/>
      </c>
      <c r="B597" s="297">
        <f ca="1">IF($A597="",TODAY(),Transactions!G589)</f>
        <v>46216</v>
      </c>
      <c r="C597" t="str">
        <f>IF($A597="","",Transactions!A589)</f>
        <v/>
      </c>
      <c r="D597" s="30">
        <f>IF($A597="",0,Transactions!H589)</f>
        <v>0</v>
      </c>
      <c r="E597">
        <f>IF($A597="",1,IFERROR(INDEX(Prices[FX to SGD],MATCH($A597,Prices[Key],0)),1))</f>
        <v>1</v>
      </c>
      <c r="F597" s="30">
        <f>IF($A597="",0,(Transactions!M589-Transactions!L589+IF(Transactions!A589=2,Transactions!H589,0))*$E597)</f>
        <v>0</v>
      </c>
      <c r="G597" s="30">
        <f>IF($A597="",0,IF(Transactions!A589=2,Transactions!H589*$E597,0))</f>
        <v>0</v>
      </c>
    </row>
    <row r="598" spans="1:7" ht="15" customHeight="1" x14ac:dyDescent="0.15">
      <c r="A598" t="str">
        <f>IF(Transactions!J590="","",Transactions!J590)</f>
        <v/>
      </c>
      <c r="B598" s="297">
        <f ca="1">IF($A598="",TODAY(),Transactions!G590)</f>
        <v>46216</v>
      </c>
      <c r="C598" t="str">
        <f>IF($A598="","",Transactions!A590)</f>
        <v/>
      </c>
      <c r="D598" s="30">
        <f>IF($A598="",0,Transactions!H590)</f>
        <v>0</v>
      </c>
      <c r="E598">
        <f>IF($A598="",1,IFERROR(INDEX(Prices[FX to SGD],MATCH($A598,Prices[Key],0)),1))</f>
        <v>1</v>
      </c>
      <c r="F598" s="30">
        <f>IF($A598="",0,(Transactions!M590-Transactions!L590+IF(Transactions!A590=2,Transactions!H590,0))*$E598)</f>
        <v>0</v>
      </c>
      <c r="G598" s="30">
        <f>IF($A598="",0,IF(Transactions!A590=2,Transactions!H590*$E598,0))</f>
        <v>0</v>
      </c>
    </row>
    <row r="599" spans="1:7" ht="15" customHeight="1" x14ac:dyDescent="0.15">
      <c r="A599" t="str">
        <f>IF(Transactions!J591="","",Transactions!J591)</f>
        <v/>
      </c>
      <c r="B599" s="297">
        <f ca="1">IF($A599="",TODAY(),Transactions!G591)</f>
        <v>46216</v>
      </c>
      <c r="C599" t="str">
        <f>IF($A599="","",Transactions!A591)</f>
        <v/>
      </c>
      <c r="D599" s="30">
        <f>IF($A599="",0,Transactions!H591)</f>
        <v>0</v>
      </c>
      <c r="E599">
        <f>IF($A599="",1,IFERROR(INDEX(Prices[FX to SGD],MATCH($A599,Prices[Key],0)),1))</f>
        <v>1</v>
      </c>
      <c r="F599" s="30">
        <f>IF($A599="",0,(Transactions!M591-Transactions!L591+IF(Transactions!A591=2,Transactions!H591,0))*$E599)</f>
        <v>0</v>
      </c>
      <c r="G599" s="30">
        <f>IF($A599="",0,IF(Transactions!A591=2,Transactions!H591*$E599,0))</f>
        <v>0</v>
      </c>
    </row>
    <row r="600" spans="1:7" ht="15" customHeight="1" x14ac:dyDescent="0.15">
      <c r="A600" t="str">
        <f>IF(Transactions!J592="","",Transactions!J592)</f>
        <v/>
      </c>
      <c r="B600" s="297">
        <f ca="1">IF($A600="",TODAY(),Transactions!G592)</f>
        <v>46216</v>
      </c>
      <c r="C600" t="str">
        <f>IF($A600="","",Transactions!A592)</f>
        <v/>
      </c>
      <c r="D600" s="30">
        <f>IF($A600="",0,Transactions!H592)</f>
        <v>0</v>
      </c>
      <c r="E600">
        <f>IF($A600="",1,IFERROR(INDEX(Prices[FX to SGD],MATCH($A600,Prices[Key],0)),1))</f>
        <v>1</v>
      </c>
      <c r="F600" s="30">
        <f>IF($A600="",0,(Transactions!M592-Transactions!L592+IF(Transactions!A592=2,Transactions!H592,0))*$E600)</f>
        <v>0</v>
      </c>
      <c r="G600" s="30">
        <f>IF($A600="",0,IF(Transactions!A592=2,Transactions!H592*$E600,0))</f>
        <v>0</v>
      </c>
    </row>
    <row r="601" spans="1:7" ht="15" customHeight="1" x14ac:dyDescent="0.15">
      <c r="A601" t="str">
        <f>IF(Transactions!J593="","",Transactions!J593)</f>
        <v/>
      </c>
      <c r="B601" s="297">
        <f ca="1">IF($A601="",TODAY(),Transactions!G593)</f>
        <v>46216</v>
      </c>
      <c r="C601" t="str">
        <f>IF($A601="","",Transactions!A593)</f>
        <v/>
      </c>
      <c r="D601" s="30">
        <f>IF($A601="",0,Transactions!H593)</f>
        <v>0</v>
      </c>
      <c r="E601">
        <f>IF($A601="",1,IFERROR(INDEX(Prices[FX to SGD],MATCH($A601,Prices[Key],0)),1))</f>
        <v>1</v>
      </c>
      <c r="F601" s="30">
        <f>IF($A601="",0,(Transactions!M593-Transactions!L593+IF(Transactions!A593=2,Transactions!H593,0))*$E601)</f>
        <v>0</v>
      </c>
      <c r="G601" s="30">
        <f>IF($A601="",0,IF(Transactions!A593=2,Transactions!H593*$E601,0))</f>
        <v>0</v>
      </c>
    </row>
    <row r="602" spans="1:7" ht="15" customHeight="1" x14ac:dyDescent="0.15">
      <c r="A602" t="str">
        <f>IF(Transactions!J594="","",Transactions!J594)</f>
        <v/>
      </c>
      <c r="B602" s="297">
        <f ca="1">IF($A602="",TODAY(),Transactions!G594)</f>
        <v>46216</v>
      </c>
      <c r="C602" t="str">
        <f>IF($A602="","",Transactions!A594)</f>
        <v/>
      </c>
      <c r="D602" s="30">
        <f>IF($A602="",0,Transactions!H594)</f>
        <v>0</v>
      </c>
      <c r="E602">
        <f>IF($A602="",1,IFERROR(INDEX(Prices[FX to SGD],MATCH($A602,Prices[Key],0)),1))</f>
        <v>1</v>
      </c>
      <c r="F602" s="30">
        <f>IF($A602="",0,(Transactions!M594-Transactions!L594+IF(Transactions!A594=2,Transactions!H594,0))*$E602)</f>
        <v>0</v>
      </c>
      <c r="G602" s="30">
        <f>IF($A602="",0,IF(Transactions!A594=2,Transactions!H594*$E602,0))</f>
        <v>0</v>
      </c>
    </row>
    <row r="603" spans="1:7" ht="15" customHeight="1" x14ac:dyDescent="0.15">
      <c r="A603" t="str">
        <f>IF(Transactions!J595="","",Transactions!J595)</f>
        <v/>
      </c>
      <c r="B603" s="297">
        <f ca="1">IF($A603="",TODAY(),Transactions!G595)</f>
        <v>46216</v>
      </c>
      <c r="C603" t="str">
        <f>IF($A603="","",Transactions!A595)</f>
        <v/>
      </c>
      <c r="D603" s="30">
        <f>IF($A603="",0,Transactions!H595)</f>
        <v>0</v>
      </c>
      <c r="E603">
        <f>IF($A603="",1,IFERROR(INDEX(Prices[FX to SGD],MATCH($A603,Prices[Key],0)),1))</f>
        <v>1</v>
      </c>
      <c r="F603" s="30">
        <f>IF($A603="",0,(Transactions!M595-Transactions!L595+IF(Transactions!A595=2,Transactions!H595,0))*$E603)</f>
        <v>0</v>
      </c>
      <c r="G603" s="30">
        <f>IF($A603="",0,IF(Transactions!A595=2,Transactions!H595*$E603,0))</f>
        <v>0</v>
      </c>
    </row>
    <row r="604" spans="1:7" ht="15" customHeight="1" x14ac:dyDescent="0.15">
      <c r="A604" t="str">
        <f>IF(Transactions!J596="","",Transactions!J596)</f>
        <v/>
      </c>
      <c r="B604" s="297">
        <f ca="1">IF($A604="",TODAY(),Transactions!G596)</f>
        <v>46216</v>
      </c>
      <c r="C604" t="str">
        <f>IF($A604="","",Transactions!A596)</f>
        <v/>
      </c>
      <c r="D604" s="30">
        <f>IF($A604="",0,Transactions!H596)</f>
        <v>0</v>
      </c>
      <c r="E604">
        <f>IF($A604="",1,IFERROR(INDEX(Prices[FX to SGD],MATCH($A604,Prices[Key],0)),1))</f>
        <v>1</v>
      </c>
      <c r="F604" s="30">
        <f>IF($A604="",0,(Transactions!M596-Transactions!L596+IF(Transactions!A596=2,Transactions!H596,0))*$E604)</f>
        <v>0</v>
      </c>
      <c r="G604" s="30">
        <f>IF($A604="",0,IF(Transactions!A596=2,Transactions!H596*$E604,0))</f>
        <v>0</v>
      </c>
    </row>
    <row r="605" spans="1:7" ht="15" customHeight="1" x14ac:dyDescent="0.15">
      <c r="A605" t="str">
        <f>IF(Transactions!J597="","",Transactions!J597)</f>
        <v/>
      </c>
      <c r="B605" s="297">
        <f ca="1">IF($A605="",TODAY(),Transactions!G597)</f>
        <v>46216</v>
      </c>
      <c r="C605" t="str">
        <f>IF($A605="","",Transactions!A597)</f>
        <v/>
      </c>
      <c r="D605" s="30">
        <f>IF($A605="",0,Transactions!H597)</f>
        <v>0</v>
      </c>
      <c r="E605">
        <f>IF($A605="",1,IFERROR(INDEX(Prices[FX to SGD],MATCH($A605,Prices[Key],0)),1))</f>
        <v>1</v>
      </c>
      <c r="F605" s="30">
        <f>IF($A605="",0,(Transactions!M597-Transactions!L597+IF(Transactions!A597=2,Transactions!H597,0))*$E605)</f>
        <v>0</v>
      </c>
      <c r="G605" s="30">
        <f>IF($A605="",0,IF(Transactions!A597=2,Transactions!H597*$E605,0))</f>
        <v>0</v>
      </c>
    </row>
    <row r="606" spans="1:7" ht="15" customHeight="1" x14ac:dyDescent="0.15">
      <c r="A606" t="str">
        <f>IF(Transactions!J598="","",Transactions!J598)</f>
        <v/>
      </c>
      <c r="B606" s="297">
        <f ca="1">IF($A606="",TODAY(),Transactions!G598)</f>
        <v>46216</v>
      </c>
      <c r="C606" t="str">
        <f>IF($A606="","",Transactions!A598)</f>
        <v/>
      </c>
      <c r="D606" s="30">
        <f>IF($A606="",0,Transactions!H598)</f>
        <v>0</v>
      </c>
      <c r="E606">
        <f>IF($A606="",1,IFERROR(INDEX(Prices[FX to SGD],MATCH($A606,Prices[Key],0)),1))</f>
        <v>1</v>
      </c>
      <c r="F606" s="30">
        <f>IF($A606="",0,(Transactions!M598-Transactions!L598+IF(Transactions!A598=2,Transactions!H598,0))*$E606)</f>
        <v>0</v>
      </c>
      <c r="G606" s="30">
        <f>IF($A606="",0,IF(Transactions!A598=2,Transactions!H598*$E606,0))</f>
        <v>0</v>
      </c>
    </row>
    <row r="607" spans="1:7" ht="15" customHeight="1" x14ac:dyDescent="0.15">
      <c r="A607" t="str">
        <f>IF(Transactions!J599="","",Transactions!J599)</f>
        <v/>
      </c>
      <c r="B607" s="297">
        <f ca="1">IF($A607="",TODAY(),Transactions!G599)</f>
        <v>46216</v>
      </c>
      <c r="C607" t="str">
        <f>IF($A607="","",Transactions!A599)</f>
        <v/>
      </c>
      <c r="D607" s="30">
        <f>IF($A607="",0,Transactions!H599)</f>
        <v>0</v>
      </c>
      <c r="E607">
        <f>IF($A607="",1,IFERROR(INDEX(Prices[FX to SGD],MATCH($A607,Prices[Key],0)),1))</f>
        <v>1</v>
      </c>
      <c r="F607" s="30">
        <f>IF($A607="",0,(Transactions!M599-Transactions!L599+IF(Transactions!A599=2,Transactions!H599,0))*$E607)</f>
        <v>0</v>
      </c>
      <c r="G607" s="30">
        <f>IF($A607="",0,IF(Transactions!A599=2,Transactions!H599*$E607,0))</f>
        <v>0</v>
      </c>
    </row>
    <row r="608" spans="1:7" ht="15" customHeight="1" x14ac:dyDescent="0.15">
      <c r="A608" t="str">
        <f>IF(Transactions!J600="","",Transactions!J600)</f>
        <v/>
      </c>
      <c r="B608" s="297">
        <f ca="1">IF($A608="",TODAY(),Transactions!G600)</f>
        <v>46216</v>
      </c>
      <c r="C608" t="str">
        <f>IF($A608="","",Transactions!A600)</f>
        <v/>
      </c>
      <c r="D608" s="30">
        <f>IF($A608="",0,Transactions!H600)</f>
        <v>0</v>
      </c>
      <c r="E608">
        <f>IF($A608="",1,IFERROR(INDEX(Prices[FX to SGD],MATCH($A608,Prices[Key],0)),1))</f>
        <v>1</v>
      </c>
      <c r="F608" s="30">
        <f>IF($A608="",0,(Transactions!M600-Transactions!L600+IF(Transactions!A600=2,Transactions!H600,0))*$E608)</f>
        <v>0</v>
      </c>
      <c r="G608" s="30">
        <f>IF($A608="",0,IF(Transactions!A600=2,Transactions!H600*$E608,0))</f>
        <v>0</v>
      </c>
    </row>
    <row r="609" spans="1:7" ht="15" customHeight="1" x14ac:dyDescent="0.15">
      <c r="A609" t="str">
        <f>IF(Transactions!J601="","",Transactions!J601)</f>
        <v/>
      </c>
      <c r="B609" s="297">
        <f ca="1">IF($A609="",TODAY(),Transactions!G601)</f>
        <v>46216</v>
      </c>
      <c r="C609" t="str">
        <f>IF($A609="","",Transactions!A601)</f>
        <v/>
      </c>
      <c r="D609" s="30">
        <f>IF($A609="",0,Transactions!H601)</f>
        <v>0</v>
      </c>
      <c r="E609">
        <f>IF($A609="",1,IFERROR(INDEX(Prices[FX to SGD],MATCH($A609,Prices[Key],0)),1))</f>
        <v>1</v>
      </c>
      <c r="F609" s="30">
        <f>IF($A609="",0,(Transactions!M601-Transactions!L601+IF(Transactions!A601=2,Transactions!H601,0))*$E609)</f>
        <v>0</v>
      </c>
      <c r="G609" s="30">
        <f>IF($A609="",0,IF(Transactions!A601=2,Transactions!H601*$E609,0))</f>
        <v>0</v>
      </c>
    </row>
    <row r="610" spans="1:7" ht="15" customHeight="1" x14ac:dyDescent="0.15">
      <c r="A610" t="str">
        <f>IF(Transactions!J602="","",Transactions!J602)</f>
        <v/>
      </c>
      <c r="B610" s="297">
        <f ca="1">IF($A610="",TODAY(),Transactions!G602)</f>
        <v>46216</v>
      </c>
      <c r="C610" t="str">
        <f>IF($A610="","",Transactions!A602)</f>
        <v/>
      </c>
      <c r="D610" s="30">
        <f>IF($A610="",0,Transactions!H602)</f>
        <v>0</v>
      </c>
      <c r="E610">
        <f>IF($A610="",1,IFERROR(INDEX(Prices[FX to SGD],MATCH($A610,Prices[Key],0)),1))</f>
        <v>1</v>
      </c>
      <c r="F610" s="30">
        <f>IF($A610="",0,(Transactions!M602-Transactions!L602+IF(Transactions!A602=2,Transactions!H602,0))*$E610)</f>
        <v>0</v>
      </c>
      <c r="G610" s="30">
        <f>IF($A610="",0,IF(Transactions!A602=2,Transactions!H602*$E610,0))</f>
        <v>0</v>
      </c>
    </row>
    <row r="611" spans="1:7" ht="15" customHeight="1" x14ac:dyDescent="0.15">
      <c r="A611" t="str">
        <f>IF(Transactions!J603="","",Transactions!J603)</f>
        <v/>
      </c>
      <c r="B611" s="297">
        <f ca="1">IF($A611="",TODAY(),Transactions!G603)</f>
        <v>46216</v>
      </c>
      <c r="C611" t="str">
        <f>IF($A611="","",Transactions!A603)</f>
        <v/>
      </c>
      <c r="D611" s="30">
        <f>IF($A611="",0,Transactions!H603)</f>
        <v>0</v>
      </c>
      <c r="E611">
        <f>IF($A611="",1,IFERROR(INDEX(Prices[FX to SGD],MATCH($A611,Prices[Key],0)),1))</f>
        <v>1</v>
      </c>
      <c r="F611" s="30">
        <f>IF($A611="",0,(Transactions!M603-Transactions!L603+IF(Transactions!A603=2,Transactions!H603,0))*$E611)</f>
        <v>0</v>
      </c>
      <c r="G611" s="30">
        <f>IF($A611="",0,IF(Transactions!A603=2,Transactions!H603*$E611,0))</f>
        <v>0</v>
      </c>
    </row>
    <row r="612" spans="1:7" ht="15" customHeight="1" x14ac:dyDescent="0.15">
      <c r="A612" t="str">
        <f>IF(Transactions!J604="","",Transactions!J604)</f>
        <v/>
      </c>
      <c r="B612" s="297">
        <f ca="1">IF($A612="",TODAY(),Transactions!G604)</f>
        <v>46216</v>
      </c>
      <c r="C612" t="str">
        <f>IF($A612="","",Transactions!A604)</f>
        <v/>
      </c>
      <c r="D612" s="30">
        <f>IF($A612="",0,Transactions!H604)</f>
        <v>0</v>
      </c>
      <c r="E612">
        <f>IF($A612="",1,IFERROR(INDEX(Prices[FX to SGD],MATCH($A612,Prices[Key],0)),1))</f>
        <v>1</v>
      </c>
      <c r="F612" s="30">
        <f>IF($A612="",0,(Transactions!M604-Transactions!L604+IF(Transactions!A604=2,Transactions!H604,0))*$E612)</f>
        <v>0</v>
      </c>
      <c r="G612" s="30">
        <f>IF($A612="",0,IF(Transactions!A604=2,Transactions!H604*$E612,0))</f>
        <v>0</v>
      </c>
    </row>
    <row r="613" spans="1:7" ht="15" customHeight="1" x14ac:dyDescent="0.15">
      <c r="A613" t="str">
        <f>IF(Transactions!J605="","",Transactions!J605)</f>
        <v/>
      </c>
      <c r="B613" s="297">
        <f ca="1">IF($A613="",TODAY(),Transactions!G605)</f>
        <v>46216</v>
      </c>
      <c r="C613" t="str">
        <f>IF($A613="","",Transactions!A605)</f>
        <v/>
      </c>
      <c r="D613" s="30">
        <f>IF($A613="",0,Transactions!H605)</f>
        <v>0</v>
      </c>
      <c r="E613">
        <f>IF($A613="",1,IFERROR(INDEX(Prices[FX to SGD],MATCH($A613,Prices[Key],0)),1))</f>
        <v>1</v>
      </c>
      <c r="F613" s="30">
        <f>IF($A613="",0,(Transactions!M605-Transactions!L605+IF(Transactions!A605=2,Transactions!H605,0))*$E613)</f>
        <v>0</v>
      </c>
      <c r="G613" s="30">
        <f>IF($A613="",0,IF(Transactions!A605=2,Transactions!H605*$E613,0))</f>
        <v>0</v>
      </c>
    </row>
    <row r="614" spans="1:7" ht="15" customHeight="1" x14ac:dyDescent="0.15">
      <c r="A614" t="str">
        <f>IF(Transactions!J606="","",Transactions!J606)</f>
        <v/>
      </c>
      <c r="B614" s="297">
        <f ca="1">IF($A614="",TODAY(),Transactions!G606)</f>
        <v>46216</v>
      </c>
      <c r="C614" t="str">
        <f>IF($A614="","",Transactions!A606)</f>
        <v/>
      </c>
      <c r="D614" s="30">
        <f>IF($A614="",0,Transactions!H606)</f>
        <v>0</v>
      </c>
      <c r="E614">
        <f>IF($A614="",1,IFERROR(INDEX(Prices[FX to SGD],MATCH($A614,Prices[Key],0)),1))</f>
        <v>1</v>
      </c>
      <c r="F614" s="30">
        <f>IF($A614="",0,(Transactions!M606-Transactions!L606+IF(Transactions!A606=2,Transactions!H606,0))*$E614)</f>
        <v>0</v>
      </c>
      <c r="G614" s="30">
        <f>IF($A614="",0,IF(Transactions!A606=2,Transactions!H606*$E614,0))</f>
        <v>0</v>
      </c>
    </row>
    <row r="615" spans="1:7" ht="15" customHeight="1" x14ac:dyDescent="0.15">
      <c r="A615" t="str">
        <f>IF(Transactions!J607="","",Transactions!J607)</f>
        <v/>
      </c>
      <c r="B615" s="297">
        <f ca="1">IF($A615="",TODAY(),Transactions!G607)</f>
        <v>46216</v>
      </c>
      <c r="C615" t="str">
        <f>IF($A615="","",Transactions!A607)</f>
        <v/>
      </c>
      <c r="D615" s="30">
        <f>IF($A615="",0,Transactions!H607)</f>
        <v>0</v>
      </c>
      <c r="E615">
        <f>IF($A615="",1,IFERROR(INDEX(Prices[FX to SGD],MATCH($A615,Prices[Key],0)),1))</f>
        <v>1</v>
      </c>
      <c r="F615" s="30">
        <f>IF($A615="",0,(Transactions!M607-Transactions!L607+IF(Transactions!A607=2,Transactions!H607,0))*$E615)</f>
        <v>0</v>
      </c>
      <c r="G615" s="30">
        <f>IF($A615="",0,IF(Transactions!A607=2,Transactions!H607*$E615,0))</f>
        <v>0</v>
      </c>
    </row>
    <row r="616" spans="1:7" ht="15" customHeight="1" x14ac:dyDescent="0.15">
      <c r="A616" t="str">
        <f>IF(Transactions!J608="","",Transactions!J608)</f>
        <v/>
      </c>
      <c r="B616" s="297">
        <f ca="1">IF($A616="",TODAY(),Transactions!G608)</f>
        <v>46216</v>
      </c>
      <c r="C616" t="str">
        <f>IF($A616="","",Transactions!A608)</f>
        <v/>
      </c>
      <c r="D616" s="30">
        <f>IF($A616="",0,Transactions!H608)</f>
        <v>0</v>
      </c>
      <c r="E616">
        <f>IF($A616="",1,IFERROR(INDEX(Prices[FX to SGD],MATCH($A616,Prices[Key],0)),1))</f>
        <v>1</v>
      </c>
      <c r="F616" s="30">
        <f>IF($A616="",0,(Transactions!M608-Transactions!L608+IF(Transactions!A608=2,Transactions!H608,0))*$E616)</f>
        <v>0</v>
      </c>
      <c r="G616" s="30">
        <f>IF($A616="",0,IF(Transactions!A608=2,Transactions!H608*$E616,0))</f>
        <v>0</v>
      </c>
    </row>
    <row r="617" spans="1:7" ht="15" customHeight="1" x14ac:dyDescent="0.15">
      <c r="A617" t="str">
        <f>IF(Transactions!J609="","",Transactions!J609)</f>
        <v/>
      </c>
      <c r="B617" s="297">
        <f ca="1">IF($A617="",TODAY(),Transactions!G609)</f>
        <v>46216</v>
      </c>
      <c r="C617" t="str">
        <f>IF($A617="","",Transactions!A609)</f>
        <v/>
      </c>
      <c r="D617" s="30">
        <f>IF($A617="",0,Transactions!H609)</f>
        <v>0</v>
      </c>
      <c r="E617">
        <f>IF($A617="",1,IFERROR(INDEX(Prices[FX to SGD],MATCH($A617,Prices[Key],0)),1))</f>
        <v>1</v>
      </c>
      <c r="F617" s="30">
        <f>IF($A617="",0,(Transactions!M609-Transactions!L609+IF(Transactions!A609=2,Transactions!H609,0))*$E617)</f>
        <v>0</v>
      </c>
      <c r="G617" s="30">
        <f>IF($A617="",0,IF(Transactions!A609=2,Transactions!H609*$E617,0))</f>
        <v>0</v>
      </c>
    </row>
    <row r="618" spans="1:7" ht="15" customHeight="1" x14ac:dyDescent="0.15">
      <c r="A618" t="str">
        <f>IF(Transactions!J610="","",Transactions!J610)</f>
        <v/>
      </c>
      <c r="B618" s="297">
        <f ca="1">IF($A618="",TODAY(),Transactions!G610)</f>
        <v>46216</v>
      </c>
      <c r="C618" t="str">
        <f>IF($A618="","",Transactions!A610)</f>
        <v/>
      </c>
      <c r="D618" s="30">
        <f>IF($A618="",0,Transactions!H610)</f>
        <v>0</v>
      </c>
      <c r="E618">
        <f>IF($A618="",1,IFERROR(INDEX(Prices[FX to SGD],MATCH($A618,Prices[Key],0)),1))</f>
        <v>1</v>
      </c>
      <c r="F618" s="30">
        <f>IF($A618="",0,(Transactions!M610-Transactions!L610+IF(Transactions!A610=2,Transactions!H610,0))*$E618)</f>
        <v>0</v>
      </c>
      <c r="G618" s="30">
        <f>IF($A618="",0,IF(Transactions!A610=2,Transactions!H610*$E618,0))</f>
        <v>0</v>
      </c>
    </row>
    <row r="619" spans="1:7" ht="15" customHeight="1" x14ac:dyDescent="0.15">
      <c r="A619" t="str">
        <f>IF(Transactions!J611="","",Transactions!J611)</f>
        <v/>
      </c>
      <c r="B619" s="297">
        <f ca="1">IF($A619="",TODAY(),Transactions!G611)</f>
        <v>46216</v>
      </c>
      <c r="C619" t="str">
        <f>IF($A619="","",Transactions!A611)</f>
        <v/>
      </c>
      <c r="D619" s="30">
        <f>IF($A619="",0,Transactions!H611)</f>
        <v>0</v>
      </c>
      <c r="E619">
        <f>IF($A619="",1,IFERROR(INDEX(Prices[FX to SGD],MATCH($A619,Prices[Key],0)),1))</f>
        <v>1</v>
      </c>
      <c r="F619" s="30">
        <f>IF($A619="",0,(Transactions!M611-Transactions!L611+IF(Transactions!A611=2,Transactions!H611,0))*$E619)</f>
        <v>0</v>
      </c>
      <c r="G619" s="30">
        <f>IF($A619="",0,IF(Transactions!A611=2,Transactions!H611*$E619,0))</f>
        <v>0</v>
      </c>
    </row>
    <row r="620" spans="1:7" ht="15" customHeight="1" x14ac:dyDescent="0.15">
      <c r="A620" t="str">
        <f>IF(Transactions!J612="","",Transactions!J612)</f>
        <v/>
      </c>
      <c r="B620" s="297">
        <f ca="1">IF($A620="",TODAY(),Transactions!G612)</f>
        <v>46216</v>
      </c>
      <c r="C620" t="str">
        <f>IF($A620="","",Transactions!A612)</f>
        <v/>
      </c>
      <c r="D620" s="30">
        <f>IF($A620="",0,Transactions!H612)</f>
        <v>0</v>
      </c>
      <c r="E620">
        <f>IF($A620="",1,IFERROR(INDEX(Prices[FX to SGD],MATCH($A620,Prices[Key],0)),1))</f>
        <v>1</v>
      </c>
      <c r="F620" s="30">
        <f>IF($A620="",0,(Transactions!M612-Transactions!L612+IF(Transactions!A612=2,Transactions!H612,0))*$E620)</f>
        <v>0</v>
      </c>
      <c r="G620" s="30">
        <f>IF($A620="",0,IF(Transactions!A612=2,Transactions!H612*$E620,0))</f>
        <v>0</v>
      </c>
    </row>
    <row r="621" spans="1:7" ht="15" customHeight="1" x14ac:dyDescent="0.15">
      <c r="A621" t="str">
        <f>IF(Transactions!J613="","",Transactions!J613)</f>
        <v/>
      </c>
      <c r="B621" s="297">
        <f ca="1">IF($A621="",TODAY(),Transactions!G613)</f>
        <v>46216</v>
      </c>
      <c r="C621" t="str">
        <f>IF($A621="","",Transactions!A613)</f>
        <v/>
      </c>
      <c r="D621" s="30">
        <f>IF($A621="",0,Transactions!H613)</f>
        <v>0</v>
      </c>
      <c r="E621">
        <f>IF($A621="",1,IFERROR(INDEX(Prices[FX to SGD],MATCH($A621,Prices[Key],0)),1))</f>
        <v>1</v>
      </c>
      <c r="F621" s="30">
        <f>IF($A621="",0,(Transactions!M613-Transactions!L613+IF(Transactions!A613=2,Transactions!H613,0))*$E621)</f>
        <v>0</v>
      </c>
      <c r="G621" s="30">
        <f>IF($A621="",0,IF(Transactions!A613=2,Transactions!H613*$E621,0))</f>
        <v>0</v>
      </c>
    </row>
    <row r="622" spans="1:7" ht="15" customHeight="1" x14ac:dyDescent="0.15">
      <c r="A622" t="str">
        <f>IF(Transactions!J614="","",Transactions!J614)</f>
        <v/>
      </c>
      <c r="B622" s="297">
        <f ca="1">IF($A622="",TODAY(),Transactions!G614)</f>
        <v>46216</v>
      </c>
      <c r="C622" t="str">
        <f>IF($A622="","",Transactions!A614)</f>
        <v/>
      </c>
      <c r="D622" s="30">
        <f>IF($A622="",0,Transactions!H614)</f>
        <v>0</v>
      </c>
      <c r="E622">
        <f>IF($A622="",1,IFERROR(INDEX(Prices[FX to SGD],MATCH($A622,Prices[Key],0)),1))</f>
        <v>1</v>
      </c>
      <c r="F622" s="30">
        <f>IF($A622="",0,(Transactions!M614-Transactions!L614+IF(Transactions!A614=2,Transactions!H614,0))*$E622)</f>
        <v>0</v>
      </c>
      <c r="G622" s="30">
        <f>IF($A622="",0,IF(Transactions!A614=2,Transactions!H614*$E622,0))</f>
        <v>0</v>
      </c>
    </row>
    <row r="623" spans="1:7" ht="15" customHeight="1" x14ac:dyDescent="0.15">
      <c r="A623" t="str">
        <f>IF(Transactions!J615="","",Transactions!J615)</f>
        <v/>
      </c>
      <c r="B623" s="297">
        <f ca="1">IF($A623="",TODAY(),Transactions!G615)</f>
        <v>46216</v>
      </c>
      <c r="C623" t="str">
        <f>IF($A623="","",Transactions!A615)</f>
        <v/>
      </c>
      <c r="D623" s="30">
        <f>IF($A623="",0,Transactions!H615)</f>
        <v>0</v>
      </c>
      <c r="E623">
        <f>IF($A623="",1,IFERROR(INDEX(Prices[FX to SGD],MATCH($A623,Prices[Key],0)),1))</f>
        <v>1</v>
      </c>
      <c r="F623" s="30">
        <f>IF($A623="",0,(Transactions!M615-Transactions!L615+IF(Transactions!A615=2,Transactions!H615,0))*$E623)</f>
        <v>0</v>
      </c>
      <c r="G623" s="30">
        <f>IF($A623="",0,IF(Transactions!A615=2,Transactions!H615*$E623,0))</f>
        <v>0</v>
      </c>
    </row>
    <row r="624" spans="1:7" ht="15" customHeight="1" x14ac:dyDescent="0.15">
      <c r="A624" t="str">
        <f>IF(Transactions!J616="","",Transactions!J616)</f>
        <v/>
      </c>
      <c r="B624" s="297">
        <f ca="1">IF($A624="",TODAY(),Transactions!G616)</f>
        <v>46216</v>
      </c>
      <c r="C624" t="str">
        <f>IF($A624="","",Transactions!A616)</f>
        <v/>
      </c>
      <c r="D624" s="30">
        <f>IF($A624="",0,Transactions!H616)</f>
        <v>0</v>
      </c>
      <c r="E624">
        <f>IF($A624="",1,IFERROR(INDEX(Prices[FX to SGD],MATCH($A624,Prices[Key],0)),1))</f>
        <v>1</v>
      </c>
      <c r="F624" s="30">
        <f>IF($A624="",0,(Transactions!M616-Transactions!L616+IF(Transactions!A616=2,Transactions!H616,0))*$E624)</f>
        <v>0</v>
      </c>
      <c r="G624" s="30">
        <f>IF($A624="",0,IF(Transactions!A616=2,Transactions!H616*$E624,0))</f>
        <v>0</v>
      </c>
    </row>
    <row r="625" spans="1:7" ht="15" customHeight="1" x14ac:dyDescent="0.15">
      <c r="A625" t="str">
        <f>IF(Transactions!J617="","",Transactions!J617)</f>
        <v/>
      </c>
      <c r="B625" s="297">
        <f ca="1">IF($A625="",TODAY(),Transactions!G617)</f>
        <v>46216</v>
      </c>
      <c r="C625" t="str">
        <f>IF($A625="","",Transactions!A617)</f>
        <v/>
      </c>
      <c r="D625" s="30">
        <f>IF($A625="",0,Transactions!H617)</f>
        <v>0</v>
      </c>
      <c r="E625">
        <f>IF($A625="",1,IFERROR(INDEX(Prices[FX to SGD],MATCH($A625,Prices[Key],0)),1))</f>
        <v>1</v>
      </c>
      <c r="F625" s="30">
        <f>IF($A625="",0,(Transactions!M617-Transactions!L617+IF(Transactions!A617=2,Transactions!H617,0))*$E625)</f>
        <v>0</v>
      </c>
      <c r="G625" s="30">
        <f>IF($A625="",0,IF(Transactions!A617=2,Transactions!H617*$E625,0))</f>
        <v>0</v>
      </c>
    </row>
    <row r="626" spans="1:7" ht="15" customHeight="1" x14ac:dyDescent="0.15">
      <c r="A626" t="str">
        <f>IF(Transactions!J618="","",Transactions!J618)</f>
        <v/>
      </c>
      <c r="B626" s="297">
        <f ca="1">IF($A626="",TODAY(),Transactions!G618)</f>
        <v>46216</v>
      </c>
      <c r="C626" t="str">
        <f>IF($A626="","",Transactions!A618)</f>
        <v/>
      </c>
      <c r="D626" s="30">
        <f>IF($A626="",0,Transactions!H618)</f>
        <v>0</v>
      </c>
      <c r="E626">
        <f>IF($A626="",1,IFERROR(INDEX(Prices[FX to SGD],MATCH($A626,Prices[Key],0)),1))</f>
        <v>1</v>
      </c>
      <c r="F626" s="30">
        <f>IF($A626="",0,(Transactions!M618-Transactions!L618+IF(Transactions!A618=2,Transactions!H618,0))*$E626)</f>
        <v>0</v>
      </c>
      <c r="G626" s="30">
        <f>IF($A626="",0,IF(Transactions!A618=2,Transactions!H618*$E626,0))</f>
        <v>0</v>
      </c>
    </row>
    <row r="627" spans="1:7" ht="15" customHeight="1" x14ac:dyDescent="0.15">
      <c r="A627" t="str">
        <f>IF(Transactions!J619="","",Transactions!J619)</f>
        <v/>
      </c>
      <c r="B627" s="297">
        <f ca="1">IF($A627="",TODAY(),Transactions!G619)</f>
        <v>46216</v>
      </c>
      <c r="C627" t="str">
        <f>IF($A627="","",Transactions!A619)</f>
        <v/>
      </c>
      <c r="D627" s="30">
        <f>IF($A627="",0,Transactions!H619)</f>
        <v>0</v>
      </c>
      <c r="E627">
        <f>IF($A627="",1,IFERROR(INDEX(Prices[FX to SGD],MATCH($A627,Prices[Key],0)),1))</f>
        <v>1</v>
      </c>
      <c r="F627" s="30">
        <f>IF($A627="",0,(Transactions!M619-Transactions!L619+IF(Transactions!A619=2,Transactions!H619,0))*$E627)</f>
        <v>0</v>
      </c>
      <c r="G627" s="30">
        <f>IF($A627="",0,IF(Transactions!A619=2,Transactions!H619*$E627,0))</f>
        <v>0</v>
      </c>
    </row>
    <row r="628" spans="1:7" ht="15" customHeight="1" x14ac:dyDescent="0.15">
      <c r="A628" t="str">
        <f>IF(Transactions!J620="","",Transactions!J620)</f>
        <v/>
      </c>
      <c r="B628" s="297">
        <f ca="1">IF($A628="",TODAY(),Transactions!G620)</f>
        <v>46216</v>
      </c>
      <c r="C628" t="str">
        <f>IF($A628="","",Transactions!A620)</f>
        <v/>
      </c>
      <c r="D628" s="30">
        <f>IF($A628="",0,Transactions!H620)</f>
        <v>0</v>
      </c>
      <c r="E628">
        <f>IF($A628="",1,IFERROR(INDEX(Prices[FX to SGD],MATCH($A628,Prices[Key],0)),1))</f>
        <v>1</v>
      </c>
      <c r="F628" s="30">
        <f>IF($A628="",0,(Transactions!M620-Transactions!L620+IF(Transactions!A620=2,Transactions!H620,0))*$E628)</f>
        <v>0</v>
      </c>
      <c r="G628" s="30">
        <f>IF($A628="",0,IF(Transactions!A620=2,Transactions!H620*$E628,0))</f>
        <v>0</v>
      </c>
    </row>
    <row r="629" spans="1:7" ht="15" customHeight="1" x14ac:dyDescent="0.15">
      <c r="A629" t="str">
        <f>IF(Transactions!J621="","",Transactions!J621)</f>
        <v/>
      </c>
      <c r="B629" s="297">
        <f ca="1">IF($A629="",TODAY(),Transactions!G621)</f>
        <v>46216</v>
      </c>
      <c r="C629" t="str">
        <f>IF($A629="","",Transactions!A621)</f>
        <v/>
      </c>
      <c r="D629" s="30">
        <f>IF($A629="",0,Transactions!H621)</f>
        <v>0</v>
      </c>
      <c r="E629">
        <f>IF($A629="",1,IFERROR(INDEX(Prices[FX to SGD],MATCH($A629,Prices[Key],0)),1))</f>
        <v>1</v>
      </c>
      <c r="F629" s="30">
        <f>IF($A629="",0,(Transactions!M621-Transactions!L621+IF(Transactions!A621=2,Transactions!H621,0))*$E629)</f>
        <v>0</v>
      </c>
      <c r="G629" s="30">
        <f>IF($A629="",0,IF(Transactions!A621=2,Transactions!H621*$E629,0))</f>
        <v>0</v>
      </c>
    </row>
    <row r="630" spans="1:7" ht="15" customHeight="1" x14ac:dyDescent="0.15">
      <c r="A630" t="str">
        <f>IF(Transactions!J622="","",Transactions!J622)</f>
        <v/>
      </c>
      <c r="B630" s="297">
        <f ca="1">IF($A630="",TODAY(),Transactions!G622)</f>
        <v>46216</v>
      </c>
      <c r="C630" t="str">
        <f>IF($A630="","",Transactions!A622)</f>
        <v/>
      </c>
      <c r="D630" s="30">
        <f>IF($A630="",0,Transactions!H622)</f>
        <v>0</v>
      </c>
      <c r="E630">
        <f>IF($A630="",1,IFERROR(INDEX(Prices[FX to SGD],MATCH($A630,Prices[Key],0)),1))</f>
        <v>1</v>
      </c>
      <c r="F630" s="30">
        <f>IF($A630="",0,(Transactions!M622-Transactions!L622+IF(Transactions!A622=2,Transactions!H622,0))*$E630)</f>
        <v>0</v>
      </c>
      <c r="G630" s="30">
        <f>IF($A630="",0,IF(Transactions!A622=2,Transactions!H622*$E630,0))</f>
        <v>0</v>
      </c>
    </row>
    <row r="631" spans="1:7" ht="15" customHeight="1" x14ac:dyDescent="0.15">
      <c r="A631" t="str">
        <f>IF(Transactions!J623="","",Transactions!J623)</f>
        <v/>
      </c>
      <c r="B631" s="297">
        <f ca="1">IF($A631="",TODAY(),Transactions!G623)</f>
        <v>46216</v>
      </c>
      <c r="C631" t="str">
        <f>IF($A631="","",Transactions!A623)</f>
        <v/>
      </c>
      <c r="D631" s="30">
        <f>IF($A631="",0,Transactions!H623)</f>
        <v>0</v>
      </c>
      <c r="E631">
        <f>IF($A631="",1,IFERROR(INDEX(Prices[FX to SGD],MATCH($A631,Prices[Key],0)),1))</f>
        <v>1</v>
      </c>
      <c r="F631" s="30">
        <f>IF($A631="",0,(Transactions!M623-Transactions!L623+IF(Transactions!A623=2,Transactions!H623,0))*$E631)</f>
        <v>0</v>
      </c>
      <c r="G631" s="30">
        <f>IF($A631="",0,IF(Transactions!A623=2,Transactions!H623*$E631,0))</f>
        <v>0</v>
      </c>
    </row>
    <row r="632" spans="1:7" ht="15" customHeight="1" x14ac:dyDescent="0.15">
      <c r="A632" t="str">
        <f>IF(Transactions!J624="","",Transactions!J624)</f>
        <v/>
      </c>
      <c r="B632" s="297">
        <f ca="1">IF($A632="",TODAY(),Transactions!G624)</f>
        <v>46216</v>
      </c>
      <c r="C632" t="str">
        <f>IF($A632="","",Transactions!A624)</f>
        <v/>
      </c>
      <c r="D632" s="30">
        <f>IF($A632="",0,Transactions!H624)</f>
        <v>0</v>
      </c>
      <c r="E632">
        <f>IF($A632="",1,IFERROR(INDEX(Prices[FX to SGD],MATCH($A632,Prices[Key],0)),1))</f>
        <v>1</v>
      </c>
      <c r="F632" s="30">
        <f>IF($A632="",0,(Transactions!M624-Transactions!L624+IF(Transactions!A624=2,Transactions!H624,0))*$E632)</f>
        <v>0</v>
      </c>
      <c r="G632" s="30">
        <f>IF($A632="",0,IF(Transactions!A624=2,Transactions!H624*$E632,0))</f>
        <v>0</v>
      </c>
    </row>
    <row r="633" spans="1:7" ht="15" customHeight="1" x14ac:dyDescent="0.15">
      <c r="A633" t="str">
        <f>IF(Transactions!J625="","",Transactions!J625)</f>
        <v/>
      </c>
      <c r="B633" s="297">
        <f ca="1">IF($A633="",TODAY(),Transactions!G625)</f>
        <v>46216</v>
      </c>
      <c r="C633" t="str">
        <f>IF($A633="","",Transactions!A625)</f>
        <v/>
      </c>
      <c r="D633" s="30">
        <f>IF($A633="",0,Transactions!H625)</f>
        <v>0</v>
      </c>
      <c r="E633">
        <f>IF($A633="",1,IFERROR(INDEX(Prices[FX to SGD],MATCH($A633,Prices[Key],0)),1))</f>
        <v>1</v>
      </c>
      <c r="F633" s="30">
        <f>IF($A633="",0,(Transactions!M625-Transactions!L625+IF(Transactions!A625=2,Transactions!H625,0))*$E633)</f>
        <v>0</v>
      </c>
      <c r="G633" s="30">
        <f>IF($A633="",0,IF(Transactions!A625=2,Transactions!H625*$E633,0))</f>
        <v>0</v>
      </c>
    </row>
    <row r="634" spans="1:7" ht="15" customHeight="1" x14ac:dyDescent="0.15">
      <c r="A634" t="str">
        <f>IF(Transactions!J626="","",Transactions!J626)</f>
        <v/>
      </c>
      <c r="B634" s="297">
        <f ca="1">IF($A634="",TODAY(),Transactions!G626)</f>
        <v>46216</v>
      </c>
      <c r="C634" t="str">
        <f>IF($A634="","",Transactions!A626)</f>
        <v/>
      </c>
      <c r="D634" s="30">
        <f>IF($A634="",0,Transactions!H626)</f>
        <v>0</v>
      </c>
      <c r="E634">
        <f>IF($A634="",1,IFERROR(INDEX(Prices[FX to SGD],MATCH($A634,Prices[Key],0)),1))</f>
        <v>1</v>
      </c>
      <c r="F634" s="30">
        <f>IF($A634="",0,(Transactions!M626-Transactions!L626+IF(Transactions!A626=2,Transactions!H626,0))*$E634)</f>
        <v>0</v>
      </c>
      <c r="G634" s="30">
        <f>IF($A634="",0,IF(Transactions!A626=2,Transactions!H626*$E634,0))</f>
        <v>0</v>
      </c>
    </row>
    <row r="635" spans="1:7" ht="15" customHeight="1" x14ac:dyDescent="0.15">
      <c r="A635" t="str">
        <f>IF(Transactions!J627="","",Transactions!J627)</f>
        <v/>
      </c>
      <c r="B635" s="297">
        <f ca="1">IF($A635="",TODAY(),Transactions!G627)</f>
        <v>46216</v>
      </c>
      <c r="C635" t="str">
        <f>IF($A635="","",Transactions!A627)</f>
        <v/>
      </c>
      <c r="D635" s="30">
        <f>IF($A635="",0,Transactions!H627)</f>
        <v>0</v>
      </c>
      <c r="E635">
        <f>IF($A635="",1,IFERROR(INDEX(Prices[FX to SGD],MATCH($A635,Prices[Key],0)),1))</f>
        <v>1</v>
      </c>
      <c r="F635" s="30">
        <f>IF($A635="",0,(Transactions!M627-Transactions!L627+IF(Transactions!A627=2,Transactions!H627,0))*$E635)</f>
        <v>0</v>
      </c>
      <c r="G635" s="30">
        <f>IF($A635="",0,IF(Transactions!A627=2,Transactions!H627*$E635,0))</f>
        <v>0</v>
      </c>
    </row>
    <row r="636" spans="1:7" ht="15" customHeight="1" x14ac:dyDescent="0.15">
      <c r="A636" t="str">
        <f>IF(Transactions!J628="","",Transactions!J628)</f>
        <v/>
      </c>
      <c r="B636" s="297">
        <f ca="1">IF($A636="",TODAY(),Transactions!G628)</f>
        <v>46216</v>
      </c>
      <c r="C636" t="str">
        <f>IF($A636="","",Transactions!A628)</f>
        <v/>
      </c>
      <c r="D636" s="30">
        <f>IF($A636="",0,Transactions!H628)</f>
        <v>0</v>
      </c>
      <c r="E636">
        <f>IF($A636="",1,IFERROR(INDEX(Prices[FX to SGD],MATCH($A636,Prices[Key],0)),1))</f>
        <v>1</v>
      </c>
      <c r="F636" s="30">
        <f>IF($A636="",0,(Transactions!M628-Transactions!L628+IF(Transactions!A628=2,Transactions!H628,0))*$E636)</f>
        <v>0</v>
      </c>
      <c r="G636" s="30">
        <f>IF($A636="",0,IF(Transactions!A628=2,Transactions!H628*$E636,0))</f>
        <v>0</v>
      </c>
    </row>
    <row r="637" spans="1:7" ht="15" customHeight="1" x14ac:dyDescent="0.15">
      <c r="A637" t="str">
        <f>IF(Transactions!J629="","",Transactions!J629)</f>
        <v/>
      </c>
      <c r="B637" s="297">
        <f ca="1">IF($A637="",TODAY(),Transactions!G629)</f>
        <v>46216</v>
      </c>
      <c r="C637" t="str">
        <f>IF($A637="","",Transactions!A629)</f>
        <v/>
      </c>
      <c r="D637" s="30">
        <f>IF($A637="",0,Transactions!H629)</f>
        <v>0</v>
      </c>
      <c r="E637">
        <f>IF($A637="",1,IFERROR(INDEX(Prices[FX to SGD],MATCH($A637,Prices[Key],0)),1))</f>
        <v>1</v>
      </c>
      <c r="F637" s="30">
        <f>IF($A637="",0,(Transactions!M629-Transactions!L629+IF(Transactions!A629=2,Transactions!H629,0))*$E637)</f>
        <v>0</v>
      </c>
      <c r="G637" s="30">
        <f>IF($A637="",0,IF(Transactions!A629=2,Transactions!H629*$E637,0))</f>
        <v>0</v>
      </c>
    </row>
    <row r="638" spans="1:7" ht="15" customHeight="1" x14ac:dyDescent="0.15">
      <c r="A638" t="str">
        <f>IF(Transactions!J630="","",Transactions!J630)</f>
        <v/>
      </c>
      <c r="B638" s="297">
        <f ca="1">IF($A638="",TODAY(),Transactions!G630)</f>
        <v>46216</v>
      </c>
      <c r="C638" t="str">
        <f>IF($A638="","",Transactions!A630)</f>
        <v/>
      </c>
      <c r="D638" s="30">
        <f>IF($A638="",0,Transactions!H630)</f>
        <v>0</v>
      </c>
      <c r="E638">
        <f>IF($A638="",1,IFERROR(INDEX(Prices[FX to SGD],MATCH($A638,Prices[Key],0)),1))</f>
        <v>1</v>
      </c>
      <c r="F638" s="30">
        <f>IF($A638="",0,(Transactions!M630-Transactions!L630+IF(Transactions!A630=2,Transactions!H630,0))*$E638)</f>
        <v>0</v>
      </c>
      <c r="G638" s="30">
        <f>IF($A638="",0,IF(Transactions!A630=2,Transactions!H630*$E638,0))</f>
        <v>0</v>
      </c>
    </row>
    <row r="639" spans="1:7" ht="15" customHeight="1" x14ac:dyDescent="0.15">
      <c r="A639" t="str">
        <f>IF(Transactions!J631="","",Transactions!J631)</f>
        <v/>
      </c>
      <c r="B639" s="297">
        <f ca="1">IF($A639="",TODAY(),Transactions!G631)</f>
        <v>46216</v>
      </c>
      <c r="C639" t="str">
        <f>IF($A639="","",Transactions!A631)</f>
        <v/>
      </c>
      <c r="D639" s="30">
        <f>IF($A639="",0,Transactions!H631)</f>
        <v>0</v>
      </c>
      <c r="E639">
        <f>IF($A639="",1,IFERROR(INDEX(Prices[FX to SGD],MATCH($A639,Prices[Key],0)),1))</f>
        <v>1</v>
      </c>
      <c r="F639" s="30">
        <f>IF($A639="",0,(Transactions!M631-Transactions!L631+IF(Transactions!A631=2,Transactions!H631,0))*$E639)</f>
        <v>0</v>
      </c>
      <c r="G639" s="30">
        <f>IF($A639="",0,IF(Transactions!A631=2,Transactions!H631*$E639,0))</f>
        <v>0</v>
      </c>
    </row>
    <row r="640" spans="1:7" ht="15" customHeight="1" x14ac:dyDescent="0.15">
      <c r="A640" t="str">
        <f>IF(Transactions!J632="","",Transactions!J632)</f>
        <v/>
      </c>
      <c r="B640" s="297">
        <f ca="1">IF($A640="",TODAY(),Transactions!G632)</f>
        <v>46216</v>
      </c>
      <c r="C640" t="str">
        <f>IF($A640="","",Transactions!A632)</f>
        <v/>
      </c>
      <c r="D640" s="30">
        <f>IF($A640="",0,Transactions!H632)</f>
        <v>0</v>
      </c>
      <c r="E640">
        <f>IF($A640="",1,IFERROR(INDEX(Prices[FX to SGD],MATCH($A640,Prices[Key],0)),1))</f>
        <v>1</v>
      </c>
      <c r="F640" s="30">
        <f>IF($A640="",0,(Transactions!M632-Transactions!L632+IF(Transactions!A632=2,Transactions!H632,0))*$E640)</f>
        <v>0</v>
      </c>
      <c r="G640" s="30">
        <f>IF($A640="",0,IF(Transactions!A632=2,Transactions!H632*$E640,0))</f>
        <v>0</v>
      </c>
    </row>
    <row r="641" spans="1:7" ht="15" customHeight="1" x14ac:dyDescent="0.15">
      <c r="A641" t="str">
        <f>IF(Transactions!J633="","",Transactions!J633)</f>
        <v/>
      </c>
      <c r="B641" s="297">
        <f ca="1">IF($A641="",TODAY(),Transactions!G633)</f>
        <v>46216</v>
      </c>
      <c r="C641" t="str">
        <f>IF($A641="","",Transactions!A633)</f>
        <v/>
      </c>
      <c r="D641" s="30">
        <f>IF($A641="",0,Transactions!H633)</f>
        <v>0</v>
      </c>
      <c r="E641">
        <f>IF($A641="",1,IFERROR(INDEX(Prices[FX to SGD],MATCH($A641,Prices[Key],0)),1))</f>
        <v>1</v>
      </c>
      <c r="F641" s="30">
        <f>IF($A641="",0,(Transactions!M633-Transactions!L633+IF(Transactions!A633=2,Transactions!H633,0))*$E641)</f>
        <v>0</v>
      </c>
      <c r="G641" s="30">
        <f>IF($A641="",0,IF(Transactions!A633=2,Transactions!H633*$E641,0))</f>
        <v>0</v>
      </c>
    </row>
    <row r="642" spans="1:7" ht="15" customHeight="1" x14ac:dyDescent="0.15">
      <c r="A642" t="str">
        <f>IF(Transactions!J634="","",Transactions!J634)</f>
        <v/>
      </c>
      <c r="B642" s="297">
        <f ca="1">IF($A642="",TODAY(),Transactions!G634)</f>
        <v>46216</v>
      </c>
      <c r="C642" t="str">
        <f>IF($A642="","",Transactions!A634)</f>
        <v/>
      </c>
      <c r="D642" s="30">
        <f>IF($A642="",0,Transactions!H634)</f>
        <v>0</v>
      </c>
      <c r="E642">
        <f>IF($A642="",1,IFERROR(INDEX(Prices[FX to SGD],MATCH($A642,Prices[Key],0)),1))</f>
        <v>1</v>
      </c>
      <c r="F642" s="30">
        <f>IF($A642="",0,(Transactions!M634-Transactions!L634+IF(Transactions!A634=2,Transactions!H634,0))*$E642)</f>
        <v>0</v>
      </c>
      <c r="G642" s="30">
        <f>IF($A642="",0,IF(Transactions!A634=2,Transactions!H634*$E642,0))</f>
        <v>0</v>
      </c>
    </row>
    <row r="643" spans="1:7" ht="15" customHeight="1" x14ac:dyDescent="0.15">
      <c r="A643" t="str">
        <f>IF(Transactions!J635="","",Transactions!J635)</f>
        <v/>
      </c>
      <c r="B643" s="297">
        <f ca="1">IF($A643="",TODAY(),Transactions!G635)</f>
        <v>46216</v>
      </c>
      <c r="C643" t="str">
        <f>IF($A643="","",Transactions!A635)</f>
        <v/>
      </c>
      <c r="D643" s="30">
        <f>IF($A643="",0,Transactions!H635)</f>
        <v>0</v>
      </c>
      <c r="E643">
        <f>IF($A643="",1,IFERROR(INDEX(Prices[FX to SGD],MATCH($A643,Prices[Key],0)),1))</f>
        <v>1</v>
      </c>
      <c r="F643" s="30">
        <f>IF($A643="",0,(Transactions!M635-Transactions!L635+IF(Transactions!A635=2,Transactions!H635,0))*$E643)</f>
        <v>0</v>
      </c>
      <c r="G643" s="30">
        <f>IF($A643="",0,IF(Transactions!A635=2,Transactions!H635*$E643,0))</f>
        <v>0</v>
      </c>
    </row>
    <row r="644" spans="1:7" ht="15" customHeight="1" x14ac:dyDescent="0.15">
      <c r="A644" t="str">
        <f>IF(Transactions!J636="","",Transactions!J636)</f>
        <v/>
      </c>
      <c r="B644" s="297">
        <f ca="1">IF($A644="",TODAY(),Transactions!G636)</f>
        <v>46216</v>
      </c>
      <c r="C644" t="str">
        <f>IF($A644="","",Transactions!A636)</f>
        <v/>
      </c>
      <c r="D644" s="30">
        <f>IF($A644="",0,Transactions!H636)</f>
        <v>0</v>
      </c>
      <c r="E644">
        <f>IF($A644="",1,IFERROR(INDEX(Prices[FX to SGD],MATCH($A644,Prices[Key],0)),1))</f>
        <v>1</v>
      </c>
      <c r="F644" s="30">
        <f>IF($A644="",0,(Transactions!M636-Transactions!L636+IF(Transactions!A636=2,Transactions!H636,0))*$E644)</f>
        <v>0</v>
      </c>
      <c r="G644" s="30">
        <f>IF($A644="",0,IF(Transactions!A636=2,Transactions!H636*$E644,0))</f>
        <v>0</v>
      </c>
    </row>
    <row r="645" spans="1:7" ht="15" customHeight="1" x14ac:dyDescent="0.15">
      <c r="A645" t="str">
        <f>IF(Transactions!J637="","",Transactions!J637)</f>
        <v/>
      </c>
      <c r="B645" s="297">
        <f ca="1">IF($A645="",TODAY(),Transactions!G637)</f>
        <v>46216</v>
      </c>
      <c r="C645" t="str">
        <f>IF($A645="","",Transactions!A637)</f>
        <v/>
      </c>
      <c r="D645" s="30">
        <f>IF($A645="",0,Transactions!H637)</f>
        <v>0</v>
      </c>
      <c r="E645">
        <f>IF($A645="",1,IFERROR(INDEX(Prices[FX to SGD],MATCH($A645,Prices[Key],0)),1))</f>
        <v>1</v>
      </c>
      <c r="F645" s="30">
        <f>IF($A645="",0,(Transactions!M637-Transactions!L637+IF(Transactions!A637=2,Transactions!H637,0))*$E645)</f>
        <v>0</v>
      </c>
      <c r="G645" s="30">
        <f>IF($A645="",0,IF(Transactions!A637=2,Transactions!H637*$E645,0))</f>
        <v>0</v>
      </c>
    </row>
    <row r="646" spans="1:7" ht="15" customHeight="1" x14ac:dyDescent="0.15">
      <c r="A646" t="str">
        <f>IF(Transactions!J638="","",Transactions!J638)</f>
        <v/>
      </c>
      <c r="B646" s="297">
        <f ca="1">IF($A646="",TODAY(),Transactions!G638)</f>
        <v>46216</v>
      </c>
      <c r="C646" t="str">
        <f>IF($A646="","",Transactions!A638)</f>
        <v/>
      </c>
      <c r="D646" s="30">
        <f>IF($A646="",0,Transactions!H638)</f>
        <v>0</v>
      </c>
      <c r="E646">
        <f>IF($A646="",1,IFERROR(INDEX(Prices[FX to SGD],MATCH($A646,Prices[Key],0)),1))</f>
        <v>1</v>
      </c>
      <c r="F646" s="30">
        <f>IF($A646="",0,(Transactions!M638-Transactions!L638+IF(Transactions!A638=2,Transactions!H638,0))*$E646)</f>
        <v>0</v>
      </c>
      <c r="G646" s="30">
        <f>IF($A646="",0,IF(Transactions!A638=2,Transactions!H638*$E646,0))</f>
        <v>0</v>
      </c>
    </row>
    <row r="647" spans="1:7" ht="15" customHeight="1" x14ac:dyDescent="0.15">
      <c r="A647" t="str">
        <f>IF(Transactions!J639="","",Transactions!J639)</f>
        <v/>
      </c>
      <c r="B647" s="297">
        <f ca="1">IF($A647="",TODAY(),Transactions!G639)</f>
        <v>46216</v>
      </c>
      <c r="C647" t="str">
        <f>IF($A647="","",Transactions!A639)</f>
        <v/>
      </c>
      <c r="D647" s="30">
        <f>IF($A647="",0,Transactions!H639)</f>
        <v>0</v>
      </c>
      <c r="E647">
        <f>IF($A647="",1,IFERROR(INDEX(Prices[FX to SGD],MATCH($A647,Prices[Key],0)),1))</f>
        <v>1</v>
      </c>
      <c r="F647" s="30">
        <f>IF($A647="",0,(Transactions!M639-Transactions!L639+IF(Transactions!A639=2,Transactions!H639,0))*$E647)</f>
        <v>0</v>
      </c>
      <c r="G647" s="30">
        <f>IF($A647="",0,IF(Transactions!A639=2,Transactions!H639*$E647,0))</f>
        <v>0</v>
      </c>
    </row>
    <row r="648" spans="1:7" ht="15" customHeight="1" x14ac:dyDescent="0.15">
      <c r="A648" t="str">
        <f>IF(Transactions!J640="","",Transactions!J640)</f>
        <v/>
      </c>
      <c r="B648" s="297">
        <f ca="1">IF($A648="",TODAY(),Transactions!G640)</f>
        <v>46216</v>
      </c>
      <c r="C648" t="str">
        <f>IF($A648="","",Transactions!A640)</f>
        <v/>
      </c>
      <c r="D648" s="30">
        <f>IF($A648="",0,Transactions!H640)</f>
        <v>0</v>
      </c>
      <c r="E648">
        <f>IF($A648="",1,IFERROR(INDEX(Prices[FX to SGD],MATCH($A648,Prices[Key],0)),1))</f>
        <v>1</v>
      </c>
      <c r="F648" s="30">
        <f>IF($A648="",0,(Transactions!M640-Transactions!L640+IF(Transactions!A640=2,Transactions!H640,0))*$E648)</f>
        <v>0</v>
      </c>
      <c r="G648" s="30">
        <f>IF($A648="",0,IF(Transactions!A640=2,Transactions!H640*$E648,0))</f>
        <v>0</v>
      </c>
    </row>
    <row r="649" spans="1:7" ht="15" customHeight="1" x14ac:dyDescent="0.15">
      <c r="A649" t="str">
        <f>IF(Transactions!J641="","",Transactions!J641)</f>
        <v/>
      </c>
      <c r="B649" s="297">
        <f ca="1">IF($A649="",TODAY(),Transactions!G641)</f>
        <v>46216</v>
      </c>
      <c r="C649" t="str">
        <f>IF($A649="","",Transactions!A641)</f>
        <v/>
      </c>
      <c r="D649" s="30">
        <f>IF($A649="",0,Transactions!H641)</f>
        <v>0</v>
      </c>
      <c r="E649">
        <f>IF($A649="",1,IFERROR(INDEX(Prices[FX to SGD],MATCH($A649,Prices[Key],0)),1))</f>
        <v>1</v>
      </c>
      <c r="F649" s="30">
        <f>IF($A649="",0,(Transactions!M641-Transactions!L641+IF(Transactions!A641=2,Transactions!H641,0))*$E649)</f>
        <v>0</v>
      </c>
      <c r="G649" s="30">
        <f>IF($A649="",0,IF(Transactions!A641=2,Transactions!H641*$E649,0))</f>
        <v>0</v>
      </c>
    </row>
    <row r="650" spans="1:7" ht="15" customHeight="1" x14ac:dyDescent="0.15">
      <c r="A650" t="str">
        <f>IF(Transactions!J642="","",Transactions!J642)</f>
        <v/>
      </c>
      <c r="B650" s="297">
        <f ca="1">IF($A650="",TODAY(),Transactions!G642)</f>
        <v>46216</v>
      </c>
      <c r="C650" t="str">
        <f>IF($A650="","",Transactions!A642)</f>
        <v/>
      </c>
      <c r="D650" s="30">
        <f>IF($A650="",0,Transactions!H642)</f>
        <v>0</v>
      </c>
      <c r="E650">
        <f>IF($A650="",1,IFERROR(INDEX(Prices[FX to SGD],MATCH($A650,Prices[Key],0)),1))</f>
        <v>1</v>
      </c>
      <c r="F650" s="30">
        <f>IF($A650="",0,(Transactions!M642-Transactions!L642+IF(Transactions!A642=2,Transactions!H642,0))*$E650)</f>
        <v>0</v>
      </c>
      <c r="G650" s="30">
        <f>IF($A650="",0,IF(Transactions!A642=2,Transactions!H642*$E650,0))</f>
        <v>0</v>
      </c>
    </row>
    <row r="651" spans="1:7" ht="15" customHeight="1" x14ac:dyDescent="0.15">
      <c r="A651" t="str">
        <f>IF(Transactions!J643="","",Transactions!J643)</f>
        <v/>
      </c>
      <c r="B651" s="297">
        <f ca="1">IF($A651="",TODAY(),Transactions!G643)</f>
        <v>46216</v>
      </c>
      <c r="C651" t="str">
        <f>IF($A651="","",Transactions!A643)</f>
        <v/>
      </c>
      <c r="D651" s="30">
        <f>IF($A651="",0,Transactions!H643)</f>
        <v>0</v>
      </c>
      <c r="E651">
        <f>IF($A651="",1,IFERROR(INDEX(Prices[FX to SGD],MATCH($A651,Prices[Key],0)),1))</f>
        <v>1</v>
      </c>
      <c r="F651" s="30">
        <f>IF($A651="",0,(Transactions!M643-Transactions!L643+IF(Transactions!A643=2,Transactions!H643,0))*$E651)</f>
        <v>0</v>
      </c>
      <c r="G651" s="30">
        <f>IF($A651="",0,IF(Transactions!A643=2,Transactions!H643*$E651,0))</f>
        <v>0</v>
      </c>
    </row>
    <row r="652" spans="1:7" ht="15" customHeight="1" x14ac:dyDescent="0.15">
      <c r="A652" t="str">
        <f>IF(Transactions!J644="","",Transactions!J644)</f>
        <v/>
      </c>
      <c r="B652" s="297">
        <f ca="1">IF($A652="",TODAY(),Transactions!G644)</f>
        <v>46216</v>
      </c>
      <c r="C652" t="str">
        <f>IF($A652="","",Transactions!A644)</f>
        <v/>
      </c>
      <c r="D652" s="30">
        <f>IF($A652="",0,Transactions!H644)</f>
        <v>0</v>
      </c>
      <c r="E652">
        <f>IF($A652="",1,IFERROR(INDEX(Prices[FX to SGD],MATCH($A652,Prices[Key],0)),1))</f>
        <v>1</v>
      </c>
      <c r="F652" s="30">
        <f>IF($A652="",0,(Transactions!M644-Transactions!L644+IF(Transactions!A644=2,Transactions!H644,0))*$E652)</f>
        <v>0</v>
      </c>
      <c r="G652" s="30">
        <f>IF($A652="",0,IF(Transactions!A644=2,Transactions!H644*$E652,0))</f>
        <v>0</v>
      </c>
    </row>
    <row r="653" spans="1:7" ht="15" customHeight="1" x14ac:dyDescent="0.15">
      <c r="A653" t="str">
        <f>IF(Transactions!J645="","",Transactions!J645)</f>
        <v/>
      </c>
      <c r="B653" s="297">
        <f ca="1">IF($A653="",TODAY(),Transactions!G645)</f>
        <v>46216</v>
      </c>
      <c r="C653" t="str">
        <f>IF($A653="","",Transactions!A645)</f>
        <v/>
      </c>
      <c r="D653" s="30">
        <f>IF($A653="",0,Transactions!H645)</f>
        <v>0</v>
      </c>
      <c r="E653">
        <f>IF($A653="",1,IFERROR(INDEX(Prices[FX to SGD],MATCH($A653,Prices[Key],0)),1))</f>
        <v>1</v>
      </c>
      <c r="F653" s="30">
        <f>IF($A653="",0,(Transactions!M645-Transactions!L645+IF(Transactions!A645=2,Transactions!H645,0))*$E653)</f>
        <v>0</v>
      </c>
      <c r="G653" s="30">
        <f>IF($A653="",0,IF(Transactions!A645=2,Transactions!H645*$E653,0))</f>
        <v>0</v>
      </c>
    </row>
    <row r="654" spans="1:7" ht="15" customHeight="1" x14ac:dyDescent="0.15">
      <c r="A654" t="str">
        <f>IF(Transactions!J646="","",Transactions!J646)</f>
        <v/>
      </c>
      <c r="B654" s="297">
        <f ca="1">IF($A654="",TODAY(),Transactions!G646)</f>
        <v>46216</v>
      </c>
      <c r="C654" t="str">
        <f>IF($A654="","",Transactions!A646)</f>
        <v/>
      </c>
      <c r="D654" s="30">
        <f>IF($A654="",0,Transactions!H646)</f>
        <v>0</v>
      </c>
      <c r="E654">
        <f>IF($A654="",1,IFERROR(INDEX(Prices[FX to SGD],MATCH($A654,Prices[Key],0)),1))</f>
        <v>1</v>
      </c>
      <c r="F654" s="30">
        <f>IF($A654="",0,(Transactions!M646-Transactions!L646+IF(Transactions!A646=2,Transactions!H646,0))*$E654)</f>
        <v>0</v>
      </c>
      <c r="G654" s="30">
        <f>IF($A654="",0,IF(Transactions!A646=2,Transactions!H646*$E654,0))</f>
        <v>0</v>
      </c>
    </row>
    <row r="655" spans="1:7" ht="15" customHeight="1" x14ac:dyDescent="0.15">
      <c r="A655" t="str">
        <f>IF(Transactions!J647="","",Transactions!J647)</f>
        <v/>
      </c>
      <c r="B655" s="297">
        <f ca="1">IF($A655="",TODAY(),Transactions!G647)</f>
        <v>46216</v>
      </c>
      <c r="C655" t="str">
        <f>IF($A655="","",Transactions!A647)</f>
        <v/>
      </c>
      <c r="D655" s="30">
        <f>IF($A655="",0,Transactions!H647)</f>
        <v>0</v>
      </c>
      <c r="E655">
        <f>IF($A655="",1,IFERROR(INDEX(Prices[FX to SGD],MATCH($A655,Prices[Key],0)),1))</f>
        <v>1</v>
      </c>
      <c r="F655" s="30">
        <f>IF($A655="",0,(Transactions!M647-Transactions!L647+IF(Transactions!A647=2,Transactions!H647,0))*$E655)</f>
        <v>0</v>
      </c>
      <c r="G655" s="30">
        <f>IF($A655="",0,IF(Transactions!A647=2,Transactions!H647*$E655,0))</f>
        <v>0</v>
      </c>
    </row>
    <row r="656" spans="1:7" ht="15" customHeight="1" x14ac:dyDescent="0.15">
      <c r="A656" t="str">
        <f>IF(Transactions!J648="","",Transactions!J648)</f>
        <v/>
      </c>
      <c r="B656" s="297">
        <f ca="1">IF($A656="",TODAY(),Transactions!G648)</f>
        <v>46216</v>
      </c>
      <c r="C656" t="str">
        <f>IF($A656="","",Transactions!A648)</f>
        <v/>
      </c>
      <c r="D656" s="30">
        <f>IF($A656="",0,Transactions!H648)</f>
        <v>0</v>
      </c>
      <c r="E656">
        <f>IF($A656="",1,IFERROR(INDEX(Prices[FX to SGD],MATCH($A656,Prices[Key],0)),1))</f>
        <v>1</v>
      </c>
      <c r="F656" s="30">
        <f>IF($A656="",0,(Transactions!M648-Transactions!L648+IF(Transactions!A648=2,Transactions!H648,0))*$E656)</f>
        <v>0</v>
      </c>
      <c r="G656" s="30">
        <f>IF($A656="",0,IF(Transactions!A648=2,Transactions!H648*$E656,0))</f>
        <v>0</v>
      </c>
    </row>
    <row r="657" spans="1:7" ht="15" customHeight="1" x14ac:dyDescent="0.15">
      <c r="A657" t="str">
        <f>IF(Transactions!J649="","",Transactions!J649)</f>
        <v/>
      </c>
      <c r="B657" s="297">
        <f ca="1">IF($A657="",TODAY(),Transactions!G649)</f>
        <v>46216</v>
      </c>
      <c r="C657" t="str">
        <f>IF($A657="","",Transactions!A649)</f>
        <v/>
      </c>
      <c r="D657" s="30">
        <f>IF($A657="",0,Transactions!H649)</f>
        <v>0</v>
      </c>
      <c r="E657">
        <f>IF($A657="",1,IFERROR(INDEX(Prices[FX to SGD],MATCH($A657,Prices[Key],0)),1))</f>
        <v>1</v>
      </c>
      <c r="F657" s="30">
        <f>IF($A657="",0,(Transactions!M649-Transactions!L649+IF(Transactions!A649=2,Transactions!H649,0))*$E657)</f>
        <v>0</v>
      </c>
      <c r="G657" s="30">
        <f>IF($A657="",0,IF(Transactions!A649=2,Transactions!H649*$E657,0))</f>
        <v>0</v>
      </c>
    </row>
    <row r="658" spans="1:7" ht="15" customHeight="1" x14ac:dyDescent="0.15">
      <c r="A658" t="str">
        <f>IF(Transactions!J650="","",Transactions!J650)</f>
        <v/>
      </c>
      <c r="B658" s="297">
        <f ca="1">IF($A658="",TODAY(),Transactions!G650)</f>
        <v>46216</v>
      </c>
      <c r="C658" t="str">
        <f>IF($A658="","",Transactions!A650)</f>
        <v/>
      </c>
      <c r="D658" s="30">
        <f>IF($A658="",0,Transactions!H650)</f>
        <v>0</v>
      </c>
      <c r="E658">
        <f>IF($A658="",1,IFERROR(INDEX(Prices[FX to SGD],MATCH($A658,Prices[Key],0)),1))</f>
        <v>1</v>
      </c>
      <c r="F658" s="30">
        <f>IF($A658="",0,(Transactions!M650-Transactions!L650+IF(Transactions!A650=2,Transactions!H650,0))*$E658)</f>
        <v>0</v>
      </c>
      <c r="G658" s="30">
        <f>IF($A658="",0,IF(Transactions!A650=2,Transactions!H650*$E658,0))</f>
        <v>0</v>
      </c>
    </row>
    <row r="659" spans="1:7" ht="15" customHeight="1" x14ac:dyDescent="0.15">
      <c r="A659" t="str">
        <f>IF(Transactions!J651="","",Transactions!J651)</f>
        <v/>
      </c>
      <c r="B659" s="297">
        <f ca="1">IF($A659="",TODAY(),Transactions!G651)</f>
        <v>46216</v>
      </c>
      <c r="C659" t="str">
        <f>IF($A659="","",Transactions!A651)</f>
        <v/>
      </c>
      <c r="D659" s="30">
        <f>IF($A659="",0,Transactions!H651)</f>
        <v>0</v>
      </c>
      <c r="E659">
        <f>IF($A659="",1,IFERROR(INDEX(Prices[FX to SGD],MATCH($A659,Prices[Key],0)),1))</f>
        <v>1</v>
      </c>
      <c r="F659" s="30">
        <f>IF($A659="",0,(Transactions!M651-Transactions!L651+IF(Transactions!A651=2,Transactions!H651,0))*$E659)</f>
        <v>0</v>
      </c>
      <c r="G659" s="30">
        <f>IF($A659="",0,IF(Transactions!A651=2,Transactions!H651*$E659,0))</f>
        <v>0</v>
      </c>
    </row>
    <row r="660" spans="1:7" ht="15" customHeight="1" x14ac:dyDescent="0.15">
      <c r="A660" t="str">
        <f>IF(Transactions!J652="","",Transactions!J652)</f>
        <v/>
      </c>
      <c r="B660" s="297">
        <f ca="1">IF($A660="",TODAY(),Transactions!G652)</f>
        <v>46216</v>
      </c>
      <c r="C660" t="str">
        <f>IF($A660="","",Transactions!A652)</f>
        <v/>
      </c>
      <c r="D660" s="30">
        <f>IF($A660="",0,Transactions!H652)</f>
        <v>0</v>
      </c>
      <c r="E660">
        <f>IF($A660="",1,IFERROR(INDEX(Prices[FX to SGD],MATCH($A660,Prices[Key],0)),1))</f>
        <v>1</v>
      </c>
      <c r="F660" s="30">
        <f>IF($A660="",0,(Transactions!M652-Transactions!L652+IF(Transactions!A652=2,Transactions!H652,0))*$E660)</f>
        <v>0</v>
      </c>
      <c r="G660" s="30">
        <f>IF($A660="",0,IF(Transactions!A652=2,Transactions!H652*$E660,0))</f>
        <v>0</v>
      </c>
    </row>
    <row r="661" spans="1:7" ht="15" customHeight="1" x14ac:dyDescent="0.15">
      <c r="A661" t="str">
        <f>IF(Transactions!J653="","",Transactions!J653)</f>
        <v/>
      </c>
      <c r="B661" s="297">
        <f ca="1">IF($A661="",TODAY(),Transactions!G653)</f>
        <v>46216</v>
      </c>
      <c r="C661" t="str">
        <f>IF($A661="","",Transactions!A653)</f>
        <v/>
      </c>
      <c r="D661" s="30">
        <f>IF($A661="",0,Transactions!H653)</f>
        <v>0</v>
      </c>
      <c r="E661">
        <f>IF($A661="",1,IFERROR(INDEX(Prices[FX to SGD],MATCH($A661,Prices[Key],0)),1))</f>
        <v>1</v>
      </c>
      <c r="F661" s="30">
        <f>IF($A661="",0,(Transactions!M653-Transactions!L653+IF(Transactions!A653=2,Transactions!H653,0))*$E661)</f>
        <v>0</v>
      </c>
      <c r="G661" s="30">
        <f>IF($A661="",0,IF(Transactions!A653=2,Transactions!H653*$E661,0))</f>
        <v>0</v>
      </c>
    </row>
    <row r="662" spans="1:7" ht="15" customHeight="1" x14ac:dyDescent="0.15">
      <c r="A662" t="str">
        <f>IF(Transactions!J654="","",Transactions!J654)</f>
        <v/>
      </c>
      <c r="B662" s="297">
        <f ca="1">IF($A662="",TODAY(),Transactions!G654)</f>
        <v>46216</v>
      </c>
      <c r="C662" t="str">
        <f>IF($A662="","",Transactions!A654)</f>
        <v/>
      </c>
      <c r="D662" s="30">
        <f>IF($A662="",0,Transactions!H654)</f>
        <v>0</v>
      </c>
      <c r="E662">
        <f>IF($A662="",1,IFERROR(INDEX(Prices[FX to SGD],MATCH($A662,Prices[Key],0)),1))</f>
        <v>1</v>
      </c>
      <c r="F662" s="30">
        <f>IF($A662="",0,(Transactions!M654-Transactions!L654+IF(Transactions!A654=2,Transactions!H654,0))*$E662)</f>
        <v>0</v>
      </c>
      <c r="G662" s="30">
        <f>IF($A662="",0,IF(Transactions!A654=2,Transactions!H654*$E662,0))</f>
        <v>0</v>
      </c>
    </row>
    <row r="663" spans="1:7" ht="15" customHeight="1" x14ac:dyDescent="0.15">
      <c r="A663" t="str">
        <f>IF(Transactions!J655="","",Transactions!J655)</f>
        <v/>
      </c>
      <c r="B663" s="297">
        <f ca="1">IF($A663="",TODAY(),Transactions!G655)</f>
        <v>46216</v>
      </c>
      <c r="C663" t="str">
        <f>IF($A663="","",Transactions!A655)</f>
        <v/>
      </c>
      <c r="D663" s="30">
        <f>IF($A663="",0,Transactions!H655)</f>
        <v>0</v>
      </c>
      <c r="E663">
        <f>IF($A663="",1,IFERROR(INDEX(Prices[FX to SGD],MATCH($A663,Prices[Key],0)),1))</f>
        <v>1</v>
      </c>
      <c r="F663" s="30">
        <f>IF($A663="",0,(Transactions!M655-Transactions!L655+IF(Transactions!A655=2,Transactions!H655,0))*$E663)</f>
        <v>0</v>
      </c>
      <c r="G663" s="30">
        <f>IF($A663="",0,IF(Transactions!A655=2,Transactions!H655*$E663,0))</f>
        <v>0</v>
      </c>
    </row>
    <row r="664" spans="1:7" ht="15" customHeight="1" x14ac:dyDescent="0.15">
      <c r="A664" t="str">
        <f>IF(Transactions!J656="","",Transactions!J656)</f>
        <v/>
      </c>
      <c r="B664" s="297">
        <f ca="1">IF($A664="",TODAY(),Transactions!G656)</f>
        <v>46216</v>
      </c>
      <c r="C664" t="str">
        <f>IF($A664="","",Transactions!A656)</f>
        <v/>
      </c>
      <c r="D664" s="30">
        <f>IF($A664="",0,Transactions!H656)</f>
        <v>0</v>
      </c>
      <c r="E664">
        <f>IF($A664="",1,IFERROR(INDEX(Prices[FX to SGD],MATCH($A664,Prices[Key],0)),1))</f>
        <v>1</v>
      </c>
      <c r="F664" s="30">
        <f>IF($A664="",0,(Transactions!M656-Transactions!L656+IF(Transactions!A656=2,Transactions!H656,0))*$E664)</f>
        <v>0</v>
      </c>
      <c r="G664" s="30">
        <f>IF($A664="",0,IF(Transactions!A656=2,Transactions!H656*$E664,0))</f>
        <v>0</v>
      </c>
    </row>
    <row r="665" spans="1:7" ht="15" customHeight="1" x14ac:dyDescent="0.15">
      <c r="A665" t="str">
        <f>IF(Transactions!J657="","",Transactions!J657)</f>
        <v/>
      </c>
      <c r="B665" s="297">
        <f ca="1">IF($A665="",TODAY(),Transactions!G657)</f>
        <v>46216</v>
      </c>
      <c r="C665" t="str">
        <f>IF($A665="","",Transactions!A657)</f>
        <v/>
      </c>
      <c r="D665" s="30">
        <f>IF($A665="",0,Transactions!H657)</f>
        <v>0</v>
      </c>
      <c r="E665">
        <f>IF($A665="",1,IFERROR(INDEX(Prices[FX to SGD],MATCH($A665,Prices[Key],0)),1))</f>
        <v>1</v>
      </c>
      <c r="F665" s="30">
        <f>IF($A665="",0,(Transactions!M657-Transactions!L657+IF(Transactions!A657=2,Transactions!H657,0))*$E665)</f>
        <v>0</v>
      </c>
      <c r="G665" s="30">
        <f>IF($A665="",0,IF(Transactions!A657=2,Transactions!H657*$E665,0))</f>
        <v>0</v>
      </c>
    </row>
    <row r="666" spans="1:7" ht="15" customHeight="1" x14ac:dyDescent="0.15">
      <c r="A666" t="str">
        <f>IF(Transactions!J658="","",Transactions!J658)</f>
        <v/>
      </c>
      <c r="B666" s="297">
        <f ca="1">IF($A666="",TODAY(),Transactions!G658)</f>
        <v>46216</v>
      </c>
      <c r="C666" t="str">
        <f>IF($A666="","",Transactions!A658)</f>
        <v/>
      </c>
      <c r="D666" s="30">
        <f>IF($A666="",0,Transactions!H658)</f>
        <v>0</v>
      </c>
      <c r="E666">
        <f>IF($A666="",1,IFERROR(INDEX(Prices[FX to SGD],MATCH($A666,Prices[Key],0)),1))</f>
        <v>1</v>
      </c>
      <c r="F666" s="30">
        <f>IF($A666="",0,(Transactions!M658-Transactions!L658+IF(Transactions!A658=2,Transactions!H658,0))*$E666)</f>
        <v>0</v>
      </c>
      <c r="G666" s="30">
        <f>IF($A666="",0,IF(Transactions!A658=2,Transactions!H658*$E666,0))</f>
        <v>0</v>
      </c>
    </row>
    <row r="667" spans="1:7" ht="15" customHeight="1" x14ac:dyDescent="0.15">
      <c r="A667" t="str">
        <f>IF(Transactions!J659="","",Transactions!J659)</f>
        <v/>
      </c>
      <c r="B667" s="297">
        <f ca="1">IF($A667="",TODAY(),Transactions!G659)</f>
        <v>46216</v>
      </c>
      <c r="C667" t="str">
        <f>IF($A667="","",Transactions!A659)</f>
        <v/>
      </c>
      <c r="D667" s="30">
        <f>IF($A667="",0,Transactions!H659)</f>
        <v>0</v>
      </c>
      <c r="E667">
        <f>IF($A667="",1,IFERROR(INDEX(Prices[FX to SGD],MATCH($A667,Prices[Key],0)),1))</f>
        <v>1</v>
      </c>
      <c r="F667" s="30">
        <f>IF($A667="",0,(Transactions!M659-Transactions!L659+IF(Transactions!A659=2,Transactions!H659,0))*$E667)</f>
        <v>0</v>
      </c>
      <c r="G667" s="30">
        <f>IF($A667="",0,IF(Transactions!A659=2,Transactions!H659*$E667,0))</f>
        <v>0</v>
      </c>
    </row>
    <row r="668" spans="1:7" ht="15" customHeight="1" x14ac:dyDescent="0.15">
      <c r="A668" t="str">
        <f>IF(Transactions!J660="","",Transactions!J660)</f>
        <v/>
      </c>
      <c r="B668" s="297">
        <f ca="1">IF($A668="",TODAY(),Transactions!G660)</f>
        <v>46216</v>
      </c>
      <c r="C668" t="str">
        <f>IF($A668="","",Transactions!A660)</f>
        <v/>
      </c>
      <c r="D668" s="30">
        <f>IF($A668="",0,Transactions!H660)</f>
        <v>0</v>
      </c>
      <c r="E668">
        <f>IF($A668="",1,IFERROR(INDEX(Prices[FX to SGD],MATCH($A668,Prices[Key],0)),1))</f>
        <v>1</v>
      </c>
      <c r="F668" s="30">
        <f>IF($A668="",0,(Transactions!M660-Transactions!L660+IF(Transactions!A660=2,Transactions!H660,0))*$E668)</f>
        <v>0</v>
      </c>
      <c r="G668" s="30">
        <f>IF($A668="",0,IF(Transactions!A660=2,Transactions!H660*$E668,0))</f>
        <v>0</v>
      </c>
    </row>
    <row r="669" spans="1:7" ht="15" customHeight="1" x14ac:dyDescent="0.15">
      <c r="A669" t="str">
        <f>IF(Transactions!J661="","",Transactions!J661)</f>
        <v/>
      </c>
      <c r="B669" s="297">
        <f ca="1">IF($A669="",TODAY(),Transactions!G661)</f>
        <v>46216</v>
      </c>
      <c r="C669" t="str">
        <f>IF($A669="","",Transactions!A661)</f>
        <v/>
      </c>
      <c r="D669" s="30">
        <f>IF($A669="",0,Transactions!H661)</f>
        <v>0</v>
      </c>
      <c r="E669">
        <f>IF($A669="",1,IFERROR(INDEX(Prices[FX to SGD],MATCH($A669,Prices[Key],0)),1))</f>
        <v>1</v>
      </c>
      <c r="F669" s="30">
        <f>IF($A669="",0,(Transactions!M661-Transactions!L661+IF(Transactions!A661=2,Transactions!H661,0))*$E669)</f>
        <v>0</v>
      </c>
      <c r="G669" s="30">
        <f>IF($A669="",0,IF(Transactions!A661=2,Transactions!H661*$E669,0))</f>
        <v>0</v>
      </c>
    </row>
    <row r="670" spans="1:7" ht="15" customHeight="1" x14ac:dyDescent="0.15">
      <c r="A670" t="str">
        <f>IF(Transactions!J662="","",Transactions!J662)</f>
        <v/>
      </c>
      <c r="B670" s="297">
        <f ca="1">IF($A670="",TODAY(),Transactions!G662)</f>
        <v>46216</v>
      </c>
      <c r="C670" t="str">
        <f>IF($A670="","",Transactions!A662)</f>
        <v/>
      </c>
      <c r="D670" s="30">
        <f>IF($A670="",0,Transactions!H662)</f>
        <v>0</v>
      </c>
      <c r="E670">
        <f>IF($A670="",1,IFERROR(INDEX(Prices[FX to SGD],MATCH($A670,Prices[Key],0)),1))</f>
        <v>1</v>
      </c>
      <c r="F670" s="30">
        <f>IF($A670="",0,(Transactions!M662-Transactions!L662+IF(Transactions!A662=2,Transactions!H662,0))*$E670)</f>
        <v>0</v>
      </c>
      <c r="G670" s="30">
        <f>IF($A670="",0,IF(Transactions!A662=2,Transactions!H662*$E670,0))</f>
        <v>0</v>
      </c>
    </row>
    <row r="671" spans="1:7" ht="15" customHeight="1" x14ac:dyDescent="0.15">
      <c r="A671" t="str">
        <f>IF(Transactions!J663="","",Transactions!J663)</f>
        <v/>
      </c>
      <c r="B671" s="297">
        <f ca="1">IF($A671="",TODAY(),Transactions!G663)</f>
        <v>46216</v>
      </c>
      <c r="C671" t="str">
        <f>IF($A671="","",Transactions!A663)</f>
        <v/>
      </c>
      <c r="D671" s="30">
        <f>IF($A671="",0,Transactions!H663)</f>
        <v>0</v>
      </c>
      <c r="E671">
        <f>IF($A671="",1,IFERROR(INDEX(Prices[FX to SGD],MATCH($A671,Prices[Key],0)),1))</f>
        <v>1</v>
      </c>
      <c r="F671" s="30">
        <f>IF($A671="",0,(Transactions!M663-Transactions!L663+IF(Transactions!A663=2,Transactions!H663,0))*$E671)</f>
        <v>0</v>
      </c>
      <c r="G671" s="30">
        <f>IF($A671="",0,IF(Transactions!A663=2,Transactions!H663*$E671,0))</f>
        <v>0</v>
      </c>
    </row>
    <row r="672" spans="1:7" ht="15" customHeight="1" x14ac:dyDescent="0.15">
      <c r="A672" t="str">
        <f>IF(Transactions!J664="","",Transactions!J664)</f>
        <v/>
      </c>
      <c r="B672" s="297">
        <f ca="1">IF($A672="",TODAY(),Transactions!G664)</f>
        <v>46216</v>
      </c>
      <c r="C672" t="str">
        <f>IF($A672="","",Transactions!A664)</f>
        <v/>
      </c>
      <c r="D672" s="30">
        <f>IF($A672="",0,Transactions!H664)</f>
        <v>0</v>
      </c>
      <c r="E672">
        <f>IF($A672="",1,IFERROR(INDEX(Prices[FX to SGD],MATCH($A672,Prices[Key],0)),1))</f>
        <v>1</v>
      </c>
      <c r="F672" s="30">
        <f>IF($A672="",0,(Transactions!M664-Transactions!L664+IF(Transactions!A664=2,Transactions!H664,0))*$E672)</f>
        <v>0</v>
      </c>
      <c r="G672" s="30">
        <f>IF($A672="",0,IF(Transactions!A664=2,Transactions!H664*$E672,0))</f>
        <v>0</v>
      </c>
    </row>
    <row r="673" spans="1:7" ht="15" customHeight="1" x14ac:dyDescent="0.15">
      <c r="A673" t="str">
        <f>IF(Transactions!J665="","",Transactions!J665)</f>
        <v/>
      </c>
      <c r="B673" s="297">
        <f ca="1">IF($A673="",TODAY(),Transactions!G665)</f>
        <v>46216</v>
      </c>
      <c r="C673" t="str">
        <f>IF($A673="","",Transactions!A665)</f>
        <v/>
      </c>
      <c r="D673" s="30">
        <f>IF($A673="",0,Transactions!H665)</f>
        <v>0</v>
      </c>
      <c r="E673">
        <f>IF($A673="",1,IFERROR(INDEX(Prices[FX to SGD],MATCH($A673,Prices[Key],0)),1))</f>
        <v>1</v>
      </c>
      <c r="F673" s="30">
        <f>IF($A673="",0,(Transactions!M665-Transactions!L665+IF(Transactions!A665=2,Transactions!H665,0))*$E673)</f>
        <v>0</v>
      </c>
      <c r="G673" s="30">
        <f>IF($A673="",0,IF(Transactions!A665=2,Transactions!H665*$E673,0))</f>
        <v>0</v>
      </c>
    </row>
    <row r="674" spans="1:7" ht="15" customHeight="1" x14ac:dyDescent="0.15">
      <c r="A674" t="str">
        <f>IF(Transactions!J666="","",Transactions!J666)</f>
        <v/>
      </c>
      <c r="B674" s="297">
        <f ca="1">IF($A674="",TODAY(),Transactions!G666)</f>
        <v>46216</v>
      </c>
      <c r="C674" t="str">
        <f>IF($A674="","",Transactions!A666)</f>
        <v/>
      </c>
      <c r="D674" s="30">
        <f>IF($A674="",0,Transactions!H666)</f>
        <v>0</v>
      </c>
      <c r="E674">
        <f>IF($A674="",1,IFERROR(INDEX(Prices[FX to SGD],MATCH($A674,Prices[Key],0)),1))</f>
        <v>1</v>
      </c>
      <c r="F674" s="30">
        <f>IF($A674="",0,(Transactions!M666-Transactions!L666+IF(Transactions!A666=2,Transactions!H666,0))*$E674)</f>
        <v>0</v>
      </c>
      <c r="G674" s="30">
        <f>IF($A674="",0,IF(Transactions!A666=2,Transactions!H666*$E674,0))</f>
        <v>0</v>
      </c>
    </row>
    <row r="675" spans="1:7" ht="15" customHeight="1" x14ac:dyDescent="0.15">
      <c r="A675" t="str">
        <f>IF(Transactions!J667="","",Transactions!J667)</f>
        <v/>
      </c>
      <c r="B675" s="297">
        <f ca="1">IF($A675="",TODAY(),Transactions!G667)</f>
        <v>46216</v>
      </c>
      <c r="C675" t="str">
        <f>IF($A675="","",Transactions!A667)</f>
        <v/>
      </c>
      <c r="D675" s="30">
        <f>IF($A675="",0,Transactions!H667)</f>
        <v>0</v>
      </c>
      <c r="E675">
        <f>IF($A675="",1,IFERROR(INDEX(Prices[FX to SGD],MATCH($A675,Prices[Key],0)),1))</f>
        <v>1</v>
      </c>
      <c r="F675" s="30">
        <f>IF($A675="",0,(Transactions!M667-Transactions!L667+IF(Transactions!A667=2,Transactions!H667,0))*$E675)</f>
        <v>0</v>
      </c>
      <c r="G675" s="30">
        <f>IF($A675="",0,IF(Transactions!A667=2,Transactions!H667*$E675,0))</f>
        <v>0</v>
      </c>
    </row>
    <row r="676" spans="1:7" ht="15" customHeight="1" x14ac:dyDescent="0.15">
      <c r="A676" t="str">
        <f>IF(Transactions!J668="","",Transactions!J668)</f>
        <v/>
      </c>
      <c r="B676" s="297">
        <f ca="1">IF($A676="",TODAY(),Transactions!G668)</f>
        <v>46216</v>
      </c>
      <c r="C676" t="str">
        <f>IF($A676="","",Transactions!A668)</f>
        <v/>
      </c>
      <c r="D676" s="30">
        <f>IF($A676="",0,Transactions!H668)</f>
        <v>0</v>
      </c>
      <c r="E676">
        <f>IF($A676="",1,IFERROR(INDEX(Prices[FX to SGD],MATCH($A676,Prices[Key],0)),1))</f>
        <v>1</v>
      </c>
      <c r="F676" s="30">
        <f>IF($A676="",0,(Transactions!M668-Transactions!L668+IF(Transactions!A668=2,Transactions!H668,0))*$E676)</f>
        <v>0</v>
      </c>
      <c r="G676" s="30">
        <f>IF($A676="",0,IF(Transactions!A668=2,Transactions!H668*$E676,0))</f>
        <v>0</v>
      </c>
    </row>
    <row r="677" spans="1:7" ht="15" customHeight="1" x14ac:dyDescent="0.15">
      <c r="A677" t="str">
        <f>IF(Transactions!J669="","",Transactions!J669)</f>
        <v/>
      </c>
      <c r="B677" s="297">
        <f ca="1">IF($A677="",TODAY(),Transactions!G669)</f>
        <v>46216</v>
      </c>
      <c r="C677" t="str">
        <f>IF($A677="","",Transactions!A669)</f>
        <v/>
      </c>
      <c r="D677" s="30">
        <f>IF($A677="",0,Transactions!H669)</f>
        <v>0</v>
      </c>
      <c r="E677">
        <f>IF($A677="",1,IFERROR(INDEX(Prices[FX to SGD],MATCH($A677,Prices[Key],0)),1))</f>
        <v>1</v>
      </c>
      <c r="F677" s="30">
        <f>IF($A677="",0,(Transactions!M669-Transactions!L669+IF(Transactions!A669=2,Transactions!H669,0))*$E677)</f>
        <v>0</v>
      </c>
      <c r="G677" s="30">
        <f>IF($A677="",0,IF(Transactions!A669=2,Transactions!H669*$E677,0))</f>
        <v>0</v>
      </c>
    </row>
    <row r="678" spans="1:7" ht="15" customHeight="1" x14ac:dyDescent="0.15">
      <c r="A678" t="str">
        <f>IF(Transactions!J670="","",Transactions!J670)</f>
        <v/>
      </c>
      <c r="B678" s="297">
        <f ca="1">IF($A678="",TODAY(),Transactions!G670)</f>
        <v>46216</v>
      </c>
      <c r="C678" t="str">
        <f>IF($A678="","",Transactions!A670)</f>
        <v/>
      </c>
      <c r="D678" s="30">
        <f>IF($A678="",0,Transactions!H670)</f>
        <v>0</v>
      </c>
      <c r="E678">
        <f>IF($A678="",1,IFERROR(INDEX(Prices[FX to SGD],MATCH($A678,Prices[Key],0)),1))</f>
        <v>1</v>
      </c>
      <c r="F678" s="30">
        <f>IF($A678="",0,(Transactions!M670-Transactions!L670+IF(Transactions!A670=2,Transactions!H670,0))*$E678)</f>
        <v>0</v>
      </c>
      <c r="G678" s="30">
        <f>IF($A678="",0,IF(Transactions!A670=2,Transactions!H670*$E678,0))</f>
        <v>0</v>
      </c>
    </row>
    <row r="679" spans="1:7" ht="15" customHeight="1" x14ac:dyDescent="0.15">
      <c r="A679" t="str">
        <f>IF(Transactions!J671="","",Transactions!J671)</f>
        <v/>
      </c>
      <c r="B679" s="297">
        <f ca="1">IF($A679="",TODAY(),Transactions!G671)</f>
        <v>46216</v>
      </c>
      <c r="C679" t="str">
        <f>IF($A679="","",Transactions!A671)</f>
        <v/>
      </c>
      <c r="D679" s="30">
        <f>IF($A679="",0,Transactions!H671)</f>
        <v>0</v>
      </c>
      <c r="E679">
        <f>IF($A679="",1,IFERROR(INDEX(Prices[FX to SGD],MATCH($A679,Prices[Key],0)),1))</f>
        <v>1</v>
      </c>
      <c r="F679" s="30">
        <f>IF($A679="",0,(Transactions!M671-Transactions!L671+IF(Transactions!A671=2,Transactions!H671,0))*$E679)</f>
        <v>0</v>
      </c>
      <c r="G679" s="30">
        <f>IF($A679="",0,IF(Transactions!A671=2,Transactions!H671*$E679,0))</f>
        <v>0</v>
      </c>
    </row>
    <row r="680" spans="1:7" ht="15" customHeight="1" x14ac:dyDescent="0.15">
      <c r="A680" t="str">
        <f>IF(Transactions!J672="","",Transactions!J672)</f>
        <v/>
      </c>
      <c r="B680" s="297">
        <f ca="1">IF($A680="",TODAY(),Transactions!G672)</f>
        <v>46216</v>
      </c>
      <c r="C680" t="str">
        <f>IF($A680="","",Transactions!A672)</f>
        <v/>
      </c>
      <c r="D680" s="30">
        <f>IF($A680="",0,Transactions!H672)</f>
        <v>0</v>
      </c>
      <c r="E680">
        <f>IF($A680="",1,IFERROR(INDEX(Prices[FX to SGD],MATCH($A680,Prices[Key],0)),1))</f>
        <v>1</v>
      </c>
      <c r="F680" s="30">
        <f>IF($A680="",0,(Transactions!M672-Transactions!L672+IF(Transactions!A672=2,Transactions!H672,0))*$E680)</f>
        <v>0</v>
      </c>
      <c r="G680" s="30">
        <f>IF($A680="",0,IF(Transactions!A672=2,Transactions!H672*$E680,0))</f>
        <v>0</v>
      </c>
    </row>
    <row r="681" spans="1:7" ht="15" customHeight="1" x14ac:dyDescent="0.15">
      <c r="A681" t="str">
        <f>IF(Transactions!J673="","",Transactions!J673)</f>
        <v/>
      </c>
      <c r="B681" s="297">
        <f ca="1">IF($A681="",TODAY(),Transactions!G673)</f>
        <v>46216</v>
      </c>
      <c r="C681" t="str">
        <f>IF($A681="","",Transactions!A673)</f>
        <v/>
      </c>
      <c r="D681" s="30">
        <f>IF($A681="",0,Transactions!H673)</f>
        <v>0</v>
      </c>
      <c r="E681">
        <f>IF($A681="",1,IFERROR(INDEX(Prices[FX to SGD],MATCH($A681,Prices[Key],0)),1))</f>
        <v>1</v>
      </c>
      <c r="F681" s="30">
        <f>IF($A681="",0,(Transactions!M673-Transactions!L673+IF(Transactions!A673=2,Transactions!H673,0))*$E681)</f>
        <v>0</v>
      </c>
      <c r="G681" s="30">
        <f>IF($A681="",0,IF(Transactions!A673=2,Transactions!H673*$E681,0))</f>
        <v>0</v>
      </c>
    </row>
    <row r="682" spans="1:7" ht="15" customHeight="1" x14ac:dyDescent="0.15">
      <c r="A682" t="str">
        <f>IF(Transactions!J674="","",Transactions!J674)</f>
        <v/>
      </c>
      <c r="B682" s="297">
        <f ca="1">IF($A682="",TODAY(),Transactions!G674)</f>
        <v>46216</v>
      </c>
      <c r="C682" t="str">
        <f>IF($A682="","",Transactions!A674)</f>
        <v/>
      </c>
      <c r="D682" s="30">
        <f>IF($A682="",0,Transactions!H674)</f>
        <v>0</v>
      </c>
      <c r="E682">
        <f>IF($A682="",1,IFERROR(INDEX(Prices[FX to SGD],MATCH($A682,Prices[Key],0)),1))</f>
        <v>1</v>
      </c>
      <c r="F682" s="30">
        <f>IF($A682="",0,(Transactions!M674-Transactions!L674+IF(Transactions!A674=2,Transactions!H674,0))*$E682)</f>
        <v>0</v>
      </c>
      <c r="G682" s="30">
        <f>IF($A682="",0,IF(Transactions!A674=2,Transactions!H674*$E682,0))</f>
        <v>0</v>
      </c>
    </row>
    <row r="683" spans="1:7" ht="15" customHeight="1" x14ac:dyDescent="0.15">
      <c r="A683" t="str">
        <f>IF(Transactions!J675="","",Transactions!J675)</f>
        <v/>
      </c>
      <c r="B683" s="297">
        <f ca="1">IF($A683="",TODAY(),Transactions!G675)</f>
        <v>46216</v>
      </c>
      <c r="C683" t="str">
        <f>IF($A683="","",Transactions!A675)</f>
        <v/>
      </c>
      <c r="D683" s="30">
        <f>IF($A683="",0,Transactions!H675)</f>
        <v>0</v>
      </c>
      <c r="E683">
        <f>IF($A683="",1,IFERROR(INDEX(Prices[FX to SGD],MATCH($A683,Prices[Key],0)),1))</f>
        <v>1</v>
      </c>
      <c r="F683" s="30">
        <f>IF($A683="",0,(Transactions!M675-Transactions!L675+IF(Transactions!A675=2,Transactions!H675,0))*$E683)</f>
        <v>0</v>
      </c>
      <c r="G683" s="30">
        <f>IF($A683="",0,IF(Transactions!A675=2,Transactions!H675*$E683,0))</f>
        <v>0</v>
      </c>
    </row>
    <row r="684" spans="1:7" ht="15" customHeight="1" x14ac:dyDescent="0.15">
      <c r="A684" t="str">
        <f>IF(Transactions!J676="","",Transactions!J676)</f>
        <v/>
      </c>
      <c r="B684" s="297">
        <f ca="1">IF($A684="",TODAY(),Transactions!G676)</f>
        <v>46216</v>
      </c>
      <c r="C684" t="str">
        <f>IF($A684="","",Transactions!A676)</f>
        <v/>
      </c>
      <c r="D684" s="30">
        <f>IF($A684="",0,Transactions!H676)</f>
        <v>0</v>
      </c>
      <c r="E684">
        <f>IF($A684="",1,IFERROR(INDEX(Prices[FX to SGD],MATCH($A684,Prices[Key],0)),1))</f>
        <v>1</v>
      </c>
      <c r="F684" s="30">
        <f>IF($A684="",0,(Transactions!M676-Transactions!L676+IF(Transactions!A676=2,Transactions!H676,0))*$E684)</f>
        <v>0</v>
      </c>
      <c r="G684" s="30">
        <f>IF($A684="",0,IF(Transactions!A676=2,Transactions!H676*$E684,0))</f>
        <v>0</v>
      </c>
    </row>
    <row r="685" spans="1:7" ht="15" customHeight="1" x14ac:dyDescent="0.15">
      <c r="A685" t="str">
        <f>IF(Transactions!J677="","",Transactions!J677)</f>
        <v/>
      </c>
      <c r="B685" s="297">
        <f ca="1">IF($A685="",TODAY(),Transactions!G677)</f>
        <v>46216</v>
      </c>
      <c r="C685" t="str">
        <f>IF($A685="","",Transactions!A677)</f>
        <v/>
      </c>
      <c r="D685" s="30">
        <f>IF($A685="",0,Transactions!H677)</f>
        <v>0</v>
      </c>
      <c r="E685">
        <f>IF($A685="",1,IFERROR(INDEX(Prices[FX to SGD],MATCH($A685,Prices[Key],0)),1))</f>
        <v>1</v>
      </c>
      <c r="F685" s="30">
        <f>IF($A685="",0,(Transactions!M677-Transactions!L677+IF(Transactions!A677=2,Transactions!H677,0))*$E685)</f>
        <v>0</v>
      </c>
      <c r="G685" s="30">
        <f>IF($A685="",0,IF(Transactions!A677=2,Transactions!H677*$E685,0))</f>
        <v>0</v>
      </c>
    </row>
    <row r="686" spans="1:7" ht="15" customHeight="1" x14ac:dyDescent="0.15">
      <c r="A686" t="str">
        <f>IF(Transactions!J678="","",Transactions!J678)</f>
        <v/>
      </c>
      <c r="B686" s="297">
        <f ca="1">IF($A686="",TODAY(),Transactions!G678)</f>
        <v>46216</v>
      </c>
      <c r="C686" t="str">
        <f>IF($A686="","",Transactions!A678)</f>
        <v/>
      </c>
      <c r="D686" s="30">
        <f>IF($A686="",0,Transactions!H678)</f>
        <v>0</v>
      </c>
      <c r="E686">
        <f>IF($A686="",1,IFERROR(INDEX(Prices[FX to SGD],MATCH($A686,Prices[Key],0)),1))</f>
        <v>1</v>
      </c>
      <c r="F686" s="30">
        <f>IF($A686="",0,(Transactions!M678-Transactions!L678+IF(Transactions!A678=2,Transactions!H678,0))*$E686)</f>
        <v>0</v>
      </c>
      <c r="G686" s="30">
        <f>IF($A686="",0,IF(Transactions!A678=2,Transactions!H678*$E686,0))</f>
        <v>0</v>
      </c>
    </row>
    <row r="687" spans="1:7" ht="15" customHeight="1" x14ac:dyDescent="0.15">
      <c r="A687" t="str">
        <f>IF(Transactions!J679="","",Transactions!J679)</f>
        <v/>
      </c>
      <c r="B687" s="297">
        <f ca="1">IF($A687="",TODAY(),Transactions!G679)</f>
        <v>46216</v>
      </c>
      <c r="C687" t="str">
        <f>IF($A687="","",Transactions!A679)</f>
        <v/>
      </c>
      <c r="D687" s="30">
        <f>IF($A687="",0,Transactions!H679)</f>
        <v>0</v>
      </c>
      <c r="E687">
        <f>IF($A687="",1,IFERROR(INDEX(Prices[FX to SGD],MATCH($A687,Prices[Key],0)),1))</f>
        <v>1</v>
      </c>
      <c r="F687" s="30">
        <f>IF($A687="",0,(Transactions!M679-Transactions!L679+IF(Transactions!A679=2,Transactions!H679,0))*$E687)</f>
        <v>0</v>
      </c>
      <c r="G687" s="30">
        <f>IF($A687="",0,IF(Transactions!A679=2,Transactions!H679*$E687,0))</f>
        <v>0</v>
      </c>
    </row>
    <row r="688" spans="1:7" ht="15" customHeight="1" x14ac:dyDescent="0.15">
      <c r="A688" t="str">
        <f>IF(Transactions!J680="","",Transactions!J680)</f>
        <v/>
      </c>
      <c r="B688" s="297">
        <f ca="1">IF($A688="",TODAY(),Transactions!G680)</f>
        <v>46216</v>
      </c>
      <c r="C688" t="str">
        <f>IF($A688="","",Transactions!A680)</f>
        <v/>
      </c>
      <c r="D688" s="30">
        <f>IF($A688="",0,Transactions!H680)</f>
        <v>0</v>
      </c>
      <c r="E688">
        <f>IF($A688="",1,IFERROR(INDEX(Prices[FX to SGD],MATCH($A688,Prices[Key],0)),1))</f>
        <v>1</v>
      </c>
      <c r="F688" s="30">
        <f>IF($A688="",0,(Transactions!M680-Transactions!L680+IF(Transactions!A680=2,Transactions!H680,0))*$E688)</f>
        <v>0</v>
      </c>
      <c r="G688" s="30">
        <f>IF($A688="",0,IF(Transactions!A680=2,Transactions!H680*$E688,0))</f>
        <v>0</v>
      </c>
    </row>
    <row r="689" spans="1:7" ht="15" customHeight="1" x14ac:dyDescent="0.15">
      <c r="A689" t="str">
        <f>IF(Transactions!J681="","",Transactions!J681)</f>
        <v/>
      </c>
      <c r="B689" s="297">
        <f ca="1">IF($A689="",TODAY(),Transactions!G681)</f>
        <v>46216</v>
      </c>
      <c r="C689" t="str">
        <f>IF($A689="","",Transactions!A681)</f>
        <v/>
      </c>
      <c r="D689" s="30">
        <f>IF($A689="",0,Transactions!H681)</f>
        <v>0</v>
      </c>
      <c r="E689">
        <f>IF($A689="",1,IFERROR(INDEX(Prices[FX to SGD],MATCH($A689,Prices[Key],0)),1))</f>
        <v>1</v>
      </c>
      <c r="F689" s="30">
        <f>IF($A689="",0,(Transactions!M681-Transactions!L681+IF(Transactions!A681=2,Transactions!H681,0))*$E689)</f>
        <v>0</v>
      </c>
      <c r="G689" s="30">
        <f>IF($A689="",0,IF(Transactions!A681=2,Transactions!H681*$E689,0))</f>
        <v>0</v>
      </c>
    </row>
    <row r="690" spans="1:7" ht="15" customHeight="1" x14ac:dyDescent="0.15">
      <c r="A690" t="str">
        <f>IF(Transactions!J682="","",Transactions!J682)</f>
        <v/>
      </c>
      <c r="B690" s="297">
        <f ca="1">IF($A690="",TODAY(),Transactions!G682)</f>
        <v>46216</v>
      </c>
      <c r="C690" t="str">
        <f>IF($A690="","",Transactions!A682)</f>
        <v/>
      </c>
      <c r="D690" s="30">
        <f>IF($A690="",0,Transactions!H682)</f>
        <v>0</v>
      </c>
      <c r="E690">
        <f>IF($A690="",1,IFERROR(INDEX(Prices[FX to SGD],MATCH($A690,Prices[Key],0)),1))</f>
        <v>1</v>
      </c>
      <c r="F690" s="30">
        <f>IF($A690="",0,(Transactions!M682-Transactions!L682+IF(Transactions!A682=2,Transactions!H682,0))*$E690)</f>
        <v>0</v>
      </c>
      <c r="G690" s="30">
        <f>IF($A690="",0,IF(Transactions!A682=2,Transactions!H682*$E690,0))</f>
        <v>0</v>
      </c>
    </row>
    <row r="691" spans="1:7" ht="15" customHeight="1" x14ac:dyDescent="0.15">
      <c r="A691" t="str">
        <f>IF(Transactions!J683="","",Transactions!J683)</f>
        <v/>
      </c>
      <c r="B691" s="297">
        <f ca="1">IF($A691="",TODAY(),Transactions!G683)</f>
        <v>46216</v>
      </c>
      <c r="C691" t="str">
        <f>IF($A691="","",Transactions!A683)</f>
        <v/>
      </c>
      <c r="D691" s="30">
        <f>IF($A691="",0,Transactions!H683)</f>
        <v>0</v>
      </c>
      <c r="E691">
        <f>IF($A691="",1,IFERROR(INDEX(Prices[FX to SGD],MATCH($A691,Prices[Key],0)),1))</f>
        <v>1</v>
      </c>
      <c r="F691" s="30">
        <f>IF($A691="",0,(Transactions!M683-Transactions!L683+IF(Transactions!A683=2,Transactions!H683,0))*$E691)</f>
        <v>0</v>
      </c>
      <c r="G691" s="30">
        <f>IF($A691="",0,IF(Transactions!A683=2,Transactions!H683*$E691,0))</f>
        <v>0</v>
      </c>
    </row>
    <row r="692" spans="1:7" ht="15" customHeight="1" x14ac:dyDescent="0.15">
      <c r="A692" t="str">
        <f>IF(Transactions!J684="","",Transactions!J684)</f>
        <v/>
      </c>
      <c r="B692" s="297">
        <f ca="1">IF($A692="",TODAY(),Transactions!G684)</f>
        <v>46216</v>
      </c>
      <c r="C692" t="str">
        <f>IF($A692="","",Transactions!A684)</f>
        <v/>
      </c>
      <c r="D692" s="30">
        <f>IF($A692="",0,Transactions!H684)</f>
        <v>0</v>
      </c>
      <c r="E692">
        <f>IF($A692="",1,IFERROR(INDEX(Prices[FX to SGD],MATCH($A692,Prices[Key],0)),1))</f>
        <v>1</v>
      </c>
      <c r="F692" s="30">
        <f>IF($A692="",0,(Transactions!M684-Transactions!L684+IF(Transactions!A684=2,Transactions!H684,0))*$E692)</f>
        <v>0</v>
      </c>
      <c r="G692" s="30">
        <f>IF($A692="",0,IF(Transactions!A684=2,Transactions!H684*$E692,0))</f>
        <v>0</v>
      </c>
    </row>
    <row r="693" spans="1:7" ht="15" customHeight="1" x14ac:dyDescent="0.15">
      <c r="A693" t="str">
        <f>IF(Transactions!J685="","",Transactions!J685)</f>
        <v/>
      </c>
      <c r="B693" s="297">
        <f ca="1">IF($A693="",TODAY(),Transactions!G685)</f>
        <v>46216</v>
      </c>
      <c r="C693" t="str">
        <f>IF($A693="","",Transactions!A685)</f>
        <v/>
      </c>
      <c r="D693" s="30">
        <f>IF($A693="",0,Transactions!H685)</f>
        <v>0</v>
      </c>
      <c r="E693">
        <f>IF($A693="",1,IFERROR(INDEX(Prices[FX to SGD],MATCH($A693,Prices[Key],0)),1))</f>
        <v>1</v>
      </c>
      <c r="F693" s="30">
        <f>IF($A693="",0,(Transactions!M685-Transactions!L685+IF(Transactions!A685=2,Transactions!H685,0))*$E693)</f>
        <v>0</v>
      </c>
      <c r="G693" s="30">
        <f>IF($A693="",0,IF(Transactions!A685=2,Transactions!H685*$E693,0))</f>
        <v>0</v>
      </c>
    </row>
    <row r="694" spans="1:7" ht="15" customHeight="1" x14ac:dyDescent="0.15">
      <c r="A694" t="str">
        <f>IF(Transactions!J686="","",Transactions!J686)</f>
        <v/>
      </c>
      <c r="B694" s="297">
        <f ca="1">IF($A694="",TODAY(),Transactions!G686)</f>
        <v>46216</v>
      </c>
      <c r="C694" t="str">
        <f>IF($A694="","",Transactions!A686)</f>
        <v/>
      </c>
      <c r="D694" s="30">
        <f>IF($A694="",0,Transactions!H686)</f>
        <v>0</v>
      </c>
      <c r="E694">
        <f>IF($A694="",1,IFERROR(INDEX(Prices[FX to SGD],MATCH($A694,Prices[Key],0)),1))</f>
        <v>1</v>
      </c>
      <c r="F694" s="30">
        <f>IF($A694="",0,(Transactions!M686-Transactions!L686+IF(Transactions!A686=2,Transactions!H686,0))*$E694)</f>
        <v>0</v>
      </c>
      <c r="G694" s="30">
        <f>IF($A694="",0,IF(Transactions!A686=2,Transactions!H686*$E694,0))</f>
        <v>0</v>
      </c>
    </row>
    <row r="695" spans="1:7" ht="15" customHeight="1" x14ac:dyDescent="0.15">
      <c r="A695" t="str">
        <f>IF(Transactions!J687="","",Transactions!J687)</f>
        <v/>
      </c>
      <c r="B695" s="297">
        <f ca="1">IF($A695="",TODAY(),Transactions!G687)</f>
        <v>46216</v>
      </c>
      <c r="C695" t="str">
        <f>IF($A695="","",Transactions!A687)</f>
        <v/>
      </c>
      <c r="D695" s="30">
        <f>IF($A695="",0,Transactions!H687)</f>
        <v>0</v>
      </c>
      <c r="E695">
        <f>IF($A695="",1,IFERROR(INDEX(Prices[FX to SGD],MATCH($A695,Prices[Key],0)),1))</f>
        <v>1</v>
      </c>
      <c r="F695" s="30">
        <f>IF($A695="",0,(Transactions!M687-Transactions!L687+IF(Transactions!A687=2,Transactions!H687,0))*$E695)</f>
        <v>0</v>
      </c>
      <c r="G695" s="30">
        <f>IF($A695="",0,IF(Transactions!A687=2,Transactions!H687*$E695,0))</f>
        <v>0</v>
      </c>
    </row>
    <row r="696" spans="1:7" ht="15" customHeight="1" x14ac:dyDescent="0.15">
      <c r="A696" t="str">
        <f>IF(Transactions!J688="","",Transactions!J688)</f>
        <v/>
      </c>
      <c r="B696" s="297">
        <f ca="1">IF($A696="",TODAY(),Transactions!G688)</f>
        <v>46216</v>
      </c>
      <c r="C696" t="str">
        <f>IF($A696="","",Transactions!A688)</f>
        <v/>
      </c>
      <c r="D696" s="30">
        <f>IF($A696="",0,Transactions!H688)</f>
        <v>0</v>
      </c>
      <c r="E696">
        <f>IF($A696="",1,IFERROR(INDEX(Prices[FX to SGD],MATCH($A696,Prices[Key],0)),1))</f>
        <v>1</v>
      </c>
      <c r="F696" s="30">
        <f>IF($A696="",0,(Transactions!M688-Transactions!L688+IF(Transactions!A688=2,Transactions!H688,0))*$E696)</f>
        <v>0</v>
      </c>
      <c r="G696" s="30">
        <f>IF($A696="",0,IF(Transactions!A688=2,Transactions!H688*$E696,0))</f>
        <v>0</v>
      </c>
    </row>
    <row r="697" spans="1:7" ht="15" customHeight="1" x14ac:dyDescent="0.15">
      <c r="A697" t="str">
        <f>IF(Transactions!J689="","",Transactions!J689)</f>
        <v/>
      </c>
      <c r="B697" s="297">
        <f ca="1">IF($A697="",TODAY(),Transactions!G689)</f>
        <v>46216</v>
      </c>
      <c r="C697" t="str">
        <f>IF($A697="","",Transactions!A689)</f>
        <v/>
      </c>
      <c r="D697" s="30">
        <f>IF($A697="",0,Transactions!H689)</f>
        <v>0</v>
      </c>
      <c r="E697">
        <f>IF($A697="",1,IFERROR(INDEX(Prices[FX to SGD],MATCH($A697,Prices[Key],0)),1))</f>
        <v>1</v>
      </c>
      <c r="F697" s="30">
        <f>IF($A697="",0,(Transactions!M689-Transactions!L689+IF(Transactions!A689=2,Transactions!H689,0))*$E697)</f>
        <v>0</v>
      </c>
      <c r="G697" s="30">
        <f>IF($A697="",0,IF(Transactions!A689=2,Transactions!H689*$E697,0))</f>
        <v>0</v>
      </c>
    </row>
    <row r="698" spans="1:7" ht="15" customHeight="1" x14ac:dyDescent="0.15">
      <c r="A698" t="str">
        <f>IF(Transactions!J690="","",Transactions!J690)</f>
        <v/>
      </c>
      <c r="B698" s="297">
        <f ca="1">IF($A698="",TODAY(),Transactions!G690)</f>
        <v>46216</v>
      </c>
      <c r="C698" t="str">
        <f>IF($A698="","",Transactions!A690)</f>
        <v/>
      </c>
      <c r="D698" s="30">
        <f>IF($A698="",0,Transactions!H690)</f>
        <v>0</v>
      </c>
      <c r="E698">
        <f>IF($A698="",1,IFERROR(INDEX(Prices[FX to SGD],MATCH($A698,Prices[Key],0)),1))</f>
        <v>1</v>
      </c>
      <c r="F698" s="30">
        <f>IF($A698="",0,(Transactions!M690-Transactions!L690+IF(Transactions!A690=2,Transactions!H690,0))*$E698)</f>
        <v>0</v>
      </c>
      <c r="G698" s="30">
        <f>IF($A698="",0,IF(Transactions!A690=2,Transactions!H690*$E698,0))</f>
        <v>0</v>
      </c>
    </row>
    <row r="699" spans="1:7" ht="15" customHeight="1" x14ac:dyDescent="0.15">
      <c r="A699" t="str">
        <f>IF(Transactions!J691="","",Transactions!J691)</f>
        <v/>
      </c>
      <c r="B699" s="297">
        <f ca="1">IF($A699="",TODAY(),Transactions!G691)</f>
        <v>46216</v>
      </c>
      <c r="C699" t="str">
        <f>IF($A699="","",Transactions!A691)</f>
        <v/>
      </c>
      <c r="D699" s="30">
        <f>IF($A699="",0,Transactions!H691)</f>
        <v>0</v>
      </c>
      <c r="E699">
        <f>IF($A699="",1,IFERROR(INDEX(Prices[FX to SGD],MATCH($A699,Prices[Key],0)),1))</f>
        <v>1</v>
      </c>
      <c r="F699" s="30">
        <f>IF($A699="",0,(Transactions!M691-Transactions!L691+IF(Transactions!A691=2,Transactions!H691,0))*$E699)</f>
        <v>0</v>
      </c>
      <c r="G699" s="30">
        <f>IF($A699="",0,IF(Transactions!A691=2,Transactions!H691*$E699,0))</f>
        <v>0</v>
      </c>
    </row>
    <row r="700" spans="1:7" ht="15" customHeight="1" x14ac:dyDescent="0.15">
      <c r="A700" t="str">
        <f>IF(Transactions!J692="","",Transactions!J692)</f>
        <v/>
      </c>
      <c r="B700" s="297">
        <f ca="1">IF($A700="",TODAY(),Transactions!G692)</f>
        <v>46216</v>
      </c>
      <c r="C700" t="str">
        <f>IF($A700="","",Transactions!A692)</f>
        <v/>
      </c>
      <c r="D700" s="30">
        <f>IF($A700="",0,Transactions!H692)</f>
        <v>0</v>
      </c>
      <c r="E700">
        <f>IF($A700="",1,IFERROR(INDEX(Prices[FX to SGD],MATCH($A700,Prices[Key],0)),1))</f>
        <v>1</v>
      </c>
      <c r="F700" s="30">
        <f>IF($A700="",0,(Transactions!M692-Transactions!L692+IF(Transactions!A692=2,Transactions!H692,0))*$E700)</f>
        <v>0</v>
      </c>
      <c r="G700" s="30">
        <f>IF($A700="",0,IF(Transactions!A692=2,Transactions!H692*$E700,0))</f>
        <v>0</v>
      </c>
    </row>
    <row r="701" spans="1:7" ht="15" customHeight="1" x14ac:dyDescent="0.15">
      <c r="A701" t="str">
        <f>IF(Transactions!J693="","",Transactions!J693)</f>
        <v/>
      </c>
      <c r="B701" s="297">
        <f ca="1">IF($A701="",TODAY(),Transactions!G693)</f>
        <v>46216</v>
      </c>
      <c r="C701" t="str">
        <f>IF($A701="","",Transactions!A693)</f>
        <v/>
      </c>
      <c r="D701" s="30">
        <f>IF($A701="",0,Transactions!H693)</f>
        <v>0</v>
      </c>
      <c r="E701">
        <f>IF($A701="",1,IFERROR(INDEX(Prices[FX to SGD],MATCH($A701,Prices[Key],0)),1))</f>
        <v>1</v>
      </c>
      <c r="F701" s="30">
        <f>IF($A701="",0,(Transactions!M693-Transactions!L693+IF(Transactions!A693=2,Transactions!H693,0))*$E701)</f>
        <v>0</v>
      </c>
      <c r="G701" s="30">
        <f>IF($A701="",0,IF(Transactions!A693=2,Transactions!H693*$E701,0))</f>
        <v>0</v>
      </c>
    </row>
    <row r="702" spans="1:7" ht="15" customHeight="1" x14ac:dyDescent="0.15">
      <c r="A702" t="str">
        <f>IF(Transactions!J694="","",Transactions!J694)</f>
        <v/>
      </c>
      <c r="B702" s="297">
        <f ca="1">IF($A702="",TODAY(),Transactions!G694)</f>
        <v>46216</v>
      </c>
      <c r="C702" t="str">
        <f>IF($A702="","",Transactions!A694)</f>
        <v/>
      </c>
      <c r="D702" s="30">
        <f>IF($A702="",0,Transactions!H694)</f>
        <v>0</v>
      </c>
      <c r="E702">
        <f>IF($A702="",1,IFERROR(INDEX(Prices[FX to SGD],MATCH($A702,Prices[Key],0)),1))</f>
        <v>1</v>
      </c>
      <c r="F702" s="30">
        <f>IF($A702="",0,(Transactions!M694-Transactions!L694+IF(Transactions!A694=2,Transactions!H694,0))*$E702)</f>
        <v>0</v>
      </c>
      <c r="G702" s="30">
        <f>IF($A702="",0,IF(Transactions!A694=2,Transactions!H694*$E702,0))</f>
        <v>0</v>
      </c>
    </row>
    <row r="703" spans="1:7" ht="15" customHeight="1" x14ac:dyDescent="0.15">
      <c r="A703" t="str">
        <f>IF(Transactions!J695="","",Transactions!J695)</f>
        <v/>
      </c>
      <c r="B703" s="297">
        <f ca="1">IF($A703="",TODAY(),Transactions!G695)</f>
        <v>46216</v>
      </c>
      <c r="C703" t="str">
        <f>IF($A703="","",Transactions!A695)</f>
        <v/>
      </c>
      <c r="D703" s="30">
        <f>IF($A703="",0,Transactions!H695)</f>
        <v>0</v>
      </c>
      <c r="E703">
        <f>IF($A703="",1,IFERROR(INDEX(Prices[FX to SGD],MATCH($A703,Prices[Key],0)),1))</f>
        <v>1</v>
      </c>
      <c r="F703" s="30">
        <f>IF($A703="",0,(Transactions!M695-Transactions!L695+IF(Transactions!A695=2,Transactions!H695,0))*$E703)</f>
        <v>0</v>
      </c>
      <c r="G703" s="30">
        <f>IF($A703="",0,IF(Transactions!A695=2,Transactions!H695*$E703,0))</f>
        <v>0</v>
      </c>
    </row>
    <row r="704" spans="1:7" ht="15" customHeight="1" x14ac:dyDescent="0.15">
      <c r="A704" t="str">
        <f>IF(Transactions!J696="","",Transactions!J696)</f>
        <v/>
      </c>
      <c r="B704" s="297">
        <f ca="1">IF($A704="",TODAY(),Transactions!G696)</f>
        <v>46216</v>
      </c>
      <c r="C704" t="str">
        <f>IF($A704="","",Transactions!A696)</f>
        <v/>
      </c>
      <c r="D704" s="30">
        <f>IF($A704="",0,Transactions!H696)</f>
        <v>0</v>
      </c>
      <c r="E704">
        <f>IF($A704="",1,IFERROR(INDEX(Prices[FX to SGD],MATCH($A704,Prices[Key],0)),1))</f>
        <v>1</v>
      </c>
      <c r="F704" s="30">
        <f>IF($A704="",0,(Transactions!M696-Transactions!L696+IF(Transactions!A696=2,Transactions!H696,0))*$E704)</f>
        <v>0</v>
      </c>
      <c r="G704" s="30">
        <f>IF($A704="",0,IF(Transactions!A696=2,Transactions!H696*$E704,0))</f>
        <v>0</v>
      </c>
    </row>
    <row r="705" spans="1:7" ht="15" customHeight="1" x14ac:dyDescent="0.15">
      <c r="A705" t="str">
        <f>IF(Transactions!J697="","",Transactions!J697)</f>
        <v/>
      </c>
      <c r="B705" s="297">
        <f ca="1">IF($A705="",TODAY(),Transactions!G697)</f>
        <v>46216</v>
      </c>
      <c r="C705" t="str">
        <f>IF($A705="","",Transactions!A697)</f>
        <v/>
      </c>
      <c r="D705" s="30">
        <f>IF($A705="",0,Transactions!H697)</f>
        <v>0</v>
      </c>
      <c r="E705">
        <f>IF($A705="",1,IFERROR(INDEX(Prices[FX to SGD],MATCH($A705,Prices[Key],0)),1))</f>
        <v>1</v>
      </c>
      <c r="F705" s="30">
        <f>IF($A705="",0,(Transactions!M697-Transactions!L697+IF(Transactions!A697=2,Transactions!H697,0))*$E705)</f>
        <v>0</v>
      </c>
      <c r="G705" s="30">
        <f>IF($A705="",0,IF(Transactions!A697=2,Transactions!H697*$E705,0))</f>
        <v>0</v>
      </c>
    </row>
    <row r="706" spans="1:7" ht="15" customHeight="1" x14ac:dyDescent="0.15">
      <c r="A706" t="str">
        <f>IF(Transactions!J698="","",Transactions!J698)</f>
        <v/>
      </c>
      <c r="B706" s="297">
        <f ca="1">IF($A706="",TODAY(),Transactions!G698)</f>
        <v>46216</v>
      </c>
      <c r="C706" t="str">
        <f>IF($A706="","",Transactions!A698)</f>
        <v/>
      </c>
      <c r="D706" s="30">
        <f>IF($A706="",0,Transactions!H698)</f>
        <v>0</v>
      </c>
      <c r="E706">
        <f>IF($A706="",1,IFERROR(INDEX(Prices[FX to SGD],MATCH($A706,Prices[Key],0)),1))</f>
        <v>1</v>
      </c>
      <c r="F706" s="30">
        <f>IF($A706="",0,(Transactions!M698-Transactions!L698+IF(Transactions!A698=2,Transactions!H698,0))*$E706)</f>
        <v>0</v>
      </c>
      <c r="G706" s="30">
        <f>IF($A706="",0,IF(Transactions!A698=2,Transactions!H698*$E706,0))</f>
        <v>0</v>
      </c>
    </row>
    <row r="707" spans="1:7" ht="15" customHeight="1" x14ac:dyDescent="0.15">
      <c r="A707" t="str">
        <f>IF(Transactions!J699="","",Transactions!J699)</f>
        <v/>
      </c>
      <c r="B707" s="297">
        <f ca="1">IF($A707="",TODAY(),Transactions!G699)</f>
        <v>46216</v>
      </c>
      <c r="C707" t="str">
        <f>IF($A707="","",Transactions!A699)</f>
        <v/>
      </c>
      <c r="D707" s="30">
        <f>IF($A707="",0,Transactions!H699)</f>
        <v>0</v>
      </c>
      <c r="E707">
        <f>IF($A707="",1,IFERROR(INDEX(Prices[FX to SGD],MATCH($A707,Prices[Key],0)),1))</f>
        <v>1</v>
      </c>
      <c r="F707" s="30">
        <f>IF($A707="",0,(Transactions!M699-Transactions!L699+IF(Transactions!A699=2,Transactions!H699,0))*$E707)</f>
        <v>0</v>
      </c>
      <c r="G707" s="30">
        <f>IF($A707="",0,IF(Transactions!A699=2,Transactions!H699*$E707,0))</f>
        <v>0</v>
      </c>
    </row>
    <row r="708" spans="1:7" ht="15" customHeight="1" x14ac:dyDescent="0.15">
      <c r="A708" t="str">
        <f>IF(Transactions!J700="","",Transactions!J700)</f>
        <v/>
      </c>
      <c r="B708" s="297">
        <f ca="1">IF($A708="",TODAY(),Transactions!G700)</f>
        <v>46216</v>
      </c>
      <c r="C708" t="str">
        <f>IF($A708="","",Transactions!A700)</f>
        <v/>
      </c>
      <c r="D708" s="30">
        <f>IF($A708="",0,Transactions!H700)</f>
        <v>0</v>
      </c>
      <c r="E708">
        <f>IF($A708="",1,IFERROR(INDEX(Prices[FX to SGD],MATCH($A708,Prices[Key],0)),1))</f>
        <v>1</v>
      </c>
      <c r="F708" s="30">
        <f>IF($A708="",0,(Transactions!M700-Transactions!L700+IF(Transactions!A700=2,Transactions!H700,0))*$E708)</f>
        <v>0</v>
      </c>
      <c r="G708" s="30">
        <f>IF($A708="",0,IF(Transactions!A700=2,Transactions!H700*$E708,0))</f>
        <v>0</v>
      </c>
    </row>
    <row r="709" spans="1:7" ht="15" customHeight="1" x14ac:dyDescent="0.15">
      <c r="A709" t="str">
        <f>IF(Transactions!J701="","",Transactions!J701)</f>
        <v/>
      </c>
      <c r="B709" s="297">
        <f ca="1">IF($A709="",TODAY(),Transactions!G701)</f>
        <v>46216</v>
      </c>
      <c r="C709" t="str">
        <f>IF($A709="","",Transactions!A701)</f>
        <v/>
      </c>
      <c r="D709" s="30">
        <f>IF($A709="",0,Transactions!H701)</f>
        <v>0</v>
      </c>
      <c r="E709">
        <f>IF($A709="",1,IFERROR(INDEX(Prices[FX to SGD],MATCH($A709,Prices[Key],0)),1))</f>
        <v>1</v>
      </c>
      <c r="F709" s="30">
        <f>IF($A709="",0,(Transactions!M701-Transactions!L701+IF(Transactions!A701=2,Transactions!H701,0))*$E709)</f>
        <v>0</v>
      </c>
      <c r="G709" s="30">
        <f>IF($A709="",0,IF(Transactions!A701=2,Transactions!H701*$E709,0))</f>
        <v>0</v>
      </c>
    </row>
    <row r="710" spans="1:7" ht="15" customHeight="1" x14ac:dyDescent="0.15">
      <c r="A710" t="str">
        <f>IF(Transactions!J702="","",Transactions!J702)</f>
        <v/>
      </c>
      <c r="B710" s="297">
        <f ca="1">IF($A710="",TODAY(),Transactions!G702)</f>
        <v>46216</v>
      </c>
      <c r="C710" t="str">
        <f>IF($A710="","",Transactions!A702)</f>
        <v/>
      </c>
      <c r="D710" s="30">
        <f>IF($A710="",0,Transactions!H702)</f>
        <v>0</v>
      </c>
      <c r="E710">
        <f>IF($A710="",1,IFERROR(INDEX(Prices[FX to SGD],MATCH($A710,Prices[Key],0)),1))</f>
        <v>1</v>
      </c>
      <c r="F710" s="30">
        <f>IF($A710="",0,(Transactions!M702-Transactions!L702+IF(Transactions!A702=2,Transactions!H702,0))*$E710)</f>
        <v>0</v>
      </c>
      <c r="G710" s="30">
        <f>IF($A710="",0,IF(Transactions!A702=2,Transactions!H702*$E710,0))</f>
        <v>0</v>
      </c>
    </row>
    <row r="711" spans="1:7" ht="15" customHeight="1" x14ac:dyDescent="0.15">
      <c r="A711" t="str">
        <f>IF(Transactions!J703="","",Transactions!J703)</f>
        <v/>
      </c>
      <c r="B711" s="297">
        <f ca="1">IF($A711="",TODAY(),Transactions!G703)</f>
        <v>46216</v>
      </c>
      <c r="C711" t="str">
        <f>IF($A711="","",Transactions!A703)</f>
        <v/>
      </c>
      <c r="D711" s="30">
        <f>IF($A711="",0,Transactions!H703)</f>
        <v>0</v>
      </c>
      <c r="E711">
        <f>IF($A711="",1,IFERROR(INDEX(Prices[FX to SGD],MATCH($A711,Prices[Key],0)),1))</f>
        <v>1</v>
      </c>
      <c r="F711" s="30">
        <f>IF($A711="",0,(Transactions!M703-Transactions!L703+IF(Transactions!A703=2,Transactions!H703,0))*$E711)</f>
        <v>0</v>
      </c>
      <c r="G711" s="30">
        <f>IF($A711="",0,IF(Transactions!A703=2,Transactions!H703*$E711,0))</f>
        <v>0</v>
      </c>
    </row>
    <row r="712" spans="1:7" ht="15" customHeight="1" x14ac:dyDescent="0.15">
      <c r="A712" t="str">
        <f>IF(Transactions!J704="","",Transactions!J704)</f>
        <v/>
      </c>
      <c r="B712" s="297">
        <f ca="1">IF($A712="",TODAY(),Transactions!G704)</f>
        <v>46216</v>
      </c>
      <c r="C712" t="str">
        <f>IF($A712="","",Transactions!A704)</f>
        <v/>
      </c>
      <c r="D712" s="30">
        <f>IF($A712="",0,Transactions!H704)</f>
        <v>0</v>
      </c>
      <c r="E712">
        <f>IF($A712="",1,IFERROR(INDEX(Prices[FX to SGD],MATCH($A712,Prices[Key],0)),1))</f>
        <v>1</v>
      </c>
      <c r="F712" s="30">
        <f>IF($A712="",0,(Transactions!M704-Transactions!L704+IF(Transactions!A704=2,Transactions!H704,0))*$E712)</f>
        <v>0</v>
      </c>
      <c r="G712" s="30">
        <f>IF($A712="",0,IF(Transactions!A704=2,Transactions!H704*$E712,0))</f>
        <v>0</v>
      </c>
    </row>
    <row r="713" spans="1:7" ht="15" customHeight="1" x14ac:dyDescent="0.15">
      <c r="A713" t="str">
        <f>IF(Transactions!J705="","",Transactions!J705)</f>
        <v/>
      </c>
      <c r="B713" s="297">
        <f ca="1">IF($A713="",TODAY(),Transactions!G705)</f>
        <v>46216</v>
      </c>
      <c r="C713" t="str">
        <f>IF($A713="","",Transactions!A705)</f>
        <v/>
      </c>
      <c r="D713" s="30">
        <f>IF($A713="",0,Transactions!H705)</f>
        <v>0</v>
      </c>
      <c r="E713">
        <f>IF($A713="",1,IFERROR(INDEX(Prices[FX to SGD],MATCH($A713,Prices[Key],0)),1))</f>
        <v>1</v>
      </c>
      <c r="F713" s="30">
        <f>IF($A713="",0,(Transactions!M705-Transactions!L705+IF(Transactions!A705=2,Transactions!H705,0))*$E713)</f>
        <v>0</v>
      </c>
      <c r="G713" s="30">
        <f>IF($A713="",0,IF(Transactions!A705=2,Transactions!H705*$E713,0))</f>
        <v>0</v>
      </c>
    </row>
    <row r="714" spans="1:7" ht="15" customHeight="1" x14ac:dyDescent="0.15">
      <c r="A714" t="str">
        <f>IF(Transactions!J706="","",Transactions!J706)</f>
        <v/>
      </c>
      <c r="B714" s="297">
        <f ca="1">IF($A714="",TODAY(),Transactions!G706)</f>
        <v>46216</v>
      </c>
      <c r="C714" t="str">
        <f>IF($A714="","",Transactions!A706)</f>
        <v/>
      </c>
      <c r="D714" s="30">
        <f>IF($A714="",0,Transactions!H706)</f>
        <v>0</v>
      </c>
      <c r="E714">
        <f>IF($A714="",1,IFERROR(INDEX(Prices[FX to SGD],MATCH($A714,Prices[Key],0)),1))</f>
        <v>1</v>
      </c>
      <c r="F714" s="30">
        <f>IF($A714="",0,(Transactions!M706-Transactions!L706+IF(Transactions!A706=2,Transactions!H706,0))*$E714)</f>
        <v>0</v>
      </c>
      <c r="G714" s="30">
        <f>IF($A714="",0,IF(Transactions!A706=2,Transactions!H706*$E714,0))</f>
        <v>0</v>
      </c>
    </row>
    <row r="715" spans="1:7" ht="15" customHeight="1" x14ac:dyDescent="0.15">
      <c r="A715" t="str">
        <f>IF(Transactions!J707="","",Transactions!J707)</f>
        <v/>
      </c>
      <c r="B715" s="297">
        <f ca="1">IF($A715="",TODAY(),Transactions!G707)</f>
        <v>46216</v>
      </c>
      <c r="C715" t="str">
        <f>IF($A715="","",Transactions!A707)</f>
        <v/>
      </c>
      <c r="D715" s="30">
        <f>IF($A715="",0,Transactions!H707)</f>
        <v>0</v>
      </c>
      <c r="E715">
        <f>IF($A715="",1,IFERROR(INDEX(Prices[FX to SGD],MATCH($A715,Prices[Key],0)),1))</f>
        <v>1</v>
      </c>
      <c r="F715" s="30">
        <f>IF($A715="",0,(Transactions!M707-Transactions!L707+IF(Transactions!A707=2,Transactions!H707,0))*$E715)</f>
        <v>0</v>
      </c>
      <c r="G715" s="30">
        <f>IF($A715="",0,IF(Transactions!A707=2,Transactions!H707*$E715,0))</f>
        <v>0</v>
      </c>
    </row>
    <row r="716" spans="1:7" ht="15" customHeight="1" x14ac:dyDescent="0.15">
      <c r="A716" t="str">
        <f>IF(Transactions!J708="","",Transactions!J708)</f>
        <v/>
      </c>
      <c r="B716" s="297">
        <f ca="1">IF($A716="",TODAY(),Transactions!G708)</f>
        <v>46216</v>
      </c>
      <c r="C716" t="str">
        <f>IF($A716="","",Transactions!A708)</f>
        <v/>
      </c>
      <c r="D716" s="30">
        <f>IF($A716="",0,Transactions!H708)</f>
        <v>0</v>
      </c>
      <c r="E716">
        <f>IF($A716="",1,IFERROR(INDEX(Prices[FX to SGD],MATCH($A716,Prices[Key],0)),1))</f>
        <v>1</v>
      </c>
      <c r="F716" s="30">
        <f>IF($A716="",0,(Transactions!M708-Transactions!L708+IF(Transactions!A708=2,Transactions!H708,0))*$E716)</f>
        <v>0</v>
      </c>
      <c r="G716" s="30">
        <f>IF($A716="",0,IF(Transactions!A708=2,Transactions!H708*$E716,0))</f>
        <v>0</v>
      </c>
    </row>
    <row r="717" spans="1:7" ht="15" customHeight="1" x14ac:dyDescent="0.15">
      <c r="A717" t="str">
        <f>IF(Transactions!J709="","",Transactions!J709)</f>
        <v/>
      </c>
      <c r="B717" s="297">
        <f ca="1">IF($A717="",TODAY(),Transactions!G709)</f>
        <v>46216</v>
      </c>
      <c r="C717" t="str">
        <f>IF($A717="","",Transactions!A709)</f>
        <v/>
      </c>
      <c r="D717" s="30">
        <f>IF($A717="",0,Transactions!H709)</f>
        <v>0</v>
      </c>
      <c r="E717">
        <f>IF($A717="",1,IFERROR(INDEX(Prices[FX to SGD],MATCH($A717,Prices[Key],0)),1))</f>
        <v>1</v>
      </c>
      <c r="F717" s="30">
        <f>IF($A717="",0,(Transactions!M709-Transactions!L709+IF(Transactions!A709=2,Transactions!H709,0))*$E717)</f>
        <v>0</v>
      </c>
      <c r="G717" s="30">
        <f>IF($A717="",0,IF(Transactions!A709=2,Transactions!H709*$E717,0))</f>
        <v>0</v>
      </c>
    </row>
    <row r="718" spans="1:7" ht="15" customHeight="1" x14ac:dyDescent="0.15">
      <c r="A718" t="str">
        <f>IF(Transactions!J710="","",Transactions!J710)</f>
        <v/>
      </c>
      <c r="B718" s="297">
        <f ca="1">IF($A718="",TODAY(),Transactions!G710)</f>
        <v>46216</v>
      </c>
      <c r="C718" t="str">
        <f>IF($A718="","",Transactions!A710)</f>
        <v/>
      </c>
      <c r="D718" s="30">
        <f>IF($A718="",0,Transactions!H710)</f>
        <v>0</v>
      </c>
      <c r="E718">
        <f>IF($A718="",1,IFERROR(INDEX(Prices[FX to SGD],MATCH($A718,Prices[Key],0)),1))</f>
        <v>1</v>
      </c>
      <c r="F718" s="30">
        <f>IF($A718="",0,(Transactions!M710-Transactions!L710+IF(Transactions!A710=2,Transactions!H710,0))*$E718)</f>
        <v>0</v>
      </c>
      <c r="G718" s="30">
        <f>IF($A718="",0,IF(Transactions!A710=2,Transactions!H710*$E718,0))</f>
        <v>0</v>
      </c>
    </row>
    <row r="719" spans="1:7" ht="15" customHeight="1" x14ac:dyDescent="0.15">
      <c r="A719" t="str">
        <f>IF(Transactions!J711="","",Transactions!J711)</f>
        <v/>
      </c>
      <c r="B719" s="297">
        <f ca="1">IF($A719="",TODAY(),Transactions!G711)</f>
        <v>46216</v>
      </c>
      <c r="C719" t="str">
        <f>IF($A719="","",Transactions!A711)</f>
        <v/>
      </c>
      <c r="D719" s="30">
        <f>IF($A719="",0,Transactions!H711)</f>
        <v>0</v>
      </c>
      <c r="E719">
        <f>IF($A719="",1,IFERROR(INDEX(Prices[FX to SGD],MATCH($A719,Prices[Key],0)),1))</f>
        <v>1</v>
      </c>
      <c r="F719" s="30">
        <f>IF($A719="",0,(Transactions!M711-Transactions!L711+IF(Transactions!A711=2,Transactions!H711,0))*$E719)</f>
        <v>0</v>
      </c>
      <c r="G719" s="30">
        <f>IF($A719="",0,IF(Transactions!A711=2,Transactions!H711*$E719,0))</f>
        <v>0</v>
      </c>
    </row>
    <row r="720" spans="1:7" ht="15" customHeight="1" x14ac:dyDescent="0.15">
      <c r="A720" t="str">
        <f>IF(Transactions!J712="","",Transactions!J712)</f>
        <v/>
      </c>
      <c r="B720" s="297">
        <f ca="1">IF($A720="",TODAY(),Transactions!G712)</f>
        <v>46216</v>
      </c>
      <c r="C720" t="str">
        <f>IF($A720="","",Transactions!A712)</f>
        <v/>
      </c>
      <c r="D720" s="30">
        <f>IF($A720="",0,Transactions!H712)</f>
        <v>0</v>
      </c>
      <c r="E720">
        <f>IF($A720="",1,IFERROR(INDEX(Prices[FX to SGD],MATCH($A720,Prices[Key],0)),1))</f>
        <v>1</v>
      </c>
      <c r="F720" s="30">
        <f>IF($A720="",0,(Transactions!M712-Transactions!L712+IF(Transactions!A712=2,Transactions!H712,0))*$E720)</f>
        <v>0</v>
      </c>
      <c r="G720" s="30">
        <f>IF($A720="",0,IF(Transactions!A712=2,Transactions!H712*$E720,0))</f>
        <v>0</v>
      </c>
    </row>
    <row r="721" spans="1:7" ht="15" customHeight="1" x14ac:dyDescent="0.15">
      <c r="A721" t="str">
        <f>IF(Transactions!J713="","",Transactions!J713)</f>
        <v/>
      </c>
      <c r="B721" s="297">
        <f ca="1">IF($A721="",TODAY(),Transactions!G713)</f>
        <v>46216</v>
      </c>
      <c r="C721" t="str">
        <f>IF($A721="","",Transactions!A713)</f>
        <v/>
      </c>
      <c r="D721" s="30">
        <f>IF($A721="",0,Transactions!H713)</f>
        <v>0</v>
      </c>
      <c r="E721">
        <f>IF($A721="",1,IFERROR(INDEX(Prices[FX to SGD],MATCH($A721,Prices[Key],0)),1))</f>
        <v>1</v>
      </c>
      <c r="F721" s="30">
        <f>IF($A721="",0,(Transactions!M713-Transactions!L713+IF(Transactions!A713=2,Transactions!H713,0))*$E721)</f>
        <v>0</v>
      </c>
      <c r="G721" s="30">
        <f>IF($A721="",0,IF(Transactions!A713=2,Transactions!H713*$E721,0))</f>
        <v>0</v>
      </c>
    </row>
    <row r="722" spans="1:7" ht="15" customHeight="1" x14ac:dyDescent="0.15">
      <c r="A722" t="str">
        <f>IF(Transactions!J714="","",Transactions!J714)</f>
        <v/>
      </c>
      <c r="B722" s="297">
        <f ca="1">IF($A722="",TODAY(),Transactions!G714)</f>
        <v>46216</v>
      </c>
      <c r="C722" t="str">
        <f>IF($A722="","",Transactions!A714)</f>
        <v/>
      </c>
      <c r="D722" s="30">
        <f>IF($A722="",0,Transactions!H714)</f>
        <v>0</v>
      </c>
      <c r="E722">
        <f>IF($A722="",1,IFERROR(INDEX(Prices[FX to SGD],MATCH($A722,Prices[Key],0)),1))</f>
        <v>1</v>
      </c>
      <c r="F722" s="30">
        <f>IF($A722="",0,(Transactions!M714-Transactions!L714+IF(Transactions!A714=2,Transactions!H714,0))*$E722)</f>
        <v>0</v>
      </c>
      <c r="G722" s="30">
        <f>IF($A722="",0,IF(Transactions!A714=2,Transactions!H714*$E722,0))</f>
        <v>0</v>
      </c>
    </row>
    <row r="723" spans="1:7" ht="15" customHeight="1" x14ac:dyDescent="0.15">
      <c r="A723" t="str">
        <f>IF(Transactions!J715="","",Transactions!J715)</f>
        <v/>
      </c>
      <c r="B723" s="297">
        <f ca="1">IF($A723="",TODAY(),Transactions!G715)</f>
        <v>46216</v>
      </c>
      <c r="C723" t="str">
        <f>IF($A723="","",Transactions!A715)</f>
        <v/>
      </c>
      <c r="D723" s="30">
        <f>IF($A723="",0,Transactions!H715)</f>
        <v>0</v>
      </c>
      <c r="E723">
        <f>IF($A723="",1,IFERROR(INDEX(Prices[FX to SGD],MATCH($A723,Prices[Key],0)),1))</f>
        <v>1</v>
      </c>
      <c r="F723" s="30">
        <f>IF($A723="",0,(Transactions!M715-Transactions!L715+IF(Transactions!A715=2,Transactions!H715,0))*$E723)</f>
        <v>0</v>
      </c>
      <c r="G723" s="30">
        <f>IF($A723="",0,IF(Transactions!A715=2,Transactions!H715*$E723,0))</f>
        <v>0</v>
      </c>
    </row>
    <row r="724" spans="1:7" ht="15" customHeight="1" x14ac:dyDescent="0.15">
      <c r="A724" t="str">
        <f>IF(Transactions!J716="","",Transactions!J716)</f>
        <v/>
      </c>
      <c r="B724" s="297">
        <f ca="1">IF($A724="",TODAY(),Transactions!G716)</f>
        <v>46216</v>
      </c>
      <c r="C724" t="str">
        <f>IF($A724="","",Transactions!A716)</f>
        <v/>
      </c>
      <c r="D724" s="30">
        <f>IF($A724="",0,Transactions!H716)</f>
        <v>0</v>
      </c>
      <c r="E724">
        <f>IF($A724="",1,IFERROR(INDEX(Prices[FX to SGD],MATCH($A724,Prices[Key],0)),1))</f>
        <v>1</v>
      </c>
      <c r="F724" s="30">
        <f>IF($A724="",0,(Transactions!M716-Transactions!L716+IF(Transactions!A716=2,Transactions!H716,0))*$E724)</f>
        <v>0</v>
      </c>
      <c r="G724" s="30">
        <f>IF($A724="",0,IF(Transactions!A716=2,Transactions!H716*$E724,0))</f>
        <v>0</v>
      </c>
    </row>
    <row r="725" spans="1:7" ht="15" customHeight="1" x14ac:dyDescent="0.15">
      <c r="A725" t="str">
        <f>IF(Transactions!J717="","",Transactions!J717)</f>
        <v/>
      </c>
      <c r="B725" s="297">
        <f ca="1">IF($A725="",TODAY(),Transactions!G717)</f>
        <v>46216</v>
      </c>
      <c r="C725" t="str">
        <f>IF($A725="","",Transactions!A717)</f>
        <v/>
      </c>
      <c r="D725" s="30">
        <f>IF($A725="",0,Transactions!H717)</f>
        <v>0</v>
      </c>
      <c r="E725">
        <f>IF($A725="",1,IFERROR(INDEX(Prices[FX to SGD],MATCH($A725,Prices[Key],0)),1))</f>
        <v>1</v>
      </c>
      <c r="F725" s="30">
        <f>IF($A725="",0,(Transactions!M717-Transactions!L717+IF(Transactions!A717=2,Transactions!H717,0))*$E725)</f>
        <v>0</v>
      </c>
      <c r="G725" s="30">
        <f>IF($A725="",0,IF(Transactions!A717=2,Transactions!H717*$E725,0))</f>
        <v>0</v>
      </c>
    </row>
    <row r="726" spans="1:7" ht="15" customHeight="1" x14ac:dyDescent="0.15">
      <c r="A726" t="str">
        <f>IF(Transactions!J718="","",Transactions!J718)</f>
        <v/>
      </c>
      <c r="B726" s="297">
        <f ca="1">IF($A726="",TODAY(),Transactions!G718)</f>
        <v>46216</v>
      </c>
      <c r="C726" t="str">
        <f>IF($A726="","",Transactions!A718)</f>
        <v/>
      </c>
      <c r="D726" s="30">
        <f>IF($A726="",0,Transactions!H718)</f>
        <v>0</v>
      </c>
      <c r="E726">
        <f>IF($A726="",1,IFERROR(INDEX(Prices[FX to SGD],MATCH($A726,Prices[Key],0)),1))</f>
        <v>1</v>
      </c>
      <c r="F726" s="30">
        <f>IF($A726="",0,(Transactions!M718-Transactions!L718+IF(Transactions!A718=2,Transactions!H718,0))*$E726)</f>
        <v>0</v>
      </c>
      <c r="G726" s="30">
        <f>IF($A726="",0,IF(Transactions!A718=2,Transactions!H718*$E726,0))</f>
        <v>0</v>
      </c>
    </row>
    <row r="727" spans="1:7" ht="15" customHeight="1" x14ac:dyDescent="0.15">
      <c r="A727" t="str">
        <f>IF(Transactions!J719="","",Transactions!J719)</f>
        <v/>
      </c>
      <c r="B727" s="297">
        <f ca="1">IF($A727="",TODAY(),Transactions!G719)</f>
        <v>46216</v>
      </c>
      <c r="C727" t="str">
        <f>IF($A727="","",Transactions!A719)</f>
        <v/>
      </c>
      <c r="D727" s="30">
        <f>IF($A727="",0,Transactions!H719)</f>
        <v>0</v>
      </c>
      <c r="E727">
        <f>IF($A727="",1,IFERROR(INDEX(Prices[FX to SGD],MATCH($A727,Prices[Key],0)),1))</f>
        <v>1</v>
      </c>
      <c r="F727" s="30">
        <f>IF($A727="",0,(Transactions!M719-Transactions!L719+IF(Transactions!A719=2,Transactions!H719,0))*$E727)</f>
        <v>0</v>
      </c>
      <c r="G727" s="30">
        <f>IF($A727="",0,IF(Transactions!A719=2,Transactions!H719*$E727,0))</f>
        <v>0</v>
      </c>
    </row>
    <row r="728" spans="1:7" ht="15" customHeight="1" x14ac:dyDescent="0.15">
      <c r="A728" t="str">
        <f>IF(Transactions!J720="","",Transactions!J720)</f>
        <v/>
      </c>
      <c r="B728" s="297">
        <f ca="1">IF($A728="",TODAY(),Transactions!G720)</f>
        <v>46216</v>
      </c>
      <c r="C728" t="str">
        <f>IF($A728="","",Transactions!A720)</f>
        <v/>
      </c>
      <c r="D728" s="30">
        <f>IF($A728="",0,Transactions!H720)</f>
        <v>0</v>
      </c>
      <c r="E728">
        <f>IF($A728="",1,IFERROR(INDEX(Prices[FX to SGD],MATCH($A728,Prices[Key],0)),1))</f>
        <v>1</v>
      </c>
      <c r="F728" s="30">
        <f>IF($A728="",0,(Transactions!M720-Transactions!L720+IF(Transactions!A720=2,Transactions!H720,0))*$E728)</f>
        <v>0</v>
      </c>
      <c r="G728" s="30">
        <f>IF($A728="",0,IF(Transactions!A720=2,Transactions!H720*$E728,0))</f>
        <v>0</v>
      </c>
    </row>
    <row r="729" spans="1:7" ht="15" customHeight="1" x14ac:dyDescent="0.15">
      <c r="A729" t="str">
        <f>IF(Transactions!J721="","",Transactions!J721)</f>
        <v/>
      </c>
      <c r="B729" s="297">
        <f ca="1">IF($A729="",TODAY(),Transactions!G721)</f>
        <v>46216</v>
      </c>
      <c r="C729" t="str">
        <f>IF($A729="","",Transactions!A721)</f>
        <v/>
      </c>
      <c r="D729" s="30">
        <f>IF($A729="",0,Transactions!H721)</f>
        <v>0</v>
      </c>
      <c r="E729">
        <f>IF($A729="",1,IFERROR(INDEX(Prices[FX to SGD],MATCH($A729,Prices[Key],0)),1))</f>
        <v>1</v>
      </c>
      <c r="F729" s="30">
        <f>IF($A729="",0,(Transactions!M721-Transactions!L721+IF(Transactions!A721=2,Transactions!H721,0))*$E729)</f>
        <v>0</v>
      </c>
      <c r="G729" s="30">
        <f>IF($A729="",0,IF(Transactions!A721=2,Transactions!H721*$E729,0))</f>
        <v>0</v>
      </c>
    </row>
    <row r="730" spans="1:7" ht="15" customHeight="1" x14ac:dyDescent="0.15">
      <c r="A730" t="str">
        <f>IF(Transactions!J722="","",Transactions!J722)</f>
        <v/>
      </c>
      <c r="B730" s="297">
        <f ca="1">IF($A730="",TODAY(),Transactions!G722)</f>
        <v>46216</v>
      </c>
      <c r="C730" t="str">
        <f>IF($A730="","",Transactions!A722)</f>
        <v/>
      </c>
      <c r="D730" s="30">
        <f>IF($A730="",0,Transactions!H722)</f>
        <v>0</v>
      </c>
      <c r="E730">
        <f>IF($A730="",1,IFERROR(INDEX(Prices[FX to SGD],MATCH($A730,Prices[Key],0)),1))</f>
        <v>1</v>
      </c>
      <c r="F730" s="30">
        <f>IF($A730="",0,(Transactions!M722-Transactions!L722+IF(Transactions!A722=2,Transactions!H722,0))*$E730)</f>
        <v>0</v>
      </c>
      <c r="G730" s="30">
        <f>IF($A730="",0,IF(Transactions!A722=2,Transactions!H722*$E730,0))</f>
        <v>0</v>
      </c>
    </row>
    <row r="731" spans="1:7" ht="15" customHeight="1" x14ac:dyDescent="0.15">
      <c r="A731" t="str">
        <f>IF(Transactions!J723="","",Transactions!J723)</f>
        <v/>
      </c>
      <c r="B731" s="297">
        <f ca="1">IF($A731="",TODAY(),Transactions!G723)</f>
        <v>46216</v>
      </c>
      <c r="C731" t="str">
        <f>IF($A731="","",Transactions!A723)</f>
        <v/>
      </c>
      <c r="D731" s="30">
        <f>IF($A731="",0,Transactions!H723)</f>
        <v>0</v>
      </c>
      <c r="E731">
        <f>IF($A731="",1,IFERROR(INDEX(Prices[FX to SGD],MATCH($A731,Prices[Key],0)),1))</f>
        <v>1</v>
      </c>
      <c r="F731" s="30">
        <f>IF($A731="",0,(Transactions!M723-Transactions!L723+IF(Transactions!A723=2,Transactions!H723,0))*$E731)</f>
        <v>0</v>
      </c>
      <c r="G731" s="30">
        <f>IF($A731="",0,IF(Transactions!A723=2,Transactions!H723*$E731,0))</f>
        <v>0</v>
      </c>
    </row>
    <row r="732" spans="1:7" ht="15" customHeight="1" x14ac:dyDescent="0.15">
      <c r="A732" t="str">
        <f>IF(Transactions!J724="","",Transactions!J724)</f>
        <v/>
      </c>
      <c r="B732" s="297">
        <f ca="1">IF($A732="",TODAY(),Transactions!G724)</f>
        <v>46216</v>
      </c>
      <c r="C732" t="str">
        <f>IF($A732="","",Transactions!A724)</f>
        <v/>
      </c>
      <c r="D732" s="30">
        <f>IF($A732="",0,Transactions!H724)</f>
        <v>0</v>
      </c>
      <c r="E732">
        <f>IF($A732="",1,IFERROR(INDEX(Prices[FX to SGD],MATCH($A732,Prices[Key],0)),1))</f>
        <v>1</v>
      </c>
      <c r="F732" s="30">
        <f>IF($A732="",0,(Transactions!M724-Transactions!L724+IF(Transactions!A724=2,Transactions!H724,0))*$E732)</f>
        <v>0</v>
      </c>
      <c r="G732" s="30">
        <f>IF($A732="",0,IF(Transactions!A724=2,Transactions!H724*$E732,0))</f>
        <v>0</v>
      </c>
    </row>
    <row r="733" spans="1:7" ht="15" customHeight="1" x14ac:dyDescent="0.15">
      <c r="A733" t="str">
        <f>IF(Transactions!J725="","",Transactions!J725)</f>
        <v/>
      </c>
      <c r="B733" s="297">
        <f ca="1">IF($A733="",TODAY(),Transactions!G725)</f>
        <v>46216</v>
      </c>
      <c r="C733" t="str">
        <f>IF($A733="","",Transactions!A725)</f>
        <v/>
      </c>
      <c r="D733" s="30">
        <f>IF($A733="",0,Transactions!H725)</f>
        <v>0</v>
      </c>
      <c r="E733">
        <f>IF($A733="",1,IFERROR(INDEX(Prices[FX to SGD],MATCH($A733,Prices[Key],0)),1))</f>
        <v>1</v>
      </c>
      <c r="F733" s="30">
        <f>IF($A733="",0,(Transactions!M725-Transactions!L725+IF(Transactions!A725=2,Transactions!H725,0))*$E733)</f>
        <v>0</v>
      </c>
      <c r="G733" s="30">
        <f>IF($A733="",0,IF(Transactions!A725=2,Transactions!H725*$E733,0))</f>
        <v>0</v>
      </c>
    </row>
    <row r="734" spans="1:7" ht="15" customHeight="1" x14ac:dyDescent="0.15">
      <c r="A734" t="str">
        <f>IF(Transactions!J726="","",Transactions!J726)</f>
        <v/>
      </c>
      <c r="B734" s="297">
        <f ca="1">IF($A734="",TODAY(),Transactions!G726)</f>
        <v>46216</v>
      </c>
      <c r="C734" t="str">
        <f>IF($A734="","",Transactions!A726)</f>
        <v/>
      </c>
      <c r="D734" s="30">
        <f>IF($A734="",0,Transactions!H726)</f>
        <v>0</v>
      </c>
      <c r="E734">
        <f>IF($A734="",1,IFERROR(INDEX(Prices[FX to SGD],MATCH($A734,Prices[Key],0)),1))</f>
        <v>1</v>
      </c>
      <c r="F734" s="30">
        <f>IF($A734="",0,(Transactions!M726-Transactions!L726+IF(Transactions!A726=2,Transactions!H726,0))*$E734)</f>
        <v>0</v>
      </c>
      <c r="G734" s="30">
        <f>IF($A734="",0,IF(Transactions!A726=2,Transactions!H726*$E734,0))</f>
        <v>0</v>
      </c>
    </row>
    <row r="735" spans="1:7" ht="15" customHeight="1" x14ac:dyDescent="0.15">
      <c r="A735" t="str">
        <f>IF(Transactions!J727="","",Transactions!J727)</f>
        <v/>
      </c>
      <c r="B735" s="297">
        <f ca="1">IF($A735="",TODAY(),Transactions!G727)</f>
        <v>46216</v>
      </c>
      <c r="C735" t="str">
        <f>IF($A735="","",Transactions!A727)</f>
        <v/>
      </c>
      <c r="D735" s="30">
        <f>IF($A735="",0,Transactions!H727)</f>
        <v>0</v>
      </c>
      <c r="E735">
        <f>IF($A735="",1,IFERROR(INDEX(Prices[FX to SGD],MATCH($A735,Prices[Key],0)),1))</f>
        <v>1</v>
      </c>
      <c r="F735" s="30">
        <f>IF($A735="",0,(Transactions!M727-Transactions!L727+IF(Transactions!A727=2,Transactions!H727,0))*$E735)</f>
        <v>0</v>
      </c>
      <c r="G735" s="30">
        <f>IF($A735="",0,IF(Transactions!A727=2,Transactions!H727*$E735,0))</f>
        <v>0</v>
      </c>
    </row>
    <row r="736" spans="1:7" ht="15" customHeight="1" x14ac:dyDescent="0.15">
      <c r="A736" t="str">
        <f>IF(Transactions!J728="","",Transactions!J728)</f>
        <v/>
      </c>
      <c r="B736" s="297">
        <f ca="1">IF($A736="",TODAY(),Transactions!G728)</f>
        <v>46216</v>
      </c>
      <c r="C736" t="str">
        <f>IF($A736="","",Transactions!A728)</f>
        <v/>
      </c>
      <c r="D736" s="30">
        <f>IF($A736="",0,Transactions!H728)</f>
        <v>0</v>
      </c>
      <c r="E736">
        <f>IF($A736="",1,IFERROR(INDEX(Prices[FX to SGD],MATCH($A736,Prices[Key],0)),1))</f>
        <v>1</v>
      </c>
      <c r="F736" s="30">
        <f>IF($A736="",0,(Transactions!M728-Transactions!L728+IF(Transactions!A728=2,Transactions!H728,0))*$E736)</f>
        <v>0</v>
      </c>
      <c r="G736" s="30">
        <f>IF($A736="",0,IF(Transactions!A728=2,Transactions!H728*$E736,0))</f>
        <v>0</v>
      </c>
    </row>
    <row r="737" spans="1:7" ht="15" customHeight="1" x14ac:dyDescent="0.15">
      <c r="A737" t="str">
        <f>IF(Transactions!J729="","",Transactions!J729)</f>
        <v/>
      </c>
      <c r="B737" s="297">
        <f ca="1">IF($A737="",TODAY(),Transactions!G729)</f>
        <v>46216</v>
      </c>
      <c r="C737" t="str">
        <f>IF($A737="","",Transactions!A729)</f>
        <v/>
      </c>
      <c r="D737" s="30">
        <f>IF($A737="",0,Transactions!H729)</f>
        <v>0</v>
      </c>
      <c r="E737">
        <f>IF($A737="",1,IFERROR(INDEX(Prices[FX to SGD],MATCH($A737,Prices[Key],0)),1))</f>
        <v>1</v>
      </c>
      <c r="F737" s="30">
        <f>IF($A737="",0,(Transactions!M729-Transactions!L729+IF(Transactions!A729=2,Transactions!H729,0))*$E737)</f>
        <v>0</v>
      </c>
      <c r="G737" s="30">
        <f>IF($A737="",0,IF(Transactions!A729=2,Transactions!H729*$E737,0))</f>
        <v>0</v>
      </c>
    </row>
    <row r="738" spans="1:7" ht="15" customHeight="1" x14ac:dyDescent="0.15">
      <c r="A738" t="str">
        <f>IF(Transactions!J730="","",Transactions!J730)</f>
        <v/>
      </c>
      <c r="B738" s="297">
        <f ca="1">IF($A738="",TODAY(),Transactions!G730)</f>
        <v>46216</v>
      </c>
      <c r="C738" t="str">
        <f>IF($A738="","",Transactions!A730)</f>
        <v/>
      </c>
      <c r="D738" s="30">
        <f>IF($A738="",0,Transactions!H730)</f>
        <v>0</v>
      </c>
      <c r="E738">
        <f>IF($A738="",1,IFERROR(INDEX(Prices[FX to SGD],MATCH($A738,Prices[Key],0)),1))</f>
        <v>1</v>
      </c>
      <c r="F738" s="30">
        <f>IF($A738="",0,(Transactions!M730-Transactions!L730+IF(Transactions!A730=2,Transactions!H730,0))*$E738)</f>
        <v>0</v>
      </c>
      <c r="G738" s="30">
        <f>IF($A738="",0,IF(Transactions!A730=2,Transactions!H730*$E738,0))</f>
        <v>0</v>
      </c>
    </row>
    <row r="739" spans="1:7" ht="15" customHeight="1" x14ac:dyDescent="0.15">
      <c r="A739" t="str">
        <f>IF(Transactions!J731="","",Transactions!J731)</f>
        <v/>
      </c>
      <c r="B739" s="297">
        <f ca="1">IF($A739="",TODAY(),Transactions!G731)</f>
        <v>46216</v>
      </c>
      <c r="C739" t="str">
        <f>IF($A739="","",Transactions!A731)</f>
        <v/>
      </c>
      <c r="D739" s="30">
        <f>IF($A739="",0,Transactions!H731)</f>
        <v>0</v>
      </c>
      <c r="E739">
        <f>IF($A739="",1,IFERROR(INDEX(Prices[FX to SGD],MATCH($A739,Prices[Key],0)),1))</f>
        <v>1</v>
      </c>
      <c r="F739" s="30">
        <f>IF($A739="",0,(Transactions!M731-Transactions!L731+IF(Transactions!A731=2,Transactions!H731,0))*$E739)</f>
        <v>0</v>
      </c>
      <c r="G739" s="30">
        <f>IF($A739="",0,IF(Transactions!A731=2,Transactions!H731*$E739,0))</f>
        <v>0</v>
      </c>
    </row>
    <row r="740" spans="1:7" ht="15" customHeight="1" x14ac:dyDescent="0.15">
      <c r="A740" t="str">
        <f>IF(Transactions!J732="","",Transactions!J732)</f>
        <v/>
      </c>
      <c r="B740" s="297">
        <f ca="1">IF($A740="",TODAY(),Transactions!G732)</f>
        <v>46216</v>
      </c>
      <c r="C740" t="str">
        <f>IF($A740="","",Transactions!A732)</f>
        <v/>
      </c>
      <c r="D740" s="30">
        <f>IF($A740="",0,Transactions!H732)</f>
        <v>0</v>
      </c>
      <c r="E740">
        <f>IF($A740="",1,IFERROR(INDEX(Prices[FX to SGD],MATCH($A740,Prices[Key],0)),1))</f>
        <v>1</v>
      </c>
      <c r="F740" s="30">
        <f>IF($A740="",0,(Transactions!M732-Transactions!L732+IF(Transactions!A732=2,Transactions!H732,0))*$E740)</f>
        <v>0</v>
      </c>
      <c r="G740" s="30">
        <f>IF($A740="",0,IF(Transactions!A732=2,Transactions!H732*$E740,0))</f>
        <v>0</v>
      </c>
    </row>
    <row r="741" spans="1:7" ht="15" customHeight="1" x14ac:dyDescent="0.15">
      <c r="A741" t="str">
        <f>IF(Transactions!J733="","",Transactions!J733)</f>
        <v/>
      </c>
      <c r="B741" s="297">
        <f ca="1">IF($A741="",TODAY(),Transactions!G733)</f>
        <v>46216</v>
      </c>
      <c r="C741" t="str">
        <f>IF($A741="","",Transactions!A733)</f>
        <v/>
      </c>
      <c r="D741" s="30">
        <f>IF($A741="",0,Transactions!H733)</f>
        <v>0</v>
      </c>
      <c r="E741">
        <f>IF($A741="",1,IFERROR(INDEX(Prices[FX to SGD],MATCH($A741,Prices[Key],0)),1))</f>
        <v>1</v>
      </c>
      <c r="F741" s="30">
        <f>IF($A741="",0,(Transactions!M733-Transactions!L733+IF(Transactions!A733=2,Transactions!H733,0))*$E741)</f>
        <v>0</v>
      </c>
      <c r="G741" s="30">
        <f>IF($A741="",0,IF(Transactions!A733=2,Transactions!H733*$E741,0))</f>
        <v>0</v>
      </c>
    </row>
    <row r="742" spans="1:7" ht="15" customHeight="1" x14ac:dyDescent="0.15">
      <c r="A742" t="str">
        <f>IF(Transactions!J734="","",Transactions!J734)</f>
        <v/>
      </c>
      <c r="B742" s="297">
        <f ca="1">IF($A742="",TODAY(),Transactions!G734)</f>
        <v>46216</v>
      </c>
      <c r="C742" t="str">
        <f>IF($A742="","",Transactions!A734)</f>
        <v/>
      </c>
      <c r="D742" s="30">
        <f>IF($A742="",0,Transactions!H734)</f>
        <v>0</v>
      </c>
      <c r="E742">
        <f>IF($A742="",1,IFERROR(INDEX(Prices[FX to SGD],MATCH($A742,Prices[Key],0)),1))</f>
        <v>1</v>
      </c>
      <c r="F742" s="30">
        <f>IF($A742="",0,(Transactions!M734-Transactions!L734+IF(Transactions!A734=2,Transactions!H734,0))*$E742)</f>
        <v>0</v>
      </c>
      <c r="G742" s="30">
        <f>IF($A742="",0,IF(Transactions!A734=2,Transactions!H734*$E742,0))</f>
        <v>0</v>
      </c>
    </row>
    <row r="743" spans="1:7" ht="15" customHeight="1" x14ac:dyDescent="0.15">
      <c r="A743" t="str">
        <f>IF(Transactions!J735="","",Transactions!J735)</f>
        <v/>
      </c>
      <c r="B743" s="297">
        <f ca="1">IF($A743="",TODAY(),Transactions!G735)</f>
        <v>46216</v>
      </c>
      <c r="C743" t="str">
        <f>IF($A743="","",Transactions!A735)</f>
        <v/>
      </c>
      <c r="D743" s="30">
        <f>IF($A743="",0,Transactions!H735)</f>
        <v>0</v>
      </c>
      <c r="E743">
        <f>IF($A743="",1,IFERROR(INDEX(Prices[FX to SGD],MATCH($A743,Prices[Key],0)),1))</f>
        <v>1</v>
      </c>
      <c r="F743" s="30">
        <f>IF($A743="",0,(Transactions!M735-Transactions!L735+IF(Transactions!A735=2,Transactions!H735,0))*$E743)</f>
        <v>0</v>
      </c>
      <c r="G743" s="30">
        <f>IF($A743="",0,IF(Transactions!A735=2,Transactions!H735*$E743,0))</f>
        <v>0</v>
      </c>
    </row>
    <row r="744" spans="1:7" ht="15" customHeight="1" x14ac:dyDescent="0.15">
      <c r="A744" t="str">
        <f>IF(Transactions!J736="","",Transactions!J736)</f>
        <v/>
      </c>
      <c r="B744" s="297">
        <f ca="1">IF($A744="",TODAY(),Transactions!G736)</f>
        <v>46216</v>
      </c>
      <c r="C744" t="str">
        <f>IF($A744="","",Transactions!A736)</f>
        <v/>
      </c>
      <c r="D744" s="30">
        <f>IF($A744="",0,Transactions!H736)</f>
        <v>0</v>
      </c>
      <c r="E744">
        <f>IF($A744="",1,IFERROR(INDEX(Prices[FX to SGD],MATCH($A744,Prices[Key],0)),1))</f>
        <v>1</v>
      </c>
      <c r="F744" s="30">
        <f>IF($A744="",0,(Transactions!M736-Transactions!L736+IF(Transactions!A736=2,Transactions!H736,0))*$E744)</f>
        <v>0</v>
      </c>
      <c r="G744" s="30">
        <f>IF($A744="",0,IF(Transactions!A736=2,Transactions!H736*$E744,0))</f>
        <v>0</v>
      </c>
    </row>
    <row r="745" spans="1:7" ht="15" customHeight="1" x14ac:dyDescent="0.15">
      <c r="A745" t="str">
        <f>IF(Transactions!J737="","",Transactions!J737)</f>
        <v/>
      </c>
      <c r="B745" s="297">
        <f ca="1">IF($A745="",TODAY(),Transactions!G737)</f>
        <v>46216</v>
      </c>
      <c r="C745" t="str">
        <f>IF($A745="","",Transactions!A737)</f>
        <v/>
      </c>
      <c r="D745" s="30">
        <f>IF($A745="",0,Transactions!H737)</f>
        <v>0</v>
      </c>
      <c r="E745">
        <f>IF($A745="",1,IFERROR(INDEX(Prices[FX to SGD],MATCH($A745,Prices[Key],0)),1))</f>
        <v>1</v>
      </c>
      <c r="F745" s="30">
        <f>IF($A745="",0,(Transactions!M737-Transactions!L737+IF(Transactions!A737=2,Transactions!H737,0))*$E745)</f>
        <v>0</v>
      </c>
      <c r="G745" s="30">
        <f>IF($A745="",0,IF(Transactions!A737=2,Transactions!H737*$E745,0))</f>
        <v>0</v>
      </c>
    </row>
    <row r="746" spans="1:7" ht="15" customHeight="1" x14ac:dyDescent="0.15">
      <c r="A746" t="str">
        <f>IF(Transactions!J738="","",Transactions!J738)</f>
        <v/>
      </c>
      <c r="B746" s="297">
        <f ca="1">IF($A746="",TODAY(),Transactions!G738)</f>
        <v>46216</v>
      </c>
      <c r="C746" t="str">
        <f>IF($A746="","",Transactions!A738)</f>
        <v/>
      </c>
      <c r="D746" s="30">
        <f>IF($A746="",0,Transactions!H738)</f>
        <v>0</v>
      </c>
      <c r="E746">
        <f>IF($A746="",1,IFERROR(INDEX(Prices[FX to SGD],MATCH($A746,Prices[Key],0)),1))</f>
        <v>1</v>
      </c>
      <c r="F746" s="30">
        <f>IF($A746="",0,(Transactions!M738-Transactions!L738+IF(Transactions!A738=2,Transactions!H738,0))*$E746)</f>
        <v>0</v>
      </c>
      <c r="G746" s="30">
        <f>IF($A746="",0,IF(Transactions!A738=2,Transactions!H738*$E746,0))</f>
        <v>0</v>
      </c>
    </row>
    <row r="747" spans="1:7" ht="15" customHeight="1" x14ac:dyDescent="0.15">
      <c r="A747" t="str">
        <f>IF(Transactions!J739="","",Transactions!J739)</f>
        <v/>
      </c>
      <c r="B747" s="297">
        <f ca="1">IF($A747="",TODAY(),Transactions!G739)</f>
        <v>46216</v>
      </c>
      <c r="C747" t="str">
        <f>IF($A747="","",Transactions!A739)</f>
        <v/>
      </c>
      <c r="D747" s="30">
        <f>IF($A747="",0,Transactions!H739)</f>
        <v>0</v>
      </c>
      <c r="E747">
        <f>IF($A747="",1,IFERROR(INDEX(Prices[FX to SGD],MATCH($A747,Prices[Key],0)),1))</f>
        <v>1</v>
      </c>
      <c r="F747" s="30">
        <f>IF($A747="",0,(Transactions!M739-Transactions!L739+IF(Transactions!A739=2,Transactions!H739,0))*$E747)</f>
        <v>0</v>
      </c>
      <c r="G747" s="30">
        <f>IF($A747="",0,IF(Transactions!A739=2,Transactions!H739*$E747,0))</f>
        <v>0</v>
      </c>
    </row>
    <row r="748" spans="1:7" ht="15" customHeight="1" x14ac:dyDescent="0.15">
      <c r="A748" t="str">
        <f>IF(Transactions!J740="","",Transactions!J740)</f>
        <v/>
      </c>
      <c r="B748" s="297">
        <f ca="1">IF($A748="",TODAY(),Transactions!G740)</f>
        <v>46216</v>
      </c>
      <c r="C748" t="str">
        <f>IF($A748="","",Transactions!A740)</f>
        <v/>
      </c>
      <c r="D748" s="30">
        <f>IF($A748="",0,Transactions!H740)</f>
        <v>0</v>
      </c>
      <c r="E748">
        <f>IF($A748="",1,IFERROR(INDEX(Prices[FX to SGD],MATCH($A748,Prices[Key],0)),1))</f>
        <v>1</v>
      </c>
      <c r="F748" s="30">
        <f>IF($A748="",0,(Transactions!M740-Transactions!L740+IF(Transactions!A740=2,Transactions!H740,0))*$E748)</f>
        <v>0</v>
      </c>
      <c r="G748" s="30">
        <f>IF($A748="",0,IF(Transactions!A740=2,Transactions!H740*$E748,0))</f>
        <v>0</v>
      </c>
    </row>
    <row r="749" spans="1:7" ht="15" customHeight="1" x14ac:dyDescent="0.15">
      <c r="A749" t="str">
        <f>IF(Transactions!J741="","",Transactions!J741)</f>
        <v/>
      </c>
      <c r="B749" s="297">
        <f ca="1">IF($A749="",TODAY(),Transactions!G741)</f>
        <v>46216</v>
      </c>
      <c r="C749" t="str">
        <f>IF($A749="","",Transactions!A741)</f>
        <v/>
      </c>
      <c r="D749" s="30">
        <f>IF($A749="",0,Transactions!H741)</f>
        <v>0</v>
      </c>
      <c r="E749">
        <f>IF($A749="",1,IFERROR(INDEX(Prices[FX to SGD],MATCH($A749,Prices[Key],0)),1))</f>
        <v>1</v>
      </c>
      <c r="F749" s="30">
        <f>IF($A749="",0,(Transactions!M741-Transactions!L741+IF(Transactions!A741=2,Transactions!H741,0))*$E749)</f>
        <v>0</v>
      </c>
      <c r="G749" s="30">
        <f>IF($A749="",0,IF(Transactions!A741=2,Transactions!H741*$E749,0))</f>
        <v>0</v>
      </c>
    </row>
    <row r="750" spans="1:7" ht="15" customHeight="1" x14ac:dyDescent="0.15">
      <c r="A750" t="str">
        <f>IF(Transactions!J742="","",Transactions!J742)</f>
        <v/>
      </c>
      <c r="B750" s="297">
        <f ca="1">IF($A750="",TODAY(),Transactions!G742)</f>
        <v>46216</v>
      </c>
      <c r="C750" t="str">
        <f>IF($A750="","",Transactions!A742)</f>
        <v/>
      </c>
      <c r="D750" s="30">
        <f>IF($A750="",0,Transactions!H742)</f>
        <v>0</v>
      </c>
      <c r="E750">
        <f>IF($A750="",1,IFERROR(INDEX(Prices[FX to SGD],MATCH($A750,Prices[Key],0)),1))</f>
        <v>1</v>
      </c>
      <c r="F750" s="30">
        <f>IF($A750="",0,(Transactions!M742-Transactions!L742+IF(Transactions!A742=2,Transactions!H742,0))*$E750)</f>
        <v>0</v>
      </c>
      <c r="G750" s="30">
        <f>IF($A750="",0,IF(Transactions!A742=2,Transactions!H742*$E750,0))</f>
        <v>0</v>
      </c>
    </row>
    <row r="751" spans="1:7" ht="15" customHeight="1" x14ac:dyDescent="0.15">
      <c r="A751" t="str">
        <f>IF(Transactions!J743="","",Transactions!J743)</f>
        <v/>
      </c>
      <c r="B751" s="297">
        <f ca="1">IF($A751="",TODAY(),Transactions!G743)</f>
        <v>46216</v>
      </c>
      <c r="C751" t="str">
        <f>IF($A751="","",Transactions!A743)</f>
        <v/>
      </c>
      <c r="D751" s="30">
        <f>IF($A751="",0,Transactions!H743)</f>
        <v>0</v>
      </c>
      <c r="E751">
        <f>IF($A751="",1,IFERROR(INDEX(Prices[FX to SGD],MATCH($A751,Prices[Key],0)),1))</f>
        <v>1</v>
      </c>
      <c r="F751" s="30">
        <f>IF($A751="",0,(Transactions!M743-Transactions!L743+IF(Transactions!A743=2,Transactions!H743,0))*$E751)</f>
        <v>0</v>
      </c>
      <c r="G751" s="30">
        <f>IF($A751="",0,IF(Transactions!A743=2,Transactions!H743*$E751,0))</f>
        <v>0</v>
      </c>
    </row>
    <row r="752" spans="1:7" ht="15" customHeight="1" x14ac:dyDescent="0.15">
      <c r="A752" t="str">
        <f>IF(Transactions!J744="","",Transactions!J744)</f>
        <v/>
      </c>
      <c r="B752" s="297">
        <f ca="1">IF($A752="",TODAY(),Transactions!G744)</f>
        <v>46216</v>
      </c>
      <c r="C752" t="str">
        <f>IF($A752="","",Transactions!A744)</f>
        <v/>
      </c>
      <c r="D752" s="30">
        <f>IF($A752="",0,Transactions!H744)</f>
        <v>0</v>
      </c>
      <c r="E752">
        <f>IF($A752="",1,IFERROR(INDEX(Prices[FX to SGD],MATCH($A752,Prices[Key],0)),1))</f>
        <v>1</v>
      </c>
      <c r="F752" s="30">
        <f>IF($A752="",0,(Transactions!M744-Transactions!L744+IF(Transactions!A744=2,Transactions!H744,0))*$E752)</f>
        <v>0</v>
      </c>
      <c r="G752" s="30">
        <f>IF($A752="",0,IF(Transactions!A744=2,Transactions!H744*$E752,0))</f>
        <v>0</v>
      </c>
    </row>
    <row r="753" spans="1:7" ht="15" customHeight="1" x14ac:dyDescent="0.15">
      <c r="A753" t="str">
        <f>IF(Transactions!J745="","",Transactions!J745)</f>
        <v/>
      </c>
      <c r="B753" s="297">
        <f ca="1">IF($A753="",TODAY(),Transactions!G745)</f>
        <v>46216</v>
      </c>
      <c r="C753" t="str">
        <f>IF($A753="","",Transactions!A745)</f>
        <v/>
      </c>
      <c r="D753" s="30">
        <f>IF($A753="",0,Transactions!H745)</f>
        <v>0</v>
      </c>
      <c r="E753">
        <f>IF($A753="",1,IFERROR(INDEX(Prices[FX to SGD],MATCH($A753,Prices[Key],0)),1))</f>
        <v>1</v>
      </c>
      <c r="F753" s="30">
        <f>IF($A753="",0,(Transactions!M745-Transactions!L745+IF(Transactions!A745=2,Transactions!H745,0))*$E753)</f>
        <v>0</v>
      </c>
      <c r="G753" s="30">
        <f>IF($A753="",0,IF(Transactions!A745=2,Transactions!H745*$E753,0))</f>
        <v>0</v>
      </c>
    </row>
    <row r="754" spans="1:7" ht="15" customHeight="1" x14ac:dyDescent="0.15">
      <c r="A754" t="str">
        <f>IF(Transactions!J746="","",Transactions!J746)</f>
        <v/>
      </c>
      <c r="B754" s="297">
        <f ca="1">IF($A754="",TODAY(),Transactions!G746)</f>
        <v>46216</v>
      </c>
      <c r="C754" t="str">
        <f>IF($A754="","",Transactions!A746)</f>
        <v/>
      </c>
      <c r="D754" s="30">
        <f>IF($A754="",0,Transactions!H746)</f>
        <v>0</v>
      </c>
      <c r="E754">
        <f>IF($A754="",1,IFERROR(INDEX(Prices[FX to SGD],MATCH($A754,Prices[Key],0)),1))</f>
        <v>1</v>
      </c>
      <c r="F754" s="30">
        <f>IF($A754="",0,(Transactions!M746-Transactions!L746+IF(Transactions!A746=2,Transactions!H746,0))*$E754)</f>
        <v>0</v>
      </c>
      <c r="G754" s="30">
        <f>IF($A754="",0,IF(Transactions!A746=2,Transactions!H746*$E754,0))</f>
        <v>0</v>
      </c>
    </row>
    <row r="755" spans="1:7" ht="15" customHeight="1" x14ac:dyDescent="0.15">
      <c r="A755" t="str">
        <f>IF(Transactions!J747="","",Transactions!J747)</f>
        <v/>
      </c>
      <c r="B755" s="297">
        <f ca="1">IF($A755="",TODAY(),Transactions!G747)</f>
        <v>46216</v>
      </c>
      <c r="C755" t="str">
        <f>IF($A755="","",Transactions!A747)</f>
        <v/>
      </c>
      <c r="D755" s="30">
        <f>IF($A755="",0,Transactions!H747)</f>
        <v>0</v>
      </c>
      <c r="E755">
        <f>IF($A755="",1,IFERROR(INDEX(Prices[FX to SGD],MATCH($A755,Prices[Key],0)),1))</f>
        <v>1</v>
      </c>
      <c r="F755" s="30">
        <f>IF($A755="",0,(Transactions!M747-Transactions!L747+IF(Transactions!A747=2,Transactions!H747,0))*$E755)</f>
        <v>0</v>
      </c>
      <c r="G755" s="30">
        <f>IF($A755="",0,IF(Transactions!A747=2,Transactions!H747*$E755,0))</f>
        <v>0</v>
      </c>
    </row>
    <row r="756" spans="1:7" ht="15" customHeight="1" x14ac:dyDescent="0.15">
      <c r="A756" t="str">
        <f>IF(Transactions!J748="","",Transactions!J748)</f>
        <v/>
      </c>
      <c r="B756" s="297">
        <f ca="1">IF($A756="",TODAY(),Transactions!G748)</f>
        <v>46216</v>
      </c>
      <c r="C756" t="str">
        <f>IF($A756="","",Transactions!A748)</f>
        <v/>
      </c>
      <c r="D756" s="30">
        <f>IF($A756="",0,Transactions!H748)</f>
        <v>0</v>
      </c>
      <c r="E756">
        <f>IF($A756="",1,IFERROR(INDEX(Prices[FX to SGD],MATCH($A756,Prices[Key],0)),1))</f>
        <v>1</v>
      </c>
      <c r="F756" s="30">
        <f>IF($A756="",0,(Transactions!M748-Transactions!L748+IF(Transactions!A748=2,Transactions!H748,0))*$E756)</f>
        <v>0</v>
      </c>
      <c r="G756" s="30">
        <f>IF($A756="",0,IF(Transactions!A748=2,Transactions!H748*$E756,0))</f>
        <v>0</v>
      </c>
    </row>
    <row r="757" spans="1:7" ht="15" customHeight="1" x14ac:dyDescent="0.15">
      <c r="A757" t="str">
        <f>IF(Transactions!J749="","",Transactions!J749)</f>
        <v/>
      </c>
      <c r="B757" s="297">
        <f ca="1">IF($A757="",TODAY(),Transactions!G749)</f>
        <v>46216</v>
      </c>
      <c r="C757" t="str">
        <f>IF($A757="","",Transactions!A749)</f>
        <v/>
      </c>
      <c r="D757" s="30">
        <f>IF($A757="",0,Transactions!H749)</f>
        <v>0</v>
      </c>
      <c r="E757">
        <f>IF($A757="",1,IFERROR(INDEX(Prices[FX to SGD],MATCH($A757,Prices[Key],0)),1))</f>
        <v>1</v>
      </c>
      <c r="F757" s="30">
        <f>IF($A757="",0,(Transactions!M749-Transactions!L749+IF(Transactions!A749=2,Transactions!H749,0))*$E757)</f>
        <v>0</v>
      </c>
      <c r="G757" s="30">
        <f>IF($A757="",0,IF(Transactions!A749=2,Transactions!H749*$E757,0))</f>
        <v>0</v>
      </c>
    </row>
    <row r="758" spans="1:7" ht="15" customHeight="1" x14ac:dyDescent="0.15">
      <c r="A758" t="str">
        <f>IF(Transactions!J750="","",Transactions!J750)</f>
        <v/>
      </c>
      <c r="B758" s="297">
        <f ca="1">IF($A758="",TODAY(),Transactions!G750)</f>
        <v>46216</v>
      </c>
      <c r="C758" t="str">
        <f>IF($A758="","",Transactions!A750)</f>
        <v/>
      </c>
      <c r="D758" s="30">
        <f>IF($A758="",0,Transactions!H750)</f>
        <v>0</v>
      </c>
      <c r="E758">
        <f>IF($A758="",1,IFERROR(INDEX(Prices[FX to SGD],MATCH($A758,Prices[Key],0)),1))</f>
        <v>1</v>
      </c>
      <c r="F758" s="30">
        <f>IF($A758="",0,(Transactions!M750-Transactions!L750+IF(Transactions!A750=2,Transactions!H750,0))*$E758)</f>
        <v>0</v>
      </c>
      <c r="G758" s="30">
        <f>IF($A758="",0,IF(Transactions!A750=2,Transactions!H750*$E758,0))</f>
        <v>0</v>
      </c>
    </row>
    <row r="759" spans="1:7" ht="15" customHeight="1" x14ac:dyDescent="0.15">
      <c r="A759" t="str">
        <f>IF(Transactions!J751="","",Transactions!J751)</f>
        <v/>
      </c>
      <c r="B759" s="297">
        <f ca="1">IF($A759="",TODAY(),Transactions!G751)</f>
        <v>46216</v>
      </c>
      <c r="C759" t="str">
        <f>IF($A759="","",Transactions!A751)</f>
        <v/>
      </c>
      <c r="D759" s="30">
        <f>IF($A759="",0,Transactions!H751)</f>
        <v>0</v>
      </c>
      <c r="E759">
        <f>IF($A759="",1,IFERROR(INDEX(Prices[FX to SGD],MATCH($A759,Prices[Key],0)),1))</f>
        <v>1</v>
      </c>
      <c r="F759" s="30">
        <f>IF($A759="",0,(Transactions!M751-Transactions!L751+IF(Transactions!A751=2,Transactions!H751,0))*$E759)</f>
        <v>0</v>
      </c>
      <c r="G759" s="30">
        <f>IF($A759="",0,IF(Transactions!A751=2,Transactions!H751*$E759,0))</f>
        <v>0</v>
      </c>
    </row>
    <row r="760" spans="1:7" ht="15" customHeight="1" x14ac:dyDescent="0.15">
      <c r="A760" t="str">
        <f>IF(Transactions!J752="","",Transactions!J752)</f>
        <v/>
      </c>
      <c r="B760" s="297">
        <f ca="1">IF($A760="",TODAY(),Transactions!G752)</f>
        <v>46216</v>
      </c>
      <c r="C760" t="str">
        <f>IF($A760="","",Transactions!A752)</f>
        <v/>
      </c>
      <c r="D760" s="30">
        <f>IF($A760="",0,Transactions!H752)</f>
        <v>0</v>
      </c>
      <c r="E760">
        <f>IF($A760="",1,IFERROR(INDEX(Prices[FX to SGD],MATCH($A760,Prices[Key],0)),1))</f>
        <v>1</v>
      </c>
      <c r="F760" s="30">
        <f>IF($A760="",0,(Transactions!M752-Transactions!L752+IF(Transactions!A752=2,Transactions!H752,0))*$E760)</f>
        <v>0</v>
      </c>
      <c r="G760" s="30">
        <f>IF($A760="",0,IF(Transactions!A752=2,Transactions!H752*$E760,0))</f>
        <v>0</v>
      </c>
    </row>
    <row r="761" spans="1:7" ht="15" customHeight="1" x14ac:dyDescent="0.15">
      <c r="A761" t="str">
        <f>IF(Transactions!J753="","",Transactions!J753)</f>
        <v/>
      </c>
      <c r="B761" s="297">
        <f ca="1">IF($A761="",TODAY(),Transactions!G753)</f>
        <v>46216</v>
      </c>
      <c r="C761" t="str">
        <f>IF($A761="","",Transactions!A753)</f>
        <v/>
      </c>
      <c r="D761" s="30">
        <f>IF($A761="",0,Transactions!H753)</f>
        <v>0</v>
      </c>
      <c r="E761">
        <f>IF($A761="",1,IFERROR(INDEX(Prices[FX to SGD],MATCH($A761,Prices[Key],0)),1))</f>
        <v>1</v>
      </c>
      <c r="F761" s="30">
        <f>IF($A761="",0,(Transactions!M753-Transactions!L753+IF(Transactions!A753=2,Transactions!H753,0))*$E761)</f>
        <v>0</v>
      </c>
      <c r="G761" s="30">
        <f>IF($A761="",0,IF(Transactions!A753=2,Transactions!H753*$E761,0))</f>
        <v>0</v>
      </c>
    </row>
    <row r="762" spans="1:7" ht="15" customHeight="1" x14ac:dyDescent="0.15">
      <c r="A762" t="str">
        <f>IF(Transactions!J754="","",Transactions!J754)</f>
        <v/>
      </c>
      <c r="B762" s="297">
        <f ca="1">IF($A762="",TODAY(),Transactions!G754)</f>
        <v>46216</v>
      </c>
      <c r="C762" t="str">
        <f>IF($A762="","",Transactions!A754)</f>
        <v/>
      </c>
      <c r="D762" s="30">
        <f>IF($A762="",0,Transactions!H754)</f>
        <v>0</v>
      </c>
      <c r="E762">
        <f>IF($A762="",1,IFERROR(INDEX(Prices[FX to SGD],MATCH($A762,Prices[Key],0)),1))</f>
        <v>1</v>
      </c>
      <c r="F762" s="30">
        <f>IF($A762="",0,(Transactions!M754-Transactions!L754+IF(Transactions!A754=2,Transactions!H754,0))*$E762)</f>
        <v>0</v>
      </c>
      <c r="G762" s="30">
        <f>IF($A762="",0,IF(Transactions!A754=2,Transactions!H754*$E762,0))</f>
        <v>0</v>
      </c>
    </row>
    <row r="763" spans="1:7" ht="15" customHeight="1" x14ac:dyDescent="0.15">
      <c r="A763" t="str">
        <f>IF(Transactions!J755="","",Transactions!J755)</f>
        <v/>
      </c>
      <c r="B763" s="297">
        <f ca="1">IF($A763="",TODAY(),Transactions!G755)</f>
        <v>46216</v>
      </c>
      <c r="C763" t="str">
        <f>IF($A763="","",Transactions!A755)</f>
        <v/>
      </c>
      <c r="D763" s="30">
        <f>IF($A763="",0,Transactions!H755)</f>
        <v>0</v>
      </c>
      <c r="E763">
        <f>IF($A763="",1,IFERROR(INDEX(Prices[FX to SGD],MATCH($A763,Prices[Key],0)),1))</f>
        <v>1</v>
      </c>
      <c r="F763" s="30">
        <f>IF($A763="",0,(Transactions!M755-Transactions!L755+IF(Transactions!A755=2,Transactions!H755,0))*$E763)</f>
        <v>0</v>
      </c>
      <c r="G763" s="30">
        <f>IF($A763="",0,IF(Transactions!A755=2,Transactions!H755*$E763,0))</f>
        <v>0</v>
      </c>
    </row>
    <row r="764" spans="1:7" ht="15" customHeight="1" x14ac:dyDescent="0.15">
      <c r="A764" t="str">
        <f>IF(Transactions!J756="","",Transactions!J756)</f>
        <v/>
      </c>
      <c r="B764" s="297">
        <f ca="1">IF($A764="",TODAY(),Transactions!G756)</f>
        <v>46216</v>
      </c>
      <c r="C764" t="str">
        <f>IF($A764="","",Transactions!A756)</f>
        <v/>
      </c>
      <c r="D764" s="30">
        <f>IF($A764="",0,Transactions!H756)</f>
        <v>0</v>
      </c>
      <c r="E764">
        <f>IF($A764="",1,IFERROR(INDEX(Prices[FX to SGD],MATCH($A764,Prices[Key],0)),1))</f>
        <v>1</v>
      </c>
      <c r="F764" s="30">
        <f>IF($A764="",0,(Transactions!M756-Transactions!L756+IF(Transactions!A756=2,Transactions!H756,0))*$E764)</f>
        <v>0</v>
      </c>
      <c r="G764" s="30">
        <f>IF($A764="",0,IF(Transactions!A756=2,Transactions!H756*$E764,0))</f>
        <v>0</v>
      </c>
    </row>
    <row r="765" spans="1:7" ht="15" customHeight="1" x14ac:dyDescent="0.15">
      <c r="A765" t="str">
        <f>IF(Transactions!J757="","",Transactions!J757)</f>
        <v/>
      </c>
      <c r="B765" s="297">
        <f ca="1">IF($A765="",TODAY(),Transactions!G757)</f>
        <v>46216</v>
      </c>
      <c r="C765" t="str">
        <f>IF($A765="","",Transactions!A757)</f>
        <v/>
      </c>
      <c r="D765" s="30">
        <f>IF($A765="",0,Transactions!H757)</f>
        <v>0</v>
      </c>
      <c r="E765">
        <f>IF($A765="",1,IFERROR(INDEX(Prices[FX to SGD],MATCH($A765,Prices[Key],0)),1))</f>
        <v>1</v>
      </c>
      <c r="F765" s="30">
        <f>IF($A765="",0,(Transactions!M757-Transactions!L757+IF(Transactions!A757=2,Transactions!H757,0))*$E765)</f>
        <v>0</v>
      </c>
      <c r="G765" s="30">
        <f>IF($A765="",0,IF(Transactions!A757=2,Transactions!H757*$E765,0))</f>
        <v>0</v>
      </c>
    </row>
    <row r="766" spans="1:7" ht="15" customHeight="1" x14ac:dyDescent="0.15">
      <c r="A766" t="str">
        <f>IF(Transactions!J758="","",Transactions!J758)</f>
        <v/>
      </c>
      <c r="B766" s="297">
        <f ca="1">IF($A766="",TODAY(),Transactions!G758)</f>
        <v>46216</v>
      </c>
      <c r="C766" t="str">
        <f>IF($A766="","",Transactions!A758)</f>
        <v/>
      </c>
      <c r="D766" s="30">
        <f>IF($A766="",0,Transactions!H758)</f>
        <v>0</v>
      </c>
      <c r="E766">
        <f>IF($A766="",1,IFERROR(INDEX(Prices[FX to SGD],MATCH($A766,Prices[Key],0)),1))</f>
        <v>1</v>
      </c>
      <c r="F766" s="30">
        <f>IF($A766="",0,(Transactions!M758-Transactions!L758+IF(Transactions!A758=2,Transactions!H758,0))*$E766)</f>
        <v>0</v>
      </c>
      <c r="G766" s="30">
        <f>IF($A766="",0,IF(Transactions!A758=2,Transactions!H758*$E766,0))</f>
        <v>0</v>
      </c>
    </row>
    <row r="767" spans="1:7" ht="15" customHeight="1" x14ac:dyDescent="0.15">
      <c r="A767" t="str">
        <f>IF(Transactions!J759="","",Transactions!J759)</f>
        <v/>
      </c>
      <c r="B767" s="297">
        <f ca="1">IF($A767="",TODAY(),Transactions!G759)</f>
        <v>46216</v>
      </c>
      <c r="C767" t="str">
        <f>IF($A767="","",Transactions!A759)</f>
        <v/>
      </c>
      <c r="D767" s="30">
        <f>IF($A767="",0,Transactions!H759)</f>
        <v>0</v>
      </c>
      <c r="E767">
        <f>IF($A767="",1,IFERROR(INDEX(Prices[FX to SGD],MATCH($A767,Prices[Key],0)),1))</f>
        <v>1</v>
      </c>
      <c r="F767" s="30">
        <f>IF($A767="",0,(Transactions!M759-Transactions!L759+IF(Transactions!A759=2,Transactions!H759,0))*$E767)</f>
        <v>0</v>
      </c>
      <c r="G767" s="30">
        <f>IF($A767="",0,IF(Transactions!A759=2,Transactions!H759*$E767,0))</f>
        <v>0</v>
      </c>
    </row>
    <row r="768" spans="1:7" ht="15" customHeight="1" x14ac:dyDescent="0.15">
      <c r="A768" t="str">
        <f>IF(Transactions!J760="","",Transactions!J760)</f>
        <v/>
      </c>
      <c r="B768" s="297">
        <f ca="1">IF($A768="",TODAY(),Transactions!G760)</f>
        <v>46216</v>
      </c>
      <c r="C768" t="str">
        <f>IF($A768="","",Transactions!A760)</f>
        <v/>
      </c>
      <c r="D768" s="30">
        <f>IF($A768="",0,Transactions!H760)</f>
        <v>0</v>
      </c>
      <c r="E768">
        <f>IF($A768="",1,IFERROR(INDEX(Prices[FX to SGD],MATCH($A768,Prices[Key],0)),1))</f>
        <v>1</v>
      </c>
      <c r="F768" s="30">
        <f>IF($A768="",0,(Transactions!M760-Transactions!L760+IF(Transactions!A760=2,Transactions!H760,0))*$E768)</f>
        <v>0</v>
      </c>
      <c r="G768" s="30">
        <f>IF($A768="",0,IF(Transactions!A760=2,Transactions!H760*$E768,0))</f>
        <v>0</v>
      </c>
    </row>
    <row r="769" spans="1:7" ht="15" customHeight="1" x14ac:dyDescent="0.15">
      <c r="A769" t="str">
        <f>IF(Transactions!J761="","",Transactions!J761)</f>
        <v/>
      </c>
      <c r="B769" s="297">
        <f ca="1">IF($A769="",TODAY(),Transactions!G761)</f>
        <v>46216</v>
      </c>
      <c r="C769" t="str">
        <f>IF($A769="","",Transactions!A761)</f>
        <v/>
      </c>
      <c r="D769" s="30">
        <f>IF($A769="",0,Transactions!H761)</f>
        <v>0</v>
      </c>
      <c r="E769">
        <f>IF($A769="",1,IFERROR(INDEX(Prices[FX to SGD],MATCH($A769,Prices[Key],0)),1))</f>
        <v>1</v>
      </c>
      <c r="F769" s="30">
        <f>IF($A769="",0,(Transactions!M761-Transactions!L761+IF(Transactions!A761=2,Transactions!H761,0))*$E769)</f>
        <v>0</v>
      </c>
      <c r="G769" s="30">
        <f>IF($A769="",0,IF(Transactions!A761=2,Transactions!H761*$E769,0))</f>
        <v>0</v>
      </c>
    </row>
    <row r="770" spans="1:7" ht="15" customHeight="1" x14ac:dyDescent="0.15">
      <c r="A770" t="str">
        <f>IF(Transactions!J762="","",Transactions!J762)</f>
        <v/>
      </c>
      <c r="B770" s="297">
        <f ca="1">IF($A770="",TODAY(),Transactions!G762)</f>
        <v>46216</v>
      </c>
      <c r="C770" t="str">
        <f>IF($A770="","",Transactions!A762)</f>
        <v/>
      </c>
      <c r="D770" s="30">
        <f>IF($A770="",0,Transactions!H762)</f>
        <v>0</v>
      </c>
      <c r="E770">
        <f>IF($A770="",1,IFERROR(INDEX(Prices[FX to SGD],MATCH($A770,Prices[Key],0)),1))</f>
        <v>1</v>
      </c>
      <c r="F770" s="30">
        <f>IF($A770="",0,(Transactions!M762-Transactions!L762+IF(Transactions!A762=2,Transactions!H762,0))*$E770)</f>
        <v>0</v>
      </c>
      <c r="G770" s="30">
        <f>IF($A770="",0,IF(Transactions!A762=2,Transactions!H762*$E770,0))</f>
        <v>0</v>
      </c>
    </row>
    <row r="771" spans="1:7" ht="15" customHeight="1" x14ac:dyDescent="0.15">
      <c r="A771" t="str">
        <f>IF(Transactions!J763="","",Transactions!J763)</f>
        <v/>
      </c>
      <c r="B771" s="297">
        <f ca="1">IF($A771="",TODAY(),Transactions!G763)</f>
        <v>46216</v>
      </c>
      <c r="C771" t="str">
        <f>IF($A771="","",Transactions!A763)</f>
        <v/>
      </c>
      <c r="D771" s="30">
        <f>IF($A771="",0,Transactions!H763)</f>
        <v>0</v>
      </c>
      <c r="E771">
        <f>IF($A771="",1,IFERROR(INDEX(Prices[FX to SGD],MATCH($A771,Prices[Key],0)),1))</f>
        <v>1</v>
      </c>
      <c r="F771" s="30">
        <f>IF($A771="",0,(Transactions!M763-Transactions!L763+IF(Transactions!A763=2,Transactions!H763,0))*$E771)</f>
        <v>0</v>
      </c>
      <c r="G771" s="30">
        <f>IF($A771="",0,IF(Transactions!A763=2,Transactions!H763*$E771,0))</f>
        <v>0</v>
      </c>
    </row>
    <row r="772" spans="1:7" ht="15" customHeight="1" x14ac:dyDescent="0.15">
      <c r="A772" t="str">
        <f>IF(Transactions!J764="","",Transactions!J764)</f>
        <v/>
      </c>
      <c r="B772" s="297">
        <f ca="1">IF($A772="",TODAY(),Transactions!G764)</f>
        <v>46216</v>
      </c>
      <c r="C772" t="str">
        <f>IF($A772="","",Transactions!A764)</f>
        <v/>
      </c>
      <c r="D772" s="30">
        <f>IF($A772="",0,Transactions!H764)</f>
        <v>0</v>
      </c>
      <c r="E772">
        <f>IF($A772="",1,IFERROR(INDEX(Prices[FX to SGD],MATCH($A772,Prices[Key],0)),1))</f>
        <v>1</v>
      </c>
      <c r="F772" s="30">
        <f>IF($A772="",0,(Transactions!M764-Transactions!L764+IF(Transactions!A764=2,Transactions!H764,0))*$E772)</f>
        <v>0</v>
      </c>
      <c r="G772" s="30">
        <f>IF($A772="",0,IF(Transactions!A764=2,Transactions!H764*$E772,0))</f>
        <v>0</v>
      </c>
    </row>
    <row r="773" spans="1:7" ht="15" customHeight="1" x14ac:dyDescent="0.15">
      <c r="A773" t="str">
        <f>IF(Transactions!J765="","",Transactions!J765)</f>
        <v/>
      </c>
      <c r="B773" s="297">
        <f ca="1">IF($A773="",TODAY(),Transactions!G765)</f>
        <v>46216</v>
      </c>
      <c r="C773" t="str">
        <f>IF($A773="","",Transactions!A765)</f>
        <v/>
      </c>
      <c r="D773" s="30">
        <f>IF($A773="",0,Transactions!H765)</f>
        <v>0</v>
      </c>
      <c r="E773">
        <f>IF($A773="",1,IFERROR(INDEX(Prices[FX to SGD],MATCH($A773,Prices[Key],0)),1))</f>
        <v>1</v>
      </c>
      <c r="F773" s="30">
        <f>IF($A773="",0,(Transactions!M765-Transactions!L765+IF(Transactions!A765=2,Transactions!H765,0))*$E773)</f>
        <v>0</v>
      </c>
      <c r="G773" s="30">
        <f>IF($A773="",0,IF(Transactions!A765=2,Transactions!H765*$E773,0))</f>
        <v>0</v>
      </c>
    </row>
    <row r="774" spans="1:7" ht="15" customHeight="1" x14ac:dyDescent="0.15">
      <c r="A774" t="str">
        <f>IF(Transactions!J766="","",Transactions!J766)</f>
        <v/>
      </c>
      <c r="B774" s="297">
        <f ca="1">IF($A774="",TODAY(),Transactions!G766)</f>
        <v>46216</v>
      </c>
      <c r="C774" t="str">
        <f>IF($A774="","",Transactions!A766)</f>
        <v/>
      </c>
      <c r="D774" s="30">
        <f>IF($A774="",0,Transactions!H766)</f>
        <v>0</v>
      </c>
      <c r="E774">
        <f>IF($A774="",1,IFERROR(INDEX(Prices[FX to SGD],MATCH($A774,Prices[Key],0)),1))</f>
        <v>1</v>
      </c>
      <c r="F774" s="30">
        <f>IF($A774="",0,(Transactions!M766-Transactions!L766+IF(Transactions!A766=2,Transactions!H766,0))*$E774)</f>
        <v>0</v>
      </c>
      <c r="G774" s="30">
        <f>IF($A774="",0,IF(Transactions!A766=2,Transactions!H766*$E774,0))</f>
        <v>0</v>
      </c>
    </row>
    <row r="775" spans="1:7" ht="15" customHeight="1" x14ac:dyDescent="0.15">
      <c r="A775" t="str">
        <f>IF(Transactions!J767="","",Transactions!J767)</f>
        <v/>
      </c>
      <c r="B775" s="297">
        <f ca="1">IF($A775="",TODAY(),Transactions!G767)</f>
        <v>46216</v>
      </c>
      <c r="C775" t="str">
        <f>IF($A775="","",Transactions!A767)</f>
        <v/>
      </c>
      <c r="D775" s="30">
        <f>IF($A775="",0,Transactions!H767)</f>
        <v>0</v>
      </c>
      <c r="E775">
        <f>IF($A775="",1,IFERROR(INDEX(Prices[FX to SGD],MATCH($A775,Prices[Key],0)),1))</f>
        <v>1</v>
      </c>
      <c r="F775" s="30">
        <f>IF($A775="",0,(Transactions!M767-Transactions!L767+IF(Transactions!A767=2,Transactions!H767,0))*$E775)</f>
        <v>0</v>
      </c>
      <c r="G775" s="30">
        <f>IF($A775="",0,IF(Transactions!A767=2,Transactions!H767*$E775,0))</f>
        <v>0</v>
      </c>
    </row>
    <row r="776" spans="1:7" ht="15" customHeight="1" x14ac:dyDescent="0.15">
      <c r="A776" t="str">
        <f>IF(Transactions!J768="","",Transactions!J768)</f>
        <v/>
      </c>
      <c r="B776" s="297">
        <f ca="1">IF($A776="",TODAY(),Transactions!G768)</f>
        <v>46216</v>
      </c>
      <c r="C776" t="str">
        <f>IF($A776="","",Transactions!A768)</f>
        <v/>
      </c>
      <c r="D776" s="30">
        <f>IF($A776="",0,Transactions!H768)</f>
        <v>0</v>
      </c>
      <c r="E776">
        <f>IF($A776="",1,IFERROR(INDEX(Prices[FX to SGD],MATCH($A776,Prices[Key],0)),1))</f>
        <v>1</v>
      </c>
      <c r="F776" s="30">
        <f>IF($A776="",0,(Transactions!M768-Transactions!L768+IF(Transactions!A768=2,Transactions!H768,0))*$E776)</f>
        <v>0</v>
      </c>
      <c r="G776" s="30">
        <f>IF($A776="",0,IF(Transactions!A768=2,Transactions!H768*$E776,0))</f>
        <v>0</v>
      </c>
    </row>
    <row r="777" spans="1:7" ht="15" customHeight="1" x14ac:dyDescent="0.15">
      <c r="A777" t="str">
        <f>IF(Transactions!J769="","",Transactions!J769)</f>
        <v/>
      </c>
      <c r="B777" s="297">
        <f ca="1">IF($A777="",TODAY(),Transactions!G769)</f>
        <v>46216</v>
      </c>
      <c r="C777" t="str">
        <f>IF($A777="","",Transactions!A769)</f>
        <v/>
      </c>
      <c r="D777" s="30">
        <f>IF($A777="",0,Transactions!H769)</f>
        <v>0</v>
      </c>
      <c r="E777">
        <f>IF($A777="",1,IFERROR(INDEX(Prices[FX to SGD],MATCH($A777,Prices[Key],0)),1))</f>
        <v>1</v>
      </c>
      <c r="F777" s="30">
        <f>IF($A777="",0,(Transactions!M769-Transactions!L769+IF(Transactions!A769=2,Transactions!H769,0))*$E777)</f>
        <v>0</v>
      </c>
      <c r="G777" s="30">
        <f>IF($A777="",0,IF(Transactions!A769=2,Transactions!H769*$E777,0))</f>
        <v>0</v>
      </c>
    </row>
    <row r="778" spans="1:7" ht="15" customHeight="1" x14ac:dyDescent="0.15">
      <c r="A778" t="str">
        <f>IF(Transactions!J770="","",Transactions!J770)</f>
        <v/>
      </c>
      <c r="B778" s="297">
        <f ca="1">IF($A778="",TODAY(),Transactions!G770)</f>
        <v>46216</v>
      </c>
      <c r="C778" t="str">
        <f>IF($A778="","",Transactions!A770)</f>
        <v/>
      </c>
      <c r="D778" s="30">
        <f>IF($A778="",0,Transactions!H770)</f>
        <v>0</v>
      </c>
      <c r="E778">
        <f>IF($A778="",1,IFERROR(INDEX(Prices[FX to SGD],MATCH($A778,Prices[Key],0)),1))</f>
        <v>1</v>
      </c>
      <c r="F778" s="30">
        <f>IF($A778="",0,(Transactions!M770-Transactions!L770+IF(Transactions!A770=2,Transactions!H770,0))*$E778)</f>
        <v>0</v>
      </c>
      <c r="G778" s="30">
        <f>IF($A778="",0,IF(Transactions!A770=2,Transactions!H770*$E778,0))</f>
        <v>0</v>
      </c>
    </row>
    <row r="779" spans="1:7" ht="15" customHeight="1" x14ac:dyDescent="0.15">
      <c r="A779" t="str">
        <f>IF(Transactions!J771="","",Transactions!J771)</f>
        <v/>
      </c>
      <c r="B779" s="297">
        <f ca="1">IF($A779="",TODAY(),Transactions!G771)</f>
        <v>46216</v>
      </c>
      <c r="C779" t="str">
        <f>IF($A779="","",Transactions!A771)</f>
        <v/>
      </c>
      <c r="D779" s="30">
        <f>IF($A779="",0,Transactions!H771)</f>
        <v>0</v>
      </c>
      <c r="E779">
        <f>IF($A779="",1,IFERROR(INDEX(Prices[FX to SGD],MATCH($A779,Prices[Key],0)),1))</f>
        <v>1</v>
      </c>
      <c r="F779" s="30">
        <f>IF($A779="",0,(Transactions!M771-Transactions!L771+IF(Transactions!A771=2,Transactions!H771,0))*$E779)</f>
        <v>0</v>
      </c>
      <c r="G779" s="30">
        <f>IF($A779="",0,IF(Transactions!A771=2,Transactions!H771*$E779,0))</f>
        <v>0</v>
      </c>
    </row>
    <row r="780" spans="1:7" ht="15" customHeight="1" x14ac:dyDescent="0.15">
      <c r="A780" t="str">
        <f>IF(Transactions!J772="","",Transactions!J772)</f>
        <v/>
      </c>
      <c r="B780" s="297">
        <f ca="1">IF($A780="",TODAY(),Transactions!G772)</f>
        <v>46216</v>
      </c>
      <c r="C780" t="str">
        <f>IF($A780="","",Transactions!A772)</f>
        <v/>
      </c>
      <c r="D780" s="30">
        <f>IF($A780="",0,Transactions!H772)</f>
        <v>0</v>
      </c>
      <c r="E780">
        <f>IF($A780="",1,IFERROR(INDEX(Prices[FX to SGD],MATCH($A780,Prices[Key],0)),1))</f>
        <v>1</v>
      </c>
      <c r="F780" s="30">
        <f>IF($A780="",0,(Transactions!M772-Transactions!L772+IF(Transactions!A772=2,Transactions!H772,0))*$E780)</f>
        <v>0</v>
      </c>
      <c r="G780" s="30">
        <f>IF($A780="",0,IF(Transactions!A772=2,Transactions!H772*$E780,0))</f>
        <v>0</v>
      </c>
    </row>
    <row r="781" spans="1:7" ht="15" customHeight="1" x14ac:dyDescent="0.15">
      <c r="A781" t="str">
        <f>IF(Transactions!J773="","",Transactions!J773)</f>
        <v/>
      </c>
      <c r="B781" s="297">
        <f ca="1">IF($A781="",TODAY(),Transactions!G773)</f>
        <v>46216</v>
      </c>
      <c r="C781" t="str">
        <f>IF($A781="","",Transactions!A773)</f>
        <v/>
      </c>
      <c r="D781" s="30">
        <f>IF($A781="",0,Transactions!H773)</f>
        <v>0</v>
      </c>
      <c r="E781">
        <f>IF($A781="",1,IFERROR(INDEX(Prices[FX to SGD],MATCH($A781,Prices[Key],0)),1))</f>
        <v>1</v>
      </c>
      <c r="F781" s="30">
        <f>IF($A781="",0,(Transactions!M773-Transactions!L773+IF(Transactions!A773=2,Transactions!H773,0))*$E781)</f>
        <v>0</v>
      </c>
      <c r="G781" s="30">
        <f>IF($A781="",0,IF(Transactions!A773=2,Transactions!H773*$E781,0))</f>
        <v>0</v>
      </c>
    </row>
    <row r="782" spans="1:7" ht="15" customHeight="1" x14ac:dyDescent="0.15">
      <c r="A782" t="str">
        <f>IF(Transactions!J774="","",Transactions!J774)</f>
        <v/>
      </c>
      <c r="B782" s="297">
        <f ca="1">IF($A782="",TODAY(),Transactions!G774)</f>
        <v>46216</v>
      </c>
      <c r="C782" t="str">
        <f>IF($A782="","",Transactions!A774)</f>
        <v/>
      </c>
      <c r="D782" s="30">
        <f>IF($A782="",0,Transactions!H774)</f>
        <v>0</v>
      </c>
      <c r="E782">
        <f>IF($A782="",1,IFERROR(INDEX(Prices[FX to SGD],MATCH($A782,Prices[Key],0)),1))</f>
        <v>1</v>
      </c>
      <c r="F782" s="30">
        <f>IF($A782="",0,(Transactions!M774-Transactions!L774+IF(Transactions!A774=2,Transactions!H774,0))*$E782)</f>
        <v>0</v>
      </c>
      <c r="G782" s="30">
        <f>IF($A782="",0,IF(Transactions!A774=2,Transactions!H774*$E782,0))</f>
        <v>0</v>
      </c>
    </row>
    <row r="783" spans="1:7" ht="15" customHeight="1" x14ac:dyDescent="0.15">
      <c r="A783" t="str">
        <f>IF(Transactions!J775="","",Transactions!J775)</f>
        <v/>
      </c>
      <c r="B783" s="297">
        <f ca="1">IF($A783="",TODAY(),Transactions!G775)</f>
        <v>46216</v>
      </c>
      <c r="C783" t="str">
        <f>IF($A783="","",Transactions!A775)</f>
        <v/>
      </c>
      <c r="D783" s="30">
        <f>IF($A783="",0,Transactions!H775)</f>
        <v>0</v>
      </c>
      <c r="E783">
        <f>IF($A783="",1,IFERROR(INDEX(Prices[FX to SGD],MATCH($A783,Prices[Key],0)),1))</f>
        <v>1</v>
      </c>
      <c r="F783" s="30">
        <f>IF($A783="",0,(Transactions!M775-Transactions!L775+IF(Transactions!A775=2,Transactions!H775,0))*$E783)</f>
        <v>0</v>
      </c>
      <c r="G783" s="30">
        <f>IF($A783="",0,IF(Transactions!A775=2,Transactions!H775*$E783,0))</f>
        <v>0</v>
      </c>
    </row>
    <row r="784" spans="1:7" ht="15" customHeight="1" x14ac:dyDescent="0.15">
      <c r="A784" t="str">
        <f>IF(Transactions!J776="","",Transactions!J776)</f>
        <v/>
      </c>
      <c r="B784" s="297">
        <f ca="1">IF($A784="",TODAY(),Transactions!G776)</f>
        <v>46216</v>
      </c>
      <c r="C784" t="str">
        <f>IF($A784="","",Transactions!A776)</f>
        <v/>
      </c>
      <c r="D784" s="30">
        <f>IF($A784="",0,Transactions!H776)</f>
        <v>0</v>
      </c>
      <c r="E784">
        <f>IF($A784="",1,IFERROR(INDEX(Prices[FX to SGD],MATCH($A784,Prices[Key],0)),1))</f>
        <v>1</v>
      </c>
      <c r="F784" s="30">
        <f>IF($A784="",0,(Transactions!M776-Transactions!L776+IF(Transactions!A776=2,Transactions!H776,0))*$E784)</f>
        <v>0</v>
      </c>
      <c r="G784" s="30">
        <f>IF($A784="",0,IF(Transactions!A776=2,Transactions!H776*$E784,0))</f>
        <v>0</v>
      </c>
    </row>
    <row r="785" spans="1:7" ht="15" customHeight="1" x14ac:dyDescent="0.15">
      <c r="A785" t="str">
        <f>IF(Transactions!J777="","",Transactions!J777)</f>
        <v/>
      </c>
      <c r="B785" s="297">
        <f ca="1">IF($A785="",TODAY(),Transactions!G777)</f>
        <v>46216</v>
      </c>
      <c r="C785" t="str">
        <f>IF($A785="","",Transactions!A777)</f>
        <v/>
      </c>
      <c r="D785" s="30">
        <f>IF($A785="",0,Transactions!H777)</f>
        <v>0</v>
      </c>
      <c r="E785">
        <f>IF($A785="",1,IFERROR(INDEX(Prices[FX to SGD],MATCH($A785,Prices[Key],0)),1))</f>
        <v>1</v>
      </c>
      <c r="F785" s="30">
        <f>IF($A785="",0,(Transactions!M777-Transactions!L777+IF(Transactions!A777=2,Transactions!H777,0))*$E785)</f>
        <v>0</v>
      </c>
      <c r="G785" s="30">
        <f>IF($A785="",0,IF(Transactions!A777=2,Transactions!H777*$E785,0))</f>
        <v>0</v>
      </c>
    </row>
    <row r="786" spans="1:7" ht="15" customHeight="1" x14ac:dyDescent="0.15">
      <c r="A786" t="str">
        <f>IF(Transactions!J778="","",Transactions!J778)</f>
        <v/>
      </c>
      <c r="B786" s="297">
        <f ca="1">IF($A786="",TODAY(),Transactions!G778)</f>
        <v>46216</v>
      </c>
      <c r="C786" t="str">
        <f>IF($A786="","",Transactions!A778)</f>
        <v/>
      </c>
      <c r="D786" s="30">
        <f>IF($A786="",0,Transactions!H778)</f>
        <v>0</v>
      </c>
      <c r="E786">
        <f>IF($A786="",1,IFERROR(INDEX(Prices[FX to SGD],MATCH($A786,Prices[Key],0)),1))</f>
        <v>1</v>
      </c>
      <c r="F786" s="30">
        <f>IF($A786="",0,(Transactions!M778-Transactions!L778+IF(Transactions!A778=2,Transactions!H778,0))*$E786)</f>
        <v>0</v>
      </c>
      <c r="G786" s="30">
        <f>IF($A786="",0,IF(Transactions!A778=2,Transactions!H778*$E786,0))</f>
        <v>0</v>
      </c>
    </row>
    <row r="787" spans="1:7" ht="15" customHeight="1" x14ac:dyDescent="0.15">
      <c r="A787" t="str">
        <f>IF(Transactions!J779="","",Transactions!J779)</f>
        <v/>
      </c>
      <c r="B787" s="297">
        <f ca="1">IF($A787="",TODAY(),Transactions!G779)</f>
        <v>46216</v>
      </c>
      <c r="C787" t="str">
        <f>IF($A787="","",Transactions!A779)</f>
        <v/>
      </c>
      <c r="D787" s="30">
        <f>IF($A787="",0,Transactions!H779)</f>
        <v>0</v>
      </c>
      <c r="E787">
        <f>IF($A787="",1,IFERROR(INDEX(Prices[FX to SGD],MATCH($A787,Prices[Key],0)),1))</f>
        <v>1</v>
      </c>
      <c r="F787" s="30">
        <f>IF($A787="",0,(Transactions!M779-Transactions!L779+IF(Transactions!A779=2,Transactions!H779,0))*$E787)</f>
        <v>0</v>
      </c>
      <c r="G787" s="30">
        <f>IF($A787="",0,IF(Transactions!A779=2,Transactions!H779*$E787,0))</f>
        <v>0</v>
      </c>
    </row>
    <row r="788" spans="1:7" ht="15" customHeight="1" x14ac:dyDescent="0.15">
      <c r="A788" t="str">
        <f>IF(Transactions!J780="","",Transactions!J780)</f>
        <v/>
      </c>
      <c r="B788" s="297">
        <f ca="1">IF($A788="",TODAY(),Transactions!G780)</f>
        <v>46216</v>
      </c>
      <c r="C788" t="str">
        <f>IF($A788="","",Transactions!A780)</f>
        <v/>
      </c>
      <c r="D788" s="30">
        <f>IF($A788="",0,Transactions!H780)</f>
        <v>0</v>
      </c>
      <c r="E788">
        <f>IF($A788="",1,IFERROR(INDEX(Prices[FX to SGD],MATCH($A788,Prices[Key],0)),1))</f>
        <v>1</v>
      </c>
      <c r="F788" s="30">
        <f>IF($A788="",0,(Transactions!M780-Transactions!L780+IF(Transactions!A780=2,Transactions!H780,0))*$E788)</f>
        <v>0</v>
      </c>
      <c r="G788" s="30">
        <f>IF($A788="",0,IF(Transactions!A780=2,Transactions!H780*$E788,0))</f>
        <v>0</v>
      </c>
    </row>
    <row r="789" spans="1:7" ht="15" customHeight="1" x14ac:dyDescent="0.15">
      <c r="A789" t="str">
        <f>IF(Transactions!J781="","",Transactions!J781)</f>
        <v/>
      </c>
      <c r="B789" s="297">
        <f ca="1">IF($A789="",TODAY(),Transactions!G781)</f>
        <v>46216</v>
      </c>
      <c r="C789" t="str">
        <f>IF($A789="","",Transactions!A781)</f>
        <v/>
      </c>
      <c r="D789" s="30">
        <f>IF($A789="",0,Transactions!H781)</f>
        <v>0</v>
      </c>
      <c r="E789">
        <f>IF($A789="",1,IFERROR(INDEX(Prices[FX to SGD],MATCH($A789,Prices[Key],0)),1))</f>
        <v>1</v>
      </c>
      <c r="F789" s="30">
        <f>IF($A789="",0,(Transactions!M781-Transactions!L781+IF(Transactions!A781=2,Transactions!H781,0))*$E789)</f>
        <v>0</v>
      </c>
      <c r="G789" s="30">
        <f>IF($A789="",0,IF(Transactions!A781=2,Transactions!H781*$E789,0))</f>
        <v>0</v>
      </c>
    </row>
    <row r="790" spans="1:7" ht="15" customHeight="1" x14ac:dyDescent="0.15">
      <c r="A790" t="str">
        <f>IF(Transactions!J782="","",Transactions!J782)</f>
        <v/>
      </c>
      <c r="B790" s="297">
        <f ca="1">IF($A790="",TODAY(),Transactions!G782)</f>
        <v>46216</v>
      </c>
      <c r="C790" t="str">
        <f>IF($A790="","",Transactions!A782)</f>
        <v/>
      </c>
      <c r="D790" s="30">
        <f>IF($A790="",0,Transactions!H782)</f>
        <v>0</v>
      </c>
      <c r="E790">
        <f>IF($A790="",1,IFERROR(INDEX(Prices[FX to SGD],MATCH($A790,Prices[Key],0)),1))</f>
        <v>1</v>
      </c>
      <c r="F790" s="30">
        <f>IF($A790="",0,(Transactions!M782-Transactions!L782+IF(Transactions!A782=2,Transactions!H782,0))*$E790)</f>
        <v>0</v>
      </c>
      <c r="G790" s="30">
        <f>IF($A790="",0,IF(Transactions!A782=2,Transactions!H782*$E790,0))</f>
        <v>0</v>
      </c>
    </row>
    <row r="791" spans="1:7" ht="15" customHeight="1" x14ac:dyDescent="0.15">
      <c r="A791" t="str">
        <f>IF(Transactions!J783="","",Transactions!J783)</f>
        <v/>
      </c>
      <c r="B791" s="297">
        <f ca="1">IF($A791="",TODAY(),Transactions!G783)</f>
        <v>46216</v>
      </c>
      <c r="C791" t="str">
        <f>IF($A791="","",Transactions!A783)</f>
        <v/>
      </c>
      <c r="D791" s="30">
        <f>IF($A791="",0,Transactions!H783)</f>
        <v>0</v>
      </c>
      <c r="E791">
        <f>IF($A791="",1,IFERROR(INDEX(Prices[FX to SGD],MATCH($A791,Prices[Key],0)),1))</f>
        <v>1</v>
      </c>
      <c r="F791" s="30">
        <f>IF($A791="",0,(Transactions!M783-Transactions!L783+IF(Transactions!A783=2,Transactions!H783,0))*$E791)</f>
        <v>0</v>
      </c>
      <c r="G791" s="30">
        <f>IF($A791="",0,IF(Transactions!A783=2,Transactions!H783*$E791,0))</f>
        <v>0</v>
      </c>
    </row>
    <row r="792" spans="1:7" ht="15" customHeight="1" x14ac:dyDescent="0.15">
      <c r="A792" t="str">
        <f>IF(Transactions!J784="","",Transactions!J784)</f>
        <v/>
      </c>
      <c r="B792" s="297">
        <f ca="1">IF($A792="",TODAY(),Transactions!G784)</f>
        <v>46216</v>
      </c>
      <c r="C792" t="str">
        <f>IF($A792="","",Transactions!A784)</f>
        <v/>
      </c>
      <c r="D792" s="30">
        <f>IF($A792="",0,Transactions!H784)</f>
        <v>0</v>
      </c>
      <c r="E792">
        <f>IF($A792="",1,IFERROR(INDEX(Prices[FX to SGD],MATCH($A792,Prices[Key],0)),1))</f>
        <v>1</v>
      </c>
      <c r="F792" s="30">
        <f>IF($A792="",0,(Transactions!M784-Transactions!L784+IF(Transactions!A784=2,Transactions!H784,0))*$E792)</f>
        <v>0</v>
      </c>
      <c r="G792" s="30">
        <f>IF($A792="",0,IF(Transactions!A784=2,Transactions!H784*$E792,0))</f>
        <v>0</v>
      </c>
    </row>
    <row r="793" spans="1:7" ht="15" customHeight="1" x14ac:dyDescent="0.15">
      <c r="A793" t="str">
        <f>IF(Transactions!J785="","",Transactions!J785)</f>
        <v/>
      </c>
      <c r="B793" s="297">
        <f ca="1">IF($A793="",TODAY(),Transactions!G785)</f>
        <v>46216</v>
      </c>
      <c r="C793" t="str">
        <f>IF($A793="","",Transactions!A785)</f>
        <v/>
      </c>
      <c r="D793" s="30">
        <f>IF($A793="",0,Transactions!H785)</f>
        <v>0</v>
      </c>
      <c r="E793">
        <f>IF($A793="",1,IFERROR(INDEX(Prices[FX to SGD],MATCH($A793,Prices[Key],0)),1))</f>
        <v>1</v>
      </c>
      <c r="F793" s="30">
        <f>IF($A793="",0,(Transactions!M785-Transactions!L785+IF(Transactions!A785=2,Transactions!H785,0))*$E793)</f>
        <v>0</v>
      </c>
      <c r="G793" s="30">
        <f>IF($A793="",0,IF(Transactions!A785=2,Transactions!H785*$E793,0))</f>
        <v>0</v>
      </c>
    </row>
    <row r="794" spans="1:7" ht="15" customHeight="1" x14ac:dyDescent="0.15">
      <c r="A794" t="str">
        <f>IF(Transactions!J786="","",Transactions!J786)</f>
        <v/>
      </c>
      <c r="B794" s="297">
        <f ca="1">IF($A794="",TODAY(),Transactions!G786)</f>
        <v>46216</v>
      </c>
      <c r="C794" t="str">
        <f>IF($A794="","",Transactions!A786)</f>
        <v/>
      </c>
      <c r="D794" s="30">
        <f>IF($A794="",0,Transactions!H786)</f>
        <v>0</v>
      </c>
      <c r="E794">
        <f>IF($A794="",1,IFERROR(INDEX(Prices[FX to SGD],MATCH($A794,Prices[Key],0)),1))</f>
        <v>1</v>
      </c>
      <c r="F794" s="30">
        <f>IF($A794="",0,(Transactions!M786-Transactions!L786+IF(Transactions!A786=2,Transactions!H786,0))*$E794)</f>
        <v>0</v>
      </c>
      <c r="G794" s="30">
        <f>IF($A794="",0,IF(Transactions!A786=2,Transactions!H786*$E794,0))</f>
        <v>0</v>
      </c>
    </row>
    <row r="795" spans="1:7" ht="15" customHeight="1" x14ac:dyDescent="0.15">
      <c r="A795" t="str">
        <f>IF(Transactions!J787="","",Transactions!J787)</f>
        <v/>
      </c>
      <c r="B795" s="297">
        <f ca="1">IF($A795="",TODAY(),Transactions!G787)</f>
        <v>46216</v>
      </c>
      <c r="C795" t="str">
        <f>IF($A795="","",Transactions!A787)</f>
        <v/>
      </c>
      <c r="D795" s="30">
        <f>IF($A795="",0,Transactions!H787)</f>
        <v>0</v>
      </c>
      <c r="E795">
        <f>IF($A795="",1,IFERROR(INDEX(Prices[FX to SGD],MATCH($A795,Prices[Key],0)),1))</f>
        <v>1</v>
      </c>
      <c r="F795" s="30">
        <f>IF($A795="",0,(Transactions!M787-Transactions!L787+IF(Transactions!A787=2,Transactions!H787,0))*$E795)</f>
        <v>0</v>
      </c>
      <c r="G795" s="30">
        <f>IF($A795="",0,IF(Transactions!A787=2,Transactions!H787*$E795,0))</f>
        <v>0</v>
      </c>
    </row>
    <row r="796" spans="1:7" ht="15" customHeight="1" x14ac:dyDescent="0.15">
      <c r="A796" t="str">
        <f>IF(Transactions!J788="","",Transactions!J788)</f>
        <v/>
      </c>
      <c r="B796" s="297">
        <f ca="1">IF($A796="",TODAY(),Transactions!G788)</f>
        <v>46216</v>
      </c>
      <c r="C796" t="str">
        <f>IF($A796="","",Transactions!A788)</f>
        <v/>
      </c>
      <c r="D796" s="30">
        <f>IF($A796="",0,Transactions!H788)</f>
        <v>0</v>
      </c>
      <c r="E796">
        <f>IF($A796="",1,IFERROR(INDEX(Prices[FX to SGD],MATCH($A796,Prices[Key],0)),1))</f>
        <v>1</v>
      </c>
      <c r="F796" s="30">
        <f>IF($A796="",0,(Transactions!M788-Transactions!L788+IF(Transactions!A788=2,Transactions!H788,0))*$E796)</f>
        <v>0</v>
      </c>
      <c r="G796" s="30">
        <f>IF($A796="",0,IF(Transactions!A788=2,Transactions!H788*$E796,0))</f>
        <v>0</v>
      </c>
    </row>
    <row r="797" spans="1:7" ht="15" customHeight="1" x14ac:dyDescent="0.15">
      <c r="A797" t="str">
        <f>IF(Transactions!J789="","",Transactions!J789)</f>
        <v/>
      </c>
      <c r="B797" s="297">
        <f ca="1">IF($A797="",TODAY(),Transactions!G789)</f>
        <v>46216</v>
      </c>
      <c r="C797" t="str">
        <f>IF($A797="","",Transactions!A789)</f>
        <v/>
      </c>
      <c r="D797" s="30">
        <f>IF($A797="",0,Transactions!H789)</f>
        <v>0</v>
      </c>
      <c r="E797">
        <f>IF($A797="",1,IFERROR(INDEX(Prices[FX to SGD],MATCH($A797,Prices[Key],0)),1))</f>
        <v>1</v>
      </c>
      <c r="F797" s="30">
        <f>IF($A797="",0,(Transactions!M789-Transactions!L789+IF(Transactions!A789=2,Transactions!H789,0))*$E797)</f>
        <v>0</v>
      </c>
      <c r="G797" s="30">
        <f>IF($A797="",0,IF(Transactions!A789=2,Transactions!H789*$E797,0))</f>
        <v>0</v>
      </c>
    </row>
    <row r="798" spans="1:7" ht="15" customHeight="1" x14ac:dyDescent="0.15">
      <c r="A798" t="str">
        <f>IF(Transactions!J790="","",Transactions!J790)</f>
        <v/>
      </c>
      <c r="B798" s="297">
        <f ca="1">IF($A798="",TODAY(),Transactions!G790)</f>
        <v>46216</v>
      </c>
      <c r="C798" t="str">
        <f>IF($A798="","",Transactions!A790)</f>
        <v/>
      </c>
      <c r="D798" s="30">
        <f>IF($A798="",0,Transactions!H790)</f>
        <v>0</v>
      </c>
      <c r="E798">
        <f>IF($A798="",1,IFERROR(INDEX(Prices[FX to SGD],MATCH($A798,Prices[Key],0)),1))</f>
        <v>1</v>
      </c>
      <c r="F798" s="30">
        <f>IF($A798="",0,(Transactions!M790-Transactions!L790+IF(Transactions!A790=2,Transactions!H790,0))*$E798)</f>
        <v>0</v>
      </c>
      <c r="G798" s="30">
        <f>IF($A798="",0,IF(Transactions!A790=2,Transactions!H790*$E798,0))</f>
        <v>0</v>
      </c>
    </row>
    <row r="799" spans="1:7" ht="15" customHeight="1" x14ac:dyDescent="0.15">
      <c r="A799" t="str">
        <f>IF(Transactions!J791="","",Transactions!J791)</f>
        <v/>
      </c>
      <c r="B799" s="297">
        <f ca="1">IF($A799="",TODAY(),Transactions!G791)</f>
        <v>46216</v>
      </c>
      <c r="C799" t="str">
        <f>IF($A799="","",Transactions!A791)</f>
        <v/>
      </c>
      <c r="D799" s="30">
        <f>IF($A799="",0,Transactions!H791)</f>
        <v>0</v>
      </c>
      <c r="E799">
        <f>IF($A799="",1,IFERROR(INDEX(Prices[FX to SGD],MATCH($A799,Prices[Key],0)),1))</f>
        <v>1</v>
      </c>
      <c r="F799" s="30">
        <f>IF($A799="",0,(Transactions!M791-Transactions!L791+IF(Transactions!A791=2,Transactions!H791,0))*$E799)</f>
        <v>0</v>
      </c>
      <c r="G799" s="30">
        <f>IF($A799="",0,IF(Transactions!A791=2,Transactions!H791*$E799,0))</f>
        <v>0</v>
      </c>
    </row>
    <row r="800" spans="1:7" ht="15" customHeight="1" x14ac:dyDescent="0.15">
      <c r="A800" t="str">
        <f>IF(Transactions!J792="","",Transactions!J792)</f>
        <v/>
      </c>
      <c r="B800" s="297">
        <f ca="1">IF($A800="",TODAY(),Transactions!G792)</f>
        <v>46216</v>
      </c>
      <c r="C800" t="str">
        <f>IF($A800="","",Transactions!A792)</f>
        <v/>
      </c>
      <c r="D800" s="30">
        <f>IF($A800="",0,Transactions!H792)</f>
        <v>0</v>
      </c>
      <c r="E800">
        <f>IF($A800="",1,IFERROR(INDEX(Prices[FX to SGD],MATCH($A800,Prices[Key],0)),1))</f>
        <v>1</v>
      </c>
      <c r="F800" s="30">
        <f>IF($A800="",0,(Transactions!M792-Transactions!L792+IF(Transactions!A792=2,Transactions!H792,0))*$E800)</f>
        <v>0</v>
      </c>
      <c r="G800" s="30">
        <f>IF($A800="",0,IF(Transactions!A792=2,Transactions!H792*$E800,0))</f>
        <v>0</v>
      </c>
    </row>
    <row r="801" spans="1:7" ht="15" customHeight="1" x14ac:dyDescent="0.15">
      <c r="A801" t="str">
        <f>IF(Transactions!J793="","",Transactions!J793)</f>
        <v/>
      </c>
      <c r="B801" s="297">
        <f ca="1">IF($A801="",TODAY(),Transactions!G793)</f>
        <v>46216</v>
      </c>
      <c r="C801" t="str">
        <f>IF($A801="","",Transactions!A793)</f>
        <v/>
      </c>
      <c r="D801" s="30">
        <f>IF($A801="",0,Transactions!H793)</f>
        <v>0</v>
      </c>
      <c r="E801">
        <f>IF($A801="",1,IFERROR(INDEX(Prices[FX to SGD],MATCH($A801,Prices[Key],0)),1))</f>
        <v>1</v>
      </c>
      <c r="F801" s="30">
        <f>IF($A801="",0,(Transactions!M793-Transactions!L793+IF(Transactions!A793=2,Transactions!H793,0))*$E801)</f>
        <v>0</v>
      </c>
      <c r="G801" s="30">
        <f>IF($A801="",0,IF(Transactions!A793=2,Transactions!H793*$E801,0))</f>
        <v>0</v>
      </c>
    </row>
    <row r="802" spans="1:7" ht="15" customHeight="1" x14ac:dyDescent="0.15">
      <c r="A802" t="str">
        <f>IF(Transactions!J794="","",Transactions!J794)</f>
        <v/>
      </c>
      <c r="B802" s="297">
        <f ca="1">IF($A802="",TODAY(),Transactions!G794)</f>
        <v>46216</v>
      </c>
      <c r="C802" t="str">
        <f>IF($A802="","",Transactions!A794)</f>
        <v/>
      </c>
      <c r="D802" s="30">
        <f>IF($A802="",0,Transactions!H794)</f>
        <v>0</v>
      </c>
      <c r="E802">
        <f>IF($A802="",1,IFERROR(INDEX(Prices[FX to SGD],MATCH($A802,Prices[Key],0)),1))</f>
        <v>1</v>
      </c>
      <c r="F802" s="30">
        <f>IF($A802="",0,(Transactions!M794-Transactions!L794+IF(Transactions!A794=2,Transactions!H794,0))*$E802)</f>
        <v>0</v>
      </c>
      <c r="G802" s="30">
        <f>IF($A802="",0,IF(Transactions!A794=2,Transactions!H794*$E802,0))</f>
        <v>0</v>
      </c>
    </row>
    <row r="803" spans="1:7" ht="15" customHeight="1" x14ac:dyDescent="0.15">
      <c r="A803" t="str">
        <f>IF(Transactions!J795="","",Transactions!J795)</f>
        <v/>
      </c>
      <c r="B803" s="297">
        <f ca="1">IF($A803="",TODAY(),Transactions!G795)</f>
        <v>46216</v>
      </c>
      <c r="C803" t="str">
        <f>IF($A803="","",Transactions!A795)</f>
        <v/>
      </c>
      <c r="D803" s="30">
        <f>IF($A803="",0,Transactions!H795)</f>
        <v>0</v>
      </c>
      <c r="E803">
        <f>IF($A803="",1,IFERROR(INDEX(Prices[FX to SGD],MATCH($A803,Prices[Key],0)),1))</f>
        <v>1</v>
      </c>
      <c r="F803" s="30">
        <f>IF($A803="",0,(Transactions!M795-Transactions!L795+IF(Transactions!A795=2,Transactions!H795,0))*$E803)</f>
        <v>0</v>
      </c>
      <c r="G803" s="30">
        <f>IF($A803="",0,IF(Transactions!A795=2,Transactions!H795*$E803,0))</f>
        <v>0</v>
      </c>
    </row>
    <row r="804" spans="1:7" ht="15" customHeight="1" x14ac:dyDescent="0.15">
      <c r="A804" t="str">
        <f>IF(Transactions!J796="","",Transactions!J796)</f>
        <v/>
      </c>
      <c r="B804" s="297">
        <f ca="1">IF($A804="",TODAY(),Transactions!G796)</f>
        <v>46216</v>
      </c>
      <c r="C804" t="str">
        <f>IF($A804="","",Transactions!A796)</f>
        <v/>
      </c>
      <c r="D804" s="30">
        <f>IF($A804="",0,Transactions!H796)</f>
        <v>0</v>
      </c>
      <c r="E804">
        <f>IF($A804="",1,IFERROR(INDEX(Prices[FX to SGD],MATCH($A804,Prices[Key],0)),1))</f>
        <v>1</v>
      </c>
      <c r="F804" s="30">
        <f>IF($A804="",0,(Transactions!M796-Transactions!L796+IF(Transactions!A796=2,Transactions!H796,0))*$E804)</f>
        <v>0</v>
      </c>
      <c r="G804" s="30">
        <f>IF($A804="",0,IF(Transactions!A796=2,Transactions!H796*$E804,0))</f>
        <v>0</v>
      </c>
    </row>
    <row r="805" spans="1:7" ht="15" customHeight="1" x14ac:dyDescent="0.15">
      <c r="A805" t="str">
        <f>IF(Transactions!J797="","",Transactions!J797)</f>
        <v/>
      </c>
      <c r="B805" s="297">
        <f ca="1">IF($A805="",TODAY(),Transactions!G797)</f>
        <v>46216</v>
      </c>
      <c r="C805" t="str">
        <f>IF($A805="","",Transactions!A797)</f>
        <v/>
      </c>
      <c r="D805" s="30">
        <f>IF($A805="",0,Transactions!H797)</f>
        <v>0</v>
      </c>
      <c r="E805">
        <f>IF($A805="",1,IFERROR(INDEX(Prices[FX to SGD],MATCH($A805,Prices[Key],0)),1))</f>
        <v>1</v>
      </c>
      <c r="F805" s="30">
        <f>IF($A805="",0,(Transactions!M797-Transactions!L797+IF(Transactions!A797=2,Transactions!H797,0))*$E805)</f>
        <v>0</v>
      </c>
      <c r="G805" s="30">
        <f>IF($A805="",0,IF(Transactions!A797=2,Transactions!H797*$E805,0))</f>
        <v>0</v>
      </c>
    </row>
    <row r="806" spans="1:7" ht="15" customHeight="1" x14ac:dyDescent="0.15">
      <c r="A806" t="str">
        <f>IF(Transactions!J798="","",Transactions!J798)</f>
        <v/>
      </c>
      <c r="B806" s="297">
        <f ca="1">IF($A806="",TODAY(),Transactions!G798)</f>
        <v>46216</v>
      </c>
      <c r="C806" t="str">
        <f>IF($A806="","",Transactions!A798)</f>
        <v/>
      </c>
      <c r="D806" s="30">
        <f>IF($A806="",0,Transactions!H798)</f>
        <v>0</v>
      </c>
      <c r="E806">
        <f>IF($A806="",1,IFERROR(INDEX(Prices[FX to SGD],MATCH($A806,Prices[Key],0)),1))</f>
        <v>1</v>
      </c>
      <c r="F806" s="30">
        <f>IF($A806="",0,(Transactions!M798-Transactions!L798+IF(Transactions!A798=2,Transactions!H798,0))*$E806)</f>
        <v>0</v>
      </c>
      <c r="G806" s="30">
        <f>IF($A806="",0,IF(Transactions!A798=2,Transactions!H798*$E806,0))</f>
        <v>0</v>
      </c>
    </row>
    <row r="807" spans="1:7" ht="15" customHeight="1" x14ac:dyDescent="0.15">
      <c r="A807" t="str">
        <f>IF(Transactions!J799="","",Transactions!J799)</f>
        <v/>
      </c>
      <c r="B807" s="297">
        <f ca="1">IF($A807="",TODAY(),Transactions!G799)</f>
        <v>46216</v>
      </c>
      <c r="C807" t="str">
        <f>IF($A807="","",Transactions!A799)</f>
        <v/>
      </c>
      <c r="D807" s="30">
        <f>IF($A807="",0,Transactions!H799)</f>
        <v>0</v>
      </c>
      <c r="E807">
        <f>IF($A807="",1,IFERROR(INDEX(Prices[FX to SGD],MATCH($A807,Prices[Key],0)),1))</f>
        <v>1</v>
      </c>
      <c r="F807" s="30">
        <f>IF($A807="",0,(Transactions!M799-Transactions!L799+IF(Transactions!A799=2,Transactions!H799,0))*$E807)</f>
        <v>0</v>
      </c>
      <c r="G807" s="30">
        <f>IF($A807="",0,IF(Transactions!A799=2,Transactions!H799*$E807,0))</f>
        <v>0</v>
      </c>
    </row>
    <row r="808" spans="1:7" ht="15" customHeight="1" x14ac:dyDescent="0.15">
      <c r="A808" t="str">
        <f>IF(Transactions!J800="","",Transactions!J800)</f>
        <v/>
      </c>
      <c r="B808" s="297">
        <f ca="1">IF($A808="",TODAY(),Transactions!G800)</f>
        <v>46216</v>
      </c>
      <c r="C808" t="str">
        <f>IF($A808="","",Transactions!A800)</f>
        <v/>
      </c>
      <c r="D808" s="30">
        <f>IF($A808="",0,Transactions!H800)</f>
        <v>0</v>
      </c>
      <c r="E808">
        <f>IF($A808="",1,IFERROR(INDEX(Prices[FX to SGD],MATCH($A808,Prices[Key],0)),1))</f>
        <v>1</v>
      </c>
      <c r="F808" s="30">
        <f>IF($A808="",0,(Transactions!M800-Transactions!L800+IF(Transactions!A800=2,Transactions!H800,0))*$E808)</f>
        <v>0</v>
      </c>
      <c r="G808" s="30">
        <f>IF($A808="",0,IF(Transactions!A800=2,Transactions!H800*$E808,0))</f>
        <v>0</v>
      </c>
    </row>
    <row r="809" spans="1:7" ht="15" customHeight="1" x14ac:dyDescent="0.15">
      <c r="A809" t="str">
        <f>IF(Transactions!J801="","",Transactions!J801)</f>
        <v/>
      </c>
      <c r="B809" s="297">
        <f ca="1">IF($A809="",TODAY(),Transactions!G801)</f>
        <v>46216</v>
      </c>
      <c r="C809" t="str">
        <f>IF($A809="","",Transactions!A801)</f>
        <v/>
      </c>
      <c r="D809" s="30">
        <f>IF($A809="",0,Transactions!H801)</f>
        <v>0</v>
      </c>
      <c r="E809">
        <f>IF($A809="",1,IFERROR(INDEX(Prices[FX to SGD],MATCH($A809,Prices[Key],0)),1))</f>
        <v>1</v>
      </c>
      <c r="F809" s="30">
        <f>IF($A809="",0,(Transactions!M801-Transactions!L801+IF(Transactions!A801=2,Transactions!H801,0))*$E809)</f>
        <v>0</v>
      </c>
      <c r="G809" s="30">
        <f>IF($A809="",0,IF(Transactions!A801=2,Transactions!H801*$E809,0))</f>
        <v>0</v>
      </c>
    </row>
    <row r="810" spans="1:7" ht="15" customHeight="1" x14ac:dyDescent="0.15">
      <c r="A810" t="str">
        <f>IF(Transactions!J802="","",Transactions!J802)</f>
        <v/>
      </c>
      <c r="B810" s="297">
        <f ca="1">IF($A810="",TODAY(),Transactions!G802)</f>
        <v>46216</v>
      </c>
      <c r="C810" t="str">
        <f>IF($A810="","",Transactions!A802)</f>
        <v/>
      </c>
      <c r="D810" s="30">
        <f>IF($A810="",0,Transactions!H802)</f>
        <v>0</v>
      </c>
      <c r="E810">
        <f>IF($A810="",1,IFERROR(INDEX(Prices[FX to SGD],MATCH($A810,Prices[Key],0)),1))</f>
        <v>1</v>
      </c>
      <c r="F810" s="30">
        <f>IF($A810="",0,(Transactions!M802-Transactions!L802+IF(Transactions!A802=2,Transactions!H802,0))*$E810)</f>
        <v>0</v>
      </c>
      <c r="G810" s="30">
        <f>IF($A810="",0,IF(Transactions!A802=2,Transactions!H802*$E810,0))</f>
        <v>0</v>
      </c>
    </row>
    <row r="811" spans="1:7" ht="15" customHeight="1" x14ac:dyDescent="0.15">
      <c r="A811" t="str">
        <f>IF(Transactions!J803="","",Transactions!J803)</f>
        <v/>
      </c>
      <c r="B811" s="297">
        <f ca="1">IF($A811="",TODAY(),Transactions!G803)</f>
        <v>46216</v>
      </c>
      <c r="C811" t="str">
        <f>IF($A811="","",Transactions!A803)</f>
        <v/>
      </c>
      <c r="D811" s="30">
        <f>IF($A811="",0,Transactions!H803)</f>
        <v>0</v>
      </c>
      <c r="E811">
        <f>IF($A811="",1,IFERROR(INDEX(Prices[FX to SGD],MATCH($A811,Prices[Key],0)),1))</f>
        <v>1</v>
      </c>
      <c r="F811" s="30">
        <f>IF($A811="",0,(Transactions!M803-Transactions!L803+IF(Transactions!A803=2,Transactions!H803,0))*$E811)</f>
        <v>0</v>
      </c>
      <c r="G811" s="30">
        <f>IF($A811="",0,IF(Transactions!A803=2,Transactions!H803*$E811,0))</f>
        <v>0</v>
      </c>
    </row>
    <row r="812" spans="1:7" ht="15" customHeight="1" x14ac:dyDescent="0.15">
      <c r="A812" t="str">
        <f>IF(Transactions!J804="","",Transactions!J804)</f>
        <v/>
      </c>
      <c r="B812" s="297">
        <f ca="1">IF($A812="",TODAY(),Transactions!G804)</f>
        <v>46216</v>
      </c>
      <c r="C812" t="str">
        <f>IF($A812="","",Transactions!A804)</f>
        <v/>
      </c>
      <c r="D812" s="30">
        <f>IF($A812="",0,Transactions!H804)</f>
        <v>0</v>
      </c>
      <c r="E812">
        <f>IF($A812="",1,IFERROR(INDEX(Prices[FX to SGD],MATCH($A812,Prices[Key],0)),1))</f>
        <v>1</v>
      </c>
      <c r="F812" s="30">
        <f>IF($A812="",0,(Transactions!M804-Transactions!L804+IF(Transactions!A804=2,Transactions!H804,0))*$E812)</f>
        <v>0</v>
      </c>
      <c r="G812" s="30">
        <f>IF($A812="",0,IF(Transactions!A804=2,Transactions!H804*$E812,0))</f>
        <v>0</v>
      </c>
    </row>
    <row r="813" spans="1:7" ht="15" customHeight="1" x14ac:dyDescent="0.15">
      <c r="A813" t="str">
        <f>IF(Transactions!J805="","",Transactions!J805)</f>
        <v/>
      </c>
      <c r="B813" s="297">
        <f ca="1">IF($A813="",TODAY(),Transactions!G805)</f>
        <v>46216</v>
      </c>
      <c r="C813" t="str">
        <f>IF($A813="","",Transactions!A805)</f>
        <v/>
      </c>
      <c r="D813" s="30">
        <f>IF($A813="",0,Transactions!H805)</f>
        <v>0</v>
      </c>
      <c r="E813">
        <f>IF($A813="",1,IFERROR(INDEX(Prices[FX to SGD],MATCH($A813,Prices[Key],0)),1))</f>
        <v>1</v>
      </c>
      <c r="F813" s="30">
        <f>IF($A813="",0,(Transactions!M805-Transactions!L805+IF(Transactions!A805=2,Transactions!H805,0))*$E813)</f>
        <v>0</v>
      </c>
      <c r="G813" s="30">
        <f>IF($A813="",0,IF(Transactions!A805=2,Transactions!H805*$E813,0))</f>
        <v>0</v>
      </c>
    </row>
    <row r="814" spans="1:7" ht="15" customHeight="1" x14ac:dyDescent="0.15">
      <c r="A814" t="str">
        <f>IF(Transactions!J806="","",Transactions!J806)</f>
        <v/>
      </c>
      <c r="B814" s="297">
        <f ca="1">IF($A814="",TODAY(),Transactions!G806)</f>
        <v>46216</v>
      </c>
      <c r="C814" t="str">
        <f>IF($A814="","",Transactions!A806)</f>
        <v/>
      </c>
      <c r="D814" s="30">
        <f>IF($A814="",0,Transactions!H806)</f>
        <v>0</v>
      </c>
      <c r="E814">
        <f>IF($A814="",1,IFERROR(INDEX(Prices[FX to SGD],MATCH($A814,Prices[Key],0)),1))</f>
        <v>1</v>
      </c>
      <c r="F814" s="30">
        <f>IF($A814="",0,(Transactions!M806-Transactions!L806+IF(Transactions!A806=2,Transactions!H806,0))*$E814)</f>
        <v>0</v>
      </c>
      <c r="G814" s="30">
        <f>IF($A814="",0,IF(Transactions!A806=2,Transactions!H806*$E814,0))</f>
        <v>0</v>
      </c>
    </row>
    <row r="815" spans="1:7" ht="15" customHeight="1" x14ac:dyDescent="0.15">
      <c r="A815" t="str">
        <f>IF(Transactions!J807="","",Transactions!J807)</f>
        <v/>
      </c>
      <c r="B815" s="297">
        <f ca="1">IF($A815="",TODAY(),Transactions!G807)</f>
        <v>46216</v>
      </c>
      <c r="C815" t="str">
        <f>IF($A815="","",Transactions!A807)</f>
        <v/>
      </c>
      <c r="D815" s="30">
        <f>IF($A815="",0,Transactions!H807)</f>
        <v>0</v>
      </c>
      <c r="E815">
        <f>IF($A815="",1,IFERROR(INDEX(Prices[FX to SGD],MATCH($A815,Prices[Key],0)),1))</f>
        <v>1</v>
      </c>
      <c r="F815" s="30">
        <f>IF($A815="",0,(Transactions!M807-Transactions!L807+IF(Transactions!A807=2,Transactions!H807,0))*$E815)</f>
        <v>0</v>
      </c>
      <c r="G815" s="30">
        <f>IF($A815="",0,IF(Transactions!A807=2,Transactions!H807*$E815,0))</f>
        <v>0</v>
      </c>
    </row>
    <row r="816" spans="1:7" ht="15" customHeight="1" x14ac:dyDescent="0.15">
      <c r="A816" t="str">
        <f>IF(Transactions!J808="","",Transactions!J808)</f>
        <v/>
      </c>
      <c r="B816" s="297">
        <f ca="1">IF($A816="",TODAY(),Transactions!G808)</f>
        <v>46216</v>
      </c>
      <c r="C816" t="str">
        <f>IF($A816="","",Transactions!A808)</f>
        <v/>
      </c>
      <c r="D816" s="30">
        <f>IF($A816="",0,Transactions!H808)</f>
        <v>0</v>
      </c>
      <c r="E816">
        <f>IF($A816="",1,IFERROR(INDEX(Prices[FX to SGD],MATCH($A816,Prices[Key],0)),1))</f>
        <v>1</v>
      </c>
      <c r="F816" s="30">
        <f>IF($A816="",0,(Transactions!M808-Transactions!L808+IF(Transactions!A808=2,Transactions!H808,0))*$E816)</f>
        <v>0</v>
      </c>
      <c r="G816" s="30">
        <f>IF($A816="",0,IF(Transactions!A808=2,Transactions!H808*$E816,0))</f>
        <v>0</v>
      </c>
    </row>
    <row r="817" spans="1:7" ht="15" customHeight="1" x14ac:dyDescent="0.15">
      <c r="A817" t="str">
        <f>IF(Transactions!J809="","",Transactions!J809)</f>
        <v/>
      </c>
      <c r="B817" s="297">
        <f ca="1">IF($A817="",TODAY(),Transactions!G809)</f>
        <v>46216</v>
      </c>
      <c r="C817" t="str">
        <f>IF($A817="","",Transactions!A809)</f>
        <v/>
      </c>
      <c r="D817" s="30">
        <f>IF($A817="",0,Transactions!H809)</f>
        <v>0</v>
      </c>
      <c r="E817">
        <f>IF($A817="",1,IFERROR(INDEX(Prices[FX to SGD],MATCH($A817,Prices[Key],0)),1))</f>
        <v>1</v>
      </c>
      <c r="F817" s="30">
        <f>IF($A817="",0,(Transactions!M809-Transactions!L809+IF(Transactions!A809=2,Transactions!H809,0))*$E817)</f>
        <v>0</v>
      </c>
      <c r="G817" s="30">
        <f>IF($A817="",0,IF(Transactions!A809=2,Transactions!H809*$E817,0))</f>
        <v>0</v>
      </c>
    </row>
    <row r="818" spans="1:7" ht="15" customHeight="1" x14ac:dyDescent="0.15">
      <c r="A818" t="str">
        <f>IF(Transactions!J810="","",Transactions!J810)</f>
        <v/>
      </c>
      <c r="B818" s="297">
        <f ca="1">IF($A818="",TODAY(),Transactions!G810)</f>
        <v>46216</v>
      </c>
      <c r="C818" t="str">
        <f>IF($A818="","",Transactions!A810)</f>
        <v/>
      </c>
      <c r="D818" s="30">
        <f>IF($A818="",0,Transactions!H810)</f>
        <v>0</v>
      </c>
      <c r="E818">
        <f>IF($A818="",1,IFERROR(INDEX(Prices[FX to SGD],MATCH($A818,Prices[Key],0)),1))</f>
        <v>1</v>
      </c>
      <c r="F818" s="30">
        <f>IF($A818="",0,(Transactions!M810-Transactions!L810+IF(Transactions!A810=2,Transactions!H810,0))*$E818)</f>
        <v>0</v>
      </c>
      <c r="G818" s="30">
        <f>IF($A818="",0,IF(Transactions!A810=2,Transactions!H810*$E818,0))</f>
        <v>0</v>
      </c>
    </row>
    <row r="819" spans="1:7" ht="15" customHeight="1" x14ac:dyDescent="0.15">
      <c r="A819" t="str">
        <f>IF(Transactions!J811="","",Transactions!J811)</f>
        <v/>
      </c>
      <c r="B819" s="297">
        <f ca="1">IF($A819="",TODAY(),Transactions!G811)</f>
        <v>46216</v>
      </c>
      <c r="C819" t="str">
        <f>IF($A819="","",Transactions!A811)</f>
        <v/>
      </c>
      <c r="D819" s="30">
        <f>IF($A819="",0,Transactions!H811)</f>
        <v>0</v>
      </c>
      <c r="E819">
        <f>IF($A819="",1,IFERROR(INDEX(Prices[FX to SGD],MATCH($A819,Prices[Key],0)),1))</f>
        <v>1</v>
      </c>
      <c r="F819" s="30">
        <f>IF($A819="",0,(Transactions!M811-Transactions!L811+IF(Transactions!A811=2,Transactions!H811,0))*$E819)</f>
        <v>0</v>
      </c>
      <c r="G819" s="30">
        <f>IF($A819="",0,IF(Transactions!A811=2,Transactions!H811*$E819,0))</f>
        <v>0</v>
      </c>
    </row>
    <row r="820" spans="1:7" ht="15" customHeight="1" x14ac:dyDescent="0.15">
      <c r="A820" t="str">
        <f>IF(Transactions!J812="","",Transactions!J812)</f>
        <v/>
      </c>
      <c r="B820" s="297">
        <f ca="1">IF($A820="",TODAY(),Transactions!G812)</f>
        <v>46216</v>
      </c>
      <c r="C820" t="str">
        <f>IF($A820="","",Transactions!A812)</f>
        <v/>
      </c>
      <c r="D820" s="30">
        <f>IF($A820="",0,Transactions!H812)</f>
        <v>0</v>
      </c>
      <c r="E820">
        <f>IF($A820="",1,IFERROR(INDEX(Prices[FX to SGD],MATCH($A820,Prices[Key],0)),1))</f>
        <v>1</v>
      </c>
      <c r="F820" s="30">
        <f>IF($A820="",0,(Transactions!M812-Transactions!L812+IF(Transactions!A812=2,Transactions!H812,0))*$E820)</f>
        <v>0</v>
      </c>
      <c r="G820" s="30">
        <f>IF($A820="",0,IF(Transactions!A812=2,Transactions!H812*$E820,0))</f>
        <v>0</v>
      </c>
    </row>
    <row r="821" spans="1:7" ht="15" customHeight="1" x14ac:dyDescent="0.15">
      <c r="A821" t="str">
        <f>IF(Transactions!J813="","",Transactions!J813)</f>
        <v/>
      </c>
      <c r="B821" s="297">
        <f ca="1">IF($A821="",TODAY(),Transactions!G813)</f>
        <v>46216</v>
      </c>
      <c r="C821" t="str">
        <f>IF($A821="","",Transactions!A813)</f>
        <v/>
      </c>
      <c r="D821" s="30">
        <f>IF($A821="",0,Transactions!H813)</f>
        <v>0</v>
      </c>
      <c r="E821">
        <f>IF($A821="",1,IFERROR(INDEX(Prices[FX to SGD],MATCH($A821,Prices[Key],0)),1))</f>
        <v>1</v>
      </c>
      <c r="F821" s="30">
        <f>IF($A821="",0,(Transactions!M813-Transactions!L813+IF(Transactions!A813=2,Transactions!H813,0))*$E821)</f>
        <v>0</v>
      </c>
      <c r="G821" s="30">
        <f>IF($A821="",0,IF(Transactions!A813=2,Transactions!H813*$E821,0))</f>
        <v>0</v>
      </c>
    </row>
    <row r="822" spans="1:7" ht="15" customHeight="1" x14ac:dyDescent="0.15">
      <c r="A822" t="str">
        <f>IF(Transactions!J814="","",Transactions!J814)</f>
        <v/>
      </c>
      <c r="B822" s="297">
        <f ca="1">IF($A822="",TODAY(),Transactions!G814)</f>
        <v>46216</v>
      </c>
      <c r="C822" t="str">
        <f>IF($A822="","",Transactions!A814)</f>
        <v/>
      </c>
      <c r="D822" s="30">
        <f>IF($A822="",0,Transactions!H814)</f>
        <v>0</v>
      </c>
      <c r="E822">
        <f>IF($A822="",1,IFERROR(INDEX(Prices[FX to SGD],MATCH($A822,Prices[Key],0)),1))</f>
        <v>1</v>
      </c>
      <c r="F822" s="30">
        <f>IF($A822="",0,(Transactions!M814-Transactions!L814+IF(Transactions!A814=2,Transactions!H814,0))*$E822)</f>
        <v>0</v>
      </c>
      <c r="G822" s="30">
        <f>IF($A822="",0,IF(Transactions!A814=2,Transactions!H814*$E822,0))</f>
        <v>0</v>
      </c>
    </row>
    <row r="823" spans="1:7" ht="15" customHeight="1" x14ac:dyDescent="0.15">
      <c r="A823" t="str">
        <f>IF(Transactions!J815="","",Transactions!J815)</f>
        <v/>
      </c>
      <c r="B823" s="297">
        <f ca="1">IF($A823="",TODAY(),Transactions!G815)</f>
        <v>46216</v>
      </c>
      <c r="C823" t="str">
        <f>IF($A823="","",Transactions!A815)</f>
        <v/>
      </c>
      <c r="D823" s="30">
        <f>IF($A823="",0,Transactions!H815)</f>
        <v>0</v>
      </c>
      <c r="E823">
        <f>IF($A823="",1,IFERROR(INDEX(Prices[FX to SGD],MATCH($A823,Prices[Key],0)),1))</f>
        <v>1</v>
      </c>
      <c r="F823" s="30">
        <f>IF($A823="",0,(Transactions!M815-Transactions!L815+IF(Transactions!A815=2,Transactions!H815,0))*$E823)</f>
        <v>0</v>
      </c>
      <c r="G823" s="30">
        <f>IF($A823="",0,IF(Transactions!A815=2,Transactions!H815*$E823,0))</f>
        <v>0</v>
      </c>
    </row>
    <row r="824" spans="1:7" ht="15" customHeight="1" x14ac:dyDescent="0.15">
      <c r="A824" t="str">
        <f>IF(Transactions!J816="","",Transactions!J816)</f>
        <v/>
      </c>
      <c r="B824" s="297">
        <f ca="1">IF($A824="",TODAY(),Transactions!G816)</f>
        <v>46216</v>
      </c>
      <c r="C824" t="str">
        <f>IF($A824="","",Transactions!A816)</f>
        <v/>
      </c>
      <c r="D824" s="30">
        <f>IF($A824="",0,Transactions!H816)</f>
        <v>0</v>
      </c>
      <c r="E824">
        <f>IF($A824="",1,IFERROR(INDEX(Prices[FX to SGD],MATCH($A824,Prices[Key],0)),1))</f>
        <v>1</v>
      </c>
      <c r="F824" s="30">
        <f>IF($A824="",0,(Transactions!M816-Transactions!L816+IF(Transactions!A816=2,Transactions!H816,0))*$E824)</f>
        <v>0</v>
      </c>
      <c r="G824" s="30">
        <f>IF($A824="",0,IF(Transactions!A816=2,Transactions!H816*$E824,0))</f>
        <v>0</v>
      </c>
    </row>
    <row r="825" spans="1:7" ht="15" customHeight="1" x14ac:dyDescent="0.15">
      <c r="A825" t="str">
        <f>IF(Transactions!J817="","",Transactions!J817)</f>
        <v/>
      </c>
      <c r="B825" s="297">
        <f ca="1">IF($A825="",TODAY(),Transactions!G817)</f>
        <v>46216</v>
      </c>
      <c r="C825" t="str">
        <f>IF($A825="","",Transactions!A817)</f>
        <v/>
      </c>
      <c r="D825" s="30">
        <f>IF($A825="",0,Transactions!H817)</f>
        <v>0</v>
      </c>
      <c r="E825">
        <f>IF($A825="",1,IFERROR(INDEX(Prices[FX to SGD],MATCH($A825,Prices[Key],0)),1))</f>
        <v>1</v>
      </c>
      <c r="F825" s="30">
        <f>IF($A825="",0,(Transactions!M817-Transactions!L817+IF(Transactions!A817=2,Transactions!H817,0))*$E825)</f>
        <v>0</v>
      </c>
      <c r="G825" s="30">
        <f>IF($A825="",0,IF(Transactions!A817=2,Transactions!H817*$E825,0))</f>
        <v>0</v>
      </c>
    </row>
    <row r="826" spans="1:7" ht="15" customHeight="1" x14ac:dyDescent="0.15">
      <c r="A826" t="str">
        <f>IF(Transactions!J818="","",Transactions!J818)</f>
        <v/>
      </c>
      <c r="B826" s="297">
        <f ca="1">IF($A826="",TODAY(),Transactions!G818)</f>
        <v>46216</v>
      </c>
      <c r="C826" t="str">
        <f>IF($A826="","",Transactions!A818)</f>
        <v/>
      </c>
      <c r="D826" s="30">
        <f>IF($A826="",0,Transactions!H818)</f>
        <v>0</v>
      </c>
      <c r="E826">
        <f>IF($A826="",1,IFERROR(INDEX(Prices[FX to SGD],MATCH($A826,Prices[Key],0)),1))</f>
        <v>1</v>
      </c>
      <c r="F826" s="30">
        <f>IF($A826="",0,(Transactions!M818-Transactions!L818+IF(Transactions!A818=2,Transactions!H818,0))*$E826)</f>
        <v>0</v>
      </c>
      <c r="G826" s="30">
        <f>IF($A826="",0,IF(Transactions!A818=2,Transactions!H818*$E826,0))</f>
        <v>0</v>
      </c>
    </row>
    <row r="827" spans="1:7" ht="15" customHeight="1" x14ac:dyDescent="0.15">
      <c r="A827" t="str">
        <f>IF(Transactions!J819="","",Transactions!J819)</f>
        <v/>
      </c>
      <c r="B827" s="297">
        <f ca="1">IF($A827="",TODAY(),Transactions!G819)</f>
        <v>46216</v>
      </c>
      <c r="C827" t="str">
        <f>IF($A827="","",Transactions!A819)</f>
        <v/>
      </c>
      <c r="D827" s="30">
        <f>IF($A827="",0,Transactions!H819)</f>
        <v>0</v>
      </c>
      <c r="E827">
        <f>IF($A827="",1,IFERROR(INDEX(Prices[FX to SGD],MATCH($A827,Prices[Key],0)),1))</f>
        <v>1</v>
      </c>
      <c r="F827" s="30">
        <f>IF($A827="",0,(Transactions!M819-Transactions!L819+IF(Transactions!A819=2,Transactions!H819,0))*$E827)</f>
        <v>0</v>
      </c>
      <c r="G827" s="30">
        <f>IF($A827="",0,IF(Transactions!A819=2,Transactions!H819*$E827,0))</f>
        <v>0</v>
      </c>
    </row>
    <row r="828" spans="1:7" ht="15" customHeight="1" x14ac:dyDescent="0.15">
      <c r="A828" t="str">
        <f>IF(Transactions!J820="","",Transactions!J820)</f>
        <v/>
      </c>
      <c r="B828" s="297">
        <f ca="1">IF($A828="",TODAY(),Transactions!G820)</f>
        <v>46216</v>
      </c>
      <c r="C828" t="str">
        <f>IF($A828="","",Transactions!A820)</f>
        <v/>
      </c>
      <c r="D828" s="30">
        <f>IF($A828="",0,Transactions!H820)</f>
        <v>0</v>
      </c>
      <c r="E828">
        <f>IF($A828="",1,IFERROR(INDEX(Prices[FX to SGD],MATCH($A828,Prices[Key],0)),1))</f>
        <v>1</v>
      </c>
      <c r="F828" s="30">
        <f>IF($A828="",0,(Transactions!M820-Transactions!L820+IF(Transactions!A820=2,Transactions!H820,0))*$E828)</f>
        <v>0</v>
      </c>
      <c r="G828" s="30">
        <f>IF($A828="",0,IF(Transactions!A820=2,Transactions!H820*$E828,0))</f>
        <v>0</v>
      </c>
    </row>
    <row r="829" spans="1:7" ht="15" customHeight="1" x14ac:dyDescent="0.15">
      <c r="A829" t="str">
        <f>IF(Transactions!J821="","",Transactions!J821)</f>
        <v/>
      </c>
      <c r="B829" s="297">
        <f ca="1">IF($A829="",TODAY(),Transactions!G821)</f>
        <v>46216</v>
      </c>
      <c r="C829" t="str">
        <f>IF($A829="","",Transactions!A821)</f>
        <v/>
      </c>
      <c r="D829" s="30">
        <f>IF($A829="",0,Transactions!H821)</f>
        <v>0</v>
      </c>
      <c r="E829">
        <f>IF($A829="",1,IFERROR(INDEX(Prices[FX to SGD],MATCH($A829,Prices[Key],0)),1))</f>
        <v>1</v>
      </c>
      <c r="F829" s="30">
        <f>IF($A829="",0,(Transactions!M821-Transactions!L821+IF(Transactions!A821=2,Transactions!H821,0))*$E829)</f>
        <v>0</v>
      </c>
      <c r="G829" s="30">
        <f>IF($A829="",0,IF(Transactions!A821=2,Transactions!H821*$E829,0))</f>
        <v>0</v>
      </c>
    </row>
    <row r="830" spans="1:7" ht="15" customHeight="1" x14ac:dyDescent="0.15">
      <c r="A830" t="str">
        <f>IF(Transactions!J822="","",Transactions!J822)</f>
        <v/>
      </c>
      <c r="B830" s="297">
        <f ca="1">IF($A830="",TODAY(),Transactions!G822)</f>
        <v>46216</v>
      </c>
      <c r="C830" t="str">
        <f>IF($A830="","",Transactions!A822)</f>
        <v/>
      </c>
      <c r="D830" s="30">
        <f>IF($A830="",0,Transactions!H822)</f>
        <v>0</v>
      </c>
      <c r="E830">
        <f>IF($A830="",1,IFERROR(INDEX(Prices[FX to SGD],MATCH($A830,Prices[Key],0)),1))</f>
        <v>1</v>
      </c>
      <c r="F830" s="30">
        <f>IF($A830="",0,(Transactions!M822-Transactions!L822+IF(Transactions!A822=2,Transactions!H822,0))*$E830)</f>
        <v>0</v>
      </c>
      <c r="G830" s="30">
        <f>IF($A830="",0,IF(Transactions!A822=2,Transactions!H822*$E830,0))</f>
        <v>0</v>
      </c>
    </row>
    <row r="831" spans="1:7" ht="15" customHeight="1" x14ac:dyDescent="0.15">
      <c r="A831" t="str">
        <f>IF(Transactions!J823="","",Transactions!J823)</f>
        <v/>
      </c>
      <c r="B831" s="297">
        <f ca="1">IF($A831="",TODAY(),Transactions!G823)</f>
        <v>46216</v>
      </c>
      <c r="C831" t="str">
        <f>IF($A831="","",Transactions!A823)</f>
        <v/>
      </c>
      <c r="D831" s="30">
        <f>IF($A831="",0,Transactions!H823)</f>
        <v>0</v>
      </c>
      <c r="E831">
        <f>IF($A831="",1,IFERROR(INDEX(Prices[FX to SGD],MATCH($A831,Prices[Key],0)),1))</f>
        <v>1</v>
      </c>
      <c r="F831" s="30">
        <f>IF($A831="",0,(Transactions!M823-Transactions!L823+IF(Transactions!A823=2,Transactions!H823,0))*$E831)</f>
        <v>0</v>
      </c>
      <c r="G831" s="30">
        <f>IF($A831="",0,IF(Transactions!A823=2,Transactions!H823*$E831,0))</f>
        <v>0</v>
      </c>
    </row>
    <row r="832" spans="1:7" ht="15" customHeight="1" x14ac:dyDescent="0.15">
      <c r="A832" t="str">
        <f>IF(Transactions!J824="","",Transactions!J824)</f>
        <v/>
      </c>
      <c r="B832" s="297">
        <f ca="1">IF($A832="",TODAY(),Transactions!G824)</f>
        <v>46216</v>
      </c>
      <c r="C832" t="str">
        <f>IF($A832="","",Transactions!A824)</f>
        <v/>
      </c>
      <c r="D832" s="30">
        <f>IF($A832="",0,Transactions!H824)</f>
        <v>0</v>
      </c>
      <c r="E832">
        <f>IF($A832="",1,IFERROR(INDEX(Prices[FX to SGD],MATCH($A832,Prices[Key],0)),1))</f>
        <v>1</v>
      </c>
      <c r="F832" s="30">
        <f>IF($A832="",0,(Transactions!M824-Transactions!L824+IF(Transactions!A824=2,Transactions!H824,0))*$E832)</f>
        <v>0</v>
      </c>
      <c r="G832" s="30">
        <f>IF($A832="",0,IF(Transactions!A824=2,Transactions!H824*$E832,0))</f>
        <v>0</v>
      </c>
    </row>
    <row r="833" spans="1:7" ht="15" customHeight="1" x14ac:dyDescent="0.15">
      <c r="A833" t="str">
        <f>IF(Transactions!J825="","",Transactions!J825)</f>
        <v/>
      </c>
      <c r="B833" s="297">
        <f ca="1">IF($A833="",TODAY(),Transactions!G825)</f>
        <v>46216</v>
      </c>
      <c r="C833" t="str">
        <f>IF($A833="","",Transactions!A825)</f>
        <v/>
      </c>
      <c r="D833" s="30">
        <f>IF($A833="",0,Transactions!H825)</f>
        <v>0</v>
      </c>
      <c r="E833">
        <f>IF($A833="",1,IFERROR(INDEX(Prices[FX to SGD],MATCH($A833,Prices[Key],0)),1))</f>
        <v>1</v>
      </c>
      <c r="F833" s="30">
        <f>IF($A833="",0,(Transactions!M825-Transactions!L825+IF(Transactions!A825=2,Transactions!H825,0))*$E833)</f>
        <v>0</v>
      </c>
      <c r="G833" s="30">
        <f>IF($A833="",0,IF(Transactions!A825=2,Transactions!H825*$E833,0))</f>
        <v>0</v>
      </c>
    </row>
    <row r="834" spans="1:7" ht="15" customHeight="1" x14ac:dyDescent="0.15">
      <c r="A834" t="str">
        <f>IF(Transactions!J826="","",Transactions!J826)</f>
        <v/>
      </c>
      <c r="B834" s="297">
        <f ca="1">IF($A834="",TODAY(),Transactions!G826)</f>
        <v>46216</v>
      </c>
      <c r="C834" t="str">
        <f>IF($A834="","",Transactions!A826)</f>
        <v/>
      </c>
      <c r="D834" s="30">
        <f>IF($A834="",0,Transactions!H826)</f>
        <v>0</v>
      </c>
      <c r="E834">
        <f>IF($A834="",1,IFERROR(INDEX(Prices[FX to SGD],MATCH($A834,Prices[Key],0)),1))</f>
        <v>1</v>
      </c>
      <c r="F834" s="30">
        <f>IF($A834="",0,(Transactions!M826-Transactions!L826+IF(Transactions!A826=2,Transactions!H826,0))*$E834)</f>
        <v>0</v>
      </c>
      <c r="G834" s="30">
        <f>IF($A834="",0,IF(Transactions!A826=2,Transactions!H826*$E834,0))</f>
        <v>0</v>
      </c>
    </row>
    <row r="835" spans="1:7" ht="15" customHeight="1" x14ac:dyDescent="0.15">
      <c r="A835" t="str">
        <f>IF(Transactions!J827="","",Transactions!J827)</f>
        <v/>
      </c>
      <c r="B835" s="297">
        <f ca="1">IF($A835="",TODAY(),Transactions!G827)</f>
        <v>46216</v>
      </c>
      <c r="C835" t="str">
        <f>IF($A835="","",Transactions!A827)</f>
        <v/>
      </c>
      <c r="D835" s="30">
        <f>IF($A835="",0,Transactions!H827)</f>
        <v>0</v>
      </c>
      <c r="E835">
        <f>IF($A835="",1,IFERROR(INDEX(Prices[FX to SGD],MATCH($A835,Prices[Key],0)),1))</f>
        <v>1</v>
      </c>
      <c r="F835" s="30">
        <f>IF($A835="",0,(Transactions!M827-Transactions!L827+IF(Transactions!A827=2,Transactions!H827,0))*$E835)</f>
        <v>0</v>
      </c>
      <c r="G835" s="30">
        <f>IF($A835="",0,IF(Transactions!A827=2,Transactions!H827*$E835,0))</f>
        <v>0</v>
      </c>
    </row>
    <row r="836" spans="1:7" ht="15" customHeight="1" x14ac:dyDescent="0.15">
      <c r="A836" t="str">
        <f>IF(Transactions!J828="","",Transactions!J828)</f>
        <v/>
      </c>
      <c r="B836" s="297">
        <f ca="1">IF($A836="",TODAY(),Transactions!G828)</f>
        <v>46216</v>
      </c>
      <c r="C836" t="str">
        <f>IF($A836="","",Transactions!A828)</f>
        <v/>
      </c>
      <c r="D836" s="30">
        <f>IF($A836="",0,Transactions!H828)</f>
        <v>0</v>
      </c>
      <c r="E836">
        <f>IF($A836="",1,IFERROR(INDEX(Prices[FX to SGD],MATCH($A836,Prices[Key],0)),1))</f>
        <v>1</v>
      </c>
      <c r="F836" s="30">
        <f>IF($A836="",0,(Transactions!M828-Transactions!L828+IF(Transactions!A828=2,Transactions!H828,0))*$E836)</f>
        <v>0</v>
      </c>
      <c r="G836" s="30">
        <f>IF($A836="",0,IF(Transactions!A828=2,Transactions!H828*$E836,0))</f>
        <v>0</v>
      </c>
    </row>
    <row r="837" spans="1:7" ht="15" customHeight="1" x14ac:dyDescent="0.15">
      <c r="A837" t="str">
        <f>IF(Transactions!J829="","",Transactions!J829)</f>
        <v/>
      </c>
      <c r="B837" s="297">
        <f ca="1">IF($A837="",TODAY(),Transactions!G829)</f>
        <v>46216</v>
      </c>
      <c r="C837" t="str">
        <f>IF($A837="","",Transactions!A829)</f>
        <v/>
      </c>
      <c r="D837" s="30">
        <f>IF($A837="",0,Transactions!H829)</f>
        <v>0</v>
      </c>
      <c r="E837">
        <f>IF($A837="",1,IFERROR(INDEX(Prices[FX to SGD],MATCH($A837,Prices[Key],0)),1))</f>
        <v>1</v>
      </c>
      <c r="F837" s="30">
        <f>IF($A837="",0,(Transactions!M829-Transactions!L829+IF(Transactions!A829=2,Transactions!H829,0))*$E837)</f>
        <v>0</v>
      </c>
      <c r="G837" s="30">
        <f>IF($A837="",0,IF(Transactions!A829=2,Transactions!H829*$E837,0))</f>
        <v>0</v>
      </c>
    </row>
    <row r="838" spans="1:7" ht="15" customHeight="1" x14ac:dyDescent="0.15">
      <c r="A838" t="str">
        <f>IF(Transactions!J830="","",Transactions!J830)</f>
        <v/>
      </c>
      <c r="B838" s="297">
        <f ca="1">IF($A838="",TODAY(),Transactions!G830)</f>
        <v>46216</v>
      </c>
      <c r="C838" t="str">
        <f>IF($A838="","",Transactions!A830)</f>
        <v/>
      </c>
      <c r="D838" s="30">
        <f>IF($A838="",0,Transactions!H830)</f>
        <v>0</v>
      </c>
      <c r="E838">
        <f>IF($A838="",1,IFERROR(INDEX(Prices[FX to SGD],MATCH($A838,Prices[Key],0)),1))</f>
        <v>1</v>
      </c>
      <c r="F838" s="30">
        <f>IF($A838="",0,(Transactions!M830-Transactions!L830+IF(Transactions!A830=2,Transactions!H830,0))*$E838)</f>
        <v>0</v>
      </c>
      <c r="G838" s="30">
        <f>IF($A838="",0,IF(Transactions!A830=2,Transactions!H830*$E838,0))</f>
        <v>0</v>
      </c>
    </row>
    <row r="839" spans="1:7" ht="15" customHeight="1" x14ac:dyDescent="0.15">
      <c r="A839" t="str">
        <f>IF(Transactions!J831="","",Transactions!J831)</f>
        <v/>
      </c>
      <c r="B839" s="297">
        <f ca="1">IF($A839="",TODAY(),Transactions!G831)</f>
        <v>46216</v>
      </c>
      <c r="C839" t="str">
        <f>IF($A839="","",Transactions!A831)</f>
        <v/>
      </c>
      <c r="D839" s="30">
        <f>IF($A839="",0,Transactions!H831)</f>
        <v>0</v>
      </c>
      <c r="E839">
        <f>IF($A839="",1,IFERROR(INDEX(Prices[FX to SGD],MATCH($A839,Prices[Key],0)),1))</f>
        <v>1</v>
      </c>
      <c r="F839" s="30">
        <f>IF($A839="",0,(Transactions!M831-Transactions!L831+IF(Transactions!A831=2,Transactions!H831,0))*$E839)</f>
        <v>0</v>
      </c>
      <c r="G839" s="30">
        <f>IF($A839="",0,IF(Transactions!A831=2,Transactions!H831*$E839,0))</f>
        <v>0</v>
      </c>
    </row>
    <row r="840" spans="1:7" ht="15" customHeight="1" x14ac:dyDescent="0.15">
      <c r="A840" t="str">
        <f>IF(Transactions!J832="","",Transactions!J832)</f>
        <v/>
      </c>
      <c r="B840" s="297">
        <f ca="1">IF($A840="",TODAY(),Transactions!G832)</f>
        <v>46216</v>
      </c>
      <c r="C840" t="str">
        <f>IF($A840="","",Transactions!A832)</f>
        <v/>
      </c>
      <c r="D840" s="30">
        <f>IF($A840="",0,Transactions!H832)</f>
        <v>0</v>
      </c>
      <c r="E840">
        <f>IF($A840="",1,IFERROR(INDEX(Prices[FX to SGD],MATCH($A840,Prices[Key],0)),1))</f>
        <v>1</v>
      </c>
      <c r="F840" s="30">
        <f>IF($A840="",0,(Transactions!M832-Transactions!L832+IF(Transactions!A832=2,Transactions!H832,0))*$E840)</f>
        <v>0</v>
      </c>
      <c r="G840" s="30">
        <f>IF($A840="",0,IF(Transactions!A832=2,Transactions!H832*$E840,0))</f>
        <v>0</v>
      </c>
    </row>
    <row r="841" spans="1:7" ht="15" customHeight="1" x14ac:dyDescent="0.15">
      <c r="A841" t="str">
        <f>IF(Transactions!J833="","",Transactions!J833)</f>
        <v/>
      </c>
      <c r="B841" s="297">
        <f ca="1">IF($A841="",TODAY(),Transactions!G833)</f>
        <v>46216</v>
      </c>
      <c r="C841" t="str">
        <f>IF($A841="","",Transactions!A833)</f>
        <v/>
      </c>
      <c r="D841" s="30">
        <f>IF($A841="",0,Transactions!H833)</f>
        <v>0</v>
      </c>
      <c r="E841">
        <f>IF($A841="",1,IFERROR(INDEX(Prices[FX to SGD],MATCH($A841,Prices[Key],0)),1))</f>
        <v>1</v>
      </c>
      <c r="F841" s="30">
        <f>IF($A841="",0,(Transactions!M833-Transactions!L833+IF(Transactions!A833=2,Transactions!H833,0))*$E841)</f>
        <v>0</v>
      </c>
      <c r="G841" s="30">
        <f>IF($A841="",0,IF(Transactions!A833=2,Transactions!H833*$E841,0))</f>
        <v>0</v>
      </c>
    </row>
    <row r="842" spans="1:7" ht="15" customHeight="1" x14ac:dyDescent="0.15">
      <c r="A842" t="str">
        <f>IF(Transactions!J834="","",Transactions!J834)</f>
        <v/>
      </c>
      <c r="B842" s="297">
        <f ca="1">IF($A842="",TODAY(),Transactions!G834)</f>
        <v>46216</v>
      </c>
      <c r="C842" t="str">
        <f>IF($A842="","",Transactions!A834)</f>
        <v/>
      </c>
      <c r="D842" s="30">
        <f>IF($A842="",0,Transactions!H834)</f>
        <v>0</v>
      </c>
      <c r="E842">
        <f>IF($A842="",1,IFERROR(INDEX(Prices[FX to SGD],MATCH($A842,Prices[Key],0)),1))</f>
        <v>1</v>
      </c>
      <c r="F842" s="30">
        <f>IF($A842="",0,(Transactions!M834-Transactions!L834+IF(Transactions!A834=2,Transactions!H834,0))*$E842)</f>
        <v>0</v>
      </c>
      <c r="G842" s="30">
        <f>IF($A842="",0,IF(Transactions!A834=2,Transactions!H834*$E842,0))</f>
        <v>0</v>
      </c>
    </row>
    <row r="843" spans="1:7" ht="15" customHeight="1" x14ac:dyDescent="0.15">
      <c r="A843" t="str">
        <f>IF(Transactions!J835="","",Transactions!J835)</f>
        <v/>
      </c>
      <c r="B843" s="297">
        <f ca="1">IF($A843="",TODAY(),Transactions!G835)</f>
        <v>46216</v>
      </c>
      <c r="C843" t="str">
        <f>IF($A843="","",Transactions!A835)</f>
        <v/>
      </c>
      <c r="D843" s="30">
        <f>IF($A843="",0,Transactions!H835)</f>
        <v>0</v>
      </c>
      <c r="E843">
        <f>IF($A843="",1,IFERROR(INDEX(Prices[FX to SGD],MATCH($A843,Prices[Key],0)),1))</f>
        <v>1</v>
      </c>
      <c r="F843" s="30">
        <f>IF($A843="",0,(Transactions!M835-Transactions!L835+IF(Transactions!A835=2,Transactions!H835,0))*$E843)</f>
        <v>0</v>
      </c>
      <c r="G843" s="30">
        <f>IF($A843="",0,IF(Transactions!A835=2,Transactions!H835*$E843,0))</f>
        <v>0</v>
      </c>
    </row>
    <row r="844" spans="1:7" ht="15" customHeight="1" x14ac:dyDescent="0.15">
      <c r="A844" t="str">
        <f>IF(Transactions!J836="","",Transactions!J836)</f>
        <v/>
      </c>
      <c r="B844" s="297">
        <f ca="1">IF($A844="",TODAY(),Transactions!G836)</f>
        <v>46216</v>
      </c>
      <c r="C844" t="str">
        <f>IF($A844="","",Transactions!A836)</f>
        <v/>
      </c>
      <c r="D844" s="30">
        <f>IF($A844="",0,Transactions!H836)</f>
        <v>0</v>
      </c>
      <c r="E844">
        <f>IF($A844="",1,IFERROR(INDEX(Prices[FX to SGD],MATCH($A844,Prices[Key],0)),1))</f>
        <v>1</v>
      </c>
      <c r="F844" s="30">
        <f>IF($A844="",0,(Transactions!M836-Transactions!L836+IF(Transactions!A836=2,Transactions!H836,0))*$E844)</f>
        <v>0</v>
      </c>
      <c r="G844" s="30">
        <f>IF($A844="",0,IF(Transactions!A836=2,Transactions!H836*$E844,0))</f>
        <v>0</v>
      </c>
    </row>
    <row r="845" spans="1:7" ht="15" customHeight="1" x14ac:dyDescent="0.15">
      <c r="A845" t="str">
        <f>IF(Transactions!J837="","",Transactions!J837)</f>
        <v/>
      </c>
      <c r="B845" s="297">
        <f ca="1">IF($A845="",TODAY(),Transactions!G837)</f>
        <v>46216</v>
      </c>
      <c r="C845" t="str">
        <f>IF($A845="","",Transactions!A837)</f>
        <v/>
      </c>
      <c r="D845" s="30">
        <f>IF($A845="",0,Transactions!H837)</f>
        <v>0</v>
      </c>
      <c r="E845">
        <f>IF($A845="",1,IFERROR(INDEX(Prices[FX to SGD],MATCH($A845,Prices[Key],0)),1))</f>
        <v>1</v>
      </c>
      <c r="F845" s="30">
        <f>IF($A845="",0,(Transactions!M837-Transactions!L837+IF(Transactions!A837=2,Transactions!H837,0))*$E845)</f>
        <v>0</v>
      </c>
      <c r="G845" s="30">
        <f>IF($A845="",0,IF(Transactions!A837=2,Transactions!H837*$E845,0))</f>
        <v>0</v>
      </c>
    </row>
    <row r="846" spans="1:7" ht="15" customHeight="1" x14ac:dyDescent="0.15">
      <c r="A846" t="str">
        <f>IF(Transactions!J838="","",Transactions!J838)</f>
        <v/>
      </c>
      <c r="B846" s="297">
        <f ca="1">IF($A846="",TODAY(),Transactions!G838)</f>
        <v>46216</v>
      </c>
      <c r="C846" t="str">
        <f>IF($A846="","",Transactions!A838)</f>
        <v/>
      </c>
      <c r="D846" s="30">
        <f>IF($A846="",0,Transactions!H838)</f>
        <v>0</v>
      </c>
      <c r="E846">
        <f>IF($A846="",1,IFERROR(INDEX(Prices[FX to SGD],MATCH($A846,Prices[Key],0)),1))</f>
        <v>1</v>
      </c>
      <c r="F846" s="30">
        <f>IF($A846="",0,(Transactions!M838-Transactions!L838+IF(Transactions!A838=2,Transactions!H838,0))*$E846)</f>
        <v>0</v>
      </c>
      <c r="G846" s="30">
        <f>IF($A846="",0,IF(Transactions!A838=2,Transactions!H838*$E846,0))</f>
        <v>0</v>
      </c>
    </row>
    <row r="847" spans="1:7" ht="15" customHeight="1" x14ac:dyDescent="0.15">
      <c r="A847" t="str">
        <f>IF(Transactions!J839="","",Transactions!J839)</f>
        <v/>
      </c>
      <c r="B847" s="297">
        <f ca="1">IF($A847="",TODAY(),Transactions!G839)</f>
        <v>46216</v>
      </c>
      <c r="C847" t="str">
        <f>IF($A847="","",Transactions!A839)</f>
        <v/>
      </c>
      <c r="D847" s="30">
        <f>IF($A847="",0,Transactions!H839)</f>
        <v>0</v>
      </c>
      <c r="E847">
        <f>IF($A847="",1,IFERROR(INDEX(Prices[FX to SGD],MATCH($A847,Prices[Key],0)),1))</f>
        <v>1</v>
      </c>
      <c r="F847" s="30">
        <f>IF($A847="",0,(Transactions!M839-Transactions!L839+IF(Transactions!A839=2,Transactions!H839,0))*$E847)</f>
        <v>0</v>
      </c>
      <c r="G847" s="30">
        <f>IF($A847="",0,IF(Transactions!A839=2,Transactions!H839*$E847,0))</f>
        <v>0</v>
      </c>
    </row>
    <row r="848" spans="1:7" ht="15" customHeight="1" x14ac:dyDescent="0.15">
      <c r="A848" t="str">
        <f>IF(Transactions!J840="","",Transactions!J840)</f>
        <v/>
      </c>
      <c r="B848" s="297">
        <f ca="1">IF($A848="",TODAY(),Transactions!G840)</f>
        <v>46216</v>
      </c>
      <c r="C848" t="str">
        <f>IF($A848="","",Transactions!A840)</f>
        <v/>
      </c>
      <c r="D848" s="30">
        <f>IF($A848="",0,Transactions!H840)</f>
        <v>0</v>
      </c>
      <c r="E848">
        <f>IF($A848="",1,IFERROR(INDEX(Prices[FX to SGD],MATCH($A848,Prices[Key],0)),1))</f>
        <v>1</v>
      </c>
      <c r="F848" s="30">
        <f>IF($A848="",0,(Transactions!M840-Transactions!L840+IF(Transactions!A840=2,Transactions!H840,0))*$E848)</f>
        <v>0</v>
      </c>
      <c r="G848" s="30">
        <f>IF($A848="",0,IF(Transactions!A840=2,Transactions!H840*$E848,0))</f>
        <v>0</v>
      </c>
    </row>
    <row r="849" spans="1:7" ht="15" customHeight="1" x14ac:dyDescent="0.15">
      <c r="A849" t="str">
        <f>IF(Transactions!J841="","",Transactions!J841)</f>
        <v/>
      </c>
      <c r="B849" s="297">
        <f ca="1">IF($A849="",TODAY(),Transactions!G841)</f>
        <v>46216</v>
      </c>
      <c r="C849" t="str">
        <f>IF($A849="","",Transactions!A841)</f>
        <v/>
      </c>
      <c r="D849" s="30">
        <f>IF($A849="",0,Transactions!H841)</f>
        <v>0</v>
      </c>
      <c r="E849">
        <f>IF($A849="",1,IFERROR(INDEX(Prices[FX to SGD],MATCH($A849,Prices[Key],0)),1))</f>
        <v>1</v>
      </c>
      <c r="F849" s="30">
        <f>IF($A849="",0,(Transactions!M841-Transactions!L841+IF(Transactions!A841=2,Transactions!H841,0))*$E849)</f>
        <v>0</v>
      </c>
      <c r="G849" s="30">
        <f>IF($A849="",0,IF(Transactions!A841=2,Transactions!H841*$E849,0))</f>
        <v>0</v>
      </c>
    </row>
    <row r="850" spans="1:7" ht="15" customHeight="1" x14ac:dyDescent="0.15">
      <c r="A850" t="str">
        <f>IF(Transactions!J842="","",Transactions!J842)</f>
        <v/>
      </c>
      <c r="B850" s="297">
        <f ca="1">IF($A850="",TODAY(),Transactions!G842)</f>
        <v>46216</v>
      </c>
      <c r="C850" t="str">
        <f>IF($A850="","",Transactions!A842)</f>
        <v/>
      </c>
      <c r="D850" s="30">
        <f>IF($A850="",0,Transactions!H842)</f>
        <v>0</v>
      </c>
      <c r="E850">
        <f>IF($A850="",1,IFERROR(INDEX(Prices[FX to SGD],MATCH($A850,Prices[Key],0)),1))</f>
        <v>1</v>
      </c>
      <c r="F850" s="30">
        <f>IF($A850="",0,(Transactions!M842-Transactions!L842+IF(Transactions!A842=2,Transactions!H842,0))*$E850)</f>
        <v>0</v>
      </c>
      <c r="G850" s="30">
        <f>IF($A850="",0,IF(Transactions!A842=2,Transactions!H842*$E850,0))</f>
        <v>0</v>
      </c>
    </row>
    <row r="851" spans="1:7" ht="15" customHeight="1" x14ac:dyDescent="0.15">
      <c r="A851" t="str">
        <f>IF(Transactions!J843="","",Transactions!J843)</f>
        <v/>
      </c>
      <c r="B851" s="297">
        <f ca="1">IF($A851="",TODAY(),Transactions!G843)</f>
        <v>46216</v>
      </c>
      <c r="C851" t="str">
        <f>IF($A851="","",Transactions!A843)</f>
        <v/>
      </c>
      <c r="D851" s="30">
        <f>IF($A851="",0,Transactions!H843)</f>
        <v>0</v>
      </c>
      <c r="E851">
        <f>IF($A851="",1,IFERROR(INDEX(Prices[FX to SGD],MATCH($A851,Prices[Key],0)),1))</f>
        <v>1</v>
      </c>
      <c r="F851" s="30">
        <f>IF($A851="",0,(Transactions!M843-Transactions!L843+IF(Transactions!A843=2,Transactions!H843,0))*$E851)</f>
        <v>0</v>
      </c>
      <c r="G851" s="30">
        <f>IF($A851="",0,IF(Transactions!A843=2,Transactions!H843*$E851,0))</f>
        <v>0</v>
      </c>
    </row>
    <row r="852" spans="1:7" ht="15" customHeight="1" x14ac:dyDescent="0.15">
      <c r="A852" t="str">
        <f>IF(Transactions!J844="","",Transactions!J844)</f>
        <v/>
      </c>
      <c r="B852" s="297">
        <f ca="1">IF($A852="",TODAY(),Transactions!G844)</f>
        <v>46216</v>
      </c>
      <c r="C852" t="str">
        <f>IF($A852="","",Transactions!A844)</f>
        <v/>
      </c>
      <c r="D852" s="30">
        <f>IF($A852="",0,Transactions!H844)</f>
        <v>0</v>
      </c>
      <c r="E852">
        <f>IF($A852="",1,IFERROR(INDEX(Prices[FX to SGD],MATCH($A852,Prices[Key],0)),1))</f>
        <v>1</v>
      </c>
      <c r="F852" s="30">
        <f>IF($A852="",0,(Transactions!M844-Transactions!L844+IF(Transactions!A844=2,Transactions!H844,0))*$E852)</f>
        <v>0</v>
      </c>
      <c r="G852" s="30">
        <f>IF($A852="",0,IF(Transactions!A844=2,Transactions!H844*$E852,0))</f>
        <v>0</v>
      </c>
    </row>
    <row r="853" spans="1:7" ht="15" customHeight="1" x14ac:dyDescent="0.15">
      <c r="A853" t="str">
        <f>IF(Transactions!J845="","",Transactions!J845)</f>
        <v/>
      </c>
      <c r="B853" s="297">
        <f ca="1">IF($A853="",TODAY(),Transactions!G845)</f>
        <v>46216</v>
      </c>
      <c r="C853" t="str">
        <f>IF($A853="","",Transactions!A845)</f>
        <v/>
      </c>
      <c r="D853" s="30">
        <f>IF($A853="",0,Transactions!H845)</f>
        <v>0</v>
      </c>
      <c r="E853">
        <f>IF($A853="",1,IFERROR(INDEX(Prices[FX to SGD],MATCH($A853,Prices[Key],0)),1))</f>
        <v>1</v>
      </c>
      <c r="F853" s="30">
        <f>IF($A853="",0,(Transactions!M845-Transactions!L845+IF(Transactions!A845=2,Transactions!H845,0))*$E853)</f>
        <v>0</v>
      </c>
      <c r="G853" s="30">
        <f>IF($A853="",0,IF(Transactions!A845=2,Transactions!H845*$E853,0))</f>
        <v>0</v>
      </c>
    </row>
    <row r="854" spans="1:7" ht="15" customHeight="1" x14ac:dyDescent="0.15">
      <c r="A854" t="str">
        <f>IF(Transactions!J846="","",Transactions!J846)</f>
        <v/>
      </c>
      <c r="B854" s="297">
        <f ca="1">IF($A854="",TODAY(),Transactions!G846)</f>
        <v>46216</v>
      </c>
      <c r="C854" t="str">
        <f>IF($A854="","",Transactions!A846)</f>
        <v/>
      </c>
      <c r="D854" s="30">
        <f>IF($A854="",0,Transactions!H846)</f>
        <v>0</v>
      </c>
      <c r="E854">
        <f>IF($A854="",1,IFERROR(INDEX(Prices[FX to SGD],MATCH($A854,Prices[Key],0)),1))</f>
        <v>1</v>
      </c>
      <c r="F854" s="30">
        <f>IF($A854="",0,(Transactions!M846-Transactions!L846+IF(Transactions!A846=2,Transactions!H846,0))*$E854)</f>
        <v>0</v>
      </c>
      <c r="G854" s="30">
        <f>IF($A854="",0,IF(Transactions!A846=2,Transactions!H846*$E854,0))</f>
        <v>0</v>
      </c>
    </row>
    <row r="855" spans="1:7" ht="15" customHeight="1" x14ac:dyDescent="0.15">
      <c r="A855" t="str">
        <f>IF(Transactions!J847="","",Transactions!J847)</f>
        <v/>
      </c>
      <c r="B855" s="297">
        <f ca="1">IF($A855="",TODAY(),Transactions!G847)</f>
        <v>46216</v>
      </c>
      <c r="C855" t="str">
        <f>IF($A855="","",Transactions!A847)</f>
        <v/>
      </c>
      <c r="D855" s="30">
        <f>IF($A855="",0,Transactions!H847)</f>
        <v>0</v>
      </c>
      <c r="E855">
        <f>IF($A855="",1,IFERROR(INDEX(Prices[FX to SGD],MATCH($A855,Prices[Key],0)),1))</f>
        <v>1</v>
      </c>
      <c r="F855" s="30">
        <f>IF($A855="",0,(Transactions!M847-Transactions!L847+IF(Transactions!A847=2,Transactions!H847,0))*$E855)</f>
        <v>0</v>
      </c>
      <c r="G855" s="30">
        <f>IF($A855="",0,IF(Transactions!A847=2,Transactions!H847*$E855,0))</f>
        <v>0</v>
      </c>
    </row>
    <row r="856" spans="1:7" ht="15" customHeight="1" x14ac:dyDescent="0.15">
      <c r="A856" t="str">
        <f>IF(Transactions!J848="","",Transactions!J848)</f>
        <v/>
      </c>
      <c r="B856" s="297">
        <f ca="1">IF($A856="",TODAY(),Transactions!G848)</f>
        <v>46216</v>
      </c>
      <c r="C856" t="str">
        <f>IF($A856="","",Transactions!A848)</f>
        <v/>
      </c>
      <c r="D856" s="30">
        <f>IF($A856="",0,Transactions!H848)</f>
        <v>0</v>
      </c>
      <c r="E856">
        <f>IF($A856="",1,IFERROR(INDEX(Prices[FX to SGD],MATCH($A856,Prices[Key],0)),1))</f>
        <v>1</v>
      </c>
      <c r="F856" s="30">
        <f>IF($A856="",0,(Transactions!M848-Transactions!L848+IF(Transactions!A848=2,Transactions!H848,0))*$E856)</f>
        <v>0</v>
      </c>
      <c r="G856" s="30">
        <f>IF($A856="",0,IF(Transactions!A848=2,Transactions!H848*$E856,0))</f>
        <v>0</v>
      </c>
    </row>
    <row r="857" spans="1:7" ht="15" customHeight="1" x14ac:dyDescent="0.15">
      <c r="A857" t="str">
        <f>IF(Transactions!J849="","",Transactions!J849)</f>
        <v/>
      </c>
      <c r="B857" s="297">
        <f ca="1">IF($A857="",TODAY(),Transactions!G849)</f>
        <v>46216</v>
      </c>
      <c r="C857" t="str">
        <f>IF($A857="","",Transactions!A849)</f>
        <v/>
      </c>
      <c r="D857" s="30">
        <f>IF($A857="",0,Transactions!H849)</f>
        <v>0</v>
      </c>
      <c r="E857">
        <f>IF($A857="",1,IFERROR(INDEX(Prices[FX to SGD],MATCH($A857,Prices[Key],0)),1))</f>
        <v>1</v>
      </c>
      <c r="F857" s="30">
        <f>IF($A857="",0,(Transactions!M849-Transactions!L849+IF(Transactions!A849=2,Transactions!H849,0))*$E857)</f>
        <v>0</v>
      </c>
      <c r="G857" s="30">
        <f>IF($A857="",0,IF(Transactions!A849=2,Transactions!H849*$E857,0))</f>
        <v>0</v>
      </c>
    </row>
    <row r="858" spans="1:7" ht="15" customHeight="1" x14ac:dyDescent="0.15">
      <c r="A858" t="str">
        <f>IF(Transactions!J850="","",Transactions!J850)</f>
        <v/>
      </c>
      <c r="B858" s="297">
        <f ca="1">IF($A858="",TODAY(),Transactions!G850)</f>
        <v>46216</v>
      </c>
      <c r="C858" t="str">
        <f>IF($A858="","",Transactions!A850)</f>
        <v/>
      </c>
      <c r="D858" s="30">
        <f>IF($A858="",0,Transactions!H850)</f>
        <v>0</v>
      </c>
      <c r="E858">
        <f>IF($A858="",1,IFERROR(INDEX(Prices[FX to SGD],MATCH($A858,Prices[Key],0)),1))</f>
        <v>1</v>
      </c>
      <c r="F858" s="30">
        <f>IF($A858="",0,(Transactions!M850-Transactions!L850+IF(Transactions!A850=2,Transactions!H850,0))*$E858)</f>
        <v>0</v>
      </c>
      <c r="G858" s="30">
        <f>IF($A858="",0,IF(Transactions!A850=2,Transactions!H850*$E858,0))</f>
        <v>0</v>
      </c>
    </row>
    <row r="859" spans="1:7" ht="15" customHeight="1" x14ac:dyDescent="0.15">
      <c r="A859" t="str">
        <f>IF(Transactions!J851="","",Transactions!J851)</f>
        <v/>
      </c>
      <c r="B859" s="297">
        <f ca="1">IF($A859="",TODAY(),Transactions!G851)</f>
        <v>46216</v>
      </c>
      <c r="C859" t="str">
        <f>IF($A859="","",Transactions!A851)</f>
        <v/>
      </c>
      <c r="D859" s="30">
        <f>IF($A859="",0,Transactions!H851)</f>
        <v>0</v>
      </c>
      <c r="E859">
        <f>IF($A859="",1,IFERROR(INDEX(Prices[FX to SGD],MATCH($A859,Prices[Key],0)),1))</f>
        <v>1</v>
      </c>
      <c r="F859" s="30">
        <f>IF($A859="",0,(Transactions!M851-Transactions!L851+IF(Transactions!A851=2,Transactions!H851,0))*$E859)</f>
        <v>0</v>
      </c>
      <c r="G859" s="30">
        <f>IF($A859="",0,IF(Transactions!A851=2,Transactions!H851*$E859,0))</f>
        <v>0</v>
      </c>
    </row>
    <row r="860" spans="1:7" ht="15" customHeight="1" x14ac:dyDescent="0.15">
      <c r="A860" t="str">
        <f>IF(Transactions!J852="","",Transactions!J852)</f>
        <v/>
      </c>
      <c r="B860" s="297">
        <f ca="1">IF($A860="",TODAY(),Transactions!G852)</f>
        <v>46216</v>
      </c>
      <c r="C860" t="str">
        <f>IF($A860="","",Transactions!A852)</f>
        <v/>
      </c>
      <c r="D860" s="30">
        <f>IF($A860="",0,Transactions!H852)</f>
        <v>0</v>
      </c>
      <c r="E860">
        <f>IF($A860="",1,IFERROR(INDEX(Prices[FX to SGD],MATCH($A860,Prices[Key],0)),1))</f>
        <v>1</v>
      </c>
      <c r="F860" s="30">
        <f>IF($A860="",0,(Transactions!M852-Transactions!L852+IF(Transactions!A852=2,Transactions!H852,0))*$E860)</f>
        <v>0</v>
      </c>
      <c r="G860" s="30">
        <f>IF($A860="",0,IF(Transactions!A852=2,Transactions!H852*$E860,0))</f>
        <v>0</v>
      </c>
    </row>
    <row r="861" spans="1:7" ht="15" customHeight="1" x14ac:dyDescent="0.15">
      <c r="A861" t="str">
        <f>IF(Transactions!J853="","",Transactions!J853)</f>
        <v/>
      </c>
      <c r="B861" s="297">
        <f ca="1">IF($A861="",TODAY(),Transactions!G853)</f>
        <v>46216</v>
      </c>
      <c r="C861" t="str">
        <f>IF($A861="","",Transactions!A853)</f>
        <v/>
      </c>
      <c r="D861" s="30">
        <f>IF($A861="",0,Transactions!H853)</f>
        <v>0</v>
      </c>
      <c r="E861">
        <f>IF($A861="",1,IFERROR(INDEX(Prices[FX to SGD],MATCH($A861,Prices[Key],0)),1))</f>
        <v>1</v>
      </c>
      <c r="F861" s="30">
        <f>IF($A861="",0,(Transactions!M853-Transactions!L853+IF(Transactions!A853=2,Transactions!H853,0))*$E861)</f>
        <v>0</v>
      </c>
      <c r="G861" s="30">
        <f>IF($A861="",0,IF(Transactions!A853=2,Transactions!H853*$E861,0))</f>
        <v>0</v>
      </c>
    </row>
    <row r="862" spans="1:7" ht="15" customHeight="1" x14ac:dyDescent="0.15">
      <c r="A862" t="str">
        <f>IF(Transactions!J854="","",Transactions!J854)</f>
        <v/>
      </c>
      <c r="B862" s="297">
        <f ca="1">IF($A862="",TODAY(),Transactions!G854)</f>
        <v>46216</v>
      </c>
      <c r="C862" t="str">
        <f>IF($A862="","",Transactions!A854)</f>
        <v/>
      </c>
      <c r="D862" s="30">
        <f>IF($A862="",0,Transactions!H854)</f>
        <v>0</v>
      </c>
      <c r="E862">
        <f>IF($A862="",1,IFERROR(INDEX(Prices[FX to SGD],MATCH($A862,Prices[Key],0)),1))</f>
        <v>1</v>
      </c>
      <c r="F862" s="30">
        <f>IF($A862="",0,(Transactions!M854-Transactions!L854+IF(Transactions!A854=2,Transactions!H854,0))*$E862)</f>
        <v>0</v>
      </c>
      <c r="G862" s="30">
        <f>IF($A862="",0,IF(Transactions!A854=2,Transactions!H854*$E862,0))</f>
        <v>0</v>
      </c>
    </row>
    <row r="863" spans="1:7" ht="15" customHeight="1" x14ac:dyDescent="0.15">
      <c r="A863" t="str">
        <f>IF(Transactions!J855="","",Transactions!J855)</f>
        <v/>
      </c>
      <c r="B863" s="297">
        <f ca="1">IF($A863="",TODAY(),Transactions!G855)</f>
        <v>46216</v>
      </c>
      <c r="C863" t="str">
        <f>IF($A863="","",Transactions!A855)</f>
        <v/>
      </c>
      <c r="D863" s="30">
        <f>IF($A863="",0,Transactions!H855)</f>
        <v>0</v>
      </c>
      <c r="E863">
        <f>IF($A863="",1,IFERROR(INDEX(Prices[FX to SGD],MATCH($A863,Prices[Key],0)),1))</f>
        <v>1</v>
      </c>
      <c r="F863" s="30">
        <f>IF($A863="",0,(Transactions!M855-Transactions!L855+IF(Transactions!A855=2,Transactions!H855,0))*$E863)</f>
        <v>0</v>
      </c>
      <c r="G863" s="30">
        <f>IF($A863="",0,IF(Transactions!A855=2,Transactions!H855*$E863,0))</f>
        <v>0</v>
      </c>
    </row>
    <row r="864" spans="1:7" ht="15" customHeight="1" x14ac:dyDescent="0.15">
      <c r="A864" t="str">
        <f>IF(Transactions!J856="","",Transactions!J856)</f>
        <v/>
      </c>
      <c r="B864" s="297">
        <f ca="1">IF($A864="",TODAY(),Transactions!G856)</f>
        <v>46216</v>
      </c>
      <c r="C864" t="str">
        <f>IF($A864="","",Transactions!A856)</f>
        <v/>
      </c>
      <c r="D864" s="30">
        <f>IF($A864="",0,Transactions!H856)</f>
        <v>0</v>
      </c>
      <c r="E864">
        <f>IF($A864="",1,IFERROR(INDEX(Prices[FX to SGD],MATCH($A864,Prices[Key],0)),1))</f>
        <v>1</v>
      </c>
      <c r="F864" s="30">
        <f>IF($A864="",0,(Transactions!M856-Transactions!L856+IF(Transactions!A856=2,Transactions!H856,0))*$E864)</f>
        <v>0</v>
      </c>
      <c r="G864" s="30">
        <f>IF($A864="",0,IF(Transactions!A856=2,Transactions!H856*$E864,0))</f>
        <v>0</v>
      </c>
    </row>
    <row r="865" spans="1:7" ht="15" customHeight="1" x14ac:dyDescent="0.15">
      <c r="A865" t="str">
        <f>IF(Transactions!J857="","",Transactions!J857)</f>
        <v/>
      </c>
      <c r="B865" s="297">
        <f ca="1">IF($A865="",TODAY(),Transactions!G857)</f>
        <v>46216</v>
      </c>
      <c r="C865" t="str">
        <f>IF($A865="","",Transactions!A857)</f>
        <v/>
      </c>
      <c r="D865" s="30">
        <f>IF($A865="",0,Transactions!H857)</f>
        <v>0</v>
      </c>
      <c r="E865">
        <f>IF($A865="",1,IFERROR(INDEX(Prices[FX to SGD],MATCH($A865,Prices[Key],0)),1))</f>
        <v>1</v>
      </c>
      <c r="F865" s="30">
        <f>IF($A865="",0,(Transactions!M857-Transactions!L857+IF(Transactions!A857=2,Transactions!H857,0))*$E865)</f>
        <v>0</v>
      </c>
      <c r="G865" s="30">
        <f>IF($A865="",0,IF(Transactions!A857=2,Transactions!H857*$E865,0))</f>
        <v>0</v>
      </c>
    </row>
    <row r="866" spans="1:7" ht="15" customHeight="1" x14ac:dyDescent="0.15">
      <c r="A866" t="str">
        <f>IF(Transactions!J858="","",Transactions!J858)</f>
        <v/>
      </c>
      <c r="B866" s="297">
        <f ca="1">IF($A866="",TODAY(),Transactions!G858)</f>
        <v>46216</v>
      </c>
      <c r="C866" t="str">
        <f>IF($A866="","",Transactions!A858)</f>
        <v/>
      </c>
      <c r="D866" s="30">
        <f>IF($A866="",0,Transactions!H858)</f>
        <v>0</v>
      </c>
      <c r="E866">
        <f>IF($A866="",1,IFERROR(INDEX(Prices[FX to SGD],MATCH($A866,Prices[Key],0)),1))</f>
        <v>1</v>
      </c>
      <c r="F866" s="30">
        <f>IF($A866="",0,(Transactions!M858-Transactions!L858+IF(Transactions!A858=2,Transactions!H858,0))*$E866)</f>
        <v>0</v>
      </c>
      <c r="G866" s="30">
        <f>IF($A866="",0,IF(Transactions!A858=2,Transactions!H858*$E866,0))</f>
        <v>0</v>
      </c>
    </row>
    <row r="867" spans="1:7" ht="15" customHeight="1" x14ac:dyDescent="0.15">
      <c r="A867" t="str">
        <f>IF(Transactions!J859="","",Transactions!J859)</f>
        <v/>
      </c>
      <c r="B867" s="297">
        <f ca="1">IF($A867="",TODAY(),Transactions!G859)</f>
        <v>46216</v>
      </c>
      <c r="C867" t="str">
        <f>IF($A867="","",Transactions!A859)</f>
        <v/>
      </c>
      <c r="D867" s="30">
        <f>IF($A867="",0,Transactions!H859)</f>
        <v>0</v>
      </c>
      <c r="E867">
        <f>IF($A867="",1,IFERROR(INDEX(Prices[FX to SGD],MATCH($A867,Prices[Key],0)),1))</f>
        <v>1</v>
      </c>
      <c r="F867" s="30">
        <f>IF($A867="",0,(Transactions!M859-Transactions!L859+IF(Transactions!A859=2,Transactions!H859,0))*$E867)</f>
        <v>0</v>
      </c>
      <c r="G867" s="30">
        <f>IF($A867="",0,IF(Transactions!A859=2,Transactions!H859*$E867,0))</f>
        <v>0</v>
      </c>
    </row>
    <row r="868" spans="1:7" ht="15" customHeight="1" x14ac:dyDescent="0.15">
      <c r="A868" t="str">
        <f>IF(Transactions!J860="","",Transactions!J860)</f>
        <v/>
      </c>
      <c r="B868" s="297">
        <f ca="1">IF($A868="",TODAY(),Transactions!G860)</f>
        <v>46216</v>
      </c>
      <c r="C868" t="str">
        <f>IF($A868="","",Transactions!A860)</f>
        <v/>
      </c>
      <c r="D868" s="30">
        <f>IF($A868="",0,Transactions!H860)</f>
        <v>0</v>
      </c>
      <c r="E868">
        <f>IF($A868="",1,IFERROR(INDEX(Prices[FX to SGD],MATCH($A868,Prices[Key],0)),1))</f>
        <v>1</v>
      </c>
      <c r="F868" s="30">
        <f>IF($A868="",0,(Transactions!M860-Transactions!L860+IF(Transactions!A860=2,Transactions!H860,0))*$E868)</f>
        <v>0</v>
      </c>
      <c r="G868" s="30">
        <f>IF($A868="",0,IF(Transactions!A860=2,Transactions!H860*$E868,0))</f>
        <v>0</v>
      </c>
    </row>
    <row r="869" spans="1:7" ht="15" customHeight="1" x14ac:dyDescent="0.15">
      <c r="A869" t="str">
        <f>IF(Transactions!J861="","",Transactions!J861)</f>
        <v/>
      </c>
      <c r="B869" s="297">
        <f ca="1">IF($A869="",TODAY(),Transactions!G861)</f>
        <v>46216</v>
      </c>
      <c r="C869" t="str">
        <f>IF($A869="","",Transactions!A861)</f>
        <v/>
      </c>
      <c r="D869" s="30">
        <f>IF($A869="",0,Transactions!H861)</f>
        <v>0</v>
      </c>
      <c r="E869">
        <f>IF($A869="",1,IFERROR(INDEX(Prices[FX to SGD],MATCH($A869,Prices[Key],0)),1))</f>
        <v>1</v>
      </c>
      <c r="F869" s="30">
        <f>IF($A869="",0,(Transactions!M861-Transactions!L861+IF(Transactions!A861=2,Transactions!H861,0))*$E869)</f>
        <v>0</v>
      </c>
      <c r="G869" s="30">
        <f>IF($A869="",0,IF(Transactions!A861=2,Transactions!H861*$E869,0))</f>
        <v>0</v>
      </c>
    </row>
    <row r="870" spans="1:7" ht="15" customHeight="1" x14ac:dyDescent="0.15">
      <c r="A870" t="str">
        <f>IF(Transactions!J862="","",Transactions!J862)</f>
        <v/>
      </c>
      <c r="B870" s="297">
        <f ca="1">IF($A870="",TODAY(),Transactions!G862)</f>
        <v>46216</v>
      </c>
      <c r="C870" t="str">
        <f>IF($A870="","",Transactions!A862)</f>
        <v/>
      </c>
      <c r="D870" s="30">
        <f>IF($A870="",0,Transactions!H862)</f>
        <v>0</v>
      </c>
      <c r="E870">
        <f>IF($A870="",1,IFERROR(INDEX(Prices[FX to SGD],MATCH($A870,Prices[Key],0)),1))</f>
        <v>1</v>
      </c>
      <c r="F870" s="30">
        <f>IF($A870="",0,(Transactions!M862-Transactions!L862+IF(Transactions!A862=2,Transactions!H862,0))*$E870)</f>
        <v>0</v>
      </c>
      <c r="G870" s="30">
        <f>IF($A870="",0,IF(Transactions!A862=2,Transactions!H862*$E870,0))</f>
        <v>0</v>
      </c>
    </row>
    <row r="871" spans="1:7" ht="15" customHeight="1" x14ac:dyDescent="0.15">
      <c r="A871" t="str">
        <f>IF(Transactions!J863="","",Transactions!J863)</f>
        <v/>
      </c>
      <c r="B871" s="297">
        <f ca="1">IF($A871="",TODAY(),Transactions!G863)</f>
        <v>46216</v>
      </c>
      <c r="C871" t="str">
        <f>IF($A871="","",Transactions!A863)</f>
        <v/>
      </c>
      <c r="D871" s="30">
        <f>IF($A871="",0,Transactions!H863)</f>
        <v>0</v>
      </c>
      <c r="E871">
        <f>IF($A871="",1,IFERROR(INDEX(Prices[FX to SGD],MATCH($A871,Prices[Key],0)),1))</f>
        <v>1</v>
      </c>
      <c r="F871" s="30">
        <f>IF($A871="",0,(Transactions!M863-Transactions!L863+IF(Transactions!A863=2,Transactions!H863,0))*$E871)</f>
        <v>0</v>
      </c>
      <c r="G871" s="30">
        <f>IF($A871="",0,IF(Transactions!A863=2,Transactions!H863*$E871,0))</f>
        <v>0</v>
      </c>
    </row>
    <row r="872" spans="1:7" ht="15" customHeight="1" x14ac:dyDescent="0.15">
      <c r="A872" t="str">
        <f>IF(Transactions!J864="","",Transactions!J864)</f>
        <v/>
      </c>
      <c r="B872" s="297">
        <f ca="1">IF($A872="",TODAY(),Transactions!G864)</f>
        <v>46216</v>
      </c>
      <c r="C872" t="str">
        <f>IF($A872="","",Transactions!A864)</f>
        <v/>
      </c>
      <c r="D872" s="30">
        <f>IF($A872="",0,Transactions!H864)</f>
        <v>0</v>
      </c>
      <c r="E872">
        <f>IF($A872="",1,IFERROR(INDEX(Prices[FX to SGD],MATCH($A872,Prices[Key],0)),1))</f>
        <v>1</v>
      </c>
      <c r="F872" s="30">
        <f>IF($A872="",0,(Transactions!M864-Transactions!L864+IF(Transactions!A864=2,Transactions!H864,0))*$E872)</f>
        <v>0</v>
      </c>
      <c r="G872" s="30">
        <f>IF($A872="",0,IF(Transactions!A864=2,Transactions!H864*$E872,0))</f>
        <v>0</v>
      </c>
    </row>
    <row r="873" spans="1:7" ht="15" customHeight="1" x14ac:dyDescent="0.15">
      <c r="A873" t="str">
        <f>IF(Transactions!J865="","",Transactions!J865)</f>
        <v/>
      </c>
      <c r="B873" s="297">
        <f ca="1">IF($A873="",TODAY(),Transactions!G865)</f>
        <v>46216</v>
      </c>
      <c r="C873" t="str">
        <f>IF($A873="","",Transactions!A865)</f>
        <v/>
      </c>
      <c r="D873" s="30">
        <f>IF($A873="",0,Transactions!H865)</f>
        <v>0</v>
      </c>
      <c r="E873">
        <f>IF($A873="",1,IFERROR(INDEX(Prices[FX to SGD],MATCH($A873,Prices[Key],0)),1))</f>
        <v>1</v>
      </c>
      <c r="F873" s="30">
        <f>IF($A873="",0,(Transactions!M865-Transactions!L865+IF(Transactions!A865=2,Transactions!H865,0))*$E873)</f>
        <v>0</v>
      </c>
      <c r="G873" s="30">
        <f>IF($A873="",0,IF(Transactions!A865=2,Transactions!H865*$E873,0))</f>
        <v>0</v>
      </c>
    </row>
    <row r="874" spans="1:7" ht="15" customHeight="1" x14ac:dyDescent="0.15">
      <c r="A874" t="str">
        <f>IF(Transactions!J866="","",Transactions!J866)</f>
        <v/>
      </c>
      <c r="B874" s="297">
        <f ca="1">IF($A874="",TODAY(),Transactions!G866)</f>
        <v>46216</v>
      </c>
      <c r="C874" t="str">
        <f>IF($A874="","",Transactions!A866)</f>
        <v/>
      </c>
      <c r="D874" s="30">
        <f>IF($A874="",0,Transactions!H866)</f>
        <v>0</v>
      </c>
      <c r="E874">
        <f>IF($A874="",1,IFERROR(INDEX(Prices[FX to SGD],MATCH($A874,Prices[Key],0)),1))</f>
        <v>1</v>
      </c>
      <c r="F874" s="30">
        <f>IF($A874="",0,(Transactions!M866-Transactions!L866+IF(Transactions!A866=2,Transactions!H866,0))*$E874)</f>
        <v>0</v>
      </c>
      <c r="G874" s="30">
        <f>IF($A874="",0,IF(Transactions!A866=2,Transactions!H866*$E874,0))</f>
        <v>0</v>
      </c>
    </row>
    <row r="875" spans="1:7" ht="15" customHeight="1" x14ac:dyDescent="0.15">
      <c r="A875" t="str">
        <f>IF(Transactions!J867="","",Transactions!J867)</f>
        <v/>
      </c>
      <c r="B875" s="297">
        <f ca="1">IF($A875="",TODAY(),Transactions!G867)</f>
        <v>46216</v>
      </c>
      <c r="C875" t="str">
        <f>IF($A875="","",Transactions!A867)</f>
        <v/>
      </c>
      <c r="D875" s="30">
        <f>IF($A875="",0,Transactions!H867)</f>
        <v>0</v>
      </c>
      <c r="E875">
        <f>IF($A875="",1,IFERROR(INDEX(Prices[FX to SGD],MATCH($A875,Prices[Key],0)),1))</f>
        <v>1</v>
      </c>
      <c r="F875" s="30">
        <f>IF($A875="",0,(Transactions!M867-Transactions!L867+IF(Transactions!A867=2,Transactions!H867,0))*$E875)</f>
        <v>0</v>
      </c>
      <c r="G875" s="30">
        <f>IF($A875="",0,IF(Transactions!A867=2,Transactions!H867*$E875,0))</f>
        <v>0</v>
      </c>
    </row>
    <row r="876" spans="1:7" ht="15" customHeight="1" x14ac:dyDescent="0.15">
      <c r="A876" t="str">
        <f>IF(Transactions!J868="","",Transactions!J868)</f>
        <v/>
      </c>
      <c r="B876" s="297">
        <f ca="1">IF($A876="",TODAY(),Transactions!G868)</f>
        <v>46216</v>
      </c>
      <c r="C876" t="str">
        <f>IF($A876="","",Transactions!A868)</f>
        <v/>
      </c>
      <c r="D876" s="30">
        <f>IF($A876="",0,Transactions!H868)</f>
        <v>0</v>
      </c>
      <c r="E876">
        <f>IF($A876="",1,IFERROR(INDEX(Prices[FX to SGD],MATCH($A876,Prices[Key],0)),1))</f>
        <v>1</v>
      </c>
      <c r="F876" s="30">
        <f>IF($A876="",0,(Transactions!M868-Transactions!L868+IF(Transactions!A868=2,Transactions!H868,0))*$E876)</f>
        <v>0</v>
      </c>
      <c r="G876" s="30">
        <f>IF($A876="",0,IF(Transactions!A868=2,Transactions!H868*$E876,0))</f>
        <v>0</v>
      </c>
    </row>
    <row r="877" spans="1:7" ht="15" customHeight="1" x14ac:dyDescent="0.15">
      <c r="A877" t="str">
        <f>IF(Transactions!J869="","",Transactions!J869)</f>
        <v/>
      </c>
      <c r="B877" s="297">
        <f ca="1">IF($A877="",TODAY(),Transactions!G869)</f>
        <v>46216</v>
      </c>
      <c r="C877" t="str">
        <f>IF($A877="","",Transactions!A869)</f>
        <v/>
      </c>
      <c r="D877" s="30">
        <f>IF($A877="",0,Transactions!H869)</f>
        <v>0</v>
      </c>
      <c r="E877">
        <f>IF($A877="",1,IFERROR(INDEX(Prices[FX to SGD],MATCH($A877,Prices[Key],0)),1))</f>
        <v>1</v>
      </c>
      <c r="F877" s="30">
        <f>IF($A877="",0,(Transactions!M869-Transactions!L869+IF(Transactions!A869=2,Transactions!H869,0))*$E877)</f>
        <v>0</v>
      </c>
      <c r="G877" s="30">
        <f>IF($A877="",0,IF(Transactions!A869=2,Transactions!H869*$E877,0))</f>
        <v>0</v>
      </c>
    </row>
    <row r="878" spans="1:7" ht="15" customHeight="1" x14ac:dyDescent="0.15">
      <c r="A878" t="str">
        <f>IF(Transactions!J870="","",Transactions!J870)</f>
        <v/>
      </c>
      <c r="B878" s="297">
        <f ca="1">IF($A878="",TODAY(),Transactions!G870)</f>
        <v>46216</v>
      </c>
      <c r="C878" t="str">
        <f>IF($A878="","",Transactions!A870)</f>
        <v/>
      </c>
      <c r="D878" s="30">
        <f>IF($A878="",0,Transactions!H870)</f>
        <v>0</v>
      </c>
      <c r="E878">
        <f>IF($A878="",1,IFERROR(INDEX(Prices[FX to SGD],MATCH($A878,Prices[Key],0)),1))</f>
        <v>1</v>
      </c>
      <c r="F878" s="30">
        <f>IF($A878="",0,(Transactions!M870-Transactions!L870+IF(Transactions!A870=2,Transactions!H870,0))*$E878)</f>
        <v>0</v>
      </c>
      <c r="G878" s="30">
        <f>IF($A878="",0,IF(Transactions!A870=2,Transactions!H870*$E878,0))</f>
        <v>0</v>
      </c>
    </row>
    <row r="879" spans="1:7" ht="15" customHeight="1" x14ac:dyDescent="0.15">
      <c r="A879" t="str">
        <f>IF(Transactions!J871="","",Transactions!J871)</f>
        <v/>
      </c>
      <c r="B879" s="297">
        <f ca="1">IF($A879="",TODAY(),Transactions!G871)</f>
        <v>46216</v>
      </c>
      <c r="C879" t="str">
        <f>IF($A879="","",Transactions!A871)</f>
        <v/>
      </c>
      <c r="D879" s="30">
        <f>IF($A879="",0,Transactions!H871)</f>
        <v>0</v>
      </c>
      <c r="E879">
        <f>IF($A879="",1,IFERROR(INDEX(Prices[FX to SGD],MATCH($A879,Prices[Key],0)),1))</f>
        <v>1</v>
      </c>
      <c r="F879" s="30">
        <f>IF($A879="",0,(Transactions!M871-Transactions!L871+IF(Transactions!A871=2,Transactions!H871,0))*$E879)</f>
        <v>0</v>
      </c>
      <c r="G879" s="30">
        <f>IF($A879="",0,IF(Transactions!A871=2,Transactions!H871*$E879,0))</f>
        <v>0</v>
      </c>
    </row>
    <row r="880" spans="1:7" ht="15" customHeight="1" x14ac:dyDescent="0.15">
      <c r="A880" t="str">
        <f>IF(Transactions!J872="","",Transactions!J872)</f>
        <v/>
      </c>
      <c r="B880" s="297">
        <f ca="1">IF($A880="",TODAY(),Transactions!G872)</f>
        <v>46216</v>
      </c>
      <c r="C880" t="str">
        <f>IF($A880="","",Transactions!A872)</f>
        <v/>
      </c>
      <c r="D880" s="30">
        <f>IF($A880="",0,Transactions!H872)</f>
        <v>0</v>
      </c>
      <c r="E880">
        <f>IF($A880="",1,IFERROR(INDEX(Prices[FX to SGD],MATCH($A880,Prices[Key],0)),1))</f>
        <v>1</v>
      </c>
      <c r="F880" s="30">
        <f>IF($A880="",0,(Transactions!M872-Transactions!L872+IF(Transactions!A872=2,Transactions!H872,0))*$E880)</f>
        <v>0</v>
      </c>
      <c r="G880" s="30">
        <f>IF($A880="",0,IF(Transactions!A872=2,Transactions!H872*$E880,0))</f>
        <v>0</v>
      </c>
    </row>
    <row r="881" spans="1:7" ht="15" customHeight="1" x14ac:dyDescent="0.15">
      <c r="A881" t="str">
        <f>IF(Transactions!J873="","",Transactions!J873)</f>
        <v/>
      </c>
      <c r="B881" s="297">
        <f ca="1">IF($A881="",TODAY(),Transactions!G873)</f>
        <v>46216</v>
      </c>
      <c r="C881" t="str">
        <f>IF($A881="","",Transactions!A873)</f>
        <v/>
      </c>
      <c r="D881" s="30">
        <f>IF($A881="",0,Transactions!H873)</f>
        <v>0</v>
      </c>
      <c r="E881">
        <f>IF($A881="",1,IFERROR(INDEX(Prices[FX to SGD],MATCH($A881,Prices[Key],0)),1))</f>
        <v>1</v>
      </c>
      <c r="F881" s="30">
        <f>IF($A881="",0,(Transactions!M873-Transactions!L873+IF(Transactions!A873=2,Transactions!H873,0))*$E881)</f>
        <v>0</v>
      </c>
      <c r="G881" s="30">
        <f>IF($A881="",0,IF(Transactions!A873=2,Transactions!H873*$E881,0))</f>
        <v>0</v>
      </c>
    </row>
    <row r="882" spans="1:7" ht="15" customHeight="1" x14ac:dyDescent="0.15">
      <c r="A882" t="str">
        <f>IF(Transactions!J874="","",Transactions!J874)</f>
        <v/>
      </c>
      <c r="B882" s="297">
        <f ca="1">IF($A882="",TODAY(),Transactions!G874)</f>
        <v>46216</v>
      </c>
      <c r="C882" t="str">
        <f>IF($A882="","",Transactions!A874)</f>
        <v/>
      </c>
      <c r="D882" s="30">
        <f>IF($A882="",0,Transactions!H874)</f>
        <v>0</v>
      </c>
      <c r="E882">
        <f>IF($A882="",1,IFERROR(INDEX(Prices[FX to SGD],MATCH($A882,Prices[Key],0)),1))</f>
        <v>1</v>
      </c>
      <c r="F882" s="30">
        <f>IF($A882="",0,(Transactions!M874-Transactions!L874+IF(Transactions!A874=2,Transactions!H874,0))*$E882)</f>
        <v>0</v>
      </c>
      <c r="G882" s="30">
        <f>IF($A882="",0,IF(Transactions!A874=2,Transactions!H874*$E882,0))</f>
        <v>0</v>
      </c>
    </row>
    <row r="883" spans="1:7" ht="15" customHeight="1" x14ac:dyDescent="0.15">
      <c r="A883" t="str">
        <f>IF(Transactions!J875="","",Transactions!J875)</f>
        <v/>
      </c>
      <c r="B883" s="297">
        <f ca="1">IF($A883="",TODAY(),Transactions!G875)</f>
        <v>46216</v>
      </c>
      <c r="C883" t="str">
        <f>IF($A883="","",Transactions!A875)</f>
        <v/>
      </c>
      <c r="D883" s="30">
        <f>IF($A883="",0,Transactions!H875)</f>
        <v>0</v>
      </c>
      <c r="E883">
        <f>IF($A883="",1,IFERROR(INDEX(Prices[FX to SGD],MATCH($A883,Prices[Key],0)),1))</f>
        <v>1</v>
      </c>
      <c r="F883" s="30">
        <f>IF($A883="",0,(Transactions!M875-Transactions!L875+IF(Transactions!A875=2,Transactions!H875,0))*$E883)</f>
        <v>0</v>
      </c>
      <c r="G883" s="30">
        <f>IF($A883="",0,IF(Transactions!A875=2,Transactions!H875*$E883,0))</f>
        <v>0</v>
      </c>
    </row>
    <row r="884" spans="1:7" ht="15" customHeight="1" x14ac:dyDescent="0.15">
      <c r="A884" t="str">
        <f>IF(Transactions!J876="","",Transactions!J876)</f>
        <v/>
      </c>
      <c r="B884" s="297">
        <f ca="1">IF($A884="",TODAY(),Transactions!G876)</f>
        <v>46216</v>
      </c>
      <c r="C884" t="str">
        <f>IF($A884="","",Transactions!A876)</f>
        <v/>
      </c>
      <c r="D884" s="30">
        <f>IF($A884="",0,Transactions!H876)</f>
        <v>0</v>
      </c>
      <c r="E884">
        <f>IF($A884="",1,IFERROR(INDEX(Prices[FX to SGD],MATCH($A884,Prices[Key],0)),1))</f>
        <v>1</v>
      </c>
      <c r="F884" s="30">
        <f>IF($A884="",0,(Transactions!M876-Transactions!L876+IF(Transactions!A876=2,Transactions!H876,0))*$E884)</f>
        <v>0</v>
      </c>
      <c r="G884" s="30">
        <f>IF($A884="",0,IF(Transactions!A876=2,Transactions!H876*$E884,0))</f>
        <v>0</v>
      </c>
    </row>
    <row r="885" spans="1:7" ht="15" customHeight="1" x14ac:dyDescent="0.15">
      <c r="A885" t="str">
        <f>IF(Transactions!J877="","",Transactions!J877)</f>
        <v/>
      </c>
      <c r="B885" s="297">
        <f ca="1">IF($A885="",TODAY(),Transactions!G877)</f>
        <v>46216</v>
      </c>
      <c r="C885" t="str">
        <f>IF($A885="","",Transactions!A877)</f>
        <v/>
      </c>
      <c r="D885" s="30">
        <f>IF($A885="",0,Transactions!H877)</f>
        <v>0</v>
      </c>
      <c r="E885">
        <f>IF($A885="",1,IFERROR(INDEX(Prices[FX to SGD],MATCH($A885,Prices[Key],0)),1))</f>
        <v>1</v>
      </c>
      <c r="F885" s="30">
        <f>IF($A885="",0,(Transactions!M877-Transactions!L877+IF(Transactions!A877=2,Transactions!H877,0))*$E885)</f>
        <v>0</v>
      </c>
      <c r="G885" s="30">
        <f>IF($A885="",0,IF(Transactions!A877=2,Transactions!H877*$E885,0))</f>
        <v>0</v>
      </c>
    </row>
    <row r="886" spans="1:7" ht="15" customHeight="1" x14ac:dyDescent="0.15">
      <c r="A886" t="str">
        <f>IF(Transactions!J878="","",Transactions!J878)</f>
        <v/>
      </c>
      <c r="B886" s="297">
        <f ca="1">IF($A886="",TODAY(),Transactions!G878)</f>
        <v>46216</v>
      </c>
      <c r="C886" t="str">
        <f>IF($A886="","",Transactions!A878)</f>
        <v/>
      </c>
      <c r="D886" s="30">
        <f>IF($A886="",0,Transactions!H878)</f>
        <v>0</v>
      </c>
      <c r="E886">
        <f>IF($A886="",1,IFERROR(INDEX(Prices[FX to SGD],MATCH($A886,Prices[Key],0)),1))</f>
        <v>1</v>
      </c>
      <c r="F886" s="30">
        <f>IF($A886="",0,(Transactions!M878-Transactions!L878+IF(Transactions!A878=2,Transactions!H878,0))*$E886)</f>
        <v>0</v>
      </c>
      <c r="G886" s="30">
        <f>IF($A886="",0,IF(Transactions!A878=2,Transactions!H878*$E886,0))</f>
        <v>0</v>
      </c>
    </row>
    <row r="887" spans="1:7" ht="15" customHeight="1" x14ac:dyDescent="0.15">
      <c r="A887" t="str">
        <f>IF(Transactions!J879="","",Transactions!J879)</f>
        <v/>
      </c>
      <c r="B887" s="297">
        <f ca="1">IF($A887="",TODAY(),Transactions!G879)</f>
        <v>46216</v>
      </c>
      <c r="C887" t="str">
        <f>IF($A887="","",Transactions!A879)</f>
        <v/>
      </c>
      <c r="D887" s="30">
        <f>IF($A887="",0,Transactions!H879)</f>
        <v>0</v>
      </c>
      <c r="E887">
        <f>IF($A887="",1,IFERROR(INDEX(Prices[FX to SGD],MATCH($A887,Prices[Key],0)),1))</f>
        <v>1</v>
      </c>
      <c r="F887" s="30">
        <f>IF($A887="",0,(Transactions!M879-Transactions!L879+IF(Transactions!A879=2,Transactions!H879,0))*$E887)</f>
        <v>0</v>
      </c>
      <c r="G887" s="30">
        <f>IF($A887="",0,IF(Transactions!A879=2,Transactions!H879*$E887,0))</f>
        <v>0</v>
      </c>
    </row>
    <row r="888" spans="1:7" ht="15" customHeight="1" x14ac:dyDescent="0.15">
      <c r="A888" t="str">
        <f>IF(Transactions!J880="","",Transactions!J880)</f>
        <v/>
      </c>
      <c r="B888" s="297">
        <f ca="1">IF($A888="",TODAY(),Transactions!G880)</f>
        <v>46216</v>
      </c>
      <c r="C888" t="str">
        <f>IF($A888="","",Transactions!A880)</f>
        <v/>
      </c>
      <c r="D888" s="30">
        <f>IF($A888="",0,Transactions!H880)</f>
        <v>0</v>
      </c>
      <c r="E888">
        <f>IF($A888="",1,IFERROR(INDEX(Prices[FX to SGD],MATCH($A888,Prices[Key],0)),1))</f>
        <v>1</v>
      </c>
      <c r="F888" s="30">
        <f>IF($A888="",0,(Transactions!M880-Transactions!L880+IF(Transactions!A880=2,Transactions!H880,0))*$E888)</f>
        <v>0</v>
      </c>
      <c r="G888" s="30">
        <f>IF($A888="",0,IF(Transactions!A880=2,Transactions!H880*$E888,0))</f>
        <v>0</v>
      </c>
    </row>
    <row r="889" spans="1:7" ht="15" customHeight="1" x14ac:dyDescent="0.15">
      <c r="A889" t="str">
        <f>IF(Transactions!J881="","",Transactions!J881)</f>
        <v/>
      </c>
      <c r="B889" s="297">
        <f ca="1">IF($A889="",TODAY(),Transactions!G881)</f>
        <v>46216</v>
      </c>
      <c r="C889" t="str">
        <f>IF($A889="","",Transactions!A881)</f>
        <v/>
      </c>
      <c r="D889" s="30">
        <f>IF($A889="",0,Transactions!H881)</f>
        <v>0</v>
      </c>
      <c r="E889">
        <f>IF($A889="",1,IFERROR(INDEX(Prices[FX to SGD],MATCH($A889,Prices[Key],0)),1))</f>
        <v>1</v>
      </c>
      <c r="F889" s="30">
        <f>IF($A889="",0,(Transactions!M881-Transactions!L881+IF(Transactions!A881=2,Transactions!H881,0))*$E889)</f>
        <v>0</v>
      </c>
      <c r="G889" s="30">
        <f>IF($A889="",0,IF(Transactions!A881=2,Transactions!H881*$E889,0))</f>
        <v>0</v>
      </c>
    </row>
    <row r="890" spans="1:7" ht="15" customHeight="1" x14ac:dyDescent="0.15">
      <c r="A890" t="str">
        <f>IF(Transactions!J882="","",Transactions!J882)</f>
        <v/>
      </c>
      <c r="B890" s="297">
        <f ca="1">IF($A890="",TODAY(),Transactions!G882)</f>
        <v>46216</v>
      </c>
      <c r="C890" t="str">
        <f>IF($A890="","",Transactions!A882)</f>
        <v/>
      </c>
      <c r="D890" s="30">
        <f>IF($A890="",0,Transactions!H882)</f>
        <v>0</v>
      </c>
      <c r="E890">
        <f>IF($A890="",1,IFERROR(INDEX(Prices[FX to SGD],MATCH($A890,Prices[Key],0)),1))</f>
        <v>1</v>
      </c>
      <c r="F890" s="30">
        <f>IF($A890="",0,(Transactions!M882-Transactions!L882+IF(Transactions!A882=2,Transactions!H882,0))*$E890)</f>
        <v>0</v>
      </c>
      <c r="G890" s="30">
        <f>IF($A890="",0,IF(Transactions!A882=2,Transactions!H882*$E890,0))</f>
        <v>0</v>
      </c>
    </row>
    <row r="891" spans="1:7" ht="15" customHeight="1" x14ac:dyDescent="0.15">
      <c r="A891" t="str">
        <f>IF(Transactions!J883="","",Transactions!J883)</f>
        <v/>
      </c>
      <c r="B891" s="297">
        <f ca="1">IF($A891="",TODAY(),Transactions!G883)</f>
        <v>46216</v>
      </c>
      <c r="C891" t="str">
        <f>IF($A891="","",Transactions!A883)</f>
        <v/>
      </c>
      <c r="D891" s="30">
        <f>IF($A891="",0,Transactions!H883)</f>
        <v>0</v>
      </c>
      <c r="E891">
        <f>IF($A891="",1,IFERROR(INDEX(Prices[FX to SGD],MATCH($A891,Prices[Key],0)),1))</f>
        <v>1</v>
      </c>
      <c r="F891" s="30">
        <f>IF($A891="",0,(Transactions!M883-Transactions!L883+IF(Transactions!A883=2,Transactions!H883,0))*$E891)</f>
        <v>0</v>
      </c>
      <c r="G891" s="30">
        <f>IF($A891="",0,IF(Transactions!A883=2,Transactions!H883*$E891,0))</f>
        <v>0</v>
      </c>
    </row>
    <row r="892" spans="1:7" ht="15" customHeight="1" x14ac:dyDescent="0.15">
      <c r="A892" t="str">
        <f>IF(Transactions!J884="","",Transactions!J884)</f>
        <v/>
      </c>
      <c r="B892" s="297">
        <f ca="1">IF($A892="",TODAY(),Transactions!G884)</f>
        <v>46216</v>
      </c>
      <c r="C892" t="str">
        <f>IF($A892="","",Transactions!A884)</f>
        <v/>
      </c>
      <c r="D892" s="30">
        <f>IF($A892="",0,Transactions!H884)</f>
        <v>0</v>
      </c>
      <c r="E892">
        <f>IF($A892="",1,IFERROR(INDEX(Prices[FX to SGD],MATCH($A892,Prices[Key],0)),1))</f>
        <v>1</v>
      </c>
      <c r="F892" s="30">
        <f>IF($A892="",0,(Transactions!M884-Transactions!L884+IF(Transactions!A884=2,Transactions!H884,0))*$E892)</f>
        <v>0</v>
      </c>
      <c r="G892" s="30">
        <f>IF($A892="",0,IF(Transactions!A884=2,Transactions!H884*$E892,0))</f>
        <v>0</v>
      </c>
    </row>
    <row r="893" spans="1:7" ht="15" customHeight="1" x14ac:dyDescent="0.15">
      <c r="A893" t="str">
        <f>IF(Transactions!J885="","",Transactions!J885)</f>
        <v/>
      </c>
      <c r="B893" s="297">
        <f ca="1">IF($A893="",TODAY(),Transactions!G885)</f>
        <v>46216</v>
      </c>
      <c r="C893" t="str">
        <f>IF($A893="","",Transactions!A885)</f>
        <v/>
      </c>
      <c r="D893" s="30">
        <f>IF($A893="",0,Transactions!H885)</f>
        <v>0</v>
      </c>
      <c r="E893">
        <f>IF($A893="",1,IFERROR(INDEX(Prices[FX to SGD],MATCH($A893,Prices[Key],0)),1))</f>
        <v>1</v>
      </c>
      <c r="F893" s="30">
        <f>IF($A893="",0,(Transactions!M885-Transactions!L885+IF(Transactions!A885=2,Transactions!H885,0))*$E893)</f>
        <v>0</v>
      </c>
      <c r="G893" s="30">
        <f>IF($A893="",0,IF(Transactions!A885=2,Transactions!H885*$E893,0))</f>
        <v>0</v>
      </c>
    </row>
    <row r="894" spans="1:7" ht="15" customHeight="1" x14ac:dyDescent="0.15">
      <c r="A894" t="str">
        <f>IF(Transactions!J886="","",Transactions!J886)</f>
        <v/>
      </c>
      <c r="B894" s="297">
        <f ca="1">IF($A894="",TODAY(),Transactions!G886)</f>
        <v>46216</v>
      </c>
      <c r="C894" t="str">
        <f>IF($A894="","",Transactions!A886)</f>
        <v/>
      </c>
      <c r="D894" s="30">
        <f>IF($A894="",0,Transactions!H886)</f>
        <v>0</v>
      </c>
      <c r="E894">
        <f>IF($A894="",1,IFERROR(INDEX(Prices[FX to SGD],MATCH($A894,Prices[Key],0)),1))</f>
        <v>1</v>
      </c>
      <c r="F894" s="30">
        <f>IF($A894="",0,(Transactions!M886-Transactions!L886+IF(Transactions!A886=2,Transactions!H886,0))*$E894)</f>
        <v>0</v>
      </c>
      <c r="G894" s="30">
        <f>IF($A894="",0,IF(Transactions!A886=2,Transactions!H886*$E894,0))</f>
        <v>0</v>
      </c>
    </row>
    <row r="895" spans="1:7" ht="15" customHeight="1" x14ac:dyDescent="0.15">
      <c r="A895" t="str">
        <f>IF(Transactions!J887="","",Transactions!J887)</f>
        <v/>
      </c>
      <c r="B895" s="297">
        <f ca="1">IF($A895="",TODAY(),Transactions!G887)</f>
        <v>46216</v>
      </c>
      <c r="C895" t="str">
        <f>IF($A895="","",Transactions!A887)</f>
        <v/>
      </c>
      <c r="D895" s="30">
        <f>IF($A895="",0,Transactions!H887)</f>
        <v>0</v>
      </c>
      <c r="E895">
        <f>IF($A895="",1,IFERROR(INDEX(Prices[FX to SGD],MATCH($A895,Prices[Key],0)),1))</f>
        <v>1</v>
      </c>
      <c r="F895" s="30">
        <f>IF($A895="",0,(Transactions!M887-Transactions!L887+IF(Transactions!A887=2,Transactions!H887,0))*$E895)</f>
        <v>0</v>
      </c>
      <c r="G895" s="30">
        <f>IF($A895="",0,IF(Transactions!A887=2,Transactions!H887*$E895,0))</f>
        <v>0</v>
      </c>
    </row>
    <row r="896" spans="1:7" ht="15" customHeight="1" x14ac:dyDescent="0.15">
      <c r="A896" t="str">
        <f>IF(Transactions!J888="","",Transactions!J888)</f>
        <v/>
      </c>
      <c r="B896" s="297">
        <f ca="1">IF($A896="",TODAY(),Transactions!G888)</f>
        <v>46216</v>
      </c>
      <c r="C896" t="str">
        <f>IF($A896="","",Transactions!A888)</f>
        <v/>
      </c>
      <c r="D896" s="30">
        <f>IF($A896="",0,Transactions!H888)</f>
        <v>0</v>
      </c>
      <c r="E896">
        <f>IF($A896="",1,IFERROR(INDEX(Prices[FX to SGD],MATCH($A896,Prices[Key],0)),1))</f>
        <v>1</v>
      </c>
      <c r="F896" s="30">
        <f>IF($A896="",0,(Transactions!M888-Transactions!L888+IF(Transactions!A888=2,Transactions!H888,0))*$E896)</f>
        <v>0</v>
      </c>
      <c r="G896" s="30">
        <f>IF($A896="",0,IF(Transactions!A888=2,Transactions!H888*$E896,0))</f>
        <v>0</v>
      </c>
    </row>
    <row r="897" spans="1:7" ht="15" customHeight="1" x14ac:dyDescent="0.15">
      <c r="A897" t="str">
        <f>IF(Transactions!J889="","",Transactions!J889)</f>
        <v/>
      </c>
      <c r="B897" s="297">
        <f ca="1">IF($A897="",TODAY(),Transactions!G889)</f>
        <v>46216</v>
      </c>
      <c r="C897" t="str">
        <f>IF($A897="","",Transactions!A889)</f>
        <v/>
      </c>
      <c r="D897" s="30">
        <f>IF($A897="",0,Transactions!H889)</f>
        <v>0</v>
      </c>
      <c r="E897">
        <f>IF($A897="",1,IFERROR(INDEX(Prices[FX to SGD],MATCH($A897,Prices[Key],0)),1))</f>
        <v>1</v>
      </c>
      <c r="F897" s="30">
        <f>IF($A897="",0,(Transactions!M889-Transactions!L889+IF(Transactions!A889=2,Transactions!H889,0))*$E897)</f>
        <v>0</v>
      </c>
      <c r="G897" s="30">
        <f>IF($A897="",0,IF(Transactions!A889=2,Transactions!H889*$E897,0))</f>
        <v>0</v>
      </c>
    </row>
    <row r="898" spans="1:7" ht="15" customHeight="1" x14ac:dyDescent="0.15">
      <c r="A898" t="str">
        <f>IF(Transactions!J890="","",Transactions!J890)</f>
        <v/>
      </c>
      <c r="B898" s="297">
        <f ca="1">IF($A898="",TODAY(),Transactions!G890)</f>
        <v>46216</v>
      </c>
      <c r="C898" t="str">
        <f>IF($A898="","",Transactions!A890)</f>
        <v/>
      </c>
      <c r="D898" s="30">
        <f>IF($A898="",0,Transactions!H890)</f>
        <v>0</v>
      </c>
      <c r="E898">
        <f>IF($A898="",1,IFERROR(INDEX(Prices[FX to SGD],MATCH($A898,Prices[Key],0)),1))</f>
        <v>1</v>
      </c>
      <c r="F898" s="30">
        <f>IF($A898="",0,(Transactions!M890-Transactions!L890+IF(Transactions!A890=2,Transactions!H890,0))*$E898)</f>
        <v>0</v>
      </c>
      <c r="G898" s="30">
        <f>IF($A898="",0,IF(Transactions!A890=2,Transactions!H890*$E898,0))</f>
        <v>0</v>
      </c>
    </row>
    <row r="899" spans="1:7" ht="15" customHeight="1" x14ac:dyDescent="0.15">
      <c r="A899" t="str">
        <f>IF(Transactions!J891="","",Transactions!J891)</f>
        <v/>
      </c>
      <c r="B899" s="297">
        <f ca="1">IF($A899="",TODAY(),Transactions!G891)</f>
        <v>46216</v>
      </c>
      <c r="C899" t="str">
        <f>IF($A899="","",Transactions!A891)</f>
        <v/>
      </c>
      <c r="D899" s="30">
        <f>IF($A899="",0,Transactions!H891)</f>
        <v>0</v>
      </c>
      <c r="E899">
        <f>IF($A899="",1,IFERROR(INDEX(Prices[FX to SGD],MATCH($A899,Prices[Key],0)),1))</f>
        <v>1</v>
      </c>
      <c r="F899" s="30">
        <f>IF($A899="",0,(Transactions!M891-Transactions!L891+IF(Transactions!A891=2,Transactions!H891,0))*$E899)</f>
        <v>0</v>
      </c>
      <c r="G899" s="30">
        <f>IF($A899="",0,IF(Transactions!A891=2,Transactions!H891*$E899,0))</f>
        <v>0</v>
      </c>
    </row>
    <row r="900" spans="1:7" ht="15" customHeight="1" x14ac:dyDescent="0.15">
      <c r="A900" t="str">
        <f>IF(Transactions!J892="","",Transactions!J892)</f>
        <v/>
      </c>
      <c r="B900" s="297">
        <f ca="1">IF($A900="",TODAY(),Transactions!G892)</f>
        <v>46216</v>
      </c>
      <c r="C900" t="str">
        <f>IF($A900="","",Transactions!A892)</f>
        <v/>
      </c>
      <c r="D900" s="30">
        <f>IF($A900="",0,Transactions!H892)</f>
        <v>0</v>
      </c>
      <c r="E900">
        <f>IF($A900="",1,IFERROR(INDEX(Prices[FX to SGD],MATCH($A900,Prices[Key],0)),1))</f>
        <v>1</v>
      </c>
      <c r="F900" s="30">
        <f>IF($A900="",0,(Transactions!M892-Transactions!L892+IF(Transactions!A892=2,Transactions!H892,0))*$E900)</f>
        <v>0</v>
      </c>
      <c r="G900" s="30">
        <f>IF($A900="",0,IF(Transactions!A892=2,Transactions!H892*$E900,0))</f>
        <v>0</v>
      </c>
    </row>
    <row r="901" spans="1:7" ht="15" customHeight="1" x14ac:dyDescent="0.15">
      <c r="A901" t="str">
        <f>IF(Transactions!J893="","",Transactions!J893)</f>
        <v/>
      </c>
      <c r="B901" s="297">
        <f ca="1">IF($A901="",TODAY(),Transactions!G893)</f>
        <v>46216</v>
      </c>
      <c r="C901" t="str">
        <f>IF($A901="","",Transactions!A893)</f>
        <v/>
      </c>
      <c r="D901" s="30">
        <f>IF($A901="",0,Transactions!H893)</f>
        <v>0</v>
      </c>
      <c r="E901">
        <f>IF($A901="",1,IFERROR(INDEX(Prices[FX to SGD],MATCH($A901,Prices[Key],0)),1))</f>
        <v>1</v>
      </c>
      <c r="F901" s="30">
        <f>IF($A901="",0,(Transactions!M893-Transactions!L893+IF(Transactions!A893=2,Transactions!H893,0))*$E901)</f>
        <v>0</v>
      </c>
      <c r="G901" s="30">
        <f>IF($A901="",0,IF(Transactions!A893=2,Transactions!H893*$E901,0))</f>
        <v>0</v>
      </c>
    </row>
    <row r="902" spans="1:7" ht="15" customHeight="1" x14ac:dyDescent="0.15">
      <c r="A902" t="str">
        <f>IF(Transactions!J894="","",Transactions!J894)</f>
        <v/>
      </c>
      <c r="B902" s="297">
        <f ca="1">IF($A902="",TODAY(),Transactions!G894)</f>
        <v>46216</v>
      </c>
      <c r="C902" t="str">
        <f>IF($A902="","",Transactions!A894)</f>
        <v/>
      </c>
      <c r="D902" s="30">
        <f>IF($A902="",0,Transactions!H894)</f>
        <v>0</v>
      </c>
      <c r="E902">
        <f>IF($A902="",1,IFERROR(INDEX(Prices[FX to SGD],MATCH($A902,Prices[Key],0)),1))</f>
        <v>1</v>
      </c>
      <c r="F902" s="30">
        <f>IF($A902="",0,(Transactions!M894-Transactions!L894+IF(Transactions!A894=2,Transactions!H894,0))*$E902)</f>
        <v>0</v>
      </c>
      <c r="G902" s="30">
        <f>IF($A902="",0,IF(Transactions!A894=2,Transactions!H894*$E902,0))</f>
        <v>0</v>
      </c>
    </row>
    <row r="903" spans="1:7" ht="15" customHeight="1" x14ac:dyDescent="0.15">
      <c r="A903" t="str">
        <f>IF(Transactions!J895="","",Transactions!J895)</f>
        <v/>
      </c>
      <c r="B903" s="297">
        <f ca="1">IF($A903="",TODAY(),Transactions!G895)</f>
        <v>46216</v>
      </c>
      <c r="C903" t="str">
        <f>IF($A903="","",Transactions!A895)</f>
        <v/>
      </c>
      <c r="D903" s="30">
        <f>IF($A903="",0,Transactions!H895)</f>
        <v>0</v>
      </c>
      <c r="E903">
        <f>IF($A903="",1,IFERROR(INDEX(Prices[FX to SGD],MATCH($A903,Prices[Key],0)),1))</f>
        <v>1</v>
      </c>
      <c r="F903" s="30">
        <f>IF($A903="",0,(Transactions!M895-Transactions!L895+IF(Transactions!A895=2,Transactions!H895,0))*$E903)</f>
        <v>0</v>
      </c>
      <c r="G903" s="30">
        <f>IF($A903="",0,IF(Transactions!A895=2,Transactions!H895*$E903,0))</f>
        <v>0</v>
      </c>
    </row>
    <row r="904" spans="1:7" ht="15" customHeight="1" x14ac:dyDescent="0.15">
      <c r="A904" t="str">
        <f>IF(Transactions!J896="","",Transactions!J896)</f>
        <v/>
      </c>
      <c r="B904" s="297">
        <f ca="1">IF($A904="",TODAY(),Transactions!G896)</f>
        <v>46216</v>
      </c>
      <c r="C904" t="str">
        <f>IF($A904="","",Transactions!A896)</f>
        <v/>
      </c>
      <c r="D904" s="30">
        <f>IF($A904="",0,Transactions!H896)</f>
        <v>0</v>
      </c>
      <c r="E904">
        <f>IF($A904="",1,IFERROR(INDEX(Prices[FX to SGD],MATCH($A904,Prices[Key],0)),1))</f>
        <v>1</v>
      </c>
      <c r="F904" s="30">
        <f>IF($A904="",0,(Transactions!M896-Transactions!L896+IF(Transactions!A896=2,Transactions!H896,0))*$E904)</f>
        <v>0</v>
      </c>
      <c r="G904" s="30">
        <f>IF($A904="",0,IF(Transactions!A896=2,Transactions!H896*$E904,0))</f>
        <v>0</v>
      </c>
    </row>
    <row r="905" spans="1:7" ht="15" customHeight="1" x14ac:dyDescent="0.15">
      <c r="A905" t="str">
        <f>IF(Transactions!J897="","",Transactions!J897)</f>
        <v/>
      </c>
      <c r="B905" s="297">
        <f ca="1">IF($A905="",TODAY(),Transactions!G897)</f>
        <v>46216</v>
      </c>
      <c r="C905" t="str">
        <f>IF($A905="","",Transactions!A897)</f>
        <v/>
      </c>
      <c r="D905" s="30">
        <f>IF($A905="",0,Transactions!H897)</f>
        <v>0</v>
      </c>
      <c r="E905">
        <f>IF($A905="",1,IFERROR(INDEX(Prices[FX to SGD],MATCH($A905,Prices[Key],0)),1))</f>
        <v>1</v>
      </c>
      <c r="F905" s="30">
        <f>IF($A905="",0,(Transactions!M897-Transactions!L897+IF(Transactions!A897=2,Transactions!H897,0))*$E905)</f>
        <v>0</v>
      </c>
      <c r="G905" s="30">
        <f>IF($A905="",0,IF(Transactions!A897=2,Transactions!H897*$E905,0))</f>
        <v>0</v>
      </c>
    </row>
    <row r="906" spans="1:7" ht="15" customHeight="1" x14ac:dyDescent="0.15">
      <c r="A906" t="str">
        <f>IF(Transactions!J898="","",Transactions!J898)</f>
        <v/>
      </c>
      <c r="B906" s="297">
        <f ca="1">IF($A906="",TODAY(),Transactions!G898)</f>
        <v>46216</v>
      </c>
      <c r="C906" t="str">
        <f>IF($A906="","",Transactions!A898)</f>
        <v/>
      </c>
      <c r="D906" s="30">
        <f>IF($A906="",0,Transactions!H898)</f>
        <v>0</v>
      </c>
      <c r="E906">
        <f>IF($A906="",1,IFERROR(INDEX(Prices[FX to SGD],MATCH($A906,Prices[Key],0)),1))</f>
        <v>1</v>
      </c>
      <c r="F906" s="30">
        <f>IF($A906="",0,(Transactions!M898-Transactions!L898+IF(Transactions!A898=2,Transactions!H898,0))*$E906)</f>
        <v>0</v>
      </c>
      <c r="G906" s="30">
        <f>IF($A906="",0,IF(Transactions!A898=2,Transactions!H898*$E906,0))</f>
        <v>0</v>
      </c>
    </row>
    <row r="907" spans="1:7" ht="15" customHeight="1" x14ac:dyDescent="0.15">
      <c r="A907" t="str">
        <f>IF(Transactions!J899="","",Transactions!J899)</f>
        <v/>
      </c>
      <c r="B907" s="297">
        <f ca="1">IF($A907="",TODAY(),Transactions!G899)</f>
        <v>46216</v>
      </c>
      <c r="C907" t="str">
        <f>IF($A907="","",Transactions!A899)</f>
        <v/>
      </c>
      <c r="D907" s="30">
        <f>IF($A907="",0,Transactions!H899)</f>
        <v>0</v>
      </c>
      <c r="E907">
        <f>IF($A907="",1,IFERROR(INDEX(Prices[FX to SGD],MATCH($A907,Prices[Key],0)),1))</f>
        <v>1</v>
      </c>
      <c r="F907" s="30">
        <f>IF($A907="",0,(Transactions!M899-Transactions!L899+IF(Transactions!A899=2,Transactions!H899,0))*$E907)</f>
        <v>0</v>
      </c>
      <c r="G907" s="30">
        <f>IF($A907="",0,IF(Transactions!A899=2,Transactions!H899*$E907,0))</f>
        <v>0</v>
      </c>
    </row>
    <row r="908" spans="1:7" ht="15" customHeight="1" x14ac:dyDescent="0.15">
      <c r="A908" t="str">
        <f>IF(Transactions!J900="","",Transactions!J900)</f>
        <v/>
      </c>
      <c r="B908" s="297">
        <f ca="1">IF($A908="",TODAY(),Transactions!G900)</f>
        <v>46216</v>
      </c>
      <c r="C908" t="str">
        <f>IF($A908="","",Transactions!A900)</f>
        <v/>
      </c>
      <c r="D908" s="30">
        <f>IF($A908="",0,Transactions!H900)</f>
        <v>0</v>
      </c>
      <c r="E908">
        <f>IF($A908="",1,IFERROR(INDEX(Prices[FX to SGD],MATCH($A908,Prices[Key],0)),1))</f>
        <v>1</v>
      </c>
      <c r="F908" s="30">
        <f>IF($A908="",0,(Transactions!M900-Transactions!L900+IF(Transactions!A900=2,Transactions!H900,0))*$E908)</f>
        <v>0</v>
      </c>
      <c r="G908" s="30">
        <f>IF($A908="",0,IF(Transactions!A900=2,Transactions!H900*$E908,0))</f>
        <v>0</v>
      </c>
    </row>
    <row r="909" spans="1:7" ht="15" customHeight="1" x14ac:dyDescent="0.15">
      <c r="A909" t="str">
        <f>IF(Transactions!J901="","",Transactions!J901)</f>
        <v/>
      </c>
      <c r="B909" s="297">
        <f ca="1">IF($A909="",TODAY(),Transactions!G901)</f>
        <v>46216</v>
      </c>
      <c r="C909" t="str">
        <f>IF($A909="","",Transactions!A901)</f>
        <v/>
      </c>
      <c r="D909" s="30">
        <f>IF($A909="",0,Transactions!H901)</f>
        <v>0</v>
      </c>
      <c r="E909">
        <f>IF($A909="",1,IFERROR(INDEX(Prices[FX to SGD],MATCH($A909,Prices[Key],0)),1))</f>
        <v>1</v>
      </c>
      <c r="F909" s="30">
        <f>IF($A909="",0,(Transactions!M901-Transactions!L901+IF(Transactions!A901=2,Transactions!H901,0))*$E909)</f>
        <v>0</v>
      </c>
      <c r="G909" s="30">
        <f>IF($A909="",0,IF(Transactions!A901=2,Transactions!H901*$E909,0))</f>
        <v>0</v>
      </c>
    </row>
    <row r="910" spans="1:7" ht="15" customHeight="1" x14ac:dyDescent="0.15">
      <c r="A910" t="str">
        <f>IF(Transactions!J902="","",Transactions!J902)</f>
        <v/>
      </c>
      <c r="B910" s="297">
        <f ca="1">IF($A910="",TODAY(),Transactions!G902)</f>
        <v>46216</v>
      </c>
      <c r="C910" t="str">
        <f>IF($A910="","",Transactions!A902)</f>
        <v/>
      </c>
      <c r="D910" s="30">
        <f>IF($A910="",0,Transactions!H902)</f>
        <v>0</v>
      </c>
      <c r="E910">
        <f>IF($A910="",1,IFERROR(INDEX(Prices[FX to SGD],MATCH($A910,Prices[Key],0)),1))</f>
        <v>1</v>
      </c>
      <c r="F910" s="30">
        <f>IF($A910="",0,(Transactions!M902-Transactions!L902+IF(Transactions!A902=2,Transactions!H902,0))*$E910)</f>
        <v>0</v>
      </c>
      <c r="G910" s="30">
        <f>IF($A910="",0,IF(Transactions!A902=2,Transactions!H902*$E910,0))</f>
        <v>0</v>
      </c>
    </row>
    <row r="911" spans="1:7" ht="15" customHeight="1" x14ac:dyDescent="0.15">
      <c r="A911" t="str">
        <f>IF(Transactions!J903="","",Transactions!J903)</f>
        <v/>
      </c>
      <c r="B911" s="297">
        <f ca="1">IF($A911="",TODAY(),Transactions!G903)</f>
        <v>46216</v>
      </c>
      <c r="C911" t="str">
        <f>IF($A911="","",Transactions!A903)</f>
        <v/>
      </c>
      <c r="D911" s="30">
        <f>IF($A911="",0,Transactions!H903)</f>
        <v>0</v>
      </c>
      <c r="E911">
        <f>IF($A911="",1,IFERROR(INDEX(Prices[FX to SGD],MATCH($A911,Prices[Key],0)),1))</f>
        <v>1</v>
      </c>
      <c r="F911" s="30">
        <f>IF($A911="",0,(Transactions!M903-Transactions!L903+IF(Transactions!A903=2,Transactions!H903,0))*$E911)</f>
        <v>0</v>
      </c>
      <c r="G911" s="30">
        <f>IF($A911="",0,IF(Transactions!A903=2,Transactions!H903*$E911,0))</f>
        <v>0</v>
      </c>
    </row>
    <row r="912" spans="1:7" ht="15" customHeight="1" x14ac:dyDescent="0.15">
      <c r="A912" t="str">
        <f>IF(Transactions!J904="","",Transactions!J904)</f>
        <v/>
      </c>
      <c r="B912" s="297">
        <f ca="1">IF($A912="",TODAY(),Transactions!G904)</f>
        <v>46216</v>
      </c>
      <c r="C912" t="str">
        <f>IF($A912="","",Transactions!A904)</f>
        <v/>
      </c>
      <c r="D912" s="30">
        <f>IF($A912="",0,Transactions!H904)</f>
        <v>0</v>
      </c>
      <c r="E912">
        <f>IF($A912="",1,IFERROR(INDEX(Prices[FX to SGD],MATCH($A912,Prices[Key],0)),1))</f>
        <v>1</v>
      </c>
      <c r="F912" s="30">
        <f>IF($A912="",0,(Transactions!M904-Transactions!L904+IF(Transactions!A904=2,Transactions!H904,0))*$E912)</f>
        <v>0</v>
      </c>
      <c r="G912" s="30">
        <f>IF($A912="",0,IF(Transactions!A904=2,Transactions!H904*$E912,0))</f>
        <v>0</v>
      </c>
    </row>
    <row r="913" spans="1:7" ht="15" customHeight="1" x14ac:dyDescent="0.15">
      <c r="A913" t="str">
        <f>IF(Transactions!J905="","",Transactions!J905)</f>
        <v/>
      </c>
      <c r="B913" s="297">
        <f ca="1">IF($A913="",TODAY(),Transactions!G905)</f>
        <v>46216</v>
      </c>
      <c r="C913" t="str">
        <f>IF($A913="","",Transactions!A905)</f>
        <v/>
      </c>
      <c r="D913" s="30">
        <f>IF($A913="",0,Transactions!H905)</f>
        <v>0</v>
      </c>
      <c r="E913">
        <f>IF($A913="",1,IFERROR(INDEX(Prices[FX to SGD],MATCH($A913,Prices[Key],0)),1))</f>
        <v>1</v>
      </c>
      <c r="F913" s="30">
        <f>IF($A913="",0,(Transactions!M905-Transactions!L905+IF(Transactions!A905=2,Transactions!H905,0))*$E913)</f>
        <v>0</v>
      </c>
      <c r="G913" s="30">
        <f>IF($A913="",0,IF(Transactions!A905=2,Transactions!H905*$E913,0))</f>
        <v>0</v>
      </c>
    </row>
    <row r="914" spans="1:7" ht="15" customHeight="1" x14ac:dyDescent="0.15">
      <c r="A914" t="str">
        <f>IF(Transactions!J906="","",Transactions!J906)</f>
        <v/>
      </c>
      <c r="B914" s="297">
        <f ca="1">IF($A914="",TODAY(),Transactions!G906)</f>
        <v>46216</v>
      </c>
      <c r="C914" t="str">
        <f>IF($A914="","",Transactions!A906)</f>
        <v/>
      </c>
      <c r="D914" s="30">
        <f>IF($A914="",0,Transactions!H906)</f>
        <v>0</v>
      </c>
      <c r="E914">
        <f>IF($A914="",1,IFERROR(INDEX(Prices[FX to SGD],MATCH($A914,Prices[Key],0)),1))</f>
        <v>1</v>
      </c>
      <c r="F914" s="30">
        <f>IF($A914="",0,(Transactions!M906-Transactions!L906+IF(Transactions!A906=2,Transactions!H906,0))*$E914)</f>
        <v>0</v>
      </c>
      <c r="G914" s="30">
        <f>IF($A914="",0,IF(Transactions!A906=2,Transactions!H906*$E914,0))</f>
        <v>0</v>
      </c>
    </row>
    <row r="915" spans="1:7" ht="15" customHeight="1" x14ac:dyDescent="0.15">
      <c r="A915" t="str">
        <f>IF(Transactions!J907="","",Transactions!J907)</f>
        <v/>
      </c>
      <c r="B915" s="297">
        <f ca="1">IF($A915="",TODAY(),Transactions!G907)</f>
        <v>46216</v>
      </c>
      <c r="C915" t="str">
        <f>IF($A915="","",Transactions!A907)</f>
        <v/>
      </c>
      <c r="D915" s="30">
        <f>IF($A915="",0,Transactions!H907)</f>
        <v>0</v>
      </c>
      <c r="E915">
        <f>IF($A915="",1,IFERROR(INDEX(Prices[FX to SGD],MATCH($A915,Prices[Key],0)),1))</f>
        <v>1</v>
      </c>
      <c r="F915" s="30">
        <f>IF($A915="",0,(Transactions!M907-Transactions!L907+IF(Transactions!A907=2,Transactions!H907,0))*$E915)</f>
        <v>0</v>
      </c>
      <c r="G915" s="30">
        <f>IF($A915="",0,IF(Transactions!A907=2,Transactions!H907*$E915,0))</f>
        <v>0</v>
      </c>
    </row>
    <row r="916" spans="1:7" ht="15" customHeight="1" x14ac:dyDescent="0.15">
      <c r="A916" t="str">
        <f>IF(Transactions!J908="","",Transactions!J908)</f>
        <v/>
      </c>
      <c r="B916" s="297">
        <f ca="1">IF($A916="",TODAY(),Transactions!G908)</f>
        <v>46216</v>
      </c>
      <c r="C916" t="str">
        <f>IF($A916="","",Transactions!A908)</f>
        <v/>
      </c>
      <c r="D916" s="30">
        <f>IF($A916="",0,Transactions!H908)</f>
        <v>0</v>
      </c>
      <c r="E916">
        <f>IF($A916="",1,IFERROR(INDEX(Prices[FX to SGD],MATCH($A916,Prices[Key],0)),1))</f>
        <v>1</v>
      </c>
      <c r="F916" s="30">
        <f>IF($A916="",0,(Transactions!M908-Transactions!L908+IF(Transactions!A908=2,Transactions!H908,0))*$E916)</f>
        <v>0</v>
      </c>
      <c r="G916" s="30">
        <f>IF($A916="",0,IF(Transactions!A908=2,Transactions!H908*$E916,0))</f>
        <v>0</v>
      </c>
    </row>
    <row r="917" spans="1:7" ht="15" customHeight="1" x14ac:dyDescent="0.15">
      <c r="A917" t="str">
        <f>IF(Transactions!J909="","",Transactions!J909)</f>
        <v/>
      </c>
      <c r="B917" s="297">
        <f ca="1">IF($A917="",TODAY(),Transactions!G909)</f>
        <v>46216</v>
      </c>
      <c r="C917" t="str">
        <f>IF($A917="","",Transactions!A909)</f>
        <v/>
      </c>
      <c r="D917" s="30">
        <f>IF($A917="",0,Transactions!H909)</f>
        <v>0</v>
      </c>
      <c r="E917">
        <f>IF($A917="",1,IFERROR(INDEX(Prices[FX to SGD],MATCH($A917,Prices[Key],0)),1))</f>
        <v>1</v>
      </c>
      <c r="F917" s="30">
        <f>IF($A917="",0,(Transactions!M909-Transactions!L909+IF(Transactions!A909=2,Transactions!H909,0))*$E917)</f>
        <v>0</v>
      </c>
      <c r="G917" s="30">
        <f>IF($A917="",0,IF(Transactions!A909=2,Transactions!H909*$E917,0))</f>
        <v>0</v>
      </c>
    </row>
    <row r="918" spans="1:7" ht="15" customHeight="1" x14ac:dyDescent="0.15">
      <c r="A918" t="str">
        <f>IF(Transactions!J910="","",Transactions!J910)</f>
        <v/>
      </c>
      <c r="B918" s="297">
        <f ca="1">IF($A918="",TODAY(),Transactions!G910)</f>
        <v>46216</v>
      </c>
      <c r="C918" t="str">
        <f>IF($A918="","",Transactions!A910)</f>
        <v/>
      </c>
      <c r="D918" s="30">
        <f>IF($A918="",0,Transactions!H910)</f>
        <v>0</v>
      </c>
      <c r="E918">
        <f>IF($A918="",1,IFERROR(INDEX(Prices[FX to SGD],MATCH($A918,Prices[Key],0)),1))</f>
        <v>1</v>
      </c>
      <c r="F918" s="30">
        <f>IF($A918="",0,(Transactions!M910-Transactions!L910+IF(Transactions!A910=2,Transactions!H910,0))*$E918)</f>
        <v>0</v>
      </c>
      <c r="G918" s="30">
        <f>IF($A918="",0,IF(Transactions!A910=2,Transactions!H910*$E918,0))</f>
        <v>0</v>
      </c>
    </row>
    <row r="919" spans="1:7" ht="15" customHeight="1" x14ac:dyDescent="0.15">
      <c r="A919" t="str">
        <f>IF(Transactions!J911="","",Transactions!J911)</f>
        <v/>
      </c>
      <c r="B919" s="297">
        <f ca="1">IF($A919="",TODAY(),Transactions!G911)</f>
        <v>46216</v>
      </c>
      <c r="C919" t="str">
        <f>IF($A919="","",Transactions!A911)</f>
        <v/>
      </c>
      <c r="D919" s="30">
        <f>IF($A919="",0,Transactions!H911)</f>
        <v>0</v>
      </c>
      <c r="E919">
        <f>IF($A919="",1,IFERROR(INDEX(Prices[FX to SGD],MATCH($A919,Prices[Key],0)),1))</f>
        <v>1</v>
      </c>
      <c r="F919" s="30">
        <f>IF($A919="",0,(Transactions!M911-Transactions!L911+IF(Transactions!A911=2,Transactions!H911,0))*$E919)</f>
        <v>0</v>
      </c>
      <c r="G919" s="30">
        <f>IF($A919="",0,IF(Transactions!A911=2,Transactions!H911*$E919,0))</f>
        <v>0</v>
      </c>
    </row>
    <row r="920" spans="1:7" ht="15" customHeight="1" x14ac:dyDescent="0.15">
      <c r="A920" t="str">
        <f>IF(Transactions!J912="","",Transactions!J912)</f>
        <v/>
      </c>
      <c r="B920" s="297">
        <f ca="1">IF($A920="",TODAY(),Transactions!G912)</f>
        <v>46216</v>
      </c>
      <c r="C920" t="str">
        <f>IF($A920="","",Transactions!A912)</f>
        <v/>
      </c>
      <c r="D920" s="30">
        <f>IF($A920="",0,Transactions!H912)</f>
        <v>0</v>
      </c>
      <c r="E920">
        <f>IF($A920="",1,IFERROR(INDEX(Prices[FX to SGD],MATCH($A920,Prices[Key],0)),1))</f>
        <v>1</v>
      </c>
      <c r="F920" s="30">
        <f>IF($A920="",0,(Transactions!M912-Transactions!L912+IF(Transactions!A912=2,Transactions!H912,0))*$E920)</f>
        <v>0</v>
      </c>
      <c r="G920" s="30">
        <f>IF($A920="",0,IF(Transactions!A912=2,Transactions!H912*$E920,0))</f>
        <v>0</v>
      </c>
    </row>
    <row r="921" spans="1:7" ht="15" customHeight="1" x14ac:dyDescent="0.15">
      <c r="A921" t="str">
        <f>IF(Transactions!J913="","",Transactions!J913)</f>
        <v/>
      </c>
      <c r="B921" s="297">
        <f ca="1">IF($A921="",TODAY(),Transactions!G913)</f>
        <v>46216</v>
      </c>
      <c r="C921" t="str">
        <f>IF($A921="","",Transactions!A913)</f>
        <v/>
      </c>
      <c r="D921" s="30">
        <f>IF($A921="",0,Transactions!H913)</f>
        <v>0</v>
      </c>
      <c r="E921">
        <f>IF($A921="",1,IFERROR(INDEX(Prices[FX to SGD],MATCH($A921,Prices[Key],0)),1))</f>
        <v>1</v>
      </c>
      <c r="F921" s="30">
        <f>IF($A921="",0,(Transactions!M913-Transactions!L913+IF(Transactions!A913=2,Transactions!H913,0))*$E921)</f>
        <v>0</v>
      </c>
      <c r="G921" s="30">
        <f>IF($A921="",0,IF(Transactions!A913=2,Transactions!H913*$E921,0))</f>
        <v>0</v>
      </c>
    </row>
    <row r="922" spans="1:7" ht="15" customHeight="1" x14ac:dyDescent="0.15">
      <c r="A922" t="str">
        <f>IF(Transactions!J914="","",Transactions!J914)</f>
        <v/>
      </c>
      <c r="B922" s="297">
        <f ca="1">IF($A922="",TODAY(),Transactions!G914)</f>
        <v>46216</v>
      </c>
      <c r="C922" t="str">
        <f>IF($A922="","",Transactions!A914)</f>
        <v/>
      </c>
      <c r="D922" s="30">
        <f>IF($A922="",0,Transactions!H914)</f>
        <v>0</v>
      </c>
      <c r="E922">
        <f>IF($A922="",1,IFERROR(INDEX(Prices[FX to SGD],MATCH($A922,Prices[Key],0)),1))</f>
        <v>1</v>
      </c>
      <c r="F922" s="30">
        <f>IF($A922="",0,(Transactions!M914-Transactions!L914+IF(Transactions!A914=2,Transactions!H914,0))*$E922)</f>
        <v>0</v>
      </c>
      <c r="G922" s="30">
        <f>IF($A922="",0,IF(Transactions!A914=2,Transactions!H914*$E922,0))</f>
        <v>0</v>
      </c>
    </row>
    <row r="923" spans="1:7" ht="15" customHeight="1" x14ac:dyDescent="0.15">
      <c r="A923" t="str">
        <f>IF(Transactions!J915="","",Transactions!J915)</f>
        <v/>
      </c>
      <c r="B923" s="297">
        <f ca="1">IF($A923="",TODAY(),Transactions!G915)</f>
        <v>46216</v>
      </c>
      <c r="C923" t="str">
        <f>IF($A923="","",Transactions!A915)</f>
        <v/>
      </c>
      <c r="D923" s="30">
        <f>IF($A923="",0,Transactions!H915)</f>
        <v>0</v>
      </c>
      <c r="E923">
        <f>IF($A923="",1,IFERROR(INDEX(Prices[FX to SGD],MATCH($A923,Prices[Key],0)),1))</f>
        <v>1</v>
      </c>
      <c r="F923" s="30">
        <f>IF($A923="",0,(Transactions!M915-Transactions!L915+IF(Transactions!A915=2,Transactions!H915,0))*$E923)</f>
        <v>0</v>
      </c>
      <c r="G923" s="30">
        <f>IF($A923="",0,IF(Transactions!A915=2,Transactions!H915*$E923,0))</f>
        <v>0</v>
      </c>
    </row>
    <row r="924" spans="1:7" ht="15" customHeight="1" x14ac:dyDescent="0.15">
      <c r="A924" t="str">
        <f>IF(Transactions!J916="","",Transactions!J916)</f>
        <v/>
      </c>
      <c r="B924" s="297">
        <f ca="1">IF($A924="",TODAY(),Transactions!G916)</f>
        <v>46216</v>
      </c>
      <c r="C924" t="str">
        <f>IF($A924="","",Transactions!A916)</f>
        <v/>
      </c>
      <c r="D924" s="30">
        <f>IF($A924="",0,Transactions!H916)</f>
        <v>0</v>
      </c>
      <c r="E924">
        <f>IF($A924="",1,IFERROR(INDEX(Prices[FX to SGD],MATCH($A924,Prices[Key],0)),1))</f>
        <v>1</v>
      </c>
      <c r="F924" s="30">
        <f>IF($A924="",0,(Transactions!M916-Transactions!L916+IF(Transactions!A916=2,Transactions!H916,0))*$E924)</f>
        <v>0</v>
      </c>
      <c r="G924" s="30">
        <f>IF($A924="",0,IF(Transactions!A916=2,Transactions!H916*$E924,0))</f>
        <v>0</v>
      </c>
    </row>
    <row r="925" spans="1:7" ht="15" customHeight="1" x14ac:dyDescent="0.15">
      <c r="A925" t="str">
        <f>IF(Transactions!J917="","",Transactions!J917)</f>
        <v/>
      </c>
      <c r="B925" s="297">
        <f ca="1">IF($A925="",TODAY(),Transactions!G917)</f>
        <v>46216</v>
      </c>
      <c r="C925" t="str">
        <f>IF($A925="","",Transactions!A917)</f>
        <v/>
      </c>
      <c r="D925" s="30">
        <f>IF($A925="",0,Transactions!H917)</f>
        <v>0</v>
      </c>
      <c r="E925">
        <f>IF($A925="",1,IFERROR(INDEX(Prices[FX to SGD],MATCH($A925,Prices[Key],0)),1))</f>
        <v>1</v>
      </c>
      <c r="F925" s="30">
        <f>IF($A925="",0,(Transactions!M917-Transactions!L917+IF(Transactions!A917=2,Transactions!H917,0))*$E925)</f>
        <v>0</v>
      </c>
      <c r="G925" s="30">
        <f>IF($A925="",0,IF(Transactions!A917=2,Transactions!H917*$E925,0))</f>
        <v>0</v>
      </c>
    </row>
    <row r="926" spans="1:7" ht="15" customHeight="1" x14ac:dyDescent="0.15">
      <c r="A926" t="str">
        <f>IF(Transactions!J918="","",Transactions!J918)</f>
        <v/>
      </c>
      <c r="B926" s="297">
        <f ca="1">IF($A926="",TODAY(),Transactions!G918)</f>
        <v>46216</v>
      </c>
      <c r="C926" t="str">
        <f>IF($A926="","",Transactions!A918)</f>
        <v/>
      </c>
      <c r="D926" s="30">
        <f>IF($A926="",0,Transactions!H918)</f>
        <v>0</v>
      </c>
      <c r="E926">
        <f>IF($A926="",1,IFERROR(INDEX(Prices[FX to SGD],MATCH($A926,Prices[Key],0)),1))</f>
        <v>1</v>
      </c>
      <c r="F926" s="30">
        <f>IF($A926="",0,(Transactions!M918-Transactions!L918+IF(Transactions!A918=2,Transactions!H918,0))*$E926)</f>
        <v>0</v>
      </c>
      <c r="G926" s="30">
        <f>IF($A926="",0,IF(Transactions!A918=2,Transactions!H918*$E926,0))</f>
        <v>0</v>
      </c>
    </row>
    <row r="927" spans="1:7" ht="15" customHeight="1" x14ac:dyDescent="0.15">
      <c r="A927" t="str">
        <f>IF(Transactions!J919="","",Transactions!J919)</f>
        <v/>
      </c>
      <c r="B927" s="297">
        <f ca="1">IF($A927="",TODAY(),Transactions!G919)</f>
        <v>46216</v>
      </c>
      <c r="C927" t="str">
        <f>IF($A927="","",Transactions!A919)</f>
        <v/>
      </c>
      <c r="D927" s="30">
        <f>IF($A927="",0,Transactions!H919)</f>
        <v>0</v>
      </c>
      <c r="E927">
        <f>IF($A927="",1,IFERROR(INDEX(Prices[FX to SGD],MATCH($A927,Prices[Key],0)),1))</f>
        <v>1</v>
      </c>
      <c r="F927" s="30">
        <f>IF($A927="",0,(Transactions!M919-Transactions!L919+IF(Transactions!A919=2,Transactions!H919,0))*$E927)</f>
        <v>0</v>
      </c>
      <c r="G927" s="30">
        <f>IF($A927="",0,IF(Transactions!A919=2,Transactions!H919*$E927,0))</f>
        <v>0</v>
      </c>
    </row>
    <row r="928" spans="1:7" ht="15" customHeight="1" x14ac:dyDescent="0.15">
      <c r="A928" t="str">
        <f>IF(Transactions!J920="","",Transactions!J920)</f>
        <v/>
      </c>
      <c r="B928" s="297">
        <f ca="1">IF($A928="",TODAY(),Transactions!G920)</f>
        <v>46216</v>
      </c>
      <c r="C928" t="str">
        <f>IF($A928="","",Transactions!A920)</f>
        <v/>
      </c>
      <c r="D928" s="30">
        <f>IF($A928="",0,Transactions!H920)</f>
        <v>0</v>
      </c>
      <c r="E928">
        <f>IF($A928="",1,IFERROR(INDEX(Prices[FX to SGD],MATCH($A928,Prices[Key],0)),1))</f>
        <v>1</v>
      </c>
      <c r="F928" s="30">
        <f>IF($A928="",0,(Transactions!M920-Transactions!L920+IF(Transactions!A920=2,Transactions!H920,0))*$E928)</f>
        <v>0</v>
      </c>
      <c r="G928" s="30">
        <f>IF($A928="",0,IF(Transactions!A920=2,Transactions!H920*$E928,0))</f>
        <v>0</v>
      </c>
    </row>
    <row r="929" spans="1:7" ht="15" customHeight="1" x14ac:dyDescent="0.15">
      <c r="A929" t="str">
        <f>IF(Transactions!J921="","",Transactions!J921)</f>
        <v/>
      </c>
      <c r="B929" s="297">
        <f ca="1">IF($A929="",TODAY(),Transactions!G921)</f>
        <v>46216</v>
      </c>
      <c r="C929" t="str">
        <f>IF($A929="","",Transactions!A921)</f>
        <v/>
      </c>
      <c r="D929" s="30">
        <f>IF($A929="",0,Transactions!H921)</f>
        <v>0</v>
      </c>
      <c r="E929">
        <f>IF($A929="",1,IFERROR(INDEX(Prices[FX to SGD],MATCH($A929,Prices[Key],0)),1))</f>
        <v>1</v>
      </c>
      <c r="F929" s="30">
        <f>IF($A929="",0,(Transactions!M921-Transactions!L921+IF(Transactions!A921=2,Transactions!H921,0))*$E929)</f>
        <v>0</v>
      </c>
      <c r="G929" s="30">
        <f>IF($A929="",0,IF(Transactions!A921=2,Transactions!H921*$E929,0))</f>
        <v>0</v>
      </c>
    </row>
    <row r="930" spans="1:7" ht="15" customHeight="1" x14ac:dyDescent="0.15">
      <c r="A930" t="str">
        <f>IF(Transactions!J922="","",Transactions!J922)</f>
        <v/>
      </c>
      <c r="B930" s="297">
        <f ca="1">IF($A930="",TODAY(),Transactions!G922)</f>
        <v>46216</v>
      </c>
      <c r="C930" t="str">
        <f>IF($A930="","",Transactions!A922)</f>
        <v/>
      </c>
      <c r="D930" s="30">
        <f>IF($A930="",0,Transactions!H922)</f>
        <v>0</v>
      </c>
      <c r="E930">
        <f>IF($A930="",1,IFERROR(INDEX(Prices[FX to SGD],MATCH($A930,Prices[Key],0)),1))</f>
        <v>1</v>
      </c>
      <c r="F930" s="30">
        <f>IF($A930="",0,(Transactions!M922-Transactions!L922+IF(Transactions!A922=2,Transactions!H922,0))*$E930)</f>
        <v>0</v>
      </c>
      <c r="G930" s="30">
        <f>IF($A930="",0,IF(Transactions!A922=2,Transactions!H922*$E930,0))</f>
        <v>0</v>
      </c>
    </row>
    <row r="931" spans="1:7" ht="15" customHeight="1" x14ac:dyDescent="0.15">
      <c r="A931" t="str">
        <f>IF(Transactions!J923="","",Transactions!J923)</f>
        <v/>
      </c>
      <c r="B931" s="297">
        <f ca="1">IF($A931="",TODAY(),Transactions!G923)</f>
        <v>46216</v>
      </c>
      <c r="C931" t="str">
        <f>IF($A931="","",Transactions!A923)</f>
        <v/>
      </c>
      <c r="D931" s="30">
        <f>IF($A931="",0,Transactions!H923)</f>
        <v>0</v>
      </c>
      <c r="E931">
        <f>IF($A931="",1,IFERROR(INDEX(Prices[FX to SGD],MATCH($A931,Prices[Key],0)),1))</f>
        <v>1</v>
      </c>
      <c r="F931" s="30">
        <f>IF($A931="",0,(Transactions!M923-Transactions!L923+IF(Transactions!A923=2,Transactions!H923,0))*$E931)</f>
        <v>0</v>
      </c>
      <c r="G931" s="30">
        <f>IF($A931="",0,IF(Transactions!A923=2,Transactions!H923*$E931,0))</f>
        <v>0</v>
      </c>
    </row>
    <row r="932" spans="1:7" ht="15" customHeight="1" x14ac:dyDescent="0.15">
      <c r="A932" t="str">
        <f>IF(Transactions!J924="","",Transactions!J924)</f>
        <v/>
      </c>
      <c r="B932" s="297">
        <f ca="1">IF($A932="",TODAY(),Transactions!G924)</f>
        <v>46216</v>
      </c>
      <c r="C932" t="str">
        <f>IF($A932="","",Transactions!A924)</f>
        <v/>
      </c>
      <c r="D932" s="30">
        <f>IF($A932="",0,Transactions!H924)</f>
        <v>0</v>
      </c>
      <c r="E932">
        <f>IF($A932="",1,IFERROR(INDEX(Prices[FX to SGD],MATCH($A932,Prices[Key],0)),1))</f>
        <v>1</v>
      </c>
      <c r="F932" s="30">
        <f>IF($A932="",0,(Transactions!M924-Transactions!L924+IF(Transactions!A924=2,Transactions!H924,0))*$E932)</f>
        <v>0</v>
      </c>
      <c r="G932" s="30">
        <f>IF($A932="",0,IF(Transactions!A924=2,Transactions!H924*$E932,0))</f>
        <v>0</v>
      </c>
    </row>
    <row r="933" spans="1:7" ht="15" customHeight="1" x14ac:dyDescent="0.15">
      <c r="A933" t="str">
        <f>IF(Transactions!J925="","",Transactions!J925)</f>
        <v/>
      </c>
      <c r="B933" s="297">
        <f ca="1">IF($A933="",TODAY(),Transactions!G925)</f>
        <v>46216</v>
      </c>
      <c r="C933" t="str">
        <f>IF($A933="","",Transactions!A925)</f>
        <v/>
      </c>
      <c r="D933" s="30">
        <f>IF($A933="",0,Transactions!H925)</f>
        <v>0</v>
      </c>
      <c r="E933">
        <f>IF($A933="",1,IFERROR(INDEX(Prices[FX to SGD],MATCH($A933,Prices[Key],0)),1))</f>
        <v>1</v>
      </c>
      <c r="F933" s="30">
        <f>IF($A933="",0,(Transactions!M925-Transactions!L925+IF(Transactions!A925=2,Transactions!H925,0))*$E933)</f>
        <v>0</v>
      </c>
      <c r="G933" s="30">
        <f>IF($A933="",0,IF(Transactions!A925=2,Transactions!H925*$E933,0))</f>
        <v>0</v>
      </c>
    </row>
    <row r="934" spans="1:7" ht="15" customHeight="1" x14ac:dyDescent="0.15">
      <c r="A934" t="str">
        <f>IF(Transactions!J926="","",Transactions!J926)</f>
        <v/>
      </c>
      <c r="B934" s="297">
        <f ca="1">IF($A934="",TODAY(),Transactions!G926)</f>
        <v>46216</v>
      </c>
      <c r="C934" t="str">
        <f>IF($A934="","",Transactions!A926)</f>
        <v/>
      </c>
      <c r="D934" s="30">
        <f>IF($A934="",0,Transactions!H926)</f>
        <v>0</v>
      </c>
      <c r="E934">
        <f>IF($A934="",1,IFERROR(INDEX(Prices[FX to SGD],MATCH($A934,Prices[Key],0)),1))</f>
        <v>1</v>
      </c>
      <c r="F934" s="30">
        <f>IF($A934="",0,(Transactions!M926-Transactions!L926+IF(Transactions!A926=2,Transactions!H926,0))*$E934)</f>
        <v>0</v>
      </c>
      <c r="G934" s="30">
        <f>IF($A934="",0,IF(Transactions!A926=2,Transactions!H926*$E934,0))</f>
        <v>0</v>
      </c>
    </row>
    <row r="935" spans="1:7" ht="15" customHeight="1" x14ac:dyDescent="0.15">
      <c r="A935" t="str">
        <f>IF(Transactions!J927="","",Transactions!J927)</f>
        <v/>
      </c>
      <c r="B935" s="297">
        <f ca="1">IF($A935="",TODAY(),Transactions!G927)</f>
        <v>46216</v>
      </c>
      <c r="C935" t="str">
        <f>IF($A935="","",Transactions!A927)</f>
        <v/>
      </c>
      <c r="D935" s="30">
        <f>IF($A935="",0,Transactions!H927)</f>
        <v>0</v>
      </c>
      <c r="E935">
        <f>IF($A935="",1,IFERROR(INDEX(Prices[FX to SGD],MATCH($A935,Prices[Key],0)),1))</f>
        <v>1</v>
      </c>
      <c r="F935" s="30">
        <f>IF($A935="",0,(Transactions!M927-Transactions!L927+IF(Transactions!A927=2,Transactions!H927,0))*$E935)</f>
        <v>0</v>
      </c>
      <c r="G935" s="30">
        <f>IF($A935="",0,IF(Transactions!A927=2,Transactions!H927*$E935,0))</f>
        <v>0</v>
      </c>
    </row>
    <row r="936" spans="1:7" ht="15" customHeight="1" x14ac:dyDescent="0.15">
      <c r="A936" t="str">
        <f>IF(Transactions!J928="","",Transactions!J928)</f>
        <v/>
      </c>
      <c r="B936" s="297">
        <f ca="1">IF($A936="",TODAY(),Transactions!G928)</f>
        <v>46216</v>
      </c>
      <c r="C936" t="str">
        <f>IF($A936="","",Transactions!A928)</f>
        <v/>
      </c>
      <c r="D936" s="30">
        <f>IF($A936="",0,Transactions!H928)</f>
        <v>0</v>
      </c>
      <c r="E936">
        <f>IF($A936="",1,IFERROR(INDEX(Prices[FX to SGD],MATCH($A936,Prices[Key],0)),1))</f>
        <v>1</v>
      </c>
      <c r="F936" s="30">
        <f>IF($A936="",0,(Transactions!M928-Transactions!L928+IF(Transactions!A928=2,Transactions!H928,0))*$E936)</f>
        <v>0</v>
      </c>
      <c r="G936" s="30">
        <f>IF($A936="",0,IF(Transactions!A928=2,Transactions!H928*$E936,0))</f>
        <v>0</v>
      </c>
    </row>
    <row r="937" spans="1:7" ht="15" customHeight="1" x14ac:dyDescent="0.15">
      <c r="A937" t="str">
        <f>IF(Transactions!J929="","",Transactions!J929)</f>
        <v/>
      </c>
      <c r="B937" s="297">
        <f ca="1">IF($A937="",TODAY(),Transactions!G929)</f>
        <v>46216</v>
      </c>
      <c r="C937" t="str">
        <f>IF($A937="","",Transactions!A929)</f>
        <v/>
      </c>
      <c r="D937" s="30">
        <f>IF($A937="",0,Transactions!H929)</f>
        <v>0</v>
      </c>
      <c r="E937">
        <f>IF($A937="",1,IFERROR(INDEX(Prices[FX to SGD],MATCH($A937,Prices[Key],0)),1))</f>
        <v>1</v>
      </c>
      <c r="F937" s="30">
        <f>IF($A937="",0,(Transactions!M929-Transactions!L929+IF(Transactions!A929=2,Transactions!H929,0))*$E937)</f>
        <v>0</v>
      </c>
      <c r="G937" s="30">
        <f>IF($A937="",0,IF(Transactions!A929=2,Transactions!H929*$E937,0))</f>
        <v>0</v>
      </c>
    </row>
    <row r="938" spans="1:7" ht="15" customHeight="1" x14ac:dyDescent="0.15">
      <c r="A938" t="str">
        <f>IF(Transactions!J930="","",Transactions!J930)</f>
        <v/>
      </c>
      <c r="B938" s="297">
        <f ca="1">IF($A938="",TODAY(),Transactions!G930)</f>
        <v>46216</v>
      </c>
      <c r="C938" t="str">
        <f>IF($A938="","",Transactions!A930)</f>
        <v/>
      </c>
      <c r="D938" s="30">
        <f>IF($A938="",0,Transactions!H930)</f>
        <v>0</v>
      </c>
      <c r="E938">
        <f>IF($A938="",1,IFERROR(INDEX(Prices[FX to SGD],MATCH($A938,Prices[Key],0)),1))</f>
        <v>1</v>
      </c>
      <c r="F938" s="30">
        <f>IF($A938="",0,(Transactions!M930-Transactions!L930+IF(Transactions!A930=2,Transactions!H930,0))*$E938)</f>
        <v>0</v>
      </c>
      <c r="G938" s="30">
        <f>IF($A938="",0,IF(Transactions!A930=2,Transactions!H930*$E938,0))</f>
        <v>0</v>
      </c>
    </row>
    <row r="939" spans="1:7" ht="15" customHeight="1" x14ac:dyDescent="0.15">
      <c r="A939" t="str">
        <f>IF(Transactions!J931="","",Transactions!J931)</f>
        <v/>
      </c>
      <c r="B939" s="297">
        <f ca="1">IF($A939="",TODAY(),Transactions!G931)</f>
        <v>46216</v>
      </c>
      <c r="C939" t="str">
        <f>IF($A939="","",Transactions!A931)</f>
        <v/>
      </c>
      <c r="D939" s="30">
        <f>IF($A939="",0,Transactions!H931)</f>
        <v>0</v>
      </c>
      <c r="E939">
        <f>IF($A939="",1,IFERROR(INDEX(Prices[FX to SGD],MATCH($A939,Prices[Key],0)),1))</f>
        <v>1</v>
      </c>
      <c r="F939" s="30">
        <f>IF($A939="",0,(Transactions!M931-Transactions!L931+IF(Transactions!A931=2,Transactions!H931,0))*$E939)</f>
        <v>0</v>
      </c>
      <c r="G939" s="30">
        <f>IF($A939="",0,IF(Transactions!A931=2,Transactions!H931*$E939,0))</f>
        <v>0</v>
      </c>
    </row>
    <row r="940" spans="1:7" ht="15" customHeight="1" x14ac:dyDescent="0.15">
      <c r="A940" t="str">
        <f>IF(Transactions!J932="","",Transactions!J932)</f>
        <v/>
      </c>
      <c r="B940" s="297">
        <f ca="1">IF($A940="",TODAY(),Transactions!G932)</f>
        <v>46216</v>
      </c>
      <c r="C940" t="str">
        <f>IF($A940="","",Transactions!A932)</f>
        <v/>
      </c>
      <c r="D940" s="30">
        <f>IF($A940="",0,Transactions!H932)</f>
        <v>0</v>
      </c>
      <c r="E940">
        <f>IF($A940="",1,IFERROR(INDEX(Prices[FX to SGD],MATCH($A940,Prices[Key],0)),1))</f>
        <v>1</v>
      </c>
      <c r="F940" s="30">
        <f>IF($A940="",0,(Transactions!M932-Transactions!L932+IF(Transactions!A932=2,Transactions!H932,0))*$E940)</f>
        <v>0</v>
      </c>
      <c r="G940" s="30">
        <f>IF($A940="",0,IF(Transactions!A932=2,Transactions!H932*$E940,0))</f>
        <v>0</v>
      </c>
    </row>
    <row r="941" spans="1:7" ht="15" customHeight="1" x14ac:dyDescent="0.15">
      <c r="A941" t="str">
        <f>IF(Transactions!J933="","",Transactions!J933)</f>
        <v/>
      </c>
      <c r="B941" s="297">
        <f ca="1">IF($A941="",TODAY(),Transactions!G933)</f>
        <v>46216</v>
      </c>
      <c r="C941" t="str">
        <f>IF($A941="","",Transactions!A933)</f>
        <v/>
      </c>
      <c r="D941" s="30">
        <f>IF($A941="",0,Transactions!H933)</f>
        <v>0</v>
      </c>
      <c r="E941">
        <f>IF($A941="",1,IFERROR(INDEX(Prices[FX to SGD],MATCH($A941,Prices[Key],0)),1))</f>
        <v>1</v>
      </c>
      <c r="F941" s="30">
        <f>IF($A941="",0,(Transactions!M933-Transactions!L933+IF(Transactions!A933=2,Transactions!H933,0))*$E941)</f>
        <v>0</v>
      </c>
      <c r="G941" s="30">
        <f>IF($A941="",0,IF(Transactions!A933=2,Transactions!H933*$E941,0))</f>
        <v>0</v>
      </c>
    </row>
    <row r="942" spans="1:7" ht="15" customHeight="1" x14ac:dyDescent="0.15">
      <c r="A942" t="str">
        <f>IF(Transactions!J934="","",Transactions!J934)</f>
        <v/>
      </c>
      <c r="B942" s="297">
        <f ca="1">IF($A942="",TODAY(),Transactions!G934)</f>
        <v>46216</v>
      </c>
      <c r="C942" t="str">
        <f>IF($A942="","",Transactions!A934)</f>
        <v/>
      </c>
      <c r="D942" s="30">
        <f>IF($A942="",0,Transactions!H934)</f>
        <v>0</v>
      </c>
      <c r="E942">
        <f>IF($A942="",1,IFERROR(INDEX(Prices[FX to SGD],MATCH($A942,Prices[Key],0)),1))</f>
        <v>1</v>
      </c>
      <c r="F942" s="30">
        <f>IF($A942="",0,(Transactions!M934-Transactions!L934+IF(Transactions!A934=2,Transactions!H934,0))*$E942)</f>
        <v>0</v>
      </c>
      <c r="G942" s="30">
        <f>IF($A942="",0,IF(Transactions!A934=2,Transactions!H934*$E942,0))</f>
        <v>0</v>
      </c>
    </row>
    <row r="943" spans="1:7" ht="15" customHeight="1" x14ac:dyDescent="0.15">
      <c r="A943" t="str">
        <f>IF(Transactions!J935="","",Transactions!J935)</f>
        <v/>
      </c>
      <c r="B943" s="297">
        <f ca="1">IF($A943="",TODAY(),Transactions!G935)</f>
        <v>46216</v>
      </c>
      <c r="C943" t="str">
        <f>IF($A943="","",Transactions!A935)</f>
        <v/>
      </c>
      <c r="D943" s="30">
        <f>IF($A943="",0,Transactions!H935)</f>
        <v>0</v>
      </c>
      <c r="E943">
        <f>IF($A943="",1,IFERROR(INDEX(Prices[FX to SGD],MATCH($A943,Prices[Key],0)),1))</f>
        <v>1</v>
      </c>
      <c r="F943" s="30">
        <f>IF($A943="",0,(Transactions!M935-Transactions!L935+IF(Transactions!A935=2,Transactions!H935,0))*$E943)</f>
        <v>0</v>
      </c>
      <c r="G943" s="30">
        <f>IF($A943="",0,IF(Transactions!A935=2,Transactions!H935*$E943,0))</f>
        <v>0</v>
      </c>
    </row>
    <row r="944" spans="1:7" ht="15" customHeight="1" x14ac:dyDescent="0.15">
      <c r="A944" t="str">
        <f>IF(Transactions!J936="","",Transactions!J936)</f>
        <v/>
      </c>
      <c r="B944" s="297">
        <f ca="1">IF($A944="",TODAY(),Transactions!G936)</f>
        <v>46216</v>
      </c>
      <c r="C944" t="str">
        <f>IF($A944="","",Transactions!A936)</f>
        <v/>
      </c>
      <c r="D944" s="30">
        <f>IF($A944="",0,Transactions!H936)</f>
        <v>0</v>
      </c>
      <c r="E944">
        <f>IF($A944="",1,IFERROR(INDEX(Prices[FX to SGD],MATCH($A944,Prices[Key],0)),1))</f>
        <v>1</v>
      </c>
      <c r="F944" s="30">
        <f>IF($A944="",0,(Transactions!M936-Transactions!L936+IF(Transactions!A936=2,Transactions!H936,0))*$E944)</f>
        <v>0</v>
      </c>
      <c r="G944" s="30">
        <f>IF($A944="",0,IF(Transactions!A936=2,Transactions!H936*$E944,0))</f>
        <v>0</v>
      </c>
    </row>
    <row r="945" spans="1:7" ht="15" customHeight="1" x14ac:dyDescent="0.15">
      <c r="A945" t="str">
        <f>IF(Transactions!J937="","",Transactions!J937)</f>
        <v/>
      </c>
      <c r="B945" s="297">
        <f ca="1">IF($A945="",TODAY(),Transactions!G937)</f>
        <v>46216</v>
      </c>
      <c r="C945" t="str">
        <f>IF($A945="","",Transactions!A937)</f>
        <v/>
      </c>
      <c r="D945" s="30">
        <f>IF($A945="",0,Transactions!H937)</f>
        <v>0</v>
      </c>
      <c r="E945">
        <f>IF($A945="",1,IFERROR(INDEX(Prices[FX to SGD],MATCH($A945,Prices[Key],0)),1))</f>
        <v>1</v>
      </c>
      <c r="F945" s="30">
        <f>IF($A945="",0,(Transactions!M937-Transactions!L937+IF(Transactions!A937=2,Transactions!H937,0))*$E945)</f>
        <v>0</v>
      </c>
      <c r="G945" s="30">
        <f>IF($A945="",0,IF(Transactions!A937=2,Transactions!H937*$E945,0))</f>
        <v>0</v>
      </c>
    </row>
    <row r="946" spans="1:7" ht="15" customHeight="1" x14ac:dyDescent="0.15">
      <c r="A946" t="str">
        <f>IF(Transactions!J938="","",Transactions!J938)</f>
        <v/>
      </c>
      <c r="B946" s="297">
        <f ca="1">IF($A946="",TODAY(),Transactions!G938)</f>
        <v>46216</v>
      </c>
      <c r="C946" t="str">
        <f>IF($A946="","",Transactions!A938)</f>
        <v/>
      </c>
      <c r="D946" s="30">
        <f>IF($A946="",0,Transactions!H938)</f>
        <v>0</v>
      </c>
      <c r="E946">
        <f>IF($A946="",1,IFERROR(INDEX(Prices[FX to SGD],MATCH($A946,Prices[Key],0)),1))</f>
        <v>1</v>
      </c>
      <c r="F946" s="30">
        <f>IF($A946="",0,(Transactions!M938-Transactions!L938+IF(Transactions!A938=2,Transactions!H938,0))*$E946)</f>
        <v>0</v>
      </c>
      <c r="G946" s="30">
        <f>IF($A946="",0,IF(Transactions!A938=2,Transactions!H938*$E946,0))</f>
        <v>0</v>
      </c>
    </row>
    <row r="947" spans="1:7" ht="15" customHeight="1" x14ac:dyDescent="0.15">
      <c r="A947" t="str">
        <f>IF(Transactions!J939="","",Transactions!J939)</f>
        <v/>
      </c>
      <c r="B947" s="297">
        <f ca="1">IF($A947="",TODAY(),Transactions!G939)</f>
        <v>46216</v>
      </c>
      <c r="C947" t="str">
        <f>IF($A947="","",Transactions!A939)</f>
        <v/>
      </c>
      <c r="D947" s="30">
        <f>IF($A947="",0,Transactions!H939)</f>
        <v>0</v>
      </c>
      <c r="E947">
        <f>IF($A947="",1,IFERROR(INDEX(Prices[FX to SGD],MATCH($A947,Prices[Key],0)),1))</f>
        <v>1</v>
      </c>
      <c r="F947" s="30">
        <f>IF($A947="",0,(Transactions!M939-Transactions!L939+IF(Transactions!A939=2,Transactions!H939,0))*$E947)</f>
        <v>0</v>
      </c>
      <c r="G947" s="30">
        <f>IF($A947="",0,IF(Transactions!A939=2,Transactions!H939*$E947,0))</f>
        <v>0</v>
      </c>
    </row>
    <row r="948" spans="1:7" ht="15" customHeight="1" x14ac:dyDescent="0.15">
      <c r="A948" t="str">
        <f>IF(Transactions!J940="","",Transactions!J940)</f>
        <v/>
      </c>
      <c r="B948" s="297">
        <f ca="1">IF($A948="",TODAY(),Transactions!G940)</f>
        <v>46216</v>
      </c>
      <c r="C948" t="str">
        <f>IF($A948="","",Transactions!A940)</f>
        <v/>
      </c>
      <c r="D948" s="30">
        <f>IF($A948="",0,Transactions!H940)</f>
        <v>0</v>
      </c>
      <c r="E948">
        <f>IF($A948="",1,IFERROR(INDEX(Prices[FX to SGD],MATCH($A948,Prices[Key],0)),1))</f>
        <v>1</v>
      </c>
      <c r="F948" s="30">
        <f>IF($A948="",0,(Transactions!M940-Transactions!L940+IF(Transactions!A940=2,Transactions!H940,0))*$E948)</f>
        <v>0</v>
      </c>
      <c r="G948" s="30">
        <f>IF($A948="",0,IF(Transactions!A940=2,Transactions!H940*$E948,0))</f>
        <v>0</v>
      </c>
    </row>
    <row r="949" spans="1:7" ht="15" customHeight="1" x14ac:dyDescent="0.15">
      <c r="A949" t="str">
        <f>IF(Transactions!J941="","",Transactions!J941)</f>
        <v/>
      </c>
      <c r="B949" s="297">
        <f ca="1">IF($A949="",TODAY(),Transactions!G941)</f>
        <v>46216</v>
      </c>
      <c r="C949" t="str">
        <f>IF($A949="","",Transactions!A941)</f>
        <v/>
      </c>
      <c r="D949" s="30">
        <f>IF($A949="",0,Transactions!H941)</f>
        <v>0</v>
      </c>
      <c r="E949">
        <f>IF($A949="",1,IFERROR(INDEX(Prices[FX to SGD],MATCH($A949,Prices[Key],0)),1))</f>
        <v>1</v>
      </c>
      <c r="F949" s="30">
        <f>IF($A949="",0,(Transactions!M941-Transactions!L941+IF(Transactions!A941=2,Transactions!H941,0))*$E949)</f>
        <v>0</v>
      </c>
      <c r="G949" s="30">
        <f>IF($A949="",0,IF(Transactions!A941=2,Transactions!H941*$E949,0))</f>
        <v>0</v>
      </c>
    </row>
    <row r="950" spans="1:7" ht="15" customHeight="1" x14ac:dyDescent="0.15">
      <c r="A950" t="str">
        <f>IF(Transactions!J942="","",Transactions!J942)</f>
        <v/>
      </c>
      <c r="B950" s="297">
        <f ca="1">IF($A950="",TODAY(),Transactions!G942)</f>
        <v>46216</v>
      </c>
      <c r="C950" t="str">
        <f>IF($A950="","",Transactions!A942)</f>
        <v/>
      </c>
      <c r="D950" s="30">
        <f>IF($A950="",0,Transactions!H942)</f>
        <v>0</v>
      </c>
      <c r="E950">
        <f>IF($A950="",1,IFERROR(INDEX(Prices[FX to SGD],MATCH($A950,Prices[Key],0)),1))</f>
        <v>1</v>
      </c>
      <c r="F950" s="30">
        <f>IF($A950="",0,(Transactions!M942-Transactions!L942+IF(Transactions!A942=2,Transactions!H942,0))*$E950)</f>
        <v>0</v>
      </c>
      <c r="G950" s="30">
        <f>IF($A950="",0,IF(Transactions!A942=2,Transactions!H942*$E950,0))</f>
        <v>0</v>
      </c>
    </row>
    <row r="951" spans="1:7" ht="15" customHeight="1" x14ac:dyDescent="0.15">
      <c r="A951" t="str">
        <f>IF(Transactions!J943="","",Transactions!J943)</f>
        <v/>
      </c>
      <c r="B951" s="297">
        <f ca="1">IF($A951="",TODAY(),Transactions!G943)</f>
        <v>46216</v>
      </c>
      <c r="C951" t="str">
        <f>IF($A951="","",Transactions!A943)</f>
        <v/>
      </c>
      <c r="D951" s="30">
        <f>IF($A951="",0,Transactions!H943)</f>
        <v>0</v>
      </c>
      <c r="E951">
        <f>IF($A951="",1,IFERROR(INDEX(Prices[FX to SGD],MATCH($A951,Prices[Key],0)),1))</f>
        <v>1</v>
      </c>
      <c r="F951" s="30">
        <f>IF($A951="",0,(Transactions!M943-Transactions!L943+IF(Transactions!A943=2,Transactions!H943,0))*$E951)</f>
        <v>0</v>
      </c>
      <c r="G951" s="30">
        <f>IF($A951="",0,IF(Transactions!A943=2,Transactions!H943*$E951,0))</f>
        <v>0</v>
      </c>
    </row>
    <row r="952" spans="1:7" ht="15" customHeight="1" x14ac:dyDescent="0.15">
      <c r="A952" t="str">
        <f>IF(Transactions!J944="","",Transactions!J944)</f>
        <v/>
      </c>
      <c r="B952" s="297">
        <f ca="1">IF($A952="",TODAY(),Transactions!G944)</f>
        <v>46216</v>
      </c>
      <c r="C952" t="str">
        <f>IF($A952="","",Transactions!A944)</f>
        <v/>
      </c>
      <c r="D952" s="30">
        <f>IF($A952="",0,Transactions!H944)</f>
        <v>0</v>
      </c>
      <c r="E952">
        <f>IF($A952="",1,IFERROR(INDEX(Prices[FX to SGD],MATCH($A952,Prices[Key],0)),1))</f>
        <v>1</v>
      </c>
      <c r="F952" s="30">
        <f>IF($A952="",0,(Transactions!M944-Transactions!L944+IF(Transactions!A944=2,Transactions!H944,0))*$E952)</f>
        <v>0</v>
      </c>
      <c r="G952" s="30">
        <f>IF($A952="",0,IF(Transactions!A944=2,Transactions!H944*$E952,0))</f>
        <v>0</v>
      </c>
    </row>
    <row r="953" spans="1:7" ht="15" customHeight="1" x14ac:dyDescent="0.15">
      <c r="A953" t="str">
        <f>IF(Transactions!J945="","",Transactions!J945)</f>
        <v/>
      </c>
      <c r="B953" s="297">
        <f ca="1">IF($A953="",TODAY(),Transactions!G945)</f>
        <v>46216</v>
      </c>
      <c r="C953" t="str">
        <f>IF($A953="","",Transactions!A945)</f>
        <v/>
      </c>
      <c r="D953" s="30">
        <f>IF($A953="",0,Transactions!H945)</f>
        <v>0</v>
      </c>
      <c r="E953">
        <f>IF($A953="",1,IFERROR(INDEX(Prices[FX to SGD],MATCH($A953,Prices[Key],0)),1))</f>
        <v>1</v>
      </c>
      <c r="F953" s="30">
        <f>IF($A953="",0,(Transactions!M945-Transactions!L945+IF(Transactions!A945=2,Transactions!H945,0))*$E953)</f>
        <v>0</v>
      </c>
      <c r="G953" s="30">
        <f>IF($A953="",0,IF(Transactions!A945=2,Transactions!H945*$E953,0))</f>
        <v>0</v>
      </c>
    </row>
    <row r="954" spans="1:7" ht="15" customHeight="1" x14ac:dyDescent="0.15">
      <c r="A954" t="str">
        <f>IF(Transactions!J946="","",Transactions!J946)</f>
        <v/>
      </c>
      <c r="B954" s="297">
        <f ca="1">IF($A954="",TODAY(),Transactions!G946)</f>
        <v>46216</v>
      </c>
      <c r="C954" t="str">
        <f>IF($A954="","",Transactions!A946)</f>
        <v/>
      </c>
      <c r="D954" s="30">
        <f>IF($A954="",0,Transactions!H946)</f>
        <v>0</v>
      </c>
      <c r="E954">
        <f>IF($A954="",1,IFERROR(INDEX(Prices[FX to SGD],MATCH($A954,Prices[Key],0)),1))</f>
        <v>1</v>
      </c>
      <c r="F954" s="30">
        <f>IF($A954="",0,(Transactions!M946-Transactions!L946+IF(Transactions!A946=2,Transactions!H946,0))*$E954)</f>
        <v>0</v>
      </c>
      <c r="G954" s="30">
        <f>IF($A954="",0,IF(Transactions!A946=2,Transactions!H946*$E954,0))</f>
        <v>0</v>
      </c>
    </row>
    <row r="955" spans="1:7" ht="15" customHeight="1" x14ac:dyDescent="0.15">
      <c r="A955" t="str">
        <f>IF(Transactions!J947="","",Transactions!J947)</f>
        <v/>
      </c>
      <c r="B955" s="297">
        <f ca="1">IF($A955="",TODAY(),Transactions!G947)</f>
        <v>46216</v>
      </c>
      <c r="C955" t="str">
        <f>IF($A955="","",Transactions!A947)</f>
        <v/>
      </c>
      <c r="D955" s="30">
        <f>IF($A955="",0,Transactions!H947)</f>
        <v>0</v>
      </c>
      <c r="E955">
        <f>IF($A955="",1,IFERROR(INDEX(Prices[FX to SGD],MATCH($A955,Prices[Key],0)),1))</f>
        <v>1</v>
      </c>
      <c r="F955" s="30">
        <f>IF($A955="",0,(Transactions!M947-Transactions!L947+IF(Transactions!A947=2,Transactions!H947,0))*$E955)</f>
        <v>0</v>
      </c>
      <c r="G955" s="30">
        <f>IF($A955="",0,IF(Transactions!A947=2,Transactions!H947*$E955,0))</f>
        <v>0</v>
      </c>
    </row>
    <row r="956" spans="1:7" ht="15" customHeight="1" x14ac:dyDescent="0.15">
      <c r="A956" t="str">
        <f>IF(Transactions!J948="","",Transactions!J948)</f>
        <v/>
      </c>
      <c r="B956" s="297">
        <f ca="1">IF($A956="",TODAY(),Transactions!G948)</f>
        <v>46216</v>
      </c>
      <c r="C956" t="str">
        <f>IF($A956="","",Transactions!A948)</f>
        <v/>
      </c>
      <c r="D956" s="30">
        <f>IF($A956="",0,Transactions!H948)</f>
        <v>0</v>
      </c>
      <c r="E956">
        <f>IF($A956="",1,IFERROR(INDEX(Prices[FX to SGD],MATCH($A956,Prices[Key],0)),1))</f>
        <v>1</v>
      </c>
      <c r="F956" s="30">
        <f>IF($A956="",0,(Transactions!M948-Transactions!L948+IF(Transactions!A948=2,Transactions!H948,0))*$E956)</f>
        <v>0</v>
      </c>
      <c r="G956" s="30">
        <f>IF($A956="",0,IF(Transactions!A948=2,Transactions!H948*$E956,0))</f>
        <v>0</v>
      </c>
    </row>
    <row r="957" spans="1:7" ht="15" customHeight="1" x14ac:dyDescent="0.15">
      <c r="A957" t="str">
        <f>IF(Transactions!J949="","",Transactions!J949)</f>
        <v/>
      </c>
      <c r="B957" s="297">
        <f ca="1">IF($A957="",TODAY(),Transactions!G949)</f>
        <v>46216</v>
      </c>
      <c r="C957" t="str">
        <f>IF($A957="","",Transactions!A949)</f>
        <v/>
      </c>
      <c r="D957" s="30">
        <f>IF($A957="",0,Transactions!H949)</f>
        <v>0</v>
      </c>
      <c r="E957">
        <f>IF($A957="",1,IFERROR(INDEX(Prices[FX to SGD],MATCH($A957,Prices[Key],0)),1))</f>
        <v>1</v>
      </c>
      <c r="F957" s="30">
        <f>IF($A957="",0,(Transactions!M949-Transactions!L949+IF(Transactions!A949=2,Transactions!H949,0))*$E957)</f>
        <v>0</v>
      </c>
      <c r="G957" s="30">
        <f>IF($A957="",0,IF(Transactions!A949=2,Transactions!H949*$E957,0))</f>
        <v>0</v>
      </c>
    </row>
    <row r="958" spans="1:7" ht="15" customHeight="1" x14ac:dyDescent="0.15">
      <c r="A958" t="str">
        <f>IF(Transactions!J950="","",Transactions!J950)</f>
        <v/>
      </c>
      <c r="B958" s="297">
        <f ca="1">IF($A958="",TODAY(),Transactions!G950)</f>
        <v>46216</v>
      </c>
      <c r="C958" t="str">
        <f>IF($A958="","",Transactions!A950)</f>
        <v/>
      </c>
      <c r="D958" s="30">
        <f>IF($A958="",0,Transactions!H950)</f>
        <v>0</v>
      </c>
      <c r="E958">
        <f>IF($A958="",1,IFERROR(INDEX(Prices[FX to SGD],MATCH($A958,Prices[Key],0)),1))</f>
        <v>1</v>
      </c>
      <c r="F958" s="30">
        <f>IF($A958="",0,(Transactions!M950-Transactions!L950+IF(Transactions!A950=2,Transactions!H950,0))*$E958)</f>
        <v>0</v>
      </c>
      <c r="G958" s="30">
        <f>IF($A958="",0,IF(Transactions!A950=2,Transactions!H950*$E958,0))</f>
        <v>0</v>
      </c>
    </row>
    <row r="959" spans="1:7" ht="15" customHeight="1" x14ac:dyDescent="0.15">
      <c r="A959" t="str">
        <f>IF(Transactions!J951="","",Transactions!J951)</f>
        <v/>
      </c>
      <c r="B959" s="297">
        <f ca="1">IF($A959="",TODAY(),Transactions!G951)</f>
        <v>46216</v>
      </c>
      <c r="C959" t="str">
        <f>IF($A959="","",Transactions!A951)</f>
        <v/>
      </c>
      <c r="D959" s="30">
        <f>IF($A959="",0,Transactions!H951)</f>
        <v>0</v>
      </c>
      <c r="E959">
        <f>IF($A959="",1,IFERROR(INDEX(Prices[FX to SGD],MATCH($A959,Prices[Key],0)),1))</f>
        <v>1</v>
      </c>
      <c r="F959" s="30">
        <f>IF($A959="",0,(Transactions!M951-Transactions!L951+IF(Transactions!A951=2,Transactions!H951,0))*$E959)</f>
        <v>0</v>
      </c>
      <c r="G959" s="30">
        <f>IF($A959="",0,IF(Transactions!A951=2,Transactions!H951*$E959,0))</f>
        <v>0</v>
      </c>
    </row>
    <row r="960" spans="1:7" ht="15" customHeight="1" x14ac:dyDescent="0.15">
      <c r="A960" t="str">
        <f>IF(Transactions!J952="","",Transactions!J952)</f>
        <v/>
      </c>
      <c r="B960" s="297">
        <f ca="1">IF($A960="",TODAY(),Transactions!G952)</f>
        <v>46216</v>
      </c>
      <c r="C960" t="str">
        <f>IF($A960="","",Transactions!A952)</f>
        <v/>
      </c>
      <c r="D960" s="30">
        <f>IF($A960="",0,Transactions!H952)</f>
        <v>0</v>
      </c>
      <c r="E960">
        <f>IF($A960="",1,IFERROR(INDEX(Prices[FX to SGD],MATCH($A960,Prices[Key],0)),1))</f>
        <v>1</v>
      </c>
      <c r="F960" s="30">
        <f>IF($A960="",0,(Transactions!M952-Transactions!L952+IF(Transactions!A952=2,Transactions!H952,0))*$E960)</f>
        <v>0</v>
      </c>
      <c r="G960" s="30">
        <f>IF($A960="",0,IF(Transactions!A952=2,Transactions!H952*$E960,0))</f>
        <v>0</v>
      </c>
    </row>
    <row r="961" spans="1:7" ht="15" customHeight="1" x14ac:dyDescent="0.15">
      <c r="A961" t="str">
        <f>IF(Transactions!J953="","",Transactions!J953)</f>
        <v/>
      </c>
      <c r="B961" s="297">
        <f ca="1">IF($A961="",TODAY(),Transactions!G953)</f>
        <v>46216</v>
      </c>
      <c r="C961" t="str">
        <f>IF($A961="","",Transactions!A953)</f>
        <v/>
      </c>
      <c r="D961" s="30">
        <f>IF($A961="",0,Transactions!H953)</f>
        <v>0</v>
      </c>
      <c r="E961">
        <f>IF($A961="",1,IFERROR(INDEX(Prices[FX to SGD],MATCH($A961,Prices[Key],0)),1))</f>
        <v>1</v>
      </c>
      <c r="F961" s="30">
        <f>IF($A961="",0,(Transactions!M953-Transactions!L953+IF(Transactions!A953=2,Transactions!H953,0))*$E961)</f>
        <v>0</v>
      </c>
      <c r="G961" s="30">
        <f>IF($A961="",0,IF(Transactions!A953=2,Transactions!H953*$E961,0))</f>
        <v>0</v>
      </c>
    </row>
    <row r="962" spans="1:7" ht="15" customHeight="1" x14ac:dyDescent="0.15">
      <c r="A962" t="str">
        <f>IF(Transactions!J954="","",Transactions!J954)</f>
        <v/>
      </c>
      <c r="B962" s="297">
        <f ca="1">IF($A962="",TODAY(),Transactions!G954)</f>
        <v>46216</v>
      </c>
      <c r="C962" t="str">
        <f>IF($A962="","",Transactions!A954)</f>
        <v/>
      </c>
      <c r="D962" s="30">
        <f>IF($A962="",0,Transactions!H954)</f>
        <v>0</v>
      </c>
      <c r="E962">
        <f>IF($A962="",1,IFERROR(INDEX(Prices[FX to SGD],MATCH($A962,Prices[Key],0)),1))</f>
        <v>1</v>
      </c>
      <c r="F962" s="30">
        <f>IF($A962="",0,(Transactions!M954-Transactions!L954+IF(Transactions!A954=2,Transactions!H954,0))*$E962)</f>
        <v>0</v>
      </c>
      <c r="G962" s="30">
        <f>IF($A962="",0,IF(Transactions!A954=2,Transactions!H954*$E962,0))</f>
        <v>0</v>
      </c>
    </row>
    <row r="963" spans="1:7" ht="15" customHeight="1" x14ac:dyDescent="0.15">
      <c r="A963" t="str">
        <f>IF(Transactions!J955="","",Transactions!J955)</f>
        <v/>
      </c>
      <c r="B963" s="297">
        <f ca="1">IF($A963="",TODAY(),Transactions!G955)</f>
        <v>46216</v>
      </c>
      <c r="C963" t="str">
        <f>IF($A963="","",Transactions!A955)</f>
        <v/>
      </c>
      <c r="D963" s="30">
        <f>IF($A963="",0,Transactions!H955)</f>
        <v>0</v>
      </c>
      <c r="E963">
        <f>IF($A963="",1,IFERROR(INDEX(Prices[FX to SGD],MATCH($A963,Prices[Key],0)),1))</f>
        <v>1</v>
      </c>
      <c r="F963" s="30">
        <f>IF($A963="",0,(Transactions!M955-Transactions!L955+IF(Transactions!A955=2,Transactions!H955,0))*$E963)</f>
        <v>0</v>
      </c>
      <c r="G963" s="30">
        <f>IF($A963="",0,IF(Transactions!A955=2,Transactions!H955*$E963,0))</f>
        <v>0</v>
      </c>
    </row>
    <row r="964" spans="1:7" ht="15" customHeight="1" x14ac:dyDescent="0.15">
      <c r="A964" t="str">
        <f>IF(Transactions!J956="","",Transactions!J956)</f>
        <v/>
      </c>
      <c r="B964" s="297">
        <f ca="1">IF($A964="",TODAY(),Transactions!G956)</f>
        <v>46216</v>
      </c>
      <c r="C964" t="str">
        <f>IF($A964="","",Transactions!A956)</f>
        <v/>
      </c>
      <c r="D964" s="30">
        <f>IF($A964="",0,Transactions!H956)</f>
        <v>0</v>
      </c>
      <c r="E964">
        <f>IF($A964="",1,IFERROR(INDEX(Prices[FX to SGD],MATCH($A964,Prices[Key],0)),1))</f>
        <v>1</v>
      </c>
      <c r="F964" s="30">
        <f>IF($A964="",0,(Transactions!M956-Transactions!L956+IF(Transactions!A956=2,Transactions!H956,0))*$E964)</f>
        <v>0</v>
      </c>
      <c r="G964" s="30">
        <f>IF($A964="",0,IF(Transactions!A956=2,Transactions!H956*$E964,0))</f>
        <v>0</v>
      </c>
    </row>
    <row r="965" spans="1:7" ht="15" customHeight="1" x14ac:dyDescent="0.15">
      <c r="A965" t="str">
        <f>IF(Transactions!J957="","",Transactions!J957)</f>
        <v/>
      </c>
      <c r="B965" s="297">
        <f ca="1">IF($A965="",TODAY(),Transactions!G957)</f>
        <v>46216</v>
      </c>
      <c r="C965" t="str">
        <f>IF($A965="","",Transactions!A957)</f>
        <v/>
      </c>
      <c r="D965" s="30">
        <f>IF($A965="",0,Transactions!H957)</f>
        <v>0</v>
      </c>
      <c r="E965">
        <f>IF($A965="",1,IFERROR(INDEX(Prices[FX to SGD],MATCH($A965,Prices[Key],0)),1))</f>
        <v>1</v>
      </c>
      <c r="F965" s="30">
        <f>IF($A965="",0,(Transactions!M957-Transactions!L957+IF(Transactions!A957=2,Transactions!H957,0))*$E965)</f>
        <v>0</v>
      </c>
      <c r="G965" s="30">
        <f>IF($A965="",0,IF(Transactions!A957=2,Transactions!H957*$E965,0))</f>
        <v>0</v>
      </c>
    </row>
    <row r="966" spans="1:7" ht="15" customHeight="1" x14ac:dyDescent="0.15">
      <c r="A966" t="str">
        <f>IF(Transactions!J958="","",Transactions!J958)</f>
        <v/>
      </c>
      <c r="B966" s="297">
        <f ca="1">IF($A966="",TODAY(),Transactions!G958)</f>
        <v>46216</v>
      </c>
      <c r="C966" t="str">
        <f>IF($A966="","",Transactions!A958)</f>
        <v/>
      </c>
      <c r="D966" s="30">
        <f>IF($A966="",0,Transactions!H958)</f>
        <v>0</v>
      </c>
      <c r="E966">
        <f>IF($A966="",1,IFERROR(INDEX(Prices[FX to SGD],MATCH($A966,Prices[Key],0)),1))</f>
        <v>1</v>
      </c>
      <c r="F966" s="30">
        <f>IF($A966="",0,(Transactions!M958-Transactions!L958+IF(Transactions!A958=2,Transactions!H958,0))*$E966)</f>
        <v>0</v>
      </c>
      <c r="G966" s="30">
        <f>IF($A966="",0,IF(Transactions!A958=2,Transactions!H958*$E966,0))</f>
        <v>0</v>
      </c>
    </row>
    <row r="967" spans="1:7" ht="15" customHeight="1" x14ac:dyDescent="0.15">
      <c r="A967" t="str">
        <f>IF(Transactions!J959="","",Transactions!J959)</f>
        <v/>
      </c>
      <c r="B967" s="297">
        <f ca="1">IF($A967="",TODAY(),Transactions!G959)</f>
        <v>46216</v>
      </c>
      <c r="C967" t="str">
        <f>IF($A967="","",Transactions!A959)</f>
        <v/>
      </c>
      <c r="D967" s="30">
        <f>IF($A967="",0,Transactions!H959)</f>
        <v>0</v>
      </c>
      <c r="E967">
        <f>IF($A967="",1,IFERROR(INDEX(Prices[FX to SGD],MATCH($A967,Prices[Key],0)),1))</f>
        <v>1</v>
      </c>
      <c r="F967" s="30">
        <f>IF($A967="",0,(Transactions!M959-Transactions!L959+IF(Transactions!A959=2,Transactions!H959,0))*$E967)</f>
        <v>0</v>
      </c>
      <c r="G967" s="30">
        <f>IF($A967="",0,IF(Transactions!A959=2,Transactions!H959*$E967,0))</f>
        <v>0</v>
      </c>
    </row>
    <row r="968" spans="1:7" ht="15" customHeight="1" x14ac:dyDescent="0.15">
      <c r="A968" t="str">
        <f>IF(Transactions!J960="","",Transactions!J960)</f>
        <v/>
      </c>
      <c r="B968" s="297">
        <f ca="1">IF($A968="",TODAY(),Transactions!G960)</f>
        <v>46216</v>
      </c>
      <c r="C968" t="str">
        <f>IF($A968="","",Transactions!A960)</f>
        <v/>
      </c>
      <c r="D968" s="30">
        <f>IF($A968="",0,Transactions!H960)</f>
        <v>0</v>
      </c>
      <c r="E968">
        <f>IF($A968="",1,IFERROR(INDEX(Prices[FX to SGD],MATCH($A968,Prices[Key],0)),1))</f>
        <v>1</v>
      </c>
      <c r="F968" s="30">
        <f>IF($A968="",0,(Transactions!M960-Transactions!L960+IF(Transactions!A960=2,Transactions!H960,0))*$E968)</f>
        <v>0</v>
      </c>
      <c r="G968" s="30">
        <f>IF($A968="",0,IF(Transactions!A960=2,Transactions!H960*$E968,0))</f>
        <v>0</v>
      </c>
    </row>
    <row r="969" spans="1:7" ht="15" customHeight="1" x14ac:dyDescent="0.15">
      <c r="A969" t="str">
        <f>IF(Transactions!J961="","",Transactions!J961)</f>
        <v/>
      </c>
      <c r="B969" s="297">
        <f ca="1">IF($A969="",TODAY(),Transactions!G961)</f>
        <v>46216</v>
      </c>
      <c r="C969" t="str">
        <f>IF($A969="","",Transactions!A961)</f>
        <v/>
      </c>
      <c r="D969" s="30">
        <f>IF($A969="",0,Transactions!H961)</f>
        <v>0</v>
      </c>
      <c r="E969">
        <f>IF($A969="",1,IFERROR(INDEX(Prices[FX to SGD],MATCH($A969,Prices[Key],0)),1))</f>
        <v>1</v>
      </c>
      <c r="F969" s="30">
        <f>IF($A969="",0,(Transactions!M961-Transactions!L961+IF(Transactions!A961=2,Transactions!H961,0))*$E969)</f>
        <v>0</v>
      </c>
      <c r="G969" s="30">
        <f>IF($A969="",0,IF(Transactions!A961=2,Transactions!H961*$E969,0))</f>
        <v>0</v>
      </c>
    </row>
    <row r="970" spans="1:7" ht="15" customHeight="1" x14ac:dyDescent="0.15">
      <c r="A970" t="str">
        <f>IF(Transactions!J962="","",Transactions!J962)</f>
        <v/>
      </c>
      <c r="B970" s="297">
        <f ca="1">IF($A970="",TODAY(),Transactions!G962)</f>
        <v>46216</v>
      </c>
      <c r="C970" t="str">
        <f>IF($A970="","",Transactions!A962)</f>
        <v/>
      </c>
      <c r="D970" s="30">
        <f>IF($A970="",0,Transactions!H962)</f>
        <v>0</v>
      </c>
      <c r="E970">
        <f>IF($A970="",1,IFERROR(INDEX(Prices[FX to SGD],MATCH($A970,Prices[Key],0)),1))</f>
        <v>1</v>
      </c>
      <c r="F970" s="30">
        <f>IF($A970="",0,(Transactions!M962-Transactions!L962+IF(Transactions!A962=2,Transactions!H962,0))*$E970)</f>
        <v>0</v>
      </c>
      <c r="G970" s="30">
        <f>IF($A970="",0,IF(Transactions!A962=2,Transactions!H962*$E970,0))</f>
        <v>0</v>
      </c>
    </row>
    <row r="971" spans="1:7" ht="15" customHeight="1" x14ac:dyDescent="0.15">
      <c r="A971" t="str">
        <f>IF(Transactions!J963="","",Transactions!J963)</f>
        <v/>
      </c>
      <c r="B971" s="297">
        <f ca="1">IF($A971="",TODAY(),Transactions!G963)</f>
        <v>46216</v>
      </c>
      <c r="C971" t="str">
        <f>IF($A971="","",Transactions!A963)</f>
        <v/>
      </c>
      <c r="D971" s="30">
        <f>IF($A971="",0,Transactions!H963)</f>
        <v>0</v>
      </c>
      <c r="E971">
        <f>IF($A971="",1,IFERROR(INDEX(Prices[FX to SGD],MATCH($A971,Prices[Key],0)),1))</f>
        <v>1</v>
      </c>
      <c r="F971" s="30">
        <f>IF($A971="",0,(Transactions!M963-Transactions!L963+IF(Transactions!A963=2,Transactions!H963,0))*$E971)</f>
        <v>0</v>
      </c>
      <c r="G971" s="30">
        <f>IF($A971="",0,IF(Transactions!A963=2,Transactions!H963*$E971,0))</f>
        <v>0</v>
      </c>
    </row>
    <row r="972" spans="1:7" ht="15" customHeight="1" x14ac:dyDescent="0.15">
      <c r="A972" t="str">
        <f>IF(Transactions!J964="","",Transactions!J964)</f>
        <v/>
      </c>
      <c r="B972" s="297">
        <f ca="1">IF($A972="",TODAY(),Transactions!G964)</f>
        <v>46216</v>
      </c>
      <c r="C972" t="str">
        <f>IF($A972="","",Transactions!A964)</f>
        <v/>
      </c>
      <c r="D972" s="30">
        <f>IF($A972="",0,Transactions!H964)</f>
        <v>0</v>
      </c>
      <c r="E972">
        <f>IF($A972="",1,IFERROR(INDEX(Prices[FX to SGD],MATCH($A972,Prices[Key],0)),1))</f>
        <v>1</v>
      </c>
      <c r="F972" s="30">
        <f>IF($A972="",0,(Transactions!M964-Transactions!L964+IF(Transactions!A964=2,Transactions!H964,0))*$E972)</f>
        <v>0</v>
      </c>
      <c r="G972" s="30">
        <f>IF($A972="",0,IF(Transactions!A964=2,Transactions!H964*$E972,0))</f>
        <v>0</v>
      </c>
    </row>
    <row r="973" spans="1:7" ht="15" customHeight="1" x14ac:dyDescent="0.15">
      <c r="A973" t="str">
        <f>IF(Transactions!J965="","",Transactions!J965)</f>
        <v/>
      </c>
      <c r="B973" s="297">
        <f ca="1">IF($A973="",TODAY(),Transactions!G965)</f>
        <v>46216</v>
      </c>
      <c r="C973" t="str">
        <f>IF($A973="","",Transactions!A965)</f>
        <v/>
      </c>
      <c r="D973" s="30">
        <f>IF($A973="",0,Transactions!H965)</f>
        <v>0</v>
      </c>
      <c r="E973">
        <f>IF($A973="",1,IFERROR(INDEX(Prices[FX to SGD],MATCH($A973,Prices[Key],0)),1))</f>
        <v>1</v>
      </c>
      <c r="F973" s="30">
        <f>IF($A973="",0,(Transactions!M965-Transactions!L965+IF(Transactions!A965=2,Transactions!H965,0))*$E973)</f>
        <v>0</v>
      </c>
      <c r="G973" s="30">
        <f>IF($A973="",0,IF(Transactions!A965=2,Transactions!H965*$E973,0))</f>
        <v>0</v>
      </c>
    </row>
    <row r="974" spans="1:7" ht="15" customHeight="1" x14ac:dyDescent="0.15">
      <c r="A974" t="str">
        <f>IF(Transactions!J966="","",Transactions!J966)</f>
        <v/>
      </c>
      <c r="B974" s="297">
        <f ca="1">IF($A974="",TODAY(),Transactions!G966)</f>
        <v>46216</v>
      </c>
      <c r="C974" t="str">
        <f>IF($A974="","",Transactions!A966)</f>
        <v/>
      </c>
      <c r="D974" s="30">
        <f>IF($A974="",0,Transactions!H966)</f>
        <v>0</v>
      </c>
      <c r="E974">
        <f>IF($A974="",1,IFERROR(INDEX(Prices[FX to SGD],MATCH($A974,Prices[Key],0)),1))</f>
        <v>1</v>
      </c>
      <c r="F974" s="30">
        <f>IF($A974="",0,(Transactions!M966-Transactions!L966+IF(Transactions!A966=2,Transactions!H966,0))*$E974)</f>
        <v>0</v>
      </c>
      <c r="G974" s="30">
        <f>IF($A974="",0,IF(Transactions!A966=2,Transactions!H966*$E974,0))</f>
        <v>0</v>
      </c>
    </row>
    <row r="975" spans="1:7" ht="15" customHeight="1" x14ac:dyDescent="0.15">
      <c r="A975" t="str">
        <f>IF(Transactions!J967="","",Transactions!J967)</f>
        <v/>
      </c>
      <c r="B975" s="297">
        <f ca="1">IF($A975="",TODAY(),Transactions!G967)</f>
        <v>46216</v>
      </c>
      <c r="C975" t="str">
        <f>IF($A975="","",Transactions!A967)</f>
        <v/>
      </c>
      <c r="D975" s="30">
        <f>IF($A975="",0,Transactions!H967)</f>
        <v>0</v>
      </c>
      <c r="E975">
        <f>IF($A975="",1,IFERROR(INDEX(Prices[FX to SGD],MATCH($A975,Prices[Key],0)),1))</f>
        <v>1</v>
      </c>
      <c r="F975" s="30">
        <f>IF($A975="",0,(Transactions!M967-Transactions!L967+IF(Transactions!A967=2,Transactions!H967,0))*$E975)</f>
        <v>0</v>
      </c>
      <c r="G975" s="30">
        <f>IF($A975="",0,IF(Transactions!A967=2,Transactions!H967*$E975,0))</f>
        <v>0</v>
      </c>
    </row>
    <row r="976" spans="1:7" ht="15" customHeight="1" x14ac:dyDescent="0.15">
      <c r="A976" t="str">
        <f>IF(Transactions!J968="","",Transactions!J968)</f>
        <v/>
      </c>
      <c r="B976" s="297">
        <f ca="1">IF($A976="",TODAY(),Transactions!G968)</f>
        <v>46216</v>
      </c>
      <c r="C976" t="str">
        <f>IF($A976="","",Transactions!A968)</f>
        <v/>
      </c>
      <c r="D976" s="30">
        <f>IF($A976="",0,Transactions!H968)</f>
        <v>0</v>
      </c>
      <c r="E976">
        <f>IF($A976="",1,IFERROR(INDEX(Prices[FX to SGD],MATCH($A976,Prices[Key],0)),1))</f>
        <v>1</v>
      </c>
      <c r="F976" s="30">
        <f>IF($A976="",0,(Transactions!M968-Transactions!L968+IF(Transactions!A968=2,Transactions!H968,0))*$E976)</f>
        <v>0</v>
      </c>
      <c r="G976" s="30">
        <f>IF($A976="",0,IF(Transactions!A968=2,Transactions!H968*$E976,0))</f>
        <v>0</v>
      </c>
    </row>
    <row r="977" spans="1:7" ht="15" customHeight="1" x14ac:dyDescent="0.15">
      <c r="A977" t="str">
        <f>IF(Transactions!J969="","",Transactions!J969)</f>
        <v/>
      </c>
      <c r="B977" s="297">
        <f ca="1">IF($A977="",TODAY(),Transactions!G969)</f>
        <v>46216</v>
      </c>
      <c r="C977" t="str">
        <f>IF($A977="","",Transactions!A969)</f>
        <v/>
      </c>
      <c r="D977" s="30">
        <f>IF($A977="",0,Transactions!H969)</f>
        <v>0</v>
      </c>
      <c r="E977">
        <f>IF($A977="",1,IFERROR(INDEX(Prices[FX to SGD],MATCH($A977,Prices[Key],0)),1))</f>
        <v>1</v>
      </c>
      <c r="F977" s="30">
        <f>IF($A977="",0,(Transactions!M969-Transactions!L969+IF(Transactions!A969=2,Transactions!H969,0))*$E977)</f>
        <v>0</v>
      </c>
      <c r="G977" s="30">
        <f>IF($A977="",0,IF(Transactions!A969=2,Transactions!H969*$E977,0))</f>
        <v>0</v>
      </c>
    </row>
    <row r="978" spans="1:7" ht="15" customHeight="1" x14ac:dyDescent="0.15">
      <c r="A978" t="str">
        <f>IF(Transactions!J970="","",Transactions!J970)</f>
        <v/>
      </c>
      <c r="B978" s="297">
        <f ca="1">IF($A978="",TODAY(),Transactions!G970)</f>
        <v>46216</v>
      </c>
      <c r="C978" t="str">
        <f>IF($A978="","",Transactions!A970)</f>
        <v/>
      </c>
      <c r="D978" s="30">
        <f>IF($A978="",0,Transactions!H970)</f>
        <v>0</v>
      </c>
      <c r="E978">
        <f>IF($A978="",1,IFERROR(INDEX(Prices[FX to SGD],MATCH($A978,Prices[Key],0)),1))</f>
        <v>1</v>
      </c>
      <c r="F978" s="30">
        <f>IF($A978="",0,(Transactions!M970-Transactions!L970+IF(Transactions!A970=2,Transactions!H970,0))*$E978)</f>
        <v>0</v>
      </c>
      <c r="G978" s="30">
        <f>IF($A978="",0,IF(Transactions!A970=2,Transactions!H970*$E978,0))</f>
        <v>0</v>
      </c>
    </row>
    <row r="979" spans="1:7" ht="15" customHeight="1" x14ac:dyDescent="0.15">
      <c r="A979" t="str">
        <f>IF(Transactions!J971="","",Transactions!J971)</f>
        <v/>
      </c>
      <c r="B979" s="297">
        <f ca="1">IF($A979="",TODAY(),Transactions!G971)</f>
        <v>46216</v>
      </c>
      <c r="C979" t="str">
        <f>IF($A979="","",Transactions!A971)</f>
        <v/>
      </c>
      <c r="D979" s="30">
        <f>IF($A979="",0,Transactions!H971)</f>
        <v>0</v>
      </c>
      <c r="E979">
        <f>IF($A979="",1,IFERROR(INDEX(Prices[FX to SGD],MATCH($A979,Prices[Key],0)),1))</f>
        <v>1</v>
      </c>
      <c r="F979" s="30">
        <f>IF($A979="",0,(Transactions!M971-Transactions!L971+IF(Transactions!A971=2,Transactions!H971,0))*$E979)</f>
        <v>0</v>
      </c>
      <c r="G979" s="30">
        <f>IF($A979="",0,IF(Transactions!A971=2,Transactions!H971*$E979,0))</f>
        <v>0</v>
      </c>
    </row>
    <row r="980" spans="1:7" ht="15" customHeight="1" x14ac:dyDescent="0.15">
      <c r="A980" t="str">
        <f>IF(Transactions!J972="","",Transactions!J972)</f>
        <v/>
      </c>
      <c r="B980" s="297">
        <f ca="1">IF($A980="",TODAY(),Transactions!G972)</f>
        <v>46216</v>
      </c>
      <c r="C980" t="str">
        <f>IF($A980="","",Transactions!A972)</f>
        <v/>
      </c>
      <c r="D980" s="30">
        <f>IF($A980="",0,Transactions!H972)</f>
        <v>0</v>
      </c>
      <c r="E980">
        <f>IF($A980="",1,IFERROR(INDEX(Prices[FX to SGD],MATCH($A980,Prices[Key],0)),1))</f>
        <v>1</v>
      </c>
      <c r="F980" s="30">
        <f>IF($A980="",0,(Transactions!M972-Transactions!L972+IF(Transactions!A972=2,Transactions!H972,0))*$E980)</f>
        <v>0</v>
      </c>
      <c r="G980" s="30">
        <f>IF($A980="",0,IF(Transactions!A972=2,Transactions!H972*$E980,0))</f>
        <v>0</v>
      </c>
    </row>
    <row r="981" spans="1:7" ht="15" customHeight="1" x14ac:dyDescent="0.15">
      <c r="A981" t="str">
        <f>IF(Transactions!J973="","",Transactions!J973)</f>
        <v/>
      </c>
      <c r="B981" s="297">
        <f ca="1">IF($A981="",TODAY(),Transactions!G973)</f>
        <v>46216</v>
      </c>
      <c r="C981" t="str">
        <f>IF($A981="","",Transactions!A973)</f>
        <v/>
      </c>
      <c r="D981" s="30">
        <f>IF($A981="",0,Transactions!H973)</f>
        <v>0</v>
      </c>
      <c r="E981">
        <f>IF($A981="",1,IFERROR(INDEX(Prices[FX to SGD],MATCH($A981,Prices[Key],0)),1))</f>
        <v>1</v>
      </c>
      <c r="F981" s="30">
        <f>IF($A981="",0,(Transactions!M973-Transactions!L973+IF(Transactions!A973=2,Transactions!H973,0))*$E981)</f>
        <v>0</v>
      </c>
      <c r="G981" s="30">
        <f>IF($A981="",0,IF(Transactions!A973=2,Transactions!H973*$E981,0))</f>
        <v>0</v>
      </c>
    </row>
    <row r="982" spans="1:7" ht="15" customHeight="1" x14ac:dyDescent="0.15">
      <c r="A982" t="str">
        <f>IF(Transactions!J974="","",Transactions!J974)</f>
        <v/>
      </c>
      <c r="B982" s="297">
        <f ca="1">IF($A982="",TODAY(),Transactions!G974)</f>
        <v>46216</v>
      </c>
      <c r="C982" t="str">
        <f>IF($A982="","",Transactions!A974)</f>
        <v/>
      </c>
      <c r="D982" s="30">
        <f>IF($A982="",0,Transactions!H974)</f>
        <v>0</v>
      </c>
      <c r="E982">
        <f>IF($A982="",1,IFERROR(INDEX(Prices[FX to SGD],MATCH($A982,Prices[Key],0)),1))</f>
        <v>1</v>
      </c>
      <c r="F982" s="30">
        <f>IF($A982="",0,(Transactions!M974-Transactions!L974+IF(Transactions!A974=2,Transactions!H974,0))*$E982)</f>
        <v>0</v>
      </c>
      <c r="G982" s="30">
        <f>IF($A982="",0,IF(Transactions!A974=2,Transactions!H974*$E982,0))</f>
        <v>0</v>
      </c>
    </row>
    <row r="983" spans="1:7" ht="15" customHeight="1" x14ac:dyDescent="0.15">
      <c r="A983" t="str">
        <f>IF(Transactions!J975="","",Transactions!J975)</f>
        <v/>
      </c>
      <c r="B983" s="297">
        <f ca="1">IF($A983="",TODAY(),Transactions!G975)</f>
        <v>46216</v>
      </c>
      <c r="C983" t="str">
        <f>IF($A983="","",Transactions!A975)</f>
        <v/>
      </c>
      <c r="D983" s="30">
        <f>IF($A983="",0,Transactions!H975)</f>
        <v>0</v>
      </c>
      <c r="E983">
        <f>IF($A983="",1,IFERROR(INDEX(Prices[FX to SGD],MATCH($A983,Prices[Key],0)),1))</f>
        <v>1</v>
      </c>
      <c r="F983" s="30">
        <f>IF($A983="",0,(Transactions!M975-Transactions!L975+IF(Transactions!A975=2,Transactions!H975,0))*$E983)</f>
        <v>0</v>
      </c>
      <c r="G983" s="30">
        <f>IF($A983="",0,IF(Transactions!A975=2,Transactions!H975*$E983,0))</f>
        <v>0</v>
      </c>
    </row>
    <row r="984" spans="1:7" ht="15" customHeight="1" x14ac:dyDescent="0.15">
      <c r="A984" t="str">
        <f>IF(Transactions!J976="","",Transactions!J976)</f>
        <v/>
      </c>
      <c r="B984" s="297">
        <f ca="1">IF($A984="",TODAY(),Transactions!G976)</f>
        <v>46216</v>
      </c>
      <c r="C984" t="str">
        <f>IF($A984="","",Transactions!A976)</f>
        <v/>
      </c>
      <c r="D984" s="30">
        <f>IF($A984="",0,Transactions!H976)</f>
        <v>0</v>
      </c>
      <c r="E984">
        <f>IF($A984="",1,IFERROR(INDEX(Prices[FX to SGD],MATCH($A984,Prices[Key],0)),1))</f>
        <v>1</v>
      </c>
      <c r="F984" s="30">
        <f>IF($A984="",0,(Transactions!M976-Transactions!L976+IF(Transactions!A976=2,Transactions!H976,0))*$E984)</f>
        <v>0</v>
      </c>
      <c r="G984" s="30">
        <f>IF($A984="",0,IF(Transactions!A976=2,Transactions!H976*$E984,0))</f>
        <v>0</v>
      </c>
    </row>
    <row r="985" spans="1:7" ht="15" customHeight="1" x14ac:dyDescent="0.15">
      <c r="A985" t="str">
        <f>IF(Transactions!J977="","",Transactions!J977)</f>
        <v/>
      </c>
      <c r="B985" s="297">
        <f ca="1">IF($A985="",TODAY(),Transactions!G977)</f>
        <v>46216</v>
      </c>
      <c r="C985" t="str">
        <f>IF($A985="","",Transactions!A977)</f>
        <v/>
      </c>
      <c r="D985" s="30">
        <f>IF($A985="",0,Transactions!H977)</f>
        <v>0</v>
      </c>
      <c r="E985">
        <f>IF($A985="",1,IFERROR(INDEX(Prices[FX to SGD],MATCH($A985,Prices[Key],0)),1))</f>
        <v>1</v>
      </c>
      <c r="F985" s="30">
        <f>IF($A985="",0,(Transactions!M977-Transactions!L977+IF(Transactions!A977=2,Transactions!H977,0))*$E985)</f>
        <v>0</v>
      </c>
      <c r="G985" s="30">
        <f>IF($A985="",0,IF(Transactions!A977=2,Transactions!H977*$E985,0))</f>
        <v>0</v>
      </c>
    </row>
    <row r="986" spans="1:7" ht="15" customHeight="1" x14ac:dyDescent="0.15">
      <c r="A986" t="str">
        <f>IF(Transactions!J978="","",Transactions!J978)</f>
        <v/>
      </c>
      <c r="B986" s="297">
        <f ca="1">IF($A986="",TODAY(),Transactions!G978)</f>
        <v>46216</v>
      </c>
      <c r="C986" t="str">
        <f>IF($A986="","",Transactions!A978)</f>
        <v/>
      </c>
      <c r="D986" s="30">
        <f>IF($A986="",0,Transactions!H978)</f>
        <v>0</v>
      </c>
      <c r="E986">
        <f>IF($A986="",1,IFERROR(INDEX(Prices[FX to SGD],MATCH($A986,Prices[Key],0)),1))</f>
        <v>1</v>
      </c>
      <c r="F986" s="30">
        <f>IF($A986="",0,(Transactions!M978-Transactions!L978+IF(Transactions!A978=2,Transactions!H978,0))*$E986)</f>
        <v>0</v>
      </c>
      <c r="G986" s="30">
        <f>IF($A986="",0,IF(Transactions!A978=2,Transactions!H978*$E986,0))</f>
        <v>0</v>
      </c>
    </row>
    <row r="987" spans="1:7" ht="15" customHeight="1" x14ac:dyDescent="0.15">
      <c r="A987" t="str">
        <f>IF(Transactions!J979="","",Transactions!J979)</f>
        <v/>
      </c>
      <c r="B987" s="297">
        <f ca="1">IF($A987="",TODAY(),Transactions!G979)</f>
        <v>46216</v>
      </c>
      <c r="C987" t="str">
        <f>IF($A987="","",Transactions!A979)</f>
        <v/>
      </c>
      <c r="D987" s="30">
        <f>IF($A987="",0,Transactions!H979)</f>
        <v>0</v>
      </c>
      <c r="E987">
        <f>IF($A987="",1,IFERROR(INDEX(Prices[FX to SGD],MATCH($A987,Prices[Key],0)),1))</f>
        <v>1</v>
      </c>
      <c r="F987" s="30">
        <f>IF($A987="",0,(Transactions!M979-Transactions!L979+IF(Transactions!A979=2,Transactions!H979,0))*$E987)</f>
        <v>0</v>
      </c>
      <c r="G987" s="30">
        <f>IF($A987="",0,IF(Transactions!A979=2,Transactions!H979*$E987,0))</f>
        <v>0</v>
      </c>
    </row>
    <row r="988" spans="1:7" ht="15" customHeight="1" x14ac:dyDescent="0.15">
      <c r="A988" t="str">
        <f>IF(Transactions!J980="","",Transactions!J980)</f>
        <v/>
      </c>
      <c r="B988" s="297">
        <f ca="1">IF($A988="",TODAY(),Transactions!G980)</f>
        <v>46216</v>
      </c>
      <c r="C988" t="str">
        <f>IF($A988="","",Transactions!A980)</f>
        <v/>
      </c>
      <c r="D988" s="30">
        <f>IF($A988="",0,Transactions!H980)</f>
        <v>0</v>
      </c>
      <c r="E988">
        <f>IF($A988="",1,IFERROR(INDEX(Prices[FX to SGD],MATCH($A988,Prices[Key],0)),1))</f>
        <v>1</v>
      </c>
      <c r="F988" s="30">
        <f>IF($A988="",0,(Transactions!M980-Transactions!L980+IF(Transactions!A980=2,Transactions!H980,0))*$E988)</f>
        <v>0</v>
      </c>
      <c r="G988" s="30">
        <f>IF($A988="",0,IF(Transactions!A980=2,Transactions!H980*$E988,0))</f>
        <v>0</v>
      </c>
    </row>
    <row r="989" spans="1:7" ht="15" customHeight="1" x14ac:dyDescent="0.15">
      <c r="A989" t="str">
        <f>IF(Transactions!J981="","",Transactions!J981)</f>
        <v/>
      </c>
      <c r="B989" s="297">
        <f ca="1">IF($A989="",TODAY(),Transactions!G981)</f>
        <v>46216</v>
      </c>
      <c r="C989" t="str">
        <f>IF($A989="","",Transactions!A981)</f>
        <v/>
      </c>
      <c r="D989" s="30">
        <f>IF($A989="",0,Transactions!H981)</f>
        <v>0</v>
      </c>
      <c r="E989">
        <f>IF($A989="",1,IFERROR(INDEX(Prices[FX to SGD],MATCH($A989,Prices[Key],0)),1))</f>
        <v>1</v>
      </c>
      <c r="F989" s="30">
        <f>IF($A989="",0,(Transactions!M981-Transactions!L981+IF(Transactions!A981=2,Transactions!H981,0))*$E989)</f>
        <v>0</v>
      </c>
      <c r="G989" s="30">
        <f>IF($A989="",0,IF(Transactions!A981=2,Transactions!H981*$E989,0))</f>
        <v>0</v>
      </c>
    </row>
    <row r="990" spans="1:7" ht="15" customHeight="1" x14ac:dyDescent="0.15">
      <c r="A990" t="str">
        <f>IF(Transactions!J982="","",Transactions!J982)</f>
        <v/>
      </c>
      <c r="B990" s="297">
        <f ca="1">IF($A990="",TODAY(),Transactions!G982)</f>
        <v>46216</v>
      </c>
      <c r="C990" t="str">
        <f>IF($A990="","",Transactions!A982)</f>
        <v/>
      </c>
      <c r="D990" s="30">
        <f>IF($A990="",0,Transactions!H982)</f>
        <v>0</v>
      </c>
      <c r="E990">
        <f>IF($A990="",1,IFERROR(INDEX(Prices[FX to SGD],MATCH($A990,Prices[Key],0)),1))</f>
        <v>1</v>
      </c>
      <c r="F990" s="30">
        <f>IF($A990="",0,(Transactions!M982-Transactions!L982+IF(Transactions!A982=2,Transactions!H982,0))*$E990)</f>
        <v>0</v>
      </c>
      <c r="G990" s="30">
        <f>IF($A990="",0,IF(Transactions!A982=2,Transactions!H982*$E990,0))</f>
        <v>0</v>
      </c>
    </row>
    <row r="991" spans="1:7" ht="15" customHeight="1" x14ac:dyDescent="0.15">
      <c r="A991" t="str">
        <f>IF(Transactions!J983="","",Transactions!J983)</f>
        <v/>
      </c>
      <c r="B991" s="297">
        <f ca="1">IF($A991="",TODAY(),Transactions!G983)</f>
        <v>46216</v>
      </c>
      <c r="C991" t="str">
        <f>IF($A991="","",Transactions!A983)</f>
        <v/>
      </c>
      <c r="D991" s="30">
        <f>IF($A991="",0,Transactions!H983)</f>
        <v>0</v>
      </c>
      <c r="E991">
        <f>IF($A991="",1,IFERROR(INDEX(Prices[FX to SGD],MATCH($A991,Prices[Key],0)),1))</f>
        <v>1</v>
      </c>
      <c r="F991" s="30">
        <f>IF($A991="",0,(Transactions!M983-Transactions!L983+IF(Transactions!A983=2,Transactions!H983,0))*$E991)</f>
        <v>0</v>
      </c>
      <c r="G991" s="30">
        <f>IF($A991="",0,IF(Transactions!A983=2,Transactions!H983*$E991,0))</f>
        <v>0</v>
      </c>
    </row>
    <row r="992" spans="1:7" ht="15" customHeight="1" x14ac:dyDescent="0.15">
      <c r="A992" t="str">
        <f>IF(Transactions!J984="","",Transactions!J984)</f>
        <v/>
      </c>
      <c r="B992" s="297">
        <f ca="1">IF($A992="",TODAY(),Transactions!G984)</f>
        <v>46216</v>
      </c>
      <c r="C992" t="str">
        <f>IF($A992="","",Transactions!A984)</f>
        <v/>
      </c>
      <c r="D992" s="30">
        <f>IF($A992="",0,Transactions!H984)</f>
        <v>0</v>
      </c>
      <c r="E992">
        <f>IF($A992="",1,IFERROR(INDEX(Prices[FX to SGD],MATCH($A992,Prices[Key],0)),1))</f>
        <v>1</v>
      </c>
      <c r="F992" s="30">
        <f>IF($A992="",0,(Transactions!M984-Transactions!L984+IF(Transactions!A984=2,Transactions!H984,0))*$E992)</f>
        <v>0</v>
      </c>
      <c r="G992" s="30">
        <f>IF($A992="",0,IF(Transactions!A984=2,Transactions!H984*$E992,0))</f>
        <v>0</v>
      </c>
    </row>
    <row r="993" spans="1:7" ht="15" customHeight="1" x14ac:dyDescent="0.15">
      <c r="A993" t="str">
        <f>IF(Transactions!J985="","",Transactions!J985)</f>
        <v/>
      </c>
      <c r="B993" s="297">
        <f ca="1">IF($A993="",TODAY(),Transactions!G985)</f>
        <v>46216</v>
      </c>
      <c r="C993" t="str">
        <f>IF($A993="","",Transactions!A985)</f>
        <v/>
      </c>
      <c r="D993" s="30">
        <f>IF($A993="",0,Transactions!H985)</f>
        <v>0</v>
      </c>
      <c r="E993">
        <f>IF($A993="",1,IFERROR(INDEX(Prices[FX to SGD],MATCH($A993,Prices[Key],0)),1))</f>
        <v>1</v>
      </c>
      <c r="F993" s="30">
        <f>IF($A993="",0,(Transactions!M985-Transactions!L985+IF(Transactions!A985=2,Transactions!H985,0))*$E993)</f>
        <v>0</v>
      </c>
      <c r="G993" s="30">
        <f>IF($A993="",0,IF(Transactions!A985=2,Transactions!H985*$E993,0))</f>
        <v>0</v>
      </c>
    </row>
    <row r="994" spans="1:7" ht="15" customHeight="1" x14ac:dyDescent="0.15">
      <c r="A994" t="str">
        <f>IF(Transactions!J986="","",Transactions!J986)</f>
        <v/>
      </c>
      <c r="B994" s="297">
        <f ca="1">IF($A994="",TODAY(),Transactions!G986)</f>
        <v>46216</v>
      </c>
      <c r="C994" t="str">
        <f>IF($A994="","",Transactions!A986)</f>
        <v/>
      </c>
      <c r="D994" s="30">
        <f>IF($A994="",0,Transactions!H986)</f>
        <v>0</v>
      </c>
      <c r="E994">
        <f>IF($A994="",1,IFERROR(INDEX(Prices[FX to SGD],MATCH($A994,Prices[Key],0)),1))</f>
        <v>1</v>
      </c>
      <c r="F994" s="30">
        <f>IF($A994="",0,(Transactions!M986-Transactions!L986+IF(Transactions!A986=2,Transactions!H986,0))*$E994)</f>
        <v>0</v>
      </c>
      <c r="G994" s="30">
        <f>IF($A994="",0,IF(Transactions!A986=2,Transactions!H986*$E994,0))</f>
        <v>0</v>
      </c>
    </row>
    <row r="995" spans="1:7" ht="15" customHeight="1" x14ac:dyDescent="0.15">
      <c r="A995" t="str">
        <f>IF(Transactions!J987="","",Transactions!J987)</f>
        <v/>
      </c>
      <c r="B995" s="297">
        <f ca="1">IF($A995="",TODAY(),Transactions!G987)</f>
        <v>46216</v>
      </c>
      <c r="C995" t="str">
        <f>IF($A995="","",Transactions!A987)</f>
        <v/>
      </c>
      <c r="D995" s="30">
        <f>IF($A995="",0,Transactions!H987)</f>
        <v>0</v>
      </c>
      <c r="E995">
        <f>IF($A995="",1,IFERROR(INDEX(Prices[FX to SGD],MATCH($A995,Prices[Key],0)),1))</f>
        <v>1</v>
      </c>
      <c r="F995" s="30">
        <f>IF($A995="",0,(Transactions!M987-Transactions!L987+IF(Transactions!A987=2,Transactions!H987,0))*$E995)</f>
        <v>0</v>
      </c>
      <c r="G995" s="30">
        <f>IF($A995="",0,IF(Transactions!A987=2,Transactions!H987*$E995,0))</f>
        <v>0</v>
      </c>
    </row>
    <row r="996" spans="1:7" ht="15" customHeight="1" x14ac:dyDescent="0.15">
      <c r="A996" t="str">
        <f>IF(Transactions!J988="","",Transactions!J988)</f>
        <v/>
      </c>
      <c r="B996" s="297">
        <f ca="1">IF($A996="",TODAY(),Transactions!G988)</f>
        <v>46216</v>
      </c>
      <c r="C996" t="str">
        <f>IF($A996="","",Transactions!A988)</f>
        <v/>
      </c>
      <c r="D996" s="30">
        <f>IF($A996="",0,Transactions!H988)</f>
        <v>0</v>
      </c>
      <c r="E996">
        <f>IF($A996="",1,IFERROR(INDEX(Prices[FX to SGD],MATCH($A996,Prices[Key],0)),1))</f>
        <v>1</v>
      </c>
      <c r="F996" s="30">
        <f>IF($A996="",0,(Transactions!M988-Transactions!L988+IF(Transactions!A988=2,Transactions!H988,0))*$E996)</f>
        <v>0</v>
      </c>
      <c r="G996" s="30">
        <f>IF($A996="",0,IF(Transactions!A988=2,Transactions!H988*$E996,0))</f>
        <v>0</v>
      </c>
    </row>
    <row r="997" spans="1:7" ht="15" customHeight="1" x14ac:dyDescent="0.15">
      <c r="A997" t="str">
        <f>IF(Transactions!J989="","",Transactions!J989)</f>
        <v/>
      </c>
      <c r="B997" s="297">
        <f ca="1">IF($A997="",TODAY(),Transactions!G989)</f>
        <v>46216</v>
      </c>
      <c r="C997" t="str">
        <f>IF($A997="","",Transactions!A989)</f>
        <v/>
      </c>
      <c r="D997" s="30">
        <f>IF($A997="",0,Transactions!H989)</f>
        <v>0</v>
      </c>
      <c r="E997">
        <f>IF($A997="",1,IFERROR(INDEX(Prices[FX to SGD],MATCH($A997,Prices[Key],0)),1))</f>
        <v>1</v>
      </c>
      <c r="F997" s="30">
        <f>IF($A997="",0,(Transactions!M989-Transactions!L989+IF(Transactions!A989=2,Transactions!H989,0))*$E997)</f>
        <v>0</v>
      </c>
      <c r="G997" s="30">
        <f>IF($A997="",0,IF(Transactions!A989=2,Transactions!H989*$E997,0))</f>
        <v>0</v>
      </c>
    </row>
    <row r="998" spans="1:7" ht="15" customHeight="1" x14ac:dyDescent="0.15">
      <c r="A998" t="str">
        <f>IF(Transactions!J990="","",Transactions!J990)</f>
        <v/>
      </c>
      <c r="B998" s="297">
        <f ca="1">IF($A998="",TODAY(),Transactions!G990)</f>
        <v>46216</v>
      </c>
      <c r="C998" t="str">
        <f>IF($A998="","",Transactions!A990)</f>
        <v/>
      </c>
      <c r="D998" s="30">
        <f>IF($A998="",0,Transactions!H990)</f>
        <v>0</v>
      </c>
      <c r="E998">
        <f>IF($A998="",1,IFERROR(INDEX(Prices[FX to SGD],MATCH($A998,Prices[Key],0)),1))</f>
        <v>1</v>
      </c>
      <c r="F998" s="30">
        <f>IF($A998="",0,(Transactions!M990-Transactions!L990+IF(Transactions!A990=2,Transactions!H990,0))*$E998)</f>
        <v>0</v>
      </c>
      <c r="G998" s="30">
        <f>IF($A998="",0,IF(Transactions!A990=2,Transactions!H990*$E998,0))</f>
        <v>0</v>
      </c>
    </row>
    <row r="999" spans="1:7" ht="15" customHeight="1" x14ac:dyDescent="0.15">
      <c r="A999" t="str">
        <f>IF(Transactions!J991="","",Transactions!J991)</f>
        <v/>
      </c>
      <c r="B999" s="297">
        <f ca="1">IF($A999="",TODAY(),Transactions!G991)</f>
        <v>46216</v>
      </c>
      <c r="C999" t="str">
        <f>IF($A999="","",Transactions!A991)</f>
        <v/>
      </c>
      <c r="D999" s="30">
        <f>IF($A999="",0,Transactions!H991)</f>
        <v>0</v>
      </c>
      <c r="E999">
        <f>IF($A999="",1,IFERROR(INDEX(Prices[FX to SGD],MATCH($A999,Prices[Key],0)),1))</f>
        <v>1</v>
      </c>
      <c r="F999" s="30">
        <f>IF($A999="",0,(Transactions!M991-Transactions!L991+IF(Transactions!A991=2,Transactions!H991,0))*$E999)</f>
        <v>0</v>
      </c>
      <c r="G999" s="30">
        <f>IF($A999="",0,IF(Transactions!A991=2,Transactions!H991*$E999,0))</f>
        <v>0</v>
      </c>
    </row>
    <row r="1000" spans="1:7" ht="15" customHeight="1" x14ac:dyDescent="0.15">
      <c r="A1000" t="str">
        <f>IF(Transactions!J992="","",Transactions!J992)</f>
        <v/>
      </c>
      <c r="B1000" s="297">
        <f ca="1">IF($A1000="",TODAY(),Transactions!G992)</f>
        <v>46216</v>
      </c>
      <c r="C1000" t="str">
        <f>IF($A1000="","",Transactions!A992)</f>
        <v/>
      </c>
      <c r="D1000" s="30">
        <f>IF($A1000="",0,Transactions!H992)</f>
        <v>0</v>
      </c>
      <c r="E1000">
        <f>IF($A1000="",1,IFERROR(INDEX(Prices[FX to SGD],MATCH($A1000,Prices[Key],0)),1))</f>
        <v>1</v>
      </c>
      <c r="F1000" s="30">
        <f>IF($A1000="",0,(Transactions!M992-Transactions!L992+IF(Transactions!A992=2,Transactions!H992,0))*$E1000)</f>
        <v>0</v>
      </c>
      <c r="G1000" s="30">
        <f>IF($A1000="",0,IF(Transactions!A992=2,Transactions!H992*$E1000,0))</f>
        <v>0</v>
      </c>
    </row>
    <row r="1001" spans="1:7" ht="15" customHeight="1" x14ac:dyDescent="0.15">
      <c r="A1001" t="str">
        <f>IF(Transactions!J993="","",Transactions!J993)</f>
        <v/>
      </c>
      <c r="B1001" s="297">
        <f ca="1">IF($A1001="",TODAY(),Transactions!G993)</f>
        <v>46216</v>
      </c>
      <c r="C1001" t="str">
        <f>IF($A1001="","",Transactions!A993)</f>
        <v/>
      </c>
      <c r="D1001" s="30">
        <f>IF($A1001="",0,Transactions!H993)</f>
        <v>0</v>
      </c>
      <c r="E1001">
        <f>IF($A1001="",1,IFERROR(INDEX(Prices[FX to SGD],MATCH($A1001,Prices[Key],0)),1))</f>
        <v>1</v>
      </c>
      <c r="F1001" s="30">
        <f>IF($A1001="",0,(Transactions!M993-Transactions!L993+IF(Transactions!A993=2,Transactions!H993,0))*$E1001)</f>
        <v>0</v>
      </c>
      <c r="G1001" s="30">
        <f>IF($A1001="",0,IF(Transactions!A993=2,Transactions!H993*$E1001,0))</f>
        <v>0</v>
      </c>
    </row>
    <row r="1002" spans="1:7" ht="15" customHeight="1" x14ac:dyDescent="0.15">
      <c r="A1002" t="str">
        <f>IF(Transactions!J994="","",Transactions!J994)</f>
        <v/>
      </c>
      <c r="B1002" s="297">
        <f ca="1">IF($A1002="",TODAY(),Transactions!G994)</f>
        <v>46216</v>
      </c>
      <c r="C1002" t="str">
        <f>IF($A1002="","",Transactions!A994)</f>
        <v/>
      </c>
      <c r="D1002" s="30">
        <f>IF($A1002="",0,Transactions!H994)</f>
        <v>0</v>
      </c>
      <c r="E1002">
        <f>IF($A1002="",1,IFERROR(INDEX(Prices[FX to SGD],MATCH($A1002,Prices[Key],0)),1))</f>
        <v>1</v>
      </c>
      <c r="F1002" s="30">
        <f>IF($A1002="",0,(Transactions!M994-Transactions!L994+IF(Transactions!A994=2,Transactions!H994,0))*$E1002)</f>
        <v>0</v>
      </c>
      <c r="G1002" s="30">
        <f>IF($A1002="",0,IF(Transactions!A994=2,Transactions!H994*$E1002,0))</f>
        <v>0</v>
      </c>
    </row>
    <row r="1003" spans="1:7" ht="15" customHeight="1" x14ac:dyDescent="0.15">
      <c r="A1003" t="str">
        <f>IF(Transactions!J995="","",Transactions!J995)</f>
        <v/>
      </c>
      <c r="B1003" s="297">
        <f ca="1">IF($A1003="",TODAY(),Transactions!G995)</f>
        <v>46216</v>
      </c>
      <c r="C1003" t="str">
        <f>IF($A1003="","",Transactions!A995)</f>
        <v/>
      </c>
      <c r="D1003" s="30">
        <f>IF($A1003="",0,Transactions!H995)</f>
        <v>0</v>
      </c>
      <c r="E1003">
        <f>IF($A1003="",1,IFERROR(INDEX(Prices[FX to SGD],MATCH($A1003,Prices[Key],0)),1))</f>
        <v>1</v>
      </c>
      <c r="F1003" s="30">
        <f>IF($A1003="",0,(Transactions!M995-Transactions!L995+IF(Transactions!A995=2,Transactions!H995,0))*$E1003)</f>
        <v>0</v>
      </c>
      <c r="G1003" s="30">
        <f>IF($A1003="",0,IF(Transactions!A995=2,Transactions!H995*$E1003,0))</f>
        <v>0</v>
      </c>
    </row>
    <row r="1004" spans="1:7" ht="15" customHeight="1" x14ac:dyDescent="0.15">
      <c r="A1004" t="str">
        <f>IF(Transactions!J996="","",Transactions!J996)</f>
        <v/>
      </c>
      <c r="B1004" s="297">
        <f ca="1">IF($A1004="",TODAY(),Transactions!G996)</f>
        <v>46216</v>
      </c>
      <c r="C1004" t="str">
        <f>IF($A1004="","",Transactions!A996)</f>
        <v/>
      </c>
      <c r="D1004" s="30">
        <f>IF($A1004="",0,Transactions!H996)</f>
        <v>0</v>
      </c>
      <c r="E1004">
        <f>IF($A1004="",1,IFERROR(INDEX(Prices[FX to SGD],MATCH($A1004,Prices[Key],0)),1))</f>
        <v>1</v>
      </c>
      <c r="F1004" s="30">
        <f>IF($A1004="",0,(Transactions!M996-Transactions!L996+IF(Transactions!A996=2,Transactions!H996,0))*$E1004)</f>
        <v>0</v>
      </c>
      <c r="G1004" s="30">
        <f>IF($A1004="",0,IF(Transactions!A996=2,Transactions!H996*$E1004,0))</f>
        <v>0</v>
      </c>
    </row>
    <row r="1005" spans="1:7" ht="15" customHeight="1" x14ac:dyDescent="0.15">
      <c r="A1005" t="str">
        <f>IF(Transactions!J997="","",Transactions!J997)</f>
        <v/>
      </c>
      <c r="B1005" s="297">
        <f ca="1">IF($A1005="",TODAY(),Transactions!G997)</f>
        <v>46216</v>
      </c>
      <c r="C1005" t="str">
        <f>IF($A1005="","",Transactions!A997)</f>
        <v/>
      </c>
      <c r="D1005" s="30">
        <f>IF($A1005="",0,Transactions!H997)</f>
        <v>0</v>
      </c>
      <c r="E1005">
        <f>IF($A1005="",1,IFERROR(INDEX(Prices[FX to SGD],MATCH($A1005,Prices[Key],0)),1))</f>
        <v>1</v>
      </c>
      <c r="F1005" s="30">
        <f>IF($A1005="",0,(Transactions!M997-Transactions!L997+IF(Transactions!A997=2,Transactions!H997,0))*$E1005)</f>
        <v>0</v>
      </c>
      <c r="G1005" s="30">
        <f>IF($A1005="",0,IF(Transactions!A997=2,Transactions!H997*$E1005,0))</f>
        <v>0</v>
      </c>
    </row>
    <row r="1006" spans="1:7" ht="15" customHeight="1" x14ac:dyDescent="0.15">
      <c r="A1006" t="str">
        <f>IF(Transactions!J998="","",Transactions!J998)</f>
        <v/>
      </c>
      <c r="B1006" s="297">
        <f ca="1">IF($A1006="",TODAY(),Transactions!G998)</f>
        <v>46216</v>
      </c>
      <c r="C1006" t="str">
        <f>IF($A1006="","",Transactions!A998)</f>
        <v/>
      </c>
      <c r="D1006" s="30">
        <f>IF($A1006="",0,Transactions!H998)</f>
        <v>0</v>
      </c>
      <c r="E1006">
        <f>IF($A1006="",1,IFERROR(INDEX(Prices[FX to SGD],MATCH($A1006,Prices[Key],0)),1))</f>
        <v>1</v>
      </c>
      <c r="F1006" s="30">
        <f>IF($A1006="",0,(Transactions!M998-Transactions!L998+IF(Transactions!A998=2,Transactions!H998,0))*$E1006)</f>
        <v>0</v>
      </c>
      <c r="G1006" s="30">
        <f>IF($A1006="",0,IF(Transactions!A998=2,Transactions!H998*$E1006,0))</f>
        <v>0</v>
      </c>
    </row>
    <row r="1007" spans="1:7" ht="15" customHeight="1" x14ac:dyDescent="0.15">
      <c r="A1007" t="str">
        <f>IF(Transactions!J999="","",Transactions!J999)</f>
        <v/>
      </c>
      <c r="B1007" s="297">
        <f ca="1">IF($A1007="",TODAY(),Transactions!G999)</f>
        <v>46216</v>
      </c>
      <c r="C1007" t="str">
        <f>IF($A1007="","",Transactions!A999)</f>
        <v/>
      </c>
      <c r="D1007" s="30">
        <f>IF($A1007="",0,Transactions!H999)</f>
        <v>0</v>
      </c>
      <c r="E1007">
        <f>IF($A1007="",1,IFERROR(INDEX(Prices[FX to SGD],MATCH($A1007,Prices[Key],0)),1))</f>
        <v>1</v>
      </c>
      <c r="F1007" s="30">
        <f>IF($A1007="",0,(Transactions!M999-Transactions!L999+IF(Transactions!A999=2,Transactions!H999,0))*$E1007)</f>
        <v>0</v>
      </c>
      <c r="G1007" s="30">
        <f>IF($A1007="",0,IF(Transactions!A999=2,Transactions!H999*$E1007,0))</f>
        <v>0</v>
      </c>
    </row>
    <row r="1008" spans="1:7" ht="15" customHeight="1" x14ac:dyDescent="0.15">
      <c r="A1008" t="str">
        <f>IF(Transactions!J1000="","",Transactions!J1000)</f>
        <v/>
      </c>
      <c r="B1008" s="297">
        <f ca="1">IF($A1008="",TODAY(),Transactions!G1000)</f>
        <v>46216</v>
      </c>
      <c r="C1008" t="str">
        <f>IF($A1008="","",Transactions!A1000)</f>
        <v/>
      </c>
      <c r="D1008" s="30">
        <f>IF($A1008="",0,Transactions!H1000)</f>
        <v>0</v>
      </c>
      <c r="E1008">
        <f>IF($A1008="",1,IFERROR(INDEX(Prices[FX to SGD],MATCH($A1008,Prices[Key],0)),1))</f>
        <v>1</v>
      </c>
      <c r="F1008" s="30">
        <f>IF($A1008="",0,(Transactions!M1000-Transactions!L1000+IF(Transactions!A1000=2,Transactions!H1000,0))*$E1008)</f>
        <v>0</v>
      </c>
      <c r="G1008" s="30">
        <f>IF($A1008="",0,IF(Transactions!A1000=2,Transactions!H1000*$E1008,0))</f>
        <v>0</v>
      </c>
    </row>
    <row r="1009" spans="1:7" ht="15" customHeight="1" x14ac:dyDescent="0.15">
      <c r="A1009" t="str">
        <f>IF(Transactions!J1001="","",Transactions!J1001)</f>
        <v/>
      </c>
      <c r="B1009" s="297">
        <f ca="1">IF($A1009="",TODAY(),Transactions!G1001)</f>
        <v>46216</v>
      </c>
      <c r="C1009" t="str">
        <f>IF($A1009="","",Transactions!A1001)</f>
        <v/>
      </c>
      <c r="D1009" s="30">
        <f>IF($A1009="",0,Transactions!H1001)</f>
        <v>0</v>
      </c>
      <c r="E1009">
        <f>IF($A1009="",1,IFERROR(INDEX(Prices[FX to SGD],MATCH($A1009,Prices[Key],0)),1))</f>
        <v>1</v>
      </c>
      <c r="F1009" s="30">
        <f>IF($A1009="",0,(Transactions!M1001-Transactions!L1001+IF(Transactions!A1001=2,Transactions!H1001,0))*$E1009)</f>
        <v>0</v>
      </c>
      <c r="G1009" s="30">
        <f>IF($A1009="",0,IF(Transactions!A1001=2,Transactions!H1001*$E1009,0))</f>
        <v>0</v>
      </c>
    </row>
    <row r="1010" spans="1:7" ht="15" customHeight="1" x14ac:dyDescent="0.15">
      <c r="A1010" t="s">
        <v>540</v>
      </c>
      <c r="B1010" s="297">
        <f ca="1">TODAY()</f>
        <v>46216</v>
      </c>
      <c r="F1010" s="3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